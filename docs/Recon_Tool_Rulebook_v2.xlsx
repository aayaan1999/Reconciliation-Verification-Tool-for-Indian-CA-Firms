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5.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26.xml.rels" ContentType="application/vnd.openxmlformats-package.relationships+xml"/>
  <Override PartName="/xl/worksheets/_rels/sheet9.xml.rels" ContentType="application/vnd.openxmlformats-package.relationships+xml"/>
  <Override PartName="/xl/worksheets/_rels/sheet27.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ntents" sheetId="2" state="visible" r:id="rId4"/>
    <sheet name="Recon – GST" sheetId="3" state="visible" r:id="rId5"/>
    <sheet name="Recon – TDS &amp; Income Tax" sheetId="4" state="visible" r:id="rId6"/>
    <sheet name="Recon – Payroll" sheetId="5" state="visible" r:id="rId7"/>
    <sheet name="Recon – Bank &amp; Accounts" sheetId="6" state="visible" r:id="rId8"/>
    <sheet name="Document Pair Matrix" sheetId="7" state="visible" r:id="rId9"/>
    <sheet name="Documents" sheetId="8" state="visible" r:id="rId10"/>
    <sheet name="Document Fields" sheetId="9" state="visible" r:id="rId11"/>
    <sheet name="Field Map" sheetId="10" state="visible" r:id="rId12"/>
    <sheet name="Income Tax" sheetId="11" state="visible" r:id="rId13"/>
    <sheet name="Advance Tax &amp; Interest" sheetId="12" state="visible" r:id="rId14"/>
    <sheet name="Returns &amp; 26AS-AIS" sheetId="13" state="visible" r:id="rId15"/>
    <sheet name="TDS" sheetId="14" state="visible" r:id="rId16"/>
    <sheet name="TCS" sheetId="15" state="visible" r:id="rId17"/>
    <sheet name="GST" sheetId="16" state="visible" r:id="rId18"/>
    <sheet name="Payroll" sheetId="17" state="visible" r:id="rId19"/>
    <sheet name="Bank Reconciliation" sheetId="18" state="visible" r:id="rId20"/>
    <sheet name="Trial Balance" sheetId="19" state="visible" r:id="rId21"/>
    <sheet name="Ledger Scrutiny" sheetId="20" state="visible" r:id="rId22"/>
    <sheet name="Financial Statements" sheetId="21" state="visible" r:id="rId23"/>
    <sheet name="MSME" sheetId="22" state="visible" r:id="rId24"/>
    <sheet name="Company Law (MCA)" sheetId="23" state="visible" r:id="rId25"/>
    <sheet name="Audit" sheetId="24" state="visible" r:id="rId26"/>
    <sheet name="Act Transition" sheetId="25" state="visible" r:id="rId27"/>
    <sheet name="Calculators" sheetId="26" state="visible" r:id="rId28"/>
    <sheet name="Review Register" sheetId="27" state="visible" r:id="rId29"/>
    <sheet name="Superseded Provisions" sheetId="28" state="visible" r:id="rId30"/>
    <sheet name="Open Questions" sheetId="29" state="visible" r:id="rId31"/>
    <sheet name="Rule Sources" sheetId="30" state="visible" r:id="rId32"/>
    <sheet name="Sources Consulted" sheetId="31" state="visible" r:id="rId33"/>
    <sheet name="YAML Conventions" sheetId="32" state="visible" r:id="rId34"/>
    <sheet name="Methodology" sheetId="33" state="visible" r:id="rId35"/>
  </sheets>
  <definedNames>
    <definedName function="false" hidden="true" localSheetId="11" name="_xlnm._FilterDatabase" vbProcedure="false">'Advance Tax &amp; Interest'!$A$5:$AA$13</definedName>
    <definedName function="false" hidden="true" localSheetId="23" name="_xlnm._FilterDatabase" vbProcedure="false">Audit!$A$5:$AA$12</definedName>
    <definedName function="false" hidden="true" localSheetId="17" name="_xlnm._FilterDatabase" vbProcedure="false">'Bank Reconciliation'!$A$5:$AA$10</definedName>
    <definedName function="false" hidden="true" localSheetId="22" name="_xlnm._FilterDatabase" vbProcedure="false">'Company Law (MCA)'!$A$5:$AA$9</definedName>
    <definedName function="false" hidden="true" localSheetId="8" name="_xlnm._FilterDatabase" vbProcedure="false">'Document Fields'!$A$4:$I$2100</definedName>
    <definedName function="false" hidden="true" localSheetId="6" name="_xlnm._FilterDatabase" vbProcedure="false">'Document Pair Matrix'!$A$4:$E$86</definedName>
    <definedName function="false" hidden="true" localSheetId="7" name="_xlnm._FilterDatabase" vbProcedure="false">Documents!$A$4:$O$67</definedName>
    <definedName function="false" hidden="true" localSheetId="9" name="_xlnm._FilterDatabase" vbProcedure="false">'Field Map'!$A$4:$I$756</definedName>
    <definedName function="false" hidden="true" localSheetId="20" name="_xlnm._FilterDatabase" vbProcedure="false">'Financial Statements'!$A$5:$AA$12</definedName>
    <definedName function="false" hidden="true" localSheetId="15" name="_xlnm._FilterDatabase" vbProcedure="false">GST!$A$5:$AA$38</definedName>
    <definedName function="false" hidden="true" localSheetId="10" name="_xlnm._FilterDatabase" vbProcedure="false">'Income Tax'!$A$5:$AA$30</definedName>
    <definedName function="false" hidden="true" localSheetId="19" name="_xlnm._FilterDatabase" vbProcedure="false">'Ledger Scrutiny'!$A$5:$AA$19</definedName>
    <definedName function="false" hidden="true" localSheetId="21" name="_xlnm._FilterDatabase" vbProcedure="false">MSME!$A$5:$AA$9</definedName>
    <definedName function="false" hidden="true" localSheetId="28" name="_xlnm._FilterDatabase" vbProcedure="false">'Open Questions'!$A$4:$E$113</definedName>
    <definedName function="false" hidden="true" localSheetId="16" name="_xlnm._FilterDatabase" vbProcedure="false">Payroll!$A$5:$AA$42</definedName>
    <definedName function="false" hidden="true" localSheetId="5" name="_xlnm._FilterDatabase" vbProcedure="false">'Recon – Bank &amp; Accounts'!$A$5:$AI$22</definedName>
    <definedName function="false" hidden="true" localSheetId="2" name="_xlnm._FilterDatabase" vbProcedure="false">'Recon – GST'!$A$5:$AI$45</definedName>
    <definedName function="false" hidden="true" localSheetId="4" name="_xlnm._FilterDatabase" vbProcedure="false">'Recon – Payroll'!$A$5:$AI$13</definedName>
    <definedName function="false" hidden="true" localSheetId="3" name="_xlnm._FilterDatabase" vbProcedure="false">'Recon – TDS &amp; Income Tax'!$A$5:$AI$30</definedName>
    <definedName function="false" hidden="true" localSheetId="12" name="_xlnm._FilterDatabase" vbProcedure="false">'Returns &amp; 26AS-AIS'!$A$5:$AA$12</definedName>
    <definedName function="false" hidden="true" localSheetId="26" name="_xlnm._FilterDatabase" vbProcedure="false">'Review Register'!$A$4:$H$231</definedName>
    <definedName function="false" hidden="true" localSheetId="29" name="_xlnm._FilterDatabase" vbProcedure="false">'Rule Sources'!$A$4:$F$955</definedName>
    <definedName function="false" hidden="true" localSheetId="27" name="_xlnm._FilterDatabase" vbProcedure="false">'Superseded Provisions'!$A$4:$F$85</definedName>
    <definedName function="false" hidden="true" localSheetId="14" name="_xlnm._FilterDatabase" vbProcedure="false">TCS!$A$5:$AA$14</definedName>
    <definedName function="false" hidden="true" localSheetId="13" name="_xlnm._FilterDatabase" vbProcedure="false">TDS!$A$5:$AA$54</definedName>
    <definedName function="false" hidden="true" localSheetId="18" name="_xlnm._FilterDatabase" vbProcedure="false">'Trial Balance'!$A$5:$AA$10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<sst xmlns="http://schemas.openxmlformats.org/spreadsheetml/2006/main" count="43383" uniqueCount="15753">
  <si>
    <t xml:space="preserve">Reconciliation &amp; Verification Tool</t>
  </si>
  <si>
    <t xml:space="preserve">Indian Tax &amp; Compliance Rule Book for CA Firms – v2</t>
  </si>
  <si>
    <t xml:space="preserve">Appbay Technologies — reconciliation rules, statutory rules and document data model, YAML-ready</t>
  </si>
  <si>
    <t xml:space="preserve">Research date</t>
  </si>
  <si>
    <t xml:space="preserve">13 October 2026</t>
  </si>
  <si>
    <t xml:space="preserve">Applicable tax period</t>
  </si>
  <si>
    <t xml:space="preserve">FY 2025-26 / AY 2026-27 (Income-tax Act, 1961) and Tax Year 2026-27 (Income-tax Act, 2025, in force from 1 April 2026); GST, payroll and company-law positions as at 13 Oct 2026</t>
  </si>
  <si>
    <t xml:space="preserve">Reconciliation rules</t>
  </si>
  <si>
    <t xml:space="preserve">Statutory rules</t>
  </si>
  <si>
    <t xml:space="preserve">Rules verified on an official source</t>
  </si>
  <si>
    <t xml:space="preserve">Documents / fields in data model</t>
  </si>
  <si>
    <t xml:space="preserve">63 documents / 2096 fields</t>
  </si>
  <si>
    <t xml:space="preserve">How to read</t>
  </si>
  <si>
    <t xml:space="preserve">Start at Contents. Section A holds document-vs-document reconciliation rules; section B the statutory rules they rely on; section C the document data model and references. Row 5 of every rule sheet is the YAML key row.</t>
  </si>
  <si>
    <t xml:space="preserve">Verification status legend</t>
  </si>
  <si>
    <t xml:space="preserve">Verified – official source</t>
  </si>
  <si>
    <t xml:space="preserve">Key figures confirmed on an official government / regulator site</t>
  </si>
  <si>
    <t xml:space="preserve">Verified – secondary source only</t>
  </si>
  <si>
    <t xml:space="preserve">Confirmed on reputable secondary sources; official text not reached</t>
  </si>
  <si>
    <t xml:space="preserve">Partially verified</t>
  </si>
  <si>
    <t xml:space="preserve">Core rule confirmed; some element unconfirmed, or design choices involved</t>
  </si>
  <si>
    <t xml:space="preserve">Unverified – needs CA review</t>
  </si>
  <si>
    <t xml:space="preserve">Could not be confirmed – do not enable without CA review</t>
  </si>
  <si>
    <t xml:space="preserve">Ambiguous / conflicting – needs CA review</t>
  </si>
  <si>
    <t xml:space="preserve">Sources disagree or law reads ambiguously; positions recorded in Notes</t>
  </si>
  <si>
    <t xml:space="preserve">Important disclaimer</t>
  </si>
  <si>
    <t xml:space="preserve">This workbook is a research compilation to support software design. It is not legal or tax advice. Its completeness and legal correctness require validation by a qualified Chartered Accountant before any rule is implemented or relied on. Matching keys, tolerances and severities are implementation choices, not law. Laws, rates, thresholds and due dates change through Finance Acts, notifications and circulars; re-verify each rule for the period being processed. Rules not marked "Verified – official source" must be signed off in the Review Register before use.</t>
  </si>
  <si>
    <t xml:space="preserve">Go to Contents →</t>
  </si>
  <si>
    <t xml:space="preserve">Contents</t>
  </si>
  <si>
    <t xml:space="preserve">← Contents</t>
  </si>
  <si>
    <t xml:space="preserve">Click a sheet name to open it. Counts are live formulas over each rule sheet.</t>
  </si>
  <si>
    <t xml:space="preserve">#</t>
  </si>
  <si>
    <t xml:space="preserve">Sheet</t>
  </si>
  <si>
    <t xml:space="preserve">What it contains</t>
  </si>
  <si>
    <t xml:space="preserve">Rules</t>
  </si>
  <si>
    <t xml:space="preserve">Verified – official</t>
  </si>
  <si>
    <t xml:space="preserve">Verified – secondary</t>
  </si>
  <si>
    <t xml:space="preserve">Unverified</t>
  </si>
  <si>
    <t xml:space="preserve">Conflicting</t>
  </si>
  <si>
    <t xml:space="preserve">% official</t>
  </si>
  <si>
    <t xml:space="preserve">A. Reconciliation rules (document vs document)</t>
  </si>
  <si>
    <t xml:space="preserve">Recon – GST</t>
  </si>
  <si>
    <t xml:space="preserve">Document-to-document GST reconciliation: sales register / e-invoice / e-way bill vs GSTR-1 vs GSTR-3B; purchase register vs GSTR-2B / IMS vs 3B Table 4; ledgers, interest, late fee, annual return, rate and place-of-supply checks.</t>
  </si>
  <si>
    <t xml:space="preserve">Recon – TDS &amp; Income Tax</t>
  </si>
  <si>
    <t xml:space="preserve">Deductor-side TDS (ledger vs returns vs challans vs TRACES) and deductee-side income tax (26AS / AIS / TIS vs books vs ITR vs Form 3CD).</t>
  </si>
  <si>
    <t xml:space="preserve">Recon – Payroll</t>
  </si>
  <si>
    <t xml:space="preserve">Payroll register vs ECR vs EPF challan; ESIC; Professional Tax; payroll GL; s.36(1)(va); wage-definition, gratuity and bonus checks.</t>
  </si>
  <si>
    <t xml:space="preserve">Recon – Bank &amp; Accounts</t>
  </si>
  <si>
    <t xml:space="preserve">Bank statement vs bank book (BRS), TB vs GL vs FS, ageing vs control accounts, FAR, stock statements, MSME, related parties, duplicates.</t>
  </si>
  <si>
    <t xml:space="preserve">B. Statutory rules (law, rates, computations)</t>
  </si>
  <si>
    <t xml:space="preserve">Income Tax</t>
  </si>
  <si>
    <t xml:space="preserve">Income-tax computation, rebate, rounding, presumptive taxation, disallowances, cash-transaction limits, capital gains.</t>
  </si>
  <si>
    <t xml:space="preserve">Advance Tax &amp; Interest</t>
  </si>
  <si>
    <t xml:space="preserve">Advance tax liability, instalments, interest u/s 234A/234B/234C (new s.423/424/425), late fee.</t>
  </si>
  <si>
    <t xml:space="preserve">Returns &amp; 26AS-AIS</t>
  </si>
  <si>
    <t xml:space="preserve">Return due dates, belated / revised / updated returns, 26AS / AIS / TIS, tax audit report.</t>
  </si>
  <si>
    <t xml:space="preserve">TDS</t>
  </si>
  <si>
    <t xml:space="preserve">TDS sections, thresholds, rates, due dates, interest, late fee, reconciliation (ss.192-206AA → ss.392-398).</t>
  </si>
  <si>
    <t xml:space="preserve">TCS</t>
  </si>
  <si>
    <t xml:space="preserve">TCS on goods, licences, motor vehicles / luxury goods, LRS, tour packages (s.206C → s.394).</t>
  </si>
  <si>
    <t xml:space="preserve">GST</t>
  </si>
  <si>
    <t xml:space="preserve">GSTIN, registration, place of supply, rates (GST 2.0), returns, ITC, reversals, RCM, interest, late fees, due dates.</t>
  </si>
  <si>
    <t xml:space="preserve">Payroll</t>
  </si>
  <si>
    <t xml:space="preserve">Labour Codes, EPF/EPS/EDLI, ESI, Professional Tax, LWF, gratuity, bonus, minimum wages, perquisites, s.36(1)(va).</t>
  </si>
  <si>
    <t xml:space="preserve">Bank Reconciliation</t>
  </si>
  <si>
    <t xml:space="preserve">Matching, classification, BRS statement, stale cheques.</t>
  </si>
  <si>
    <t xml:space="preserve">Trial Balance</t>
  </si>
  <si>
    <t xml:space="preserve">Arithmetic, suspense, opening-balance continuity, ledger agreement, abnormal balances.</t>
  </si>
  <si>
    <t xml:space="preserve">Ledger Scrutiny</t>
  </si>
  <si>
    <t xml:space="preserve">Cash scrutiny and limits, analytics, duplicates, dates, related parties, GST/TDS on expenses, ageing, confirmations.</t>
  </si>
  <si>
    <t xml:space="preserve">Financial Statements</t>
  </si>
  <si>
    <t xml:space="preserve">Schedule III classification, ageing, ratios, rounding, inventory reconciliation.</t>
  </si>
  <si>
    <t xml:space="preserve">MSME</t>
  </si>
  <si>
    <t xml:space="preserve">Classification, MSMED Act s.15/16 interest, MSME Form 1, s.43B(h).</t>
  </si>
  <si>
    <t xml:space="preserve">Company Law (MCA)</t>
  </si>
  <si>
    <t xml:space="preserve">Annual filings, other forms, late fees, small-company classification.</t>
  </si>
  <si>
    <t xml:space="preserve">Audit</t>
  </si>
  <si>
    <t xml:space="preserve">Audit trail, CARO 2020, tax audit, depreciation, accounting framework, Act transition.</t>
  </si>
  <si>
    <t xml:space="preserve">Total rules</t>
  </si>
  <si>
    <t xml:space="preserve">C. Data model &amp; reference sheets</t>
  </si>
  <si>
    <t xml:space="preserve">Cover</t>
  </si>
  <si>
    <t xml:space="preserve">Title, research date, tax period, legend, disclaimer</t>
  </si>
  <si>
    <t xml:space="preserve">Document Pair Matrix</t>
  </si>
  <si>
    <t xml:space="preserve">Which documents each reconciliation rule compares – drives which files a client must upload</t>
  </si>
  <si>
    <t xml:space="preserve">Documents</t>
  </si>
  <si>
    <t xml:space="preserve">63 documents with legal basis, formats, how obtained, due dates and the rules that use them</t>
  </si>
  <si>
    <t xml:space="preserve">Document Fields</t>
  </si>
  <si>
    <t xml:space="preserve">2096 canonical fields (official labels, JSON paths, types, validations), incl. derived and design fields</t>
  </si>
  <si>
    <t xml:space="preserve">Field Map</t>
  </si>
  <si>
    <t xml:space="preserve">How each field reference in the rules resolves to a canonical field</t>
  </si>
  <si>
    <t xml:space="preserve">Act Transition</t>
  </si>
  <si>
    <t xml:space="preserve">Income-tax Act 1961 → 2025 section and form map</t>
  </si>
  <si>
    <t xml:space="preserve">Calculators</t>
  </si>
  <si>
    <t xml:space="preserve">Eleven worked examples with live formulas and checks</t>
  </si>
  <si>
    <t xml:space="preserve">Review Register</t>
  </si>
  <si>
    <t xml:space="preserve">Every rule not fully verified on an official source, with sign-off columns</t>
  </si>
  <si>
    <t xml:space="preserve">Superseded Provisions</t>
  </si>
  <si>
    <t xml:space="preserve">Old vs new positions and effective dates</t>
  </si>
  <si>
    <t xml:space="preserve">Open Questions</t>
  </si>
  <si>
    <t xml:space="preserve">Unresolved points requiring CA or business decision</t>
  </si>
  <si>
    <t xml:space="preserve">Rule Sources</t>
  </si>
  <si>
    <t xml:space="preserve">951 citations, one row per rule–source pair</t>
  </si>
  <si>
    <t xml:space="preserve">Sources Consulted</t>
  </si>
  <si>
    <t xml:space="preserve">501 pages consulted</t>
  </si>
  <si>
    <t xml:space="preserve">YAML Conventions</t>
  </si>
  <si>
    <t xml:space="preserve">How to convert each rule row into a YAML file, with example</t>
  </si>
  <si>
    <t xml:space="preserve">Methodology</t>
  </si>
  <si>
    <t xml:space="preserve">Scope, rounds, source hierarchy, statuses, limitations</t>
  </si>
  <si>
    <t xml:space="preserve">Document-to-document GST reconciliation: sales register / e-invoice / e-way bill vs GSTR-1 vs GSTR-3B; purchase register vs GSTR-2B / IMS vs 3B Table 4; ledgers, interest, late fee, annual return, rate and place-of-supply checks.  Row 5 holds the YAML key for each column. Research date 13 October 2026. Every rule needs CA validation before use.</t>
  </si>
  <si>
    <t xml:space="preserve">Rules on sheet:</t>
  </si>
  <si>
    <t xml:space="preserve">Rule ID</t>
  </si>
  <si>
    <t xml:space="preserve">Rule type</t>
  </si>
  <si>
    <t xml:space="preserve">Category</t>
  </si>
  <si>
    <t xml:space="preserve">Rule name</t>
  </si>
  <si>
    <t xml:space="preserve">Verification status</t>
  </si>
  <si>
    <t xml:space="preserve">Purpose</t>
  </si>
  <si>
    <t xml:space="preserve">Document A</t>
  </si>
  <si>
    <t xml:space="preserve">Document B</t>
  </si>
  <si>
    <t xml:space="preserve">Document C</t>
  </si>
  <si>
    <t xml:space="preserve">Period basis</t>
  </si>
  <si>
    <t xml:space="preserve">Legal provision</t>
  </si>
  <si>
    <t xml:space="preserve">Applicability</t>
  </si>
  <si>
    <t xml:space="preserve">Effective from</t>
  </si>
  <si>
    <t xml:space="preserve">Effective to</t>
  </si>
  <si>
    <t xml:space="preserve">Prerequisites</t>
  </si>
  <si>
    <t xml:space="preserve">Match keys (A.field = B.field; canonical names)</t>
  </si>
  <si>
    <t xml:space="preserve">Key normalisation</t>
  </si>
  <si>
    <t xml:space="preserve">Aggregation level</t>
  </si>
  <si>
    <t xml:space="preserve">Compare fields (A.field vs B.field)</t>
  </si>
  <si>
    <t xml:space="preserve">Tolerance</t>
  </si>
  <si>
    <t xml:space="preserve">Difference formula</t>
  </si>
  <si>
    <t xml:space="preserve">Step-by-step logic</t>
  </si>
  <si>
    <t xml:space="preserve">Mismatch categories (CODE: meaning)</t>
  </si>
  <si>
    <t xml:space="preserve">Severity by category</t>
  </si>
  <si>
    <t xml:space="preserve">Editable parameters (key=value)</t>
  </si>
  <si>
    <t xml:space="preserve">Input validations</t>
  </si>
  <si>
    <t xml:space="preserve">Exception record output</t>
  </si>
  <si>
    <t xml:space="preserve">Worked dataset &amp; result</t>
  </si>
  <si>
    <t xml:space="preserve">Positive test case(s)</t>
  </si>
  <si>
    <t xml:space="preserve">Negative / edge test case(s)</t>
  </si>
  <si>
    <t xml:space="preserve">Common real-world causes</t>
  </si>
  <si>
    <t xml:space="preserve">Software action / remedy</t>
  </si>
  <si>
    <t xml:space="preserve">Pseudocode</t>
  </si>
  <si>
    <t xml:space="preserve">Sources (title | URL | ref, one per line)</t>
  </si>
  <si>
    <t xml:space="preserve">Notes, verification, conflicts</t>
  </si>
  <si>
    <t xml:space="preserve">rule_id</t>
  </si>
  <si>
    <t xml:space="preserve">rule_type</t>
  </si>
  <si>
    <t xml:space="preserve">category</t>
  </si>
  <si>
    <t xml:space="preserve">name</t>
  </si>
  <si>
    <t xml:space="preserve">verification_status</t>
  </si>
  <si>
    <t xml:space="preserve">purpose</t>
  </si>
  <si>
    <t xml:space="preserve">doc_a</t>
  </si>
  <si>
    <t xml:space="preserve">doc_b</t>
  </si>
  <si>
    <t xml:space="preserve">doc_c</t>
  </si>
  <si>
    <t xml:space="preserve">period_basis</t>
  </si>
  <si>
    <t xml:space="preserve">legal_provision</t>
  </si>
  <si>
    <t xml:space="preserve">applicability</t>
  </si>
  <si>
    <t xml:space="preserve">effective_from</t>
  </si>
  <si>
    <t xml:space="preserve">effective_to</t>
  </si>
  <si>
    <t xml:space="preserve">prerequisites</t>
  </si>
  <si>
    <t xml:space="preserve">match_keys</t>
  </si>
  <si>
    <t xml:space="preserve">key_normalisation</t>
  </si>
  <si>
    <t xml:space="preserve">aggregation</t>
  </si>
  <si>
    <t xml:space="preserve">compare_fields</t>
  </si>
  <si>
    <t xml:space="preserve">tolerance</t>
  </si>
  <si>
    <t xml:space="preserve">formula</t>
  </si>
  <si>
    <t xml:space="preserve">logic_steps</t>
  </si>
  <si>
    <t xml:space="preserve">mismatch_categories</t>
  </si>
  <si>
    <t xml:space="preserve">severity_by_category</t>
  </si>
  <si>
    <t xml:space="preserve">params</t>
  </si>
  <si>
    <t xml:space="preserve">validations</t>
  </si>
  <si>
    <t xml:space="preserve">expected_output</t>
  </si>
  <si>
    <t xml:space="preserve">sample_data_and_result</t>
  </si>
  <si>
    <t xml:space="preserve">test_positive</t>
  </si>
  <si>
    <t xml:space="preserve">test_negative</t>
  </si>
  <si>
    <t xml:space="preserve">common_discrepancies</t>
  </si>
  <si>
    <t xml:space="preserve">software_action</t>
  </si>
  <si>
    <t xml:space="preserve">pseudocode</t>
  </si>
  <si>
    <t xml:space="preserve">sources</t>
  </si>
  <si>
    <t xml:space="preserve">notes</t>
  </si>
  <si>
    <t xml:space="preserve">RC-GST-001</t>
  </si>
  <si>
    <t xml:space="preserve">reconciliation_rule</t>
  </si>
  <si>
    <t xml:space="preserve">GST – Outward supplies – Books vs return</t>
  </si>
  <si>
    <t xml:space="preserve">Sales register vs GSTR-1/IFF/GSTR-1A – B2B invoices (Table 4A/4B/4C, 6B, 6C)</t>
  </si>
  <si>
    <t xml:space="preserve">Make sure every B2B tax invoice in the books is reported in GSTR-1, IFF or GSTR-1A for the right period, with the right GSTIN, value and tax heads, and that nothing is reported in the return that is not in the books.</t>
  </si>
  <si>
    <t xml:space="preserve">SALES_REG</t>
  </si>
  <si>
    <t xml:space="preserve">GSTR1</t>
  </si>
  <si>
    <t xml:space="preserve">GSTR1A</t>
  </si>
  <si>
    <t xml:space="preserve">tax period (month); quarter for QRMP (IFF months 1-2 + GSTR-1 quarter)</t>
  </si>
  <si>
    <t xml:space="preserve">CGST Act s.37(1) (outward supply details), s.37(3) (rectification, time limit 30 Nov following FY or annual return, whichever earlier), s.37(5) (3-year bar, FA 2023 w.e.f. 01.10.2023 – N.28/2023-CT); CGST Rule 59 (GSTR-1, IFF); GSTR-1A inserted by N.12/2024-CT dt 10.07.2024 (optional, once per period, from July 2024 tax period); s.31 &amp; Rule 46 (tax invoice contents, serial no. up to 16 characters unique for FY).</t>
  </si>
  <si>
    <t xml:space="preserve">All regular taxpayers filing GSTR-1 (monthly) or IFF + quarterly GSTR-1 (QRMP). B2B = supplies to GSTIN/UIN holders including SEZ (6B) and deemed exports (6C).</t>
  </si>
  <si>
    <t xml:space="preserve">2017-07-01</t>
  </si>
  <si>
    <t xml:space="preserve">Sales register for the period with document type, invoice no., date, buyer GSTIN, POS, taxable value, rate, IGST/CGST/SGST/cess, reverse-charge flag, SEZ/deemed-export flag. GSTR-1 JSON/Excel (b2b, sez, de sections) downloaded after filing; GSTR-1A JSON if filed; IFF JSON for QRMP months.</t>
  </si>
  <si>
    <t xml:space="preserve">SALES_REG.party_gstin = GSTR1.b2b_recipient_gstin; SALES_REG.voucher_no = GSTR1.b2b_invoice_no; SALES_REG.fy = fy(GSTR1.b2b_invoice_date)</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</si>
  <si>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Implementation choice: if the same normalised invoice no. appears for 2 buyers, match only with GSTIN; if buyer GSTIN differs but invoice no. + date + value agree, classify GSTIN_DIFF instead of two separate MISSING records.</t>
  </si>
  <si>
    <t xml:space="preserve">Invoice level. Sales register is item-wise – sum taxable value and each tax head per (buyer_gstin, invoice_no, rate) then per invoice. GSTR-1 b2b.inv.itms is rate-wise – sum to invoice. Merge GSTR-1 + GSTR-1A + IFF for the period; GSTR-1A record replaces the GSTR-1 record with the same key.</t>
  </si>
  <si>
    <t xml:space="preserve">SALES_REG.voucher_date vs GSTR1.b2b_invoice_date; SALES_REG.invoice_value vs GSTR1.b2b_invoice_value; SALES_REG.taxable_value vs GSTR1.b2b_taxable_value; SALES_REG.igst vs GSTR1.b2b_igst; SALES_REG.cgst vs GSTR1.b2b_cgst; SALES_REG.sgst_utgst vs GSTR1.b2b_sgst; SALES_REG.cess vs GSTR1.b2b_cess; SALES_REG.place_of_supply vs GSTR1.b2b_pos; SALES_REG.reverse_charge vs GSTR1.b2b_reverse_charge; SALES_REG.gst_rate vs GSTR1.b2b_rate</t>
  </si>
  <si>
    <t xml:space="preserve">Implementation choice (law prescribes none): Rs 1 per tax head per invoice and Rs 1 on taxable value (rounding, s.170 rounds only the final tax payable); date – exact; POS/rate/RCM flag – exact. CA may raise to Rs 10.</t>
  </si>
  <si>
    <t xml:space="preserve">diff_head = SALES_REG.head − GSTR1.head for head in (txval, iamt, camt, samt, csamt); value_mismatch if any |diff_head| &gt; value_tolerance_inr; period_shift if month(SALES_REG.invoice_date) != GSTR1.return_period</t>
  </si>
  <si>
    <t xml:space="preserve">1. Load sales register; keep doc_type in (Tax Invoice, SEZ with/without payment, Deemed export) and buyer GSTIN present. 2. Validate keys (see validations). 3. Aggregate both sides to invoice level. 4. Overlay GSTR-1A over GSTR-1 for the same period. 5. Pass 1 exact match on (GSTIN, normalised invoice no., FY). 6. Pass 2 fuzzy invoice no. within same GSTIN and FY, confirm with |value diff| &lt;= tolerance and date diff &lt;= date_window_days. 7. Pass 3 for unmatched: same invoice no.+date+value with different GSTIN -&gt; GSTIN_DIFF. 8. For matched pairs compare fields; assign the most severe category per invoice and store one exception per differing field. 9. Search unmatched books invoices in GSTR-1 of other periods of the same FY and next FY up to the s.37(3) date -&gt; PERIOD_SHIFT; else MISSING_IN_GSTR1. 10. Unmatched GSTR-1 records -&gt; MISSING_IN_BOOKS. 11. Detect duplicates in each side (same key twice) -&gt; DUPLICATE. 12. Totals: Σ books vs Σ GSTR-1 for the period must equal Σ(matched diff) + Σ(missing) – control check.</t>
  </si>
  <si>
    <t xml:space="preserve">MATCHED: all fields within tolerance; VALUE_DIFF: taxable value or invoice value differs; TAX_DIFF: one or more tax heads differ; HEAD_DIFF: IGST reported instead of CGST+SGST or vice versa (see RC-GST-034); RATE_DIFF: rate differs; POS_DIFF: place of supply differs; DATE_DIFF: date differs but same period; PERIOD_SHIFT: reported in another tax period; GSTIN_DIFF: same invoice reported against another GSTIN; INVNO_FORMAT: matched only on fuzzy key; RCM_FLAG_DIFF: reverse-charge flag differs; MISSING_IN_GSTR1: in books, not in any GSTR-1/1A/IFF; MISSING_IN_BOOKS: in GSTR-1 but not in books; DUPLICATE: same key appears more than once on one side; B2B_REPORTED_AS_B2C: books has GSTIN but return has it in B2CS/B2CL</t>
  </si>
  <si>
    <t xml:space="preserve">MATCHED=Low; INVNO_FORMAT=Low; DATE_DIFF=Low; VALUE_DIFF=High; TAX_DIFF=High; HEAD_DIFF=High; RATE_DIFF=High; POS_DIFF=High; PERIOD_SHIFT=Medium; GSTIN_DIFF=Critical; RCM_FLAG_DIFF=High; MISSING_IN_GSTR1=Critical; MISSING_IN_BOOKS=High; DUPLICATE=High; B2B_REPORTED_AS_B2C=Critical</t>
  </si>
  <si>
    <t xml:space="preserve">value_tolerance_inr=1; tax_tolerance_inr=1; date_window_days=0; fuzzy_match=true; search_other_periods=true; include_gstr1a=true</t>
  </si>
  <si>
    <t xml:space="preserve">Buyer GSTIN pattern + check digit; invoice no. &lt;= 16 chars (Rule 46(b)) – warn if longer; invoice date within the period or earlier; taxable value &gt;= 0 for invoices; IGST &gt; 0 implies CGST=SGST=0 and vice versa; GSTR-1 file GSTIN and period equal the client's GSTIN and period being reconciled; file is the filed version (status 'Filed') not a draft.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</si>
  <si>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buyer_gstin; invoice_no_books; invoice_no_return; return_period_found; gstr1_or_1a_source</t>
  </si>
  <si>
    <t xml:space="preserve">Books: (A) 27AAACX1234A1Z5 INV/001 05-08-2025 txval 1,00,000 CGST 9,000 SGST 9,000; (B) 29BBBCY5678B1Z2 INV/002 10-08-2025 txval 50,000 IGST 9,000; (C) 27AAACX1234A1Z5 INV/003 20-08-2025 txval 20,000 CGST 1,800 SGST 1,800; (D) 24CCCDZ9012C1Z8 INV/004 25-08-2025 txval 10,000 IGST 1,800. GSTR-1 Aug-2025: INV001 (27AAACX...) txval 1,00,000 C 9,000 S 9,000; INV/002 txval 50,000 IGST 8,100 (rate 18% vs 9,000 ⇒ 9,000−8,100 = 900); INV/004 not in Aug but in Sept GSTR-1. INV/005 27AAACX... txval 5,000 in GSTR-1 only. Result: A MATCHED (INVNO_FORMAT – 'INV/001' vs 'INV001' fuzzy); B TAX_DIFF IGST diff 900 &gt; 1; C MISSING_IN_GSTR1 (tax 3,600 under-reported); D PERIOD_SHIFT (Aug -&gt; Sep); INV/005 MISSING_IN_BOOKS (txval 5,000).</t>
  </si>
  <si>
    <t xml:space="preserve">Books INV-10 txval 10,000.40 CGST 900.04 SGST 900.04 vs GSTR-1 INV-10 10,000 / 900 / 900 -&gt; MATCHED (diffs 0.40, 0.04 within Rs 1).</t>
  </si>
  <si>
    <t xml:space="preserve">Books invoice with buyer GSTIN '27AAACX1234A1Z0' (bad check digit) -&gt; validation error, not matched; GSTR-1 file for another GSTIN -&gt; rule aborts with INPUT_ERROR; books invoice no. 'INV-0007' and GSTR-1 '7' – fuzzy key '7' equals '7' but if value differs by Rs 5,000 -&gt; not paired, both MISSING.</t>
  </si>
  <si>
    <t xml:space="preserve">Invoice posted in books in a later month (back-dated); invoice cancelled in books but reported in GSTR-1; e-invoice auto-populated then edited; amendments filed in later GSTR-1 (B2BA) not overlaid; prefix/FY suffix differences between ERP and GSTR-1; buyer GSTIN changed (new registration/merger); SEZ invoices reported in B2B 4A instead of 6B; RCM supplies (4B) missed; IFF months not loaded for QRMP.</t>
  </si>
  <si>
    <t xml:space="preserve">MISSING_IN_GSTR1 / TAX_DIFF (under-reported) for current period: report in GSTR-1A before filing GSTR-3B or in next GSTR-1 (B2B or B2BA) within s.37(3) time limit; if GSTR-3B already filed, pay differential via next 3B/DRC-03 with s.50 interest. MISSING_IN_BOOKS: check cancelled/duplicate invoice; amend via B2BA (reduce to nil) or issue credit note. GSTIN_DIFF: amend in B2BA – recipient's ITC is affected (Critical). Store with reviewer sign-off.</t>
  </si>
  <si>
    <t xml:space="preserve">def rc_gst_001(books, g1, g1a, iff, p):
    ret = overlay(concat(g1, iff), g1a, key=['ctin','inum_n'])
    b = agg(books[books.doc_type.isin(B2B_TYPES)], ['buyer_gstin','inv_n','fy'], SUM_HEADS)
    r = agg(ret, ['ctin','inum_n','fy'], SUM_HEADS)
    pairs, ub, ur = match_exact(b, r, [('buyer_gstin','ctin'),('inv_n','inum_n'),('fy','fy')])
    if p.fuzzy_match:
        pairs2, ub, ur = match_fuzzy(ub, ur, gstin_equal=True, key='inv_fz', confirm=lambda x,y: abs(x.txval-y.txval)&lt;=p.value_tolerance_inr)
        pairs += tag(pairs2, 'INVNO_FORMAT')
    pairs3, ub, ur = match_on(ub, ur, ['inv_n','idt','txval'])  # GSTIN_DIFF
    out = []
    for a, x in pairs:
        for h in HEADS:
            d = a[h] - x[h]
            if abs(d) &gt; p.tax_tolerance_inr: out.append(exc('TAX_DIFF' if h!='txval' else 'VALUE_DIFF', a, x, h, d))
        for f in ('pos','rt','rchrg'):
            if a[f] != x[f]: out.append(exc(f.upper()+'_DIFF', a, x, f))
    for a, x in pairs3: out.append(exc('GSTIN_DIFF', a, x))
    for a in ub:
        hit = find_in_other_periods(a, all_returns_same_fy_and_next)
        out.append(exc('PERIOD_SHIFT' if hit else 'MISSING_IN_GSTR1', a, hit))
    out += [exc('MISSING_IN_BOOKS', None, x) for x in ur]
    out += duplicates(b, 'DUPLICATE') + duplicates(r, 'DUPLICATE')
    return out</t>
  </si>
  <si>
    <t xml:space="preserve">TaxGuru – Advisory on Form GSTR-1A | https://taxguru.in/goods-and-service-tax/advisory-form-gstr-1a.html | N.12/2024-CT; from July 2024 period; once per period; window till 3B filed; auto-populates 3B
ClearTax – GST return filing rule changes from July 2025 | https://cleartax.in/s/gst-return-filing-rule-changes-from-july-2025 | GSTN advisories 07.06.2025 (3B Table 3 lock), 3-year bar
Taxmann – returns cannot be filed after 3 years | https://www.taxmann.com/post/blog/gstn-warns-pending-gst-returns-cannot-be-filed-after-3-years | N.28/2023-CT; advisory 25.09.2025</t>
  </si>
  <si>
    <t xml:space="preserve">Matching keys, normalisation, tolerances and categories are implementation design. GSTR-1A start (July 2024 period, N.12/2024-CT) verified via TaxGuru reproduction of GSTN advisory. Field names follow the GSTR-1 offline JSON (ctin, inum, idt, val, pos, rchrg, itms.itm_det.txval/rt/iamt/camt/samt/csamt) as commonly published – confirm against the current GSTN API schema version. s.37(3) 30-Nov limit taken from GST-007 (statute knowledge, not re-opened).</t>
  </si>
  <si>
    <t xml:space="preserve">RC-GST-002</t>
  </si>
  <si>
    <t xml:space="preserve">Sales register vs GSTR-1 – B2C Large invoices (Table 5)</t>
  </si>
  <si>
    <t xml:space="preserve">Check inter-state supplies to unregistered persons above the invoice-value threshold are reported invoice-wise in Table 5 (B2CL) with the correct POS and IGST, and are not lumped into B2CS.</t>
  </si>
  <si>
    <t xml:space="preserve">tax period (month) / quarter for QRMP</t>
  </si>
  <si>
    <t xml:space="preserve">CGST Act s.37; Rule 59(4) (invoice-wise details of inter-State supplies to unregistered persons above threshold); threshold reduced from Rs 2.5 lakh to Rs 1 lakh by N.12/2024-CT dt 10.07.2024 (GSTN advisory: portal change under development; till then continue reporting &gt; Rs 2.5 lakh); IGST Act s.7 (inter-state), s.10 (POS goods).</t>
  </si>
  <si>
    <t xml:space="preserve">Suppliers making inter-state B2C supplies with invoice value above the threshold.</t>
  </si>
  <si>
    <t xml:space="preserve">2024-07-10</t>
  </si>
  <si>
    <t xml:space="preserve">Sales register with buyer GSTIN blank, POS state code, invoice value (incl. tax), IGST; GSTR-1 b2cl section (inum, idt, val, pos, itms).</t>
  </si>
  <si>
    <t xml:space="preserve">SALES_REG.voucher_no = GSTR1.b2cl_invoice_no; SALES_REG.place_of_supply = GSTR1.b2cl_pos</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</si>
  <si>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POS normalised to 2-digit state code (e.g. '29-Karnataka' -&gt; '29').</t>
  </si>
  <si>
    <t xml:space="preserve">Invoice level (sum items). Threshold test on invoice value including tax (Rule 59 refers to invoice value).</t>
  </si>
  <si>
    <t xml:space="preserve">SALES_REG.invoice_value vs GSTR1.b2cl_invoice_value; SALES_REG.taxable_value vs GSTR1.b2cl_taxable_value; SALES_REG.igst vs GSTR1.b2cl_igst; SALES_REG.place_of_supply vs GSTR1.b2cl_pos; SALES_REG.voucher_date vs GSTR1.b2cl_invoice_date</t>
  </si>
  <si>
    <t xml:space="preserve">Rs 1 per head (implementation choice); threshold comparison exact (strictly greater than threshold).</t>
  </si>
  <si>
    <t xml:space="preserve">b2cl_candidate = (buyer_gstin is blank) and (supplier_state != pos) and (invoice_value &gt; b2cl_threshold_inr); expected_section = 'B2CL' if b2cl_candidate else 'B2CS'</t>
  </si>
  <si>
    <t xml:space="preserve">1. Filter books: unregistered buyer, inter-state (POS != supplier state), not export. 2. Flag b2cl_candidate using threshold param (default Rs 1,00,000; switch to 2,50,000 if the CA confirms the portal still uses the old limit for the period). 3. Match candidates to GSTR-1 b2cl by normalised invoice no. 4. Compare fields. 5. Unmatched candidates: check if the value is included in B2CS for the same POS/rate (RC-GST-003) -&gt; REPORTED_IN_B2CS; else MISSING_IN_GSTR1. 6. GSTR-1 b2cl records below threshold or intra-state -&gt; WRONG_SECTION. 7. GSTR-1 b2cl records not in books -&gt; MISSING_IN_BOOKS.</t>
  </si>
  <si>
    <t xml:space="preserve">MATCHED: agrees; VALUE_DIFF: value differs; TAX_DIFF: IGST differs; POS_DIFF: POS differs; REPORTED_IN_B2CS: candidate reported in B2CS summary instead of Table 5; WRONG_SECTION: below threshold or intra-state in B2CL; MISSING_IN_GSTR1: not reported anywhere; MISSING_IN_BOOKS: in GSTR-1 only</t>
  </si>
  <si>
    <t xml:space="preserve">MATCHED=Low; VALUE_DIFF=High; TAX_DIFF=High; POS_DIFF=Critical; REPORTED_IN_B2CS=Medium; WRONG_SECTION=Low; MISSING_IN_GSTR1=Critical; MISSING_IN_BOOKS=High</t>
  </si>
  <si>
    <t xml:space="preserve">b2cl_threshold_inr=100000; value_tolerance_inr=1; threshold_basis=invoice_value_incl_tax</t>
  </si>
  <si>
    <t xml:space="preserve">POS present and valid state code (01-38, 97); supplier state code from client GSTIN; buyer GSTIN blank (if present, route to RC-GST-001).</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</si>
  <si>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pos; invoice_value; threshold_used; section_found</t>
  </si>
  <si>
    <t xml:space="preserve">Supplier state 27. Books: (A) INV-50 POS 29 value 1,18,000 (txval 1,00,000 IGST 18,000); (B) INV-51 POS 33 value 59,000; (C) INV-52 POS 27 value 2,36,000 (intra-state). GSTR-1 b2cl: none; b2cs POS 29 18% txval 1,50,000. Threshold 1,00,000: A 1,18,000 &gt; 1,00,000 and inter-state -&gt; candidate; found inside B2CS POS 29 -&gt; REPORTED_IN_B2CS. B 59,000 &lt; 1,00,000 -&gt; not candidate (B2CS). C intra-state -&gt; not candidate.</t>
  </si>
  <si>
    <t xml:space="preserve">Invoice POS 07, supplier 27, value 3,00,000, in GSTR-1 b2cl with same values -&gt; MATCHED.</t>
  </si>
  <si>
    <t xml:space="preserve">Invoice value exactly 1,00,000 -&gt; not &gt; threshold -&gt; B2CS, no exception. Invoice with POS '96' (foreign) -&gt; export, routed to RC-GST-004.</t>
  </si>
  <si>
    <t xml:space="preserve">ERP still uses Rs 2.5 lakh threshold; POS taken as billing address instead of delivery address (s.10(1)(a)); invoices to unregistered SEZ/foreign treated as B2CL; B2CL reported in B2CS to save effort.</t>
  </si>
  <si>
    <t xml:space="preserve">REPORTED_IN_B2CS: amend B2CS (Table 10) and report in Table 5/9A in next GSTR-1 – tax unchanged, disclosure only. POS_DIFF: correct POS via amendment; if wrong state got tax, tax may have to be paid to the correct state (IGST s.19/CGST s.77 refund route) – CA review.</t>
  </si>
  <si>
    <t xml:space="preserve">def rc_gst_002(books, g1, p):
    sup_state = p.client_gstin[:2]
    c = books[(books.buyer_gstin=='') &amp; (books.pos!=sup_state) &amp; (books.pos!='96')]
    c = agg(c, ['inv_n','pos'], SUM_HEADS)
    c['cand'] = c.invoice_value &gt; p.b2cl_threshold_inr
    pairs, ub, ur = match_exact(c[c.cand], g1.b2cl, [('inv_n','inum_n')])
    out = compare(pairs, ['val','txval','iamt','pos'], p.value_tolerance_inr)
    for a in ub:
        out.append(exc('REPORTED_IN_B2CS' if in_b2cs(g1, a.pos, a.rate) else 'MISSING_IN_GSTR1', a))
    for x in g1.b2cl:
        if x.val &lt;= p.b2cl_threshold_inr or x.pos == sup_state: out.append(exc('WRONG_SECTION', None, x))
    out += [exc('MISSING_IN_BOOKS', None, x) for x in ur if not any(i.inum_n==x.inum_n for i in books_all)]
    return out</t>
  </si>
  <si>
    <t xml:space="preserve">TaxHeal – GSTN advisory on reporting supplies to unregistered dealers in GSTR-1/GSTR-5 | https://www.taxheal.com/?p=96273 | N.12/2024-CT dt 10.07.2024: invoice-wise threshold for inter-state B2C reduced Rs 2.5 lakh -&gt; Rs 1 lakh; Table 5</t>
  </si>
  <si>
    <t xml:space="preserve">N.12/2024-CT reduction to Rs 1 lakh verified via TaxHeal reproduction of GSTN advisory; the advisory said portal changes were under development and asked taxpayers to continue with Rs 2.5 lakh till then – date from which the portal enforces Rs 1 lakh not confirmed, hence the threshold is a CA-editable param. Whether the threshold is on invoice value incl. tax (as in old Table 5 heading) should be confirmed by CA.</t>
  </si>
  <si>
    <t xml:space="preserve">RC-GST-003</t>
  </si>
  <si>
    <t xml:space="preserve">Sales register vs GSTR-1 – B2C Small summary (Table 7) by POS and rate</t>
  </si>
  <si>
    <t xml:space="preserve">Reconcile consolidated B2C (other than B2CL) supplies by place of supply, rate and type (intra/inter), including ECO-routed supplies.</t>
  </si>
  <si>
    <t xml:space="preserve">CGST Act s.37; Rule 59(4)(b) (consolidated details of intra-state and inter-state B2C supplies by rate and state); Table 10 for amendments.</t>
  </si>
  <si>
    <t xml:space="preserve">All suppliers with B2C supplies (intra-state any value; inter-state up to B2CL threshold).</t>
  </si>
  <si>
    <t xml:space="preserve">Sales register B2C lines with POS and rate; credit notes to unregistered persons (domestic) are netted in B2CS per GSTN practice; GSTR-1 b2cs section (sply_ty INTRA/INTER, pos, rt, typ OE/E, etin).</t>
  </si>
  <si>
    <t xml:space="preserve">SALES_REG.place_of_supply = GSTR1.b2cs_pos; SALES_REG.gst_rate = GSTR1.b2cs_rate; SALES_REG.supply_type = GSTR1.b2cs_supply_type; SALES_REG.ecom_gstin = GSTR1.b2cs_ecom_gstin</t>
  </si>
  <si>
    <t xml:space="preserve">POS to 2-digit code; rate to decimal with 2 dp (e.g. '18%' -&gt; 18.00); supply_type derived (POS == supplier state -&gt; INTRA). ECO GSTIN uppercase or blank. Implementation choice.</t>
  </si>
  <si>
    <t xml:space="preserve">Sum taxable value and each tax head by (pos, rate, supply_type, etin) for B2C invoices not in B2CL, net of domestic B2C credit notes and Table 10 amendments of the period.</t>
  </si>
  <si>
    <t xml:space="preserve">SALES_REG.Σ taxable_value by (pos, gst_rate, supply_type, ecom_gstin) for B2CS rows vs GSTR1.b2cs_taxable_value; SALES_REG.sum_igst vs GSTR1.b2cs_igst; SALES_REG.sum_cgst vs GSTR1.b2cs_cgst; SALES_REG.sum_sgst vs GSTR1.b2cs_sgst; SALES_REG.sum_cess vs GSTR1.b2cs_cess</t>
  </si>
  <si>
    <t xml:space="preserve">Rs 10 per (pos, rate) bucket – implementation choice (B2C lines accumulate rounding).</t>
  </si>
  <si>
    <t xml:space="preserve">diff = Σ_books(bucket) − Σ_gstr1(bucket); ratio = diff / Σ_books(bucket)</t>
  </si>
  <si>
    <t xml:space="preserve">1. Exclude B2CL candidates (RC-GST-002 output). 2. Subtract domestic credit notes to unregistered persons in the bucket. 3. Group both sides. 4. Full outer join on bucket key. 5. Compare; buckets only on one side -&gt; MISSING. 6. Also compare grand totals across all buckets – if totals agree but buckets differ -&gt; RATE_OR_POS_SHIFT.</t>
  </si>
  <si>
    <t xml:space="preserve">MATCHED: bucket agrees; VALUE_DIFF: taxable differs; TAX_DIFF: tax differs; MISSING_IN_GSTR1: bucket in books only; MISSING_IN_BOOKS: bucket in return only; RATE_OR_POS_SHIFT: totals agree but distribution across POS/rate differs</t>
  </si>
  <si>
    <t xml:space="preserve">MATCHED=Low; VALUE_DIFF=High; TAX_DIFF=High; MISSING_IN_GSTR1=Critical; MISSING_IN_BOOKS=Medium; RATE_OR_POS_SHIFT=Medium</t>
  </si>
  <si>
    <t xml:space="preserve">bucket_tolerance_inr=10; net_b2c_credit_notes=true</t>
  </si>
  <si>
    <t xml:space="preserve">Every B2C line has POS and rate; rate in allowed list from rate master; INTRA buckets have CGST=SGST and IGST=0.</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</si>
  <si>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pos; rate; supply_type; etin</t>
  </si>
  <si>
    <t xml:space="preserve">Supplier state 27. Books B2C: POS 27 @18% txval 4,00,000 (C 36,000 S 36,000); POS 27 @5% txval 1,00,000 (C 2,500 S 2,500); POS 29 @18% txval 60,000 (IGST 10,800). GSTR-1 B2CS: 27/18 txval 4,00,000; 27/5 txval 90,000; 29/18 nil; 24/18 txval 60,000 IGST 10,800. Result: 27/18 MATCHED; 27/5 VALUE_DIFF 10,000 (tax 500); 29/18 MISSING_IN_GSTR1 and 24/18 MISSING_IN_BOOKS -&gt; totals equal for inter-state 18% -&gt; RATE_OR_POS_SHIFT (POS wrongly reported 24 instead of 29).</t>
  </si>
  <si>
    <t xml:space="preserve">Books 27/18 txval 1,00,000.30; GSTR-1 1,00,000 -&gt; MATCHED.</t>
  </si>
  <si>
    <t xml:space="preserve">Books line with rate 12% dated 30-09-2025 for an item moved to 5% from 22-09-2025 -&gt; also raises RC-GST-033 rate exception; here only bucket comparison.</t>
  </si>
  <si>
    <t xml:space="preserve">POS wrong for online sales (billing vs shipping address); ECO supplies reported without ETIN or vice versa; credit notes to unregistered not netted; cash sales posted late.</t>
  </si>
  <si>
    <t xml:space="preserve">Report differences via Table 10 (B2CS amendment) in next GSTR-1 within s.37(3) limit; short-reported tax to be paid in GSTR-3B/DRC-03 with interest.</t>
  </si>
  <si>
    <t xml:space="preserve">def rc_gst_003(books, g1, b2cl_ids, p):
    b = books[(books.buyer_gstin=='') &amp; (~books.inv_n.isin(b2cl_ids)) &amp; (books.pos!='96')]
    b = b.assign(sply_ty=np.where(b.pos==p.client_gstin[:2],'INTRA','INTER'))
    kb = agg(b, ['pos','rate','sply_ty','etin'], SUM_HEADS)
    kr = agg(g1.b2cs, ['pos','rt','sply_ty','etin'], SUM_HEADS)
    j = outer_join(kb, kr)
    out = []
    for row in j:
        if row.only_left: out.append(exc('MISSING_IN_GSTR1', row))
        elif row.only_right: out.append(exc('MISSING_IN_BOOKS', row))
        else:
            for h in HEADS:
                if abs(row[h+'_a']-row[h+'_b']) &gt; p.bucket_tolerance_inr: out.append(exc('TAX_DIFF' if h!='txval' else 'VALUE_DIFF', row, field=h))
    if abs(kb.txval.sum()-kr.txval.sum()) &lt;= p.bucket_tolerance_inr and any(o.cat.startswith('MISSING') for o in out):
        out.append(exc('RATE_OR_POS_SHIFT', None))
    return out</t>
  </si>
  <si>
    <t xml:space="preserve">Implementation design. GSTR-1 b2cs JSON fields (sply_ty, pos, rt, typ, etin, txval, iamt, camt, samt, csamt) are from the published offline-tool schema as commonly known – not opened in this session. Treatment of domestic B2C credit notes (netting in Table 7 vs CDNUR) is GSTN portal practice – CA to confirm.</t>
  </si>
  <si>
    <t xml:space="preserve">RC-GST-004</t>
  </si>
  <si>
    <t xml:space="preserve">GST – Outward supplies – Zero-rated</t>
  </si>
  <si>
    <t xml:space="preserve">Sales register / shipping bills vs GSTR-1 – exports (Table 6A) and SEZ/deemed exports (6B/6C)</t>
  </si>
  <si>
    <t xml:space="preserve">Confirm export invoices are reported with correct export type (WPAY/WOPAY), shipping bill details, port code and IGST, so that IGST refund (WPAY) is not held up and LUT exports are not taxed.</t>
  </si>
  <si>
    <t xml:space="preserve">GSTR3B</t>
  </si>
  <si>
    <t xml:space="preserve">tax period (month)</t>
  </si>
  <si>
    <t xml:space="preserve">IGST Act s.16 (zero-rated supply; export under LUT or with payment of IGST and refund); CGST Rule 96 (refund of IGST paid on export – GSTR-1 Table 6A + shipping bill treated as refund application) and Rule 96A (LUT); CGST s.37; GSTR-3B Table 3.1(b).</t>
  </si>
  <si>
    <t xml:space="preserve">Exporters of goods/services and suppliers to SEZ units/developers; deemed exports.</t>
  </si>
  <si>
    <t xml:space="preserve">Sales register with export flag, export type, shipping bill no./date, port code, currency value, INR value, IGST; GSTR-1 exp section (exp_typ, inum, idt, val, sbpcode, sbnum, sbdt, itms); GSTR-3B 3.1(b).</t>
  </si>
  <si>
    <t xml:space="preserve">SALES_REG.voucher_no = GSTR1.exp_invoice_no; SALES_REG.fy = fy(GSTR1.exp_invoice_date)</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</si>
  <si>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Shipping bill no. – digits only; port code – uppercase 6 chars (e.g. INNSA1).</t>
  </si>
  <si>
    <t xml:space="preserve">Invoice level for 6A/6B/6C; period total for 3.1(b).</t>
  </si>
  <si>
    <t xml:space="preserve">SALES_REG.export_type vs GSTR1.exp_type; SALES_REG.taxable_value vs GSTR1.exp_taxable_value (6A) + b2b_taxable_value where b2b_invoice_type in SEWP/SEWOP/DE (6B/6C); SALES_REG.igst vs GSTR1.exp_igst (6A) + b2b_igst where b2b_invoice_type in SEWP/DE; SALES_REG.shipping_bill_no vs GSTR1.exp_shipping_bill_no; SALES_REG.shipping_bill_date vs GSTR1.exp_shipping_bill_date; SALES_REG.port_code vs GSTR1.exp_port_code; Σ(GSTR1 6A+6B+6C txval) vs GSTR3B.3_1_b.txval; Σ(6A+6B+6C iamt) vs GSTR3B.3_1_b.iamt</t>
  </si>
  <si>
    <t xml:space="preserve">Rs 1 per head per invoice; Rs 10 on period totals (implementation choice). Shipping bill fields exact.</t>
  </si>
  <si>
    <t xml:space="preserve">period_diff = Σ_gstr1_zero_rated − GSTR3B_3_1_b; wopay_tax_error = export_type=='WOPAY' and igst&gt;0</t>
  </si>
  <si>
    <t xml:space="preserve">1. Match invoices. 2. Compare fields. 3. WOPAY with IGST &gt; 0 or WPAY with IGST = 0 -&gt; TYPE_TAX_CONFLICT. 4. Goods exports with blank shipping bill in GSTR-1 at filing -&gt; SB_MISSING (may be added via amendment 9A). 5. Totals vs 3.1(b). 6. Service exports: no SB; check realisation is outside this rule.</t>
  </si>
  <si>
    <t xml:space="preserve">MATCHED: agrees; VALUE_DIFF: value differs; TAX_DIFF: IGST differs; TYPE_TAX_CONFLICT: export type inconsistent with IGST; SB_MISSING: shipping bill/port missing for goods; SB_DIFF: SB no./date/port differs; MISSING_IN_GSTR1; MISSING_IN_BOOKS; TOTAL_3B_DIFF: GSTR-1 zero-rated totals differ from 3B 3.1(b)</t>
  </si>
  <si>
    <t xml:space="preserve">MATCHED=Low; VALUE_DIFF=High; TAX_DIFF=High; TYPE_TAX_CONFLICT=Critical; SB_MISSING=High; SB_DIFF=High; MISSING_IN_GSTR1=Critical; MISSING_IN_BOOKS=High; TOTAL_3B_DIFF=High</t>
  </si>
  <si>
    <t xml:space="preserve">value_tolerance_inr=1; total_tolerance_inr=10</t>
  </si>
  <si>
    <t xml:space="preserve">Exchange rate used is present; SB date &gt;= invoice date; port code 6 characters; export type in (WPAY, WOPAY).</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</si>
  <si>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export_type; sb_no; sb_date; port_code</t>
  </si>
  <si>
    <t xml:space="preserve">Books: E-1 WPAY txval 5,00,000 IGST 90,000 SB 1234567 dt 12-08-2025 INNSA1; E-2 WOPAY txval 3,00,000 IGST 0 SB 1234570; E-3 WOPAY txval 2,00,000 (services). GSTR-1 6A: E-1 SB 1234567 but port INMAA1 -&gt; SB_DIFF; E-2 IGST 54,000 -&gt; TYPE_TAX_CONFLICT; E-3 matched. GSTR-3B 3.1(b) txval 10,00,000 = 5+3+2 lakh -&gt; OK; IGST 1,44,000 vs GSTR-1 1,44,000 OK.</t>
  </si>
  <si>
    <t xml:space="preserve">WPAY invoice with all SB fields equal -&gt; MATCHED.</t>
  </si>
  <si>
    <t xml:space="preserve">Goods export under WOPAY with SB filled later in 9A amendment -&gt; after overlay of amendments, MATCHED (no SB_MISSING).</t>
  </si>
  <si>
    <t xml:space="preserve">SB number entered after GSTR-1 filing; port code mismatch with ICEGATE causing refund errors; INR value at different exchange rate in books vs SB; deemed exports reported as B2B.</t>
  </si>
  <si>
    <t xml:space="preserve">SB_DIFF / SB_MISSING for WPAY: amend Table 9A promptly – IGST refund under Rule 96 depends on matching with ICEGATE. TYPE_TAX_CONFLICT: CA review; LUT validity for the FY must be checked.</t>
  </si>
  <si>
    <t xml:space="preserve">def rc_gst_004(books, g1, g3b, p):
    exp = overlay(g1.exp, g1.exp_amend, key=['inum_n'])
    pairs, ub, ur = match_exact(agg(books[books.is_export], ['inv_n','fy']), exp, [('inv_n','inum_n'),('fy','fy')])
    out = compare(pairs, ['txval','iamt','sbnum','sbdt','sbpcode','exp_typ'], p.value_tolerance_inr)
    for a, x in pairs:
        if (x.exp_typ=='WOPAY' and x.iamt&gt;0) or (x.exp_typ=='WPAY' and x.iamt==0): out.append(exc('TYPE_TAX_CONFLICT', a, x))
        if a.is_goods and not x.sbnum: out.append(exc('SB_MISSING', a, x))
    tot = sum_heads(exp) + sum_heads(g1.sez) + sum_heads(g1.de)
    if abs(tot.txval - g3b.t3_1_b.txval) &gt; p.total_tolerance_inr: out.append(exc('TOTAL_3B_DIFF', tot, g3b.t3_1_b))
    return out + missing(ub, ur)</t>
  </si>
  <si>
    <t xml:space="preserve">GSTN advisory – auto-population of e-invoice details into GSTR-1 (ICMAI copy) | https://icmai.in/upload/Taxation/Advisory_auto-population_GSTR-1.pdf | B2B 4A/4B, EXP 6A, CDNR 9B, CDNUR(exports) auto-populated; edits blank the IRN; cancelled IRN deleted</t>
  </si>
  <si>
    <t xml:space="preserve">Legal provisions (IGST s.16, Rule 96/96A) from statute knowledge – not re-opened in this session. Export invoices are auto-populated into 6A from e-invoices (GSTN advisory) – then SB details are added by the taxpayer.</t>
  </si>
  <si>
    <t xml:space="preserve">RC-GST-005</t>
  </si>
  <si>
    <t xml:space="preserve">GST – Outward supplies – Credit/debit notes</t>
  </si>
  <si>
    <t xml:space="preserve">Books credit/debit notes vs GSTR-1 CDNR/CDNUR (Table 9B)</t>
  </si>
  <si>
    <t xml:space="preserve">Check every credit and debit note issued in books is reported in GSTR-1 with correct GSTIN, note type, value and tax, within the s.34 time limit.</t>
  </si>
  <si>
    <t xml:space="preserve">tax period (month); time limit by FY of original supply</t>
  </si>
  <si>
    <t xml:space="preserve">CGST Act s.34(1)-(4) (credit/debit notes; s.34(2): CN to be declared not later than 30 November following end of FY or date of annual return, whichever earlier; proviso as amended by FA 2025 w.e.f. 01.10.2025 – no reduction of output tax unless recipient reverses ITC); s.37; Rule 53 (contents); GSTR-1 Table 9B.</t>
  </si>
  <si>
    <t xml:space="preserve">Suppliers issuing financial-with-GST credit notes or debit notes.</t>
  </si>
  <si>
    <t xml:space="preserve">Books CN/DN list with note no., date, type, original invoice no./date (optional in law but useful), party GSTIN, values; GSTR-1 cdnr (ctin, nt_num, nt_dt, ntty C/D, val, pos, itms) and cdnur (typ B2CL/EXPWP/EXPWOP).</t>
  </si>
  <si>
    <t xml:space="preserve">SALES_REG.party_gstin = GSTR1.cdnr_recipient_gstin; SALES_REG.voucher_no = GSTR1.cdnr_note_no; SALES_REG.note_type = GSTR1.cdnr_note_type</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</si>
  <si>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Note type mapped: Credit Note/CN/Sales Return -&gt; C; Debit Note/DN/Supplementary invoice -&gt; D (implementation choice: supplementary invoices raised as tax invoices go to RC-GST-001).</t>
  </si>
  <si>
    <t xml:space="preserve">Note level (sum rate-wise items).</t>
  </si>
  <si>
    <t xml:space="preserve">SALES_REG.voucher_date vs GSTR1.cdnr_note_date; SALES_REG.invoice_value vs GSTR1.cdnr_note_value; SALES_REG.taxable_value vs GSTR1.cdnr_taxable_value; SALES_REG.igst vs GSTR1.cdnr_igst; SALES_REG.cgst vs GSTR1.cdnr_cgst; SALES_REG.sgst_utgst vs GSTR1.cdnr_sgst; SALES_REG.place_of_supply vs GSTR1.cdnr_pos</t>
  </si>
  <si>
    <t xml:space="preserve">Rs 1 per head (implementation choice). Time limit – exact date (legal).</t>
  </si>
  <si>
    <t xml:space="preserve">cn_deadline = min(date(fy_end_year_of_original_supply, 11, 30), gstr9_filing_date); late_cn = note_type=='C' and gstr1_filing_date_of_cn &gt; cn_deadline</t>
  </si>
  <si>
    <t xml:space="preserve">1. Match notes. 2. Compare fields. 3. For CNs determine FY of original supply (from linked invoice; if not linked, ask CA – flag LINK_MISSING). 4. If CN reported after cn_deadline -&gt; CN_TIME_BARRED (tax reduction not permitted). 5. From 01.10.2025: check recipient reversal evidence (IMS status 'Accepted' via supplier dashboard or recipient confirmation) – see RC-GST-029. 6. Unmatched books notes -&gt; MISSING_IN_GSTR1; unmatched return notes -&gt; MISSING_IN_BOOKS.</t>
  </si>
  <si>
    <t xml:space="preserve">MATCHED; VALUE_DIFF; TAX_DIFF; TYPE_DIFF: credit vs debit swapped; MISSING_IN_GSTR1; MISSING_IN_BOOKS; CN_TIME_BARRED: CN declared after s.34(2) limit; LINK_MISSING: original invoice not identified; DUPLICATE</t>
  </si>
  <si>
    <t xml:space="preserve">MATCHED=Low; VALUE_DIFF=High; TAX_DIFF=High; TYPE_DIFF=Critical; MISSING_IN_GSTR1=High; MISSING_IN_BOOKS=High; CN_TIME_BARRED=Critical; LINK_MISSING=Low; DUPLICATE=High</t>
  </si>
  <si>
    <t xml:space="preserve">value_tolerance_inr=1; gstr9_filing_date=; require_invoice_link=false</t>
  </si>
  <si>
    <t xml:space="preserve">Note date &gt;= original invoice date; CN value &lt;= original invoice value (warn); GSTIN valid.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</si>
  <si>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note_type; original_invoice_no; original_fy; cn_deadline</t>
  </si>
  <si>
    <t xml:space="preserve">FY 2024-25 supplies. Books: CN-1 27AAACX... dt 15-10-2025 txval 10,000 CGST 900 SGST 900 (orig INV/2024-25/100); CN-2 dt 10-12-2025 txval 5,000 IGST 900 (orig FY 2024-25); DN-1 dt 20-10-2025 txval 2,000. GSTR-1: CN-1 in Oct-2025 matched; CN-2 in Dec-2025 GSTR-1 filed 11-01-2026; GSTR-9 FY24-25 filed 28-11-2025 -&gt; deadline min(30-11-2025, 28-11-2025)=28-11-2025 -&gt; CN_TIME_BARRED; DN-1 not in GSTR-1 -&gt; MISSING_IN_GSTR1 (tax 360 at 18% short).</t>
  </si>
  <si>
    <t xml:space="preserve">CN for FY 2025-26 supply reported in GSTR-1 of Oct-2026 filed 11-11-2026, GSTR-9 not filed -&gt; within 30-11-2026 -&gt; no time-bar exception.</t>
  </si>
  <si>
    <t xml:space="preserve">Commercial credit note without GST (no tax heads) -&gt; excluded from this rule (not a s.34 note).</t>
  </si>
  <si>
    <t xml:space="preserve">Financial credit notes booked with GST but not reported; sales returns booked as negative invoices; CN reported as CDNUR when buyer is registered; time-barred CNs for discounts given after year-end; post-01.10.2025 CNs where recipient did not reverse ITC.</t>
  </si>
  <si>
    <t xml:space="preserve">MISSING_IN_GSTR1 (DN): report in next GSTR-1 and pay tax with interest. CN_TIME_BARRED: reverse the tax reduction (add back liability) – pay via DRC-03 with s.50 interest; commercial adjustment only. TYPE_DIFF: amend in 9C (CDNRA).</t>
  </si>
  <si>
    <t xml:space="preserve">def rc_gst_005(books, g1_all, p):
    n = agg(books[books.doc_type.isin(['C','D'])], ['party_gstin','note_n','ntty'], SUM_HEADS)
    r = overlay(g1_all.cdnr, g1_all.cdnra, key=['ctin','nt_num_n'])
    pairs, ub, ur = match_exact(n, r, [('party_gstin','ctin'),('note_n','nt_num_n')])
    out = compare(pairs, ['txval','iamt','camt','samt','ntty','pos'], p.value_tolerance_inr)
    for a, x in pairs:
        if a.ntty=='C':
            if not a.orig_fy: out.append(exc('LINK_MISSING', a, x)); continue
            dl = min(date(a.orig_fy_end.year, 11, 30), p.gstr9_filing_date or date.max)
            if x.filing_date &gt; dl: out.append(exc('CN_TIME_BARRED', a, x, deadline=dl))
    return out + missing(ub, ur)</t>
  </si>
  <si>
    <t xml:space="preserve">TaxGuru – Finance Act 2025 GST amendments effective 01.10.2025 | https://taxguru.in/goods-and-service-tax/gst-amendments-finance-act-2025-effective-oct-1-2025-notified.html | N.16/2025-CT; s.34(2) proviso; s.38; s.39(1)
EY alert – GSTN advisory on IMS changes (23.09.2025) | https://www.ey.com/en_in/technical/alerts-hub/2025/09/gstn-issues-advisory-on-the-changes-introduced-in-the-invoice-management-system | pending CN one period; ITC reversal declaration; from Oct 2025 period</t>
  </si>
  <si>
    <t xml:space="preserve">FA 2025 s.34(2) proviso (recipient reversal) verified via TaxGuru summary (GST-028). 30-November limit from statute knowledge (FA 2022) – not re-opened. FA 2026 amendment to s.15(3)/s.34(1) – commencement unverified (see gst.json open questions).</t>
  </si>
  <si>
    <t xml:space="preserve">RC-GST-006</t>
  </si>
  <si>
    <t xml:space="preserve">GST – Outward supplies – Amendments</t>
  </si>
  <si>
    <t xml:space="preserve">GSTR-1 amendments (B2BA/B2CLA/EXPA/CDNRA/B2CSA) vs books revisions and s.37(3) time limit</t>
  </si>
  <si>
    <t xml:space="preserve">Check that amendments reported in GSTR-1/1A tie to an actual change in the books, and that no amendment is filed after the statutory time limit.</t>
  </si>
  <si>
    <t xml:space="preserve">FY of original invoice</t>
  </si>
  <si>
    <t xml:space="preserve">CGST Act s.37(3) (rectification of errors in GSTR-1: not after 30 November following end of FY or date of annual return, whichever earlier – FA 2022); GSTR-1 Tables 9A, 9C, 10; GSTR-1A (N.12/2024-CT) for same-period corrections; s.37(5) 3-year bar.</t>
  </si>
  <si>
    <t xml:space="preserve">All GSTR-1 filers.</t>
  </si>
  <si>
    <t xml:space="preserve">2022-10-01</t>
  </si>
  <si>
    <t xml:space="preserve">All GSTR-1 files of the FY and of the next FY up to the time limit (amendment sections); books audit trail / revision log (Rule 56(1) audit-trail requirement under Companies Act for companies – implementation input).</t>
  </si>
  <si>
    <t xml:space="preserve">GSTR1.amend_original_invoice_no = SALES_REG.original_invoice_no; GSTR1.b2b_invoice_no = SALES_REG.voucher_no; GSTR1.b2b_recipient_gstin = SALES_REG.party_gstin</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</si>
  <si>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t>
  </si>
  <si>
    <t xml:space="preserve">Invoice level; latest amendment wins.</t>
  </si>
  <si>
    <t xml:space="preserve">GSTR1.b2b_taxable_value vs SALES_REG.taxable_value; GSTR1.b2b_igst/b2b_cgst/b2b_sgst/b2b_cess vs SALES_REG.igst/cgst/sgst_utgst/cess; GSTR1.b2b_recipient_gstin vs SALES_REG.party_gstin; GSTR1.amendment_filing_date vs amendment_deadline</t>
  </si>
  <si>
    <t xml:space="preserve">Rs 1 per head (implementation choice); time limit exact (legal).</t>
  </si>
  <si>
    <t xml:space="preserve">amendment_deadline = min(date(fy_end_year_of_original, 11, 30), gstr9_filing_date); late = amendment_filing_date &gt; amendment_deadline</t>
  </si>
  <si>
    <t xml:space="preserve">1. Collect amendment records from GSTR-1 of all periods after the original. 2. Link to original by (oinum, oidt, octin). 3. Compare amended values with final books values. 4. Flag late amendments. 5. Flag books revisions (value changed after original GSTR-1 filing) with no amendment -&gt; AMENDMENT_MISSING (covered by RC-GST-001 rerun at FY level).</t>
  </si>
  <si>
    <t xml:space="preserve">MATCHED: amendment equals books final; AMEND_VALUE_DIFF: amended value differs from books; AMENDMENT_LATE: filed after s.37(3) limit; AMENDMENT_MISSING: books revised but no amendment; ORIGINAL_NOT_FOUND: amendment refers to an invoice not in original GSTR-1</t>
  </si>
  <si>
    <t xml:space="preserve">MATCHED=Low; AMEND_VALUE_DIFF=High; AMENDMENT_LATE=Critical; AMENDMENT_MISSING=High; ORIGINAL_NOT_FOUND=Medium</t>
  </si>
  <si>
    <t xml:space="preserve">gstr9_filing_date=; value_tolerance_inr=1</t>
  </si>
  <si>
    <t xml:space="preserve">Amendment original period earlier than amendment period; original invoice exists.</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</si>
  <si>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original_period; amendment_period; amendment_deadline</t>
  </si>
  <si>
    <t xml:space="preserve">FY 2024-25 invoice INV-77 txval 1,00,000 reported Jan-2025. Books revised to 90,000 (CN not issued; invoice revised). GSTR-1 Oct-2025 (filed 11-11-2025) B2BA INV-77 txval 90,000; GSTR-9 FY 2024-25 filed 20-11-2025 -&gt; deadline 20-11-2025; filing 11-11-2025 &lt;= deadline -&gt; MATCHED. Another B2BA for INV-80 filed 11-12-2025 -&gt; AMENDMENT_LATE.</t>
  </si>
  <si>
    <t xml:space="preserve">Amendment within limit and values equal -&gt; MATCHED.</t>
  </si>
  <si>
    <t xml:space="preserve">Amendment only changes POS (no value) -&gt; compare POS; no time-limit issue if filed in time.</t>
  </si>
  <si>
    <t xml:space="preserve">Downward amendments used instead of CN to avoid recipient reversal; late amendments after GSTR-9 filed; GSTIN corrections done after 30 Nov.</t>
  </si>
  <si>
    <t xml:space="preserve">AMENDMENT_LATE: CA review – downward amendment may not be legally effective; upward amendment tax remains payable. AMENDMENT_MISSING: report via B2BA within time limit.</t>
  </si>
  <si>
    <t xml:space="preserve">def rc_gst_006(g1_all, books, p):
    am = latest(concat(g1_all.b2ba, g1_all.cdnra, g1_all.expa), key=['octin','oinum_n'])
    out = []
    for x in am:
        o = find_original(g1_all, x.octin, x.oinum_n)
        if not o: out.append(exc('ORIGINAL_NOT_FOUND', None, x)); continue
        dl = min(date(fy_end(o.idt).year, 11, 30), p.gstr9_filing_date or date.max)
        if x.filing_date &gt; dl: out.append(exc('AMENDMENT_LATE', o, x, deadline=dl))
        b = books_final(books, x.ctin, x.inum_n)
        if b is not None and any(abs(b[h]-x[h])&gt;p.value_tolerance_inr for h in HEADS): out.append(exc('AMEND_VALUE_DIFF', b, x))
    return out</t>
  </si>
  <si>
    <t xml:space="preserve">TaxGuru – Advisory on Form GSTR-1A | https://taxguru.in/goods-and-service-tax/advisory-form-gstr-1a.html | N.12/2024-CT; from July 2024 period; once per period; window till 3B filed; auto-populates 3B
Taxmann – returns cannot be filed after 3 years | https://www.taxmann.com/post/blog/gstn-warns-pending-gst-returns-cannot-be-filed-after-3-years | N.28/2023-CT; advisory 25.09.2025</t>
  </si>
  <si>
    <t xml:space="preserve">s.37(3) 30-Nov limit from statute knowledge (FA 2022 amendment), consistent with GST-007; not re-opened. Implementation design for linking.</t>
  </si>
  <si>
    <t xml:space="preserve">RC-GST-007</t>
  </si>
  <si>
    <t xml:space="preserve">GST – Liability – Return vs return</t>
  </si>
  <si>
    <t xml:space="preserve">GSTR-1 + GSTR-1A/IFF vs GSTR-3B Table 3.1 liability by tax head and month (Rule 88C / hard-lock)</t>
  </si>
  <si>
    <t xml:space="preserve">Make sure outward tax declared in GSTR-1/1A/IFF equals the liability declared and paid in GSTR-3B for the same period, head by head; anticipate DRC-01B intimation and reflect the July 2025 hard-lock.</t>
  </si>
  <si>
    <t xml:space="preserve">tax period (month); quarter for QRMP</t>
  </si>
  <si>
    <t xml:space="preserve">CGST Act s.37, s.39(1) ('subject to such conditions and restrictions' – FA 2025, w.e.f. 01.10.2025 via N.16/2025-CT), s.75(12) (self-assessed tax unpaid recoverable); Rule 88C inserted by N.26/2022-CT dt 26.12.2022 (DRC-01B: intimation where GSTR-1/IFF liability exceeds GSTR-3B by amount and percentage recommended by the Council; reply/pay within 7 days; else recovery u/s 79); Rule 59(6) (GSTR-1/IFF of next period blocked if DRC-01B not replied); GSTN advisory 07.06.2025 – GSTR-3B Table 3 auto-populated values non-editable from July 2025 tax period (corrections only via GSTR-1A); Table 3.2 non-editable from Nov 2025 tax period (advisory 05.12.2025).</t>
  </si>
  <si>
    <t xml:space="preserve">All GSTR-1 and GSTR-3B filers.</t>
  </si>
  <si>
    <t xml:space="preserve">2022-12-26</t>
  </si>
  <si>
    <t xml:space="preserve">Filed GSTR-1 (+IFF for QRMP), GSTR-1A and GSTR-3B for the period; GSTR-3B auto-populated liability PDF/JSON (system-computed) if available.</t>
  </si>
  <si>
    <t xml:space="preserve">GSTR1.gstin = GSTR3B.gstin; GSTR1.return_period = GSTR3B.return_period</t>
  </si>
  <si>
    <t xml:space="preserve">Return period MMYYYY; QRMP: IFF months combined into the quarter.</t>
  </si>
  <si>
    <t xml:space="preserve">Per period per head (IGST, CGST, SGST/UTGST, cess) and per 3B row: 3.1(a) = B2B 4A + B2CL 5 + B2CS 7 + DN − CN + amendments (net) + advances 11A − 11B adjustments; 3.1(b) = 6A + 6B + 6C (zero-rated); 3.1(c) = Table 8 nil/exempt; 3.1(e) = Table 8 non-GST; 3.1.1 = ECO s.9(5) table (Table 15 per form – not re-verified).</t>
  </si>
  <si>
    <t xml:space="preserve">GSTR1_net.t3_1_a.{txval,iamt,camt,samt,csamt} vs GSTR3B.3_1_a; GSTR1_net.t3_1_b vs GSTR3B.3_1_b; GSTR1_net.t3_1_c vs GSTR3B.3_1_c; GSTR1_net.t3_1_e vs GSTR3B.3_1_e; GSTR1_net.inter_state_unreg_by_pos vs GSTR3B.3_2</t>
  </si>
  <si>
    <t xml:space="preserve">Rs 1 per head (implementation choice). Rule 88C threshold (system intimation) – amount and % 'as recommended by Council' – not notified publicly; secondary sources cite Rs 25 lakh and 20% – kept as param for risk flag only.</t>
  </si>
  <si>
    <t xml:space="preserve">diff_h = GSTR1_net_h − GSTR3B_h; pct_h = diff_h / GSTR3B_h (if &gt;0); drc01b_risk = Σ_h max(diff_h,0) &gt; drc01b_amount_inr and pct &gt; drc01b_pct; cumulative_diff_h = Σ over FY</t>
  </si>
  <si>
    <t xml:space="preserve">1. Build GSTR-1 net liability per head and 3B row (overlay 1A, include amendments of earlier periods in the period they are reported). 2. Compare with 3B. 3. Positive diff (GSTR-1 &gt; 3B) -&gt; SHORT_IN_3B; negative -&gt; EXCESS_IN_3B. 4. Compute cumulative FY diff (timing differences reverse). 5. From July 2025 periods: if 3B Table 3 values differ from GSTR-1/1A auto-populated values, data is suspect (portal locks them) -&gt; LOCKED_VALUE_EDITED. 6. Flag DRC01B_RISK.</t>
  </si>
  <si>
    <t xml:space="preserve">MATCHED; SHORT_IN_3B: liability in GSTR-1 exceeds 3B; EXCESS_IN_3B: 3B liability exceeds GSTR-1; ROW_SHIFT: totals match but split across 3.1 rows differs; HEAD_SHIFT: total tax matches but IGST vs CGST/SGST split differs; TIMING_REVERSED: diff offset in a later month of same FY; DRC01B_RISK: difference beyond Rule 88C param; LOCKED_VALUE_EDITED: post-July-2025 3B differs from auto-populated value</t>
  </si>
  <si>
    <t xml:space="preserve">MATCHED=Low; SHORT_IN_3B=Critical; EXCESS_IN_3B=Medium; ROW_SHIFT=Medium; HEAD_SHIFT=High; TIMING_REVERSED=Low; DRC01B_RISK=Critical; LOCKED_VALUE_EDITED=High</t>
  </si>
  <si>
    <t xml:space="preserve">tax_tolerance_inr=1; drc01b_amount_inr=2500000; drc01b_pct=20; lock_from_period=072025; table32_lock_from_period=112025</t>
  </si>
  <si>
    <t xml:space="preserve">Both returns are filed versions for same GSTIN &amp; period; GSTR-1A filed before 3B (else 1A affects next period – implementation check).</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</si>
  <si>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gstr3b_row; diff; cumulative_fy_diff</t>
  </si>
  <si>
    <t xml:space="preserve">Aug-2025. GSTR-1: B2B 4A txval 10,00,000 IGST 90,000 CGST 45,000 SGST 45,000; B2CS txval 2,00,000 CGST 18,000 SGST 18,000; CN −1,00,000 IGST −18,000. Net 3.1(a): IGST 72,000; CGST 63,000; SGST 63,000. GSTR-3B 3.1(a): IGST 72,000; CGST 60,000; SGST 60,000 -&gt; SHORT_IN_3B CGST 3,000, SGST 3,000 (pct 5% &lt; 20%, no DRC01B_RISK). Sept-2025 3B CGST/SGST +3,000 extra each -&gt; Aug marked TIMING_REVERSED with interest exposure.</t>
  </si>
  <si>
    <t xml:space="preserve">GSTR-1 net CGST 50,000.40 vs 3B 50,000 -&gt; MATCHED.</t>
  </si>
  <si>
    <t xml:space="preserve">QRMP taxpayer: IFF months loaded; comparing month 1 IFF against quarterly 3B must not raise exceptions – rule runs at quarter level only.</t>
  </si>
  <si>
    <t xml:space="preserve">Liability paid in 3B on books basis while GSTR-1 reported later; CN reported in GSTR-1 but not reduced in 3B; advances (11A) not in GSTR-1; ECO supplies; RCM outward supplies (4B) wrongly included in 3.1(a) – supplier does not pay; amendments of earlier periods.</t>
  </si>
  <si>
    <t xml:space="preserve">SHORT_IN_3B: pay differential through next GSTR-3B or DRC-03 with s.50 interest from due date; after July 2025 correct GSTR-1 via GSTR-1A before 3B. Prepare DRC-01B Part B reply where portal intimation received (7 days).</t>
  </si>
  <si>
    <t xml:space="preserve">def rc_gst_007(g1, g1a, iff, g3b, p):
    net = gstr1_to_3b_rows(overlay(concat(g1, iff), g1a))  # {row: {head: amt}}
    out = []
    for row in ['3_1_a','3_1_b','3_1_c','3_1_e']:
        for h in ['txval','iamt','camt','samt','csamt']:
            d = net[row][h] - g3b[row][h]
            if d &gt; p.tax_tolerance_inr: out.append(exc('SHORT_IN_3B', row=row, head=h, diff=d))
            elif d &lt; -p.tax_tolerance_inr: out.append(exc('EXCESS_IN_3B', row=row, head=h, diff=d))
    pos_short = sum(max(net['3_1_a'][h]-g3b['3_1_a'][h],0) for h in TAXH)
    if pos_short &gt; p.drc01b_amount_inr and pos_short/ max(tax_total(g3b),1)*100 &gt; p.drc01b_pct:
        out.append(exc('DRC01B_RISK', diff=pos_short))
    if period_ge(g3b.ret_period, p.lock_from_period) and g3b.autopop and g3b['3_1_a'] != g3b.autopop['3_1_a']:
        out.append(exc('LOCKED_VALUE_EDITED'))
    return reclass_head_row_shifts(out)</t>
  </si>
  <si>
    <t xml:space="preserve">Rule 88C CGST Rules (Chhattisgarh GST dept copy) | https://cggst.com/wp-content/uploads/2023/07/Rule-88C-3.pdf | Rule 88C inserted by N.26/2022-CT dt 26.12.2022; threshold 'as recommended by Council' – not stated
BDO – GSTN advisory: online functionality for difference in tax liability (DRC-01B) | https://www.bdo.in/en-gb/insights/alerts-updates/gstn-advisory-online-functionality-in-respect-of-the-difference-in-tax | Council-recommended predefined limit Rs 25 lakh (footnote) and 20%; GSTR-1/IFF of next period blocked if no reply
Razorpay – DRC-01B guide | https://razorpay.com/learn/drc-01b-gst-liability-mismatch-guide/ | thresholds not publicly disclosed; DRC-01C 'around Rs 25 lakh / 20%'
ClearTax – GST return filing rule changes from July 2025 | https://cleartax.in/s/gst-return-filing-rule-changes-from-july-2025 | GSTN advisories 07.06.2025 (3B Table 3 lock), 3-year bar
CompuTax – GSTR-3B ITC locking status (09.07.2026) | https://www.computaxonline.com/blog/post/2026/07/09/gst-itc-auto-restriction-gstr-2b-gstr-3b-hard-locking | 3.1/3.2 locked from July 2025 (Advisory 606); Table 4 lock not officially confirmed
TaxGuru – GSTN 4 advisories December 2025 | https://taxguru.in/goods-and-service-tax/gstn-issues-4-advisories-december-2025-clarify-key-compliance-procedures.html | 05.12.2025 Table 3.2 lock; 18.12.2025 IMS CN; 29.12.2025 ECRRS/RCM
TaxGuru – Advisory on Form GSTR-1A | https://taxguru.in/goods-and-service-tax/advisory-form-gstr-1a.html | N.12/2024-CT; from July 2024 period; once per period; window till 3B filed; auto-populates 3B
TaxGuru – Finance Act 2025 GST amendments effective 01.10.2025 | https://taxguru.in/goods-and-service-tax/gst-amendments-finance-act-2025-effective-oct-1-2025-notified.html | N.16/2025-CT; s.34(2) proviso; s.38; s.39(1)</t>
  </si>
  <si>
    <t xml:space="preserve">Rule 88C text verified (state dept copy) – threshold is 'as recommended by Council'; BDO footnote cites Rs 25 lakh and 20% recommended; Razorpay says thresholds are not publicly disclosed. Treat Rs 25 lakh / 20% as an unverified risk parameter. Hard-lock dates from secondary reproductions of GSTN advisories (Advisory 606). Mapping of GSTR-1 tables to 3B rows is GSTN auto-population logic as generally described – CA to confirm for ECO s.9(5) rows.</t>
  </si>
  <si>
    <t xml:space="preserve">RC-GST-008</t>
  </si>
  <si>
    <t xml:space="preserve">GST – E-invoicing</t>
  </si>
  <si>
    <t xml:space="preserve">E-invoice (IRN) data vs GSTR-1 and sales register; e-invoice applicability</t>
  </si>
  <si>
    <t xml:space="preserve">Confirm every B2B/export invoice of an e-invoice-applicable taxpayer has a valid IRN, the IRP data equals the books and GSTR-1, and auto-populated data was not edited without reason.</t>
  </si>
  <si>
    <t xml:space="preserve">EINV</t>
  </si>
  <si>
    <t xml:space="preserve">CGST Rule 48(4) (e-invoice via IRP for notified class), Rule 48(5) (invoice without IRN not a valid invoice), Rule 48(6); N.13/2020-CT as amended – threshold AATO &gt; Rs 5 crore in any FY from 2017-18 w.e.f. 01.08.2023 (N.10/2023-CT); exempt classes (SEZ units, insurers, banks/NBFCs, GTA, passenger transport, multiplex – per N.13/2020 as amended; not re-verified); GSTN advisory on auto-population of e-invoice into GSTR-1 (B2B 4A/4B, EXP 6A, CDNR 9B, CDNUR exports).</t>
  </si>
  <si>
    <t xml:space="preserve">Taxpayers whose AATO exceeded Rs 5 crore in any FY from 2017-18 (from 01.08.2023), for B2B supplies, exports, and CN/DN to registered persons.</t>
  </si>
  <si>
    <t xml:space="preserve">2023-08-01</t>
  </si>
  <si>
    <t xml:space="preserve">IRN data export (GSTR-1 dashboard 'Download details from e-invoice (Excel)' or IRP API) with IRN, ack no., ack date, doc no., doc date, doc type, buyer GSTIN, values, status (Active/Cancelled); GSTR-1 JSON with 'src' and 'irn' fields; client AATO history.</t>
  </si>
  <si>
    <t xml:space="preserve">EINV.seller_gstin = GSTR1.gstin; EINV.doc_type = GSTR1.section_doc_type; EINV.doc_no = GSTR1.b2b_invoice_no | exp_invoice_no | cdnr_note_no; EINV.fy = fy(GSTR1.b2b_invoice_date | exp_invoice_date | cdnr_note_date)</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</si>
  <si>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IRN is a 64-char hash – compare exactly (lower-case). Doc type map: INV-&gt;B2B/EXP, CRN-&gt;CDNR C, DBN-&gt;CDNR D.</t>
  </si>
  <si>
    <t xml:space="preserve">Document level.</t>
  </si>
  <si>
    <t xml:space="preserve">EINV.irn vs GSTR1.b2b_irn; EINV.buyer_gstin vs GSTR1.b2b_recipient_gstin | cdnr_recipient_gstin; EINV.doc_date vs GSTR1.b2b_invoice_date | exp_invoice_date | cdnr_note_date; EINV.val_total_invoice vs GSTR1.b2b_invoice_value | exp_invoice_value | cdnr_note_value; EINV.val_assessable vs GSTR1.b2b_taxable_value | exp_taxable_value | cdnr_taxable_value; EINV.val_igst/cgst/sgst/cess vs GSTR1 heads; EINV.irn_status vs presence in GSTR1; EINV.doc_no vs SALES_REG.voucher_no</t>
  </si>
  <si>
    <t xml:space="preserve">Rs 0 on values where src=e-invoice (data is copied by system) – any difference means edit; Rs 1 vs books (implementation choice).</t>
  </si>
  <si>
    <t xml:space="preserve">einv_applicable = max(AATO_fy for fy in FY2017-18..preceding FY) &gt; einv_threshold_inr; edited = GSTR1.src != 'e-invoice' and EINV.status=='Active' and same doc found</t>
  </si>
  <si>
    <t xml:space="preserve">1. Determine applicability from AATO history (param list). 2. Match EINV active docs to GSTR-1 docs. 3. Compare values. 4. Active IRN not in GSTR-1 -&gt; IRN_NOT_IN_GSTR1. 5. Cancelled IRN still in GSTR-1 -&gt; CANCELLED_IRN_REPORTED. 6. GSTR-1 B2B/EXP/CDNR doc without IRN while applicable -&gt; NO_IRN (invalid invoice – Rule 48(5)). 7. GSTR-1 doc where IRN exists but src blank -&gt; EDITED_AFTER_AUTOPOP. 8. Books doc vs EINV -&gt; IRN_NOT_IN_BOOKS / BOOKS_NO_IRN.</t>
  </si>
  <si>
    <t xml:space="preserve">MATCHED; VALUE_DIFF: values differ; IRN_NOT_IN_GSTR1: active IRN not reported; CANCELLED_IRN_REPORTED: cancelled IRN still in GSTR-1; NO_IRN: applicable B2B/export doc without IRN; EDITED_AFTER_AUTOPOP: auto-populated doc edited (IRN blanked); BOOKS_NO_IRN: books invoice lacks IRN; IRN_NOT_IN_BOOKS: IRN with no books entry; EXEMPT_ENTITY: client in exempt class</t>
  </si>
  <si>
    <t xml:space="preserve">MATCHED=Low; VALUE_DIFF=High; IRN_NOT_IN_GSTR1=High; CANCELLED_IRN_REPORTED=High; NO_IRN=Critical; EDITED_AFTER_AUTOPOP=Medium; BOOKS_NO_IRN=Critical; IRN_NOT_IN_BOOKS=High; EXEMPT_ENTITY=Low</t>
  </si>
  <si>
    <t xml:space="preserve">einv_threshold_inr=50000000; aato_history={}; client_exempt_class=false</t>
  </si>
  <si>
    <t xml:space="preserve">IRN 64 hex characters; ack date &gt;= doc date; doc type in (INV, CRN, DBN).</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</si>
  <si>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irn; ack_no; ack_date; einv_status; gstr1_src</t>
  </si>
  <si>
    <t xml:space="preserve">AATO FY 2024-25 Rs 7 crore -&gt; applicable. EINV Aug-2025: INV/101 active txval 2,00,000 IGST 36,000; INV/102 cancelled; INV/103 active. GSTR-1 Aug: INV/101 src e-invoice same values -&gt; MATCHED; INV/102 present -&gt; CANCELLED_IRN_REPORTED; INV/103 missing -&gt; IRN_NOT_IN_GSTR1; INV/104 B2B without IRN -&gt; NO_IRN (invoice invalid; buyer ITC risk).</t>
  </si>
  <si>
    <t xml:space="preserve">Client AATO max Rs 4.8 crore all years -&gt; not applicable; NO_IRN rule skipped.</t>
  </si>
  <si>
    <t xml:space="preserve">B2C invoices of e-invoice taxpayer (no IRN needed; dynamic QR code is separate requirement) -&gt; not flagged NO_IRN.</t>
  </si>
  <si>
    <t xml:space="preserve">Invoices raised from a second billing system without IRP integration; IRN cancelled after 24 hours not possible so CN issued instead; invoice edited in GSTR-1 after auto-population; amendments in GSTR-1 not reflected in IRP.</t>
  </si>
  <si>
    <t xml:space="preserve">NO_IRN / BOOKS_NO_IRN: Critical – invoice not valid under Rule 48(5); generate IRN (subject to 30-day limit, RC-GST-009) or cancel and reissue; inform buyer. CANCELLED_IRN_REPORTED: amend GSTR-1.</t>
  </si>
  <si>
    <t xml:space="preserve">def rc_gst_008(einv, g1, books, p):
    if p.client_exempt_class: return [exc('EXEMPT_ENTITY')]
    applicable = max(p.aato_history.values(), default=0) &gt; p.einv_threshold_inr
    act, can = einv[einv.status=='ACT'], einv[einv.status=='CNL']
    docs = concat(g1.b2b, g1.exp, g1.cdnr)
    pairs, ue, ug = match_exact(act, docs, [('doc_n','inum_n'),('fy','fy')])
    out = compare(pairs, ['txval','iamt','camt','samt','csamt','val'], 0)
    out += [exc('EDITED_AFTER_AUTOPOP', a, x) for a, x in pairs if x.src != 'e-invoice']
    out += [exc('IRN_NOT_IN_GSTR1', a) for a in ue]
    out += [exc('CANCELLED_IRN_REPORTED', c) for c in can if c.doc_n in set(docs.inum_n)]
    if applicable: out += [exc('NO_IRN', None, x) for x in ug if x.doc_date &gt;= date(2023,8,1)]
    out += books_vs_einv(books, einv)
    return out</t>
  </si>
  <si>
    <t xml:space="preserve">GSTN advisory – auto-population of e-invoice details into GSTR-1 (ICMAI copy) | https://icmai.in/upload/Taxation/Advisory_auto-population_GSTR-1.pdf | B2B 4A/4B, EXP 6A, CDNR 9B, CDNUR(exports) auto-populated; edits blank the IRN; cancelled IRN deleted
EY – e-invoicing threshold lowered to Rs 5 crore | https://www.ey.com/en_in/alerts-hub/2023/05/cbic-lowers-turnover-threshold-for-e-invoicing-to-inr5-crores-with-effect-from-1-august-2023 | N.10/2023-CT (seen in search results)</t>
  </si>
  <si>
    <t xml:space="preserve">Auto-population behaviour verified from GSTN advisory copy (ICMAI). Rs 5 crore threshold (N.10/2023-CT) seen in search results only (EY). Exempt classes from statute knowledge – CA to confirm. AATO test 'any preceding FY from 2017-18' is the common reading – CA review.</t>
  </si>
  <si>
    <t xml:space="preserve">RC-GST-009</t>
  </si>
  <si>
    <t xml:space="preserve">E-invoice reporting time limit (30 days for AATO &gt;= Rs 10 crore) and invoices without IRN</t>
  </si>
  <si>
    <t xml:space="preserve">Find invoices that were reported to the IRP more than 30 days after the document date by taxpayers with AATO &gt;= Rs 10 crore (IRP rejects these; the invoice then cannot get an IRN).</t>
  </si>
  <si>
    <t xml:space="preserve">GSTN advisory (Nov 2024) – 30-day reporting limit extended to taxpayers with AATO &gt;= Rs 10 crore from 01.04.2025 (earlier AATO &gt;= Rs 100 crore from 01.11.2023); Rule 48(4)-(5) CGST Rules.</t>
  </si>
  <si>
    <t xml:space="preserve">E-invoice taxpayers with AATO &gt;= Rs 10 crore; documents dated on/after 01.04.2025.</t>
  </si>
  <si>
    <t xml:space="preserve">2025-04-01</t>
  </si>
  <si>
    <t xml:space="preserve">Sales register with document date and IRN; EINV with ack date.</t>
  </si>
  <si>
    <t xml:space="preserve">SALES_REG.voucher_no = EINV.doc_no; SALES_REG.doc_type (EINV codes INV|CRN|DBN) = EINV.doc_type; SALES_REG.fy = EINV.fy</t>
  </si>
  <si>
    <t xml:space="preserve">SALES_REG.voucher_date vs EINV.doc_date; EINV.ack_date − EINV.doc_date vs max_days</t>
  </si>
  <si>
    <t xml:space="preserve">Legal: 30 days (advisory). Implementation: warn at 25 days for unreported docs.</t>
  </si>
  <si>
    <t xml:space="preserve">delay_days = (EINV.ack_date − EINV.doc_date).days; late = delay_days &gt; max_report_days; unreported_age = (run_date − SALES_REG.invoice_date).days</t>
  </si>
  <si>
    <t xml:space="preserve">1. Applicability: AATO &gt;= threshold. 2. For each B2B/export doc in books, find IRN. 3. If IRN exists compute delay_days (should not exceed 30 – IRP blocks; if found, indicates back-dating) -&gt; DOC_DATE_BACKDATED. 4. If no IRN and unreported_age &gt; 30 -&gt; IRN_TIME_EXPIRED; &gt; warn_days -&gt; IRN_DUE_SOON. 5. Compare doc date in books with IRN doc date -&gt; DATE_DIFF.</t>
  </si>
  <si>
    <t xml:space="preserve">ON_TIME; DATE_DIFF: books date differs from IRN doc date; IRN_DUE_SOON: no IRN, age &gt; warn days; IRN_TIME_EXPIRED: no IRN, age &gt; 30 days; DOC_DATE_BACKDATED: IRN acknowledged &gt; 30 days after doc date</t>
  </si>
  <si>
    <t xml:space="preserve">ON_TIME=Low; DATE_DIFF=High; IRN_DUE_SOON=High; IRN_TIME_EXPIRED=Critical; DOC_DATE_BACKDATED=High</t>
  </si>
  <si>
    <t xml:space="preserve">aato_threshold_inr=100000000; max_report_days=30; warn_days=25; applies_to_doc_types=INV,CRN,DBN</t>
  </si>
  <si>
    <t xml:space="preserve">Dates parse; AATO param present.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</si>
  <si>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delay_days; unreported_age</t>
  </si>
  <si>
    <t xml:space="preserve">AATO Rs 12 crore. Books: INV-1 dt 01-08-2025 IRN ack 05-08-2025 (4 days) ON_TIME; INV-2 dt 01-08-2025 no IRN on 10-09-2025 (40 days) IRN_TIME_EXPIRED; INV-3 dt 15-08-2025 books but IRN doc date 20-08-2025 -&gt; DATE_DIFF.</t>
  </si>
  <si>
    <t xml:space="preserve">AATO Rs 9 crore -&gt; rule not applicable.</t>
  </si>
  <si>
    <t xml:space="preserve">CN dated 01-08-2025 reported 05-09-2025 (35 days): whether CN/DN are covered – param applies_to_doc_types; default includes CRN/DBN pending CA confirmation.</t>
  </si>
  <si>
    <t xml:space="preserve">Invoices raised manually during system downtime; back-dated invoices; month-end cut-off.</t>
  </si>
  <si>
    <t xml:space="preserve">IRN_TIME_EXPIRED: CA review – invoice cannot be registered; usually cancel in books and issue fresh invoice with current date (time of supply and interest implications to be assessed).</t>
  </si>
  <si>
    <t xml:space="preserve">def rc_gst_009(books, einv, p):
    if p.aato &lt; p.aato_threshold_inr: return []
    out = []
    for b in books[books.doc_type.isin(p.applies_to_doc_types) &amp; (books.invoice_date&gt;=date(2025,4,1))]:
        e = einv_lookup(einv, b)
        if e:
            if e.doc_date != b.invoice_date: out.append(exc('DATE_DIFF', b, e))
            if (e.ack_date - e.doc_date).days &gt; p.max_report_days: out.append(exc('DOC_DATE_BACKDATED', b, e))
        else:
            age = (p.run_date - b.invoice_date).days
            if age &gt; p.max_report_days: out.append(exc('IRN_TIME_EXPIRED', b, age=age))
            elif age &gt; p.warn_days: out.append(exc('IRN_DUE_SOON', b, age=age))
    return out</t>
  </si>
  <si>
    <t xml:space="preserve">Taxmann – 30-day e-invoice reporting for AATO &gt;= Rs 10 crore | https://www.taxmann.com/post/blog/time-limit-of-30-days-for-reporting-e-invoice-on-irp-portal-for-taxpayers-with-aato-of-10-crores-and-above-gstn-update/ | from 01.04.2025 (seen in search results)</t>
  </si>
  <si>
    <t xml:space="preserve">The advisory was seen only in search results (Taxmann, MahaGST copy). Whether CN/DN are covered and the AATO basis (any FY vs preceding FY) must be confirmed from the advisory text.</t>
  </si>
  <si>
    <t xml:space="preserve">RC-GST-010</t>
  </si>
  <si>
    <t xml:space="preserve">GST – E-way bill</t>
  </si>
  <si>
    <t xml:space="preserve">E-invoice / sales register vs e-way bill (consignment value &gt; Rs 50,000)</t>
  </si>
  <si>
    <t xml:space="preserve">Check that goods movements above the threshold have an e-way bill whose document number, date, value, GSTINs and HSN agree with the invoice; find EWBs without invoices.</t>
  </si>
  <si>
    <t xml:space="preserve">EWB</t>
  </si>
  <si>
    <t xml:space="preserve">CGST Rule 138(1) (EWB before movement of goods of consignment value &gt; Rs 50,000), Rule 138(10) (validity), Rule 138E (blocking for non-filing of returns); s.68; s.129 (detention, penalty); EWB system changes 01.01.2025 (document not older than 180 days; extension total up to 360 days). NIC advisory 05.01.2024 to block EWB without e-invoice was withdrawn 10.01.2024.</t>
  </si>
  <si>
    <t xml:space="preserve">Suppliers/consignors/transporters of goods; state-specific intra-state limits may differ (master).</t>
  </si>
  <si>
    <t xml:space="preserve">2018-04-01</t>
  </si>
  <si>
    <t xml:space="preserve">Sales register (goods lines, HSN, delivery state); EWB download (EWB no., date, doc type, doc no., doc date, from/to GSTIN, from/to state, total value, taxable value, taxes, HSN, status active/cancelled, valid upto).</t>
  </si>
  <si>
    <t xml:space="preserve">SALES_REG.voucher_no = EWB.doc_no; SALES_REG.doc_type (EWB codes INV|BIL|BOE|CHL|OTH) = EWB.doc_type; SALES_REG.voucher_date = EWB.doc_date</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</si>
  <si>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HSN compared on first 4 digits (implementation choice) and full digits as info.</t>
  </si>
  <si>
    <t xml:space="preserve">Document level. Consignment value = taxable value + taxes (excl. exempt goods value) per Rule 138 Explanation – implementation reads invoice total.</t>
  </si>
  <si>
    <t xml:space="preserve">SALES_REG.invoice_value vs EWB.total_invoice_value; SALES_REG.taxable_value vs EWB.total_taxable_value; SALES_REG.party_gstin vs EWB.to_gstin; SALES_REG.ship_to_state vs EWB.act_to_state_code; SALES_REG.hsn_set vs EWB.hsn_set; SALES_REG.igst/cgst/sgst vs EWB taxes</t>
  </si>
  <si>
    <t xml:space="preserve">Rs 1 on values (implementation choice). Threshold strictly &gt; Rs 50,000 (legal).</t>
  </si>
  <si>
    <t xml:space="preserve">ewb_required = is_goods and not ewb_exempt_goods and consignment_value &gt; ewb_threshold_inr and movement_flag</t>
  </si>
  <si>
    <t xml:space="preserve">1. Filter goods invoices with movement (exclude services, bill-to-ship-to where EWB raised by another party – flag). 2. Determine ewb_required. 3. Match to EWB. 4. Compare. 5. Required but no EWB -&gt; EWB_MISSING. 6. EWB active with no invoice in books -&gt; EWB_NO_INVOICE (possible unrecorded sale). 7. EWB cancelled but invoice exists and goods moved -&gt; EWB_CANCELLED_INVOICE_ACTIVE. 8. Cross-check e-invoice: if EINV exists, EWB values should equal EINV.</t>
  </si>
  <si>
    <t xml:space="preserve">MATCHED; VALUE_DIFF; GSTIN_DIFF; STATE_DIFF; HSN_DIFF; EWB_MISSING; EWB_NO_INVOICE; EWB_CANCELLED_INVOICE_ACTIVE; NOT_REQUIRED</t>
  </si>
  <si>
    <t xml:space="preserve">MATCHED=Low; VALUE_DIFF=High; GSTIN_DIFF=High; STATE_DIFF=High; HSN_DIFF=Medium; EWB_MISSING=High; EWB_NO_INVOICE=Critical; EWB_CANCELLED_INVOICE_ACTIVE=Medium; NOT_REQUIRED=Low</t>
  </si>
  <si>
    <t xml:space="preserve">ewb_threshold_inr=50000; state_intra_thresholds={}; value_tolerance_inr=1; hsn_compare_digits=4</t>
  </si>
  <si>
    <t xml:space="preserve">EWB no. 12 digits; doc date &lt;= EWB date; EWB doc date within 180 days of EWB date (from 01.01.2025).</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</si>
  <si>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ewb_no; ewb_date; ewb_status; valid_upto</t>
  </si>
  <si>
    <t xml:space="preserve">Books: INV-201 goods 70,800 (txval 60,000 IGST 10,800) to 29 GSTIN; INV-202 goods 45,000; INV-203 goods 1,18,000. EWB: EWB for INV-201 total 70,800 -&gt; MATCHED; INV-202 45,000 &lt;= 50,000 -&gt; NOT_REQUIRED; INV-203 no EWB -&gt; EWB_MISSING; EWB for doc INV-299 total 2,00,000 not in books -&gt; EWB_NO_INVOICE.</t>
  </si>
  <si>
    <t xml:space="preserve">Invoice 50,001 with EWB values equal -&gt; MATCHED.</t>
  </si>
  <si>
    <t xml:space="preserve">Service invoice 5,00,000 -&gt; excluded (EWB applies to goods).</t>
  </si>
  <si>
    <t xml:space="preserve">EWB generated on proforma/delivery challan; EWB raised by transporter; values changed after EWB; cancelled invoices with live EWB; stock transfers to other GSTIN of same PAN not in sales register.</t>
  </si>
  <si>
    <t xml:space="preserve">EWB_NO_INVOICE: Critical – check for unrecorded supply or cancelled sale; EWB_MISSING: explain (customer pick-up within limit / exempt goods) or note penalty exposure s.129.</t>
  </si>
  <si>
    <t xml:space="preserve">def rc_gst_010(books, ewb, einv, p):
    g = agg(books[books.is_goods], ['inv_n','doc_type','invoice_date'], SUM_HEADS+['invoice_value'])
    g['req'] = g.invoice_value &gt; p.ewb_threshold_inr
    act = ewb[ewb.status=='ACTIVE']
    pairs, ub, ue = match_exact(g, act, [('inv_n','doc_no_n'),('doc_type','doc_type')])
    out = compare(pairs, ['invoice_value','taxable_value','buyer_gstin','ship_to_state'], p.value_tolerance_inr)
    out += [exc('HSN_DIFF', a, x) for a, x in pairs if set(h[:p.hsn_compare_digits] for h in a.hsn_set) != set(h[:p.hsn_compare_digits] for h in x.hsn_set)]
    out += [exc('EWB_MISSING', a) for a in ub if a.req]
    out += [exc('EWB_NO_INVOICE', None, x) for x in ue]
    return out</t>
  </si>
  <si>
    <t xml:space="preserve">ClearTax – time limit for e-way bill generation | https://cleartax.in/s/time-limit-for-e-way-bill-generation | Rs 50,000; 180-day document age; 360-day extension
ClearTax – blocking EWB generation without e-invoice | https://cleartax.in/s/blocking-e-way-bill-generation-without-e-invoice | NIC advisory 05.01.2024 withdrawn 10.01.2024</t>
  </si>
  <si>
    <t xml:space="preserve">State-specific intra-state thresholds not verified – maintain master. EWB auto-population from e-invoice is NIC practice.</t>
  </si>
  <si>
    <t xml:space="preserve">RC-GST-011</t>
  </si>
  <si>
    <t xml:space="preserve">GST – Outward supplies – HSN</t>
  </si>
  <si>
    <t xml:space="preserve">GSTR-1 Table 12 HSN summary vs invoice-level totals (B2B/B2C split, HSN digits)</t>
  </si>
  <si>
    <t xml:space="preserve">Check that the HSN summary equals the invoice-level supplies reported in the same GSTR-1 and the books, split correctly into B2B and B2C tabs, with the required HSN digits and valid HSN codes.</t>
  </si>
  <si>
    <t xml:space="preserve">tax period (month) / quarter</t>
  </si>
  <si>
    <t xml:space="preserve">CGST Rule 46 (HSN on invoice) read with N.78/2020-CT dt 15.10.2020 (w.e.f. 01.04.2021: AATO up to Rs 5 crore – 4 digits (B2B mandatory); above Rs 5 crore – 6 digits); Rule 59 / GSTR-1 Table 12; GSTN Phase-III advisory (Jan 2025) – Table 12 split into B2B and B2C tabs with HSN dropdown; GSTN advisory 01.05.2025 – Phase-III applicable from May 2025 return period.</t>
  </si>
  <si>
    <t xml:space="preserve">2021-04-01</t>
  </si>
  <si>
    <t xml:space="preserve">GSTR-1 hsn section (hsn_b2b and hsn_b2c tabs from May 2025: hsn_sc, desc, uqc, qty, rt, txval, iamt, camt, samt, csamt); GSTR-1 invoice-level sections; sales register with HSN, UQC, qty; HSN master (valid codes).</t>
  </si>
  <si>
    <t xml:space="preserve">GSTR1.hsn_code = SALES_REG.hsn_sac; GSTR1.hsn_rate = SALES_REG.gst_rate; GSTR1.hsn_section = SALES_REG.b2b_or_b2c</t>
  </si>
  <si>
    <t xml:space="preserve">HSN digits only, no spaces/dots; compare at reporting digit level (4 or 6) – implementation choice; UQC mapped to GST UQC list; rate to 2 dp.</t>
  </si>
  <si>
    <t xml:space="preserve">Sum by (tab, HSN, rate) – books lines; and Σ of GSTR-1 invoice-level sections (B2B 4A/4B/6B/6C + CDNR for B2B tab; B2CL + B2CS + CDNUR + exports for B2C tab – per portal logic) vs Σ Table 12.</t>
  </si>
  <si>
    <t xml:space="preserve">GSTR1.hsn_taxable_value vs SALES_REG.Σ taxable_value by (hsn_sac, gst_rate, b2b_or_b2c); GSTR1.hsn_igst/hsn_cgst/hsn_sgst/hsn_cess vs SALES_REG.sum_tax_heads; GSTR1.hsn_quantity vs SALES_REG.sum_qty; Σ GSTR1.hsn_b2b_taxable_value.txval vs Σ GSTR1.b2b_sections_taxable_value.txval; Σ GSTR1.hsn_b2c_taxable_value.txval vs Σ GSTR1.b2c_sections_taxable_value.txval</t>
  </si>
  <si>
    <t xml:space="preserve">Rs 1 per HSN-rate line on values; Rs 10 on tab totals (implementation choice); qty – exact after UQC conversion.</t>
  </si>
  <si>
    <t xml:space="preserve">tab_diff = Σ Table12_tab.txval − Σ invoice_sections_tab.txval; digits_ok = len(hsn) &gt;= (6 if AATO &gt; 5 cr else 4)</t>
  </si>
  <si>
    <t xml:space="preserve">1. Build expected HSN summary from books (tab assignment: buyer GSTIN present -&gt; B2B). 2. Compare to Table 12 per (tab, HSN, rate). 3. Compare tab totals to invoice-level sections in the same GSTR-1. 4. Digit check by AATO. 5. Validity check against HSN master (dropdown codes). 6. Services: SAC 99xx – same digits rule.</t>
  </si>
  <si>
    <t xml:space="preserve">MATCHED; HSN_VALUE_DIFF: value per HSN differs; HSN_TAX_DIFF; QTY_DIFF; TAB_TOTAL_DIFF: Table 12 tab total differs from invoice-level totals; TAB_MISCLASS: B2B value reported in B2C tab or vice versa; DIGITS_SHORT: fewer digits than required; HSN_INVALID: not in master; HSN_MISSING_IN_T12; HSN_EXTRA_IN_T12</t>
  </si>
  <si>
    <t xml:space="preserve">MATCHED=Low; HSN_VALUE_DIFF=Medium; HSN_TAX_DIFF=Medium; QTY_DIFF=Low; TAB_TOTAL_DIFF=High; TAB_MISCLASS=Medium; DIGITS_SHORT=High; HSN_INVALID=High; HSN_MISSING_IN_T12=Medium; HSN_EXTRA_IN_T12=Medium</t>
  </si>
  <si>
    <t xml:space="preserve">aato_inr=; value_tolerance_inr=1; tab_tolerance_inr=10; phase3_from_period=052025</t>
  </si>
  <si>
    <t xml:space="preserve">HSN numeric; UQC in allowed list; rate in rate master.</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</si>
  <si>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tab; hsn; rate; uqc</t>
  </si>
  <si>
    <t xml:space="preserve">AATO Rs 8 crore (6 digits required). Books B2B: HSN 847130 18% txval 5,00,000; 8471 18% txval 1,00,000 (4 digits) -&gt; DIGITS_SHORT. Table 12 B2B: 847130 txval 6,00,000 (included the 4-digit line) -&gt; HSN_VALUE_DIFF +1,00,000 on 847130 and HSN_MISSING_IN_T12 for 8471. Invoice-level B2B total 6,00,000 = Table 12 B2B total 6,00,000 -&gt; tab totals OK.</t>
  </si>
  <si>
    <t xml:space="preserve">AATO Rs 3 crore, B2B HSN 8471 4 digits -&gt; digits OK.</t>
  </si>
  <si>
    <t xml:space="preserve">Period April 2025 (pre Phase-III) – single Table 12: tab comparison skipped, total-level comparison only.</t>
  </si>
  <si>
    <t xml:space="preserve">ERP item master with 4-digit HSN; services coded with goods HSN; CN not netted in Table 12; B2C supplies in B2B tab; UQC 'OTH' for everything.</t>
  </si>
  <si>
    <t xml:space="preserve">Correct item master; amend Table 12 in next GSTR-1 (HSN amendment). DIGITS_SHORT is a compliance gap (penalty exposure under s.125 general penalty – CA view).</t>
  </si>
  <si>
    <t xml:space="preserve">def rc_gst_011(g1, books, p):
    req = 6 if p.aato_inr &gt; 5e7 else 4
    exp = agg(books.assign(tab=np.where(books.buyer_gstin!='','B2B','B2C')), ['tab','hsn','rate'], SUM_HEADS+['qty'])
    t12 = agg(g1.hsn, ['tab','hsn_sc','rt'], SUM_HEADS+['qty'])
    out = compare_outer(exp, t12, keys=[('tab','tab'),('hsn','hsn_sc'),('rate','rt')], tol=p.value_tolerance_inr,
                        cats=('HSN_VALUE_DIFF','HSN_MISSING_IN_T12','HSN_EXTRA_IN_T12'))
    for tab in ('B2B','B2C'):
        d = t12[t12.tab==tab].txval.sum() - invoice_sections_total(g1, tab)
        if abs(d) &gt; p.tab_tolerance_inr: out.append(exc('TAB_TOTAL_DIFF', tab=tab, diff=d))
    out += [exc('DIGITS_SHORT', r) for r in t12 if len(r.hsn_sc) &lt; req]
    out += [exc('HSN_INVALID', r) for r in t12 if r.hsn_sc not in HSN_MASTER]
    return out</t>
  </si>
  <si>
    <t xml:space="preserve">TaxHeal – 4/6 digit HSN rule (N.78/2020-CT) | https://www.taxheal.com/?p=97083 | AATO &lt;= 5 cr: 4 digits; &gt; 5 cr: 6 digits
Taxo – Phase-III HSN advisory (Jan 2025) | https://taxo.online/latest-news/09-01-2025-advisory-issued-relating-implementation-of-phase-iii-for-mentioning-of-hsn-codes-in-gstr-1-gstr-1a/ | Table 12 B2B/B2C split; dropdown
Taxmann – HSN dropdown &amp; Table 13 mandatory in GSTR-1 from May 2025 | https://www.taxmann.com/post/blog/hsn-dropdown-table-13-mandatory-in-gstr-1 | GSTN advisory 01.05.2025; Table 12 B2B/B2C split; Table 13 mandatory from May 2025 return period</t>
  </si>
  <si>
    <t xml:space="preserve">N.78/2020-CT digit table verified only via secondary summaries. Whether the portal blocks or warns on HSN validations, and whether B2C tab requires digits for AATO &lt;= Rs 5 crore, not confirmed. Portal allocation of CDNR/CDNUR between tabs is CA review.</t>
  </si>
  <si>
    <t xml:space="preserve">RC-GST-012</t>
  </si>
  <si>
    <t xml:space="preserve">GST – Outward supplies – Document series</t>
  </si>
  <si>
    <t xml:space="preserve">GSTR-1 Table 13 documents issued vs sales register document series (gaps, cancelled)</t>
  </si>
  <si>
    <t xml:space="preserve">Check that each document series reported in Table 13 (from-to, total, cancelled) agrees with the books, and find gaps, duplicates and unexplained cancellations in invoice numbering.</t>
  </si>
  <si>
    <t xml:space="preserve">CGST Rule 46(b) (consecutive serial number unique for a FY, up to 16 characters); Rule 59 / GSTR-1 Table 13 (documents issued) – mandatory from May 2025 return period per GSTN advisory 01.05.2025.</t>
  </si>
  <si>
    <t xml:space="preserve">2025-05-01</t>
  </si>
  <si>
    <t xml:space="preserve">Sales register with all documents incl. cancelled (status), document nature (invoice, CN, DN, receipt voucher, refund voucher, payment voucher, delivery challan, revised invoice, invoice for RCM inward from unregistered); GSTR-1 doc_issue section (doc_num nature, from, to, totnum, cancel, net_issue).</t>
  </si>
  <si>
    <t xml:space="preserve">SALES_REG.doc_nature_code = GSTR1.doc_nature_code; SALES_REG.series_prefix = prefix(GSTR1.doc_from_serial)</t>
  </si>
  <si>
    <t xml:space="preserve">Series parsing (implementation choice): split document no. into prefix + numeric part + suffix using regex ^(.*?)(\d+)(\D*)$; numeric part as integer; same prefix and suffix = same series.</t>
  </si>
  <si>
    <t xml:space="preserve">Per (doc nature, series): min no., max no., count issued, count cancelled.</t>
  </si>
  <si>
    <t xml:space="preserve">SALES_REG.series_from vs GSTR1.doc_from_serial; SALES_REG.series_to vs GSTR1.doc_to_serial; SALES_REG.count_total vs GSTR1.doc_total_number; SALES_REG.count_cancelled vs GSTR1.doc_cancelled; GSTR1.doc_net_issued vs (totnum − cancel)</t>
  </si>
  <si>
    <t xml:space="preserve">Exact (counts).</t>
  </si>
  <si>
    <t xml:space="preserve">gaps = set(range(min_no, max_no+1)) − set(issued_nos); net_issue = totnum − cancel; continuity: next period from = previous period to + 1</t>
  </si>
  <si>
    <t xml:space="preserve">1. Parse series in books. 2. Aggregate. 3. Compare with Table 13. 4. Gaps in numeric sequence not marked cancelled -&gt; GAP. 5. Duplicate numbers in same FY series -&gt; DUPLICATE_NO. 6. Continuity with previous period's 'to' -&gt; SERIES_BREAK. 7. Table 13 net issued vs count of invoices reported in GSTR-1 invoice tables for that series (B2B+B2CL+exports; B2C small not invoice-level so compare only where all invoices are B2B) -&gt; COUNT_DIFF.</t>
  </si>
  <si>
    <t xml:space="preserve">MATCHED; RANGE_DIFF: from/to differs; COUNT_DIFF: totals differ; CANCEL_DIFF: cancelled count differs; GAP: missing numbers not marked cancelled; DUPLICATE_NO; SERIES_BREAK: series not continuous across periods; SERIES_MISSING_IN_T13; ARITH_ERROR: net_issue != totnum − cancel</t>
  </si>
  <si>
    <t xml:space="preserve">MATCHED=Low; RANGE_DIFF=Medium; COUNT_DIFF=Medium; CANCEL_DIFF=Medium; GAP=High; DUPLICATE_NO=High; SERIES_BREAK=Low; SERIES_MISSING_IN_T13=Medium; ARITH_ERROR=Medium</t>
  </si>
  <si>
    <t xml:space="preserve">check_continuity=true; fy_reset=true</t>
  </si>
  <si>
    <t xml:space="preserve">Each document has a nature; numbers within a series are parseable.</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</si>
  <si>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doc_nature; series_prefix; missing_numbers</t>
  </si>
  <si>
    <t xml:space="preserve">Books Aug-2025 series 'INV/25-26/': 101-150 issued, 112 and 130 cancelled, 141 absent. Table 13: from 101 to 150 total 50 cancelled 2 net 48. Books count total 49 (141 missing) -&gt; COUNT_DIFF (50 vs 49) and GAP [141].</t>
  </si>
  <si>
    <t xml:space="preserve">Series 1-10, cancelled 1, Table 13 total 10 cancel 1 net 9 -&gt; MATCHED.</t>
  </si>
  <si>
    <t xml:space="preserve">Two series 'A/1..' and 'B/1..' in same nature -&gt; treated separately, no false gaps.</t>
  </si>
  <si>
    <t xml:space="preserve">Cancelled invoices deleted from ERP (gap); manual invoice books; multiple branches with own series; FY reset numbering not followed.</t>
  </si>
  <si>
    <t xml:space="preserve">GAP: obtain explanation (cancelled copy/void) – possible unreported supply; DUPLICATE_NO: violates Rule 46(b).</t>
  </si>
  <si>
    <t xml:space="preserve">def rc_gst_012(books, g1, prev_t13, p):
    s = books.assign(**parse_series(books.doc_no))
    out = []
    for (nat, pre, suf), grp in s.groupby(['doc_nature','prefix','suffix']):
        nums = sorted(grp.num); mn, mx = nums[0], nums[-1]
        gaps = sorted(set(range(mn, mx+1)) - set(nums))
        if gaps: out.append(exc('GAP', key=(nat,pre), missing=gaps))
        dups = [n for n, c in Counter(grp.num).items() if c &gt; 1]
        if dups: out.append(exc('DUPLICATE_NO', key=(nat,pre), dups=dups))
        t = find_t13(g1.doc_issue, nat, pre)
        if not t: out.append(exc('SERIES_MISSING_IN_T13', key=(nat,pre))); continue
        if t.totnum != len(grp): out.append(exc('COUNT_DIFF', a=len(grp), b=t.totnum))
        if t.cancel != (grp.status=='CANCELLED').sum(): out.append(exc('CANCEL_DIFF'))
        if t.net_issue != t.totnum - t.cancel: out.append(exc('ARITH_ERROR'))
        if p.check_continuity and prev_t13 and num(t.from_) != num(prev_to(prev_t13, nat, pre)) + 1: out.append(exc('SERIES_BREAK'))
    return out</t>
  </si>
  <si>
    <t xml:space="preserve">Taxmann – HSN dropdown &amp; Table 13 mandatory in GSTR-1 from May 2025 | https://www.taxmann.com/post/blog/hsn-dropdown-table-13-mandatory-in-gstr-1 | GSTN advisory 01.05.2025; Table 12 B2B/B2C split; Table 13 mandatory from May 2025 return period</t>
  </si>
  <si>
    <t xml:space="preserve">Table 13 mandatory from May 2025 per GSTN advisory 01.05.2025 (Taxmann summary). Rule 46(b) 16-character limit from statute knowledge (GST-007). Series parsing is implementation design.</t>
  </si>
  <si>
    <t xml:space="preserve">RC-GST-013</t>
  </si>
  <si>
    <t xml:space="preserve">GST – ITC – Books vs 2B</t>
  </si>
  <si>
    <t xml:space="preserve">Purchase register vs GSTR-2B – invoice-level ITC matching</t>
  </si>
  <si>
    <t xml:space="preserve">Match every purchase invoice/debit note/credit note in the books with GSTR-2B so that ITC is claimed only on documents communicated in 2B, and find supplier errors and missing documents.</t>
  </si>
  <si>
    <t xml:space="preserve">PURCH_REG</t>
  </si>
  <si>
    <t xml:space="preserve">GSTR2B</t>
  </si>
  <si>
    <t xml:space="preserve">IMS</t>
  </si>
  <si>
    <t xml:space="preserve">tax period (month); look-back across FY up to s.16(4) date</t>
  </si>
  <si>
    <t xml:space="preserve">CGST Act s.16(2)(aa) (ITC only if supplier has furnished details and they are communicated – N.39/2021-CT w.e.f. 01.01.2022), s.16(2)(a)-(d), s.38 (auto-generated statement; amended FA 2025 w.e.f. 01.10.2025), s.16(4) (time limit); Rule 36(4) as substituted by N.40/2021-CT (w.e.f. 01.01.2022: ITC only on invoices/DNs furnished in GSTR-1/IFF and communicated in GSTR-2B); Rule 60(7)-(9) (GSTR-2B); IMS from Oct 2024 tax period.</t>
  </si>
  <si>
    <t xml:space="preserve">All regular taxpayers claiming ITC.</t>
  </si>
  <si>
    <t xml:space="preserve">2022-01-01</t>
  </si>
  <si>
    <t xml:space="preserve">Purchase register (supplier GSTIN, doc type, doc no., date, POS, taxable value, IGST/CGST/SGST/cess, RCM flag, ITC eligibility, books period, GL head); GSTR-2B JSON for the month and earlier/later months of the FY (b2b, b2ba, cdnr, cdnra, isd, impg, impgsez; itcavl Y/N; rsn; diffprcnt; supprd; supfildt).</t>
  </si>
  <si>
    <t xml:space="preserve">PURCH_REG.party_gstin = GSTR2B.supplier_gstin; PURCH_REG.doc_type = GSTR2B.doc_type; PURCH_REG.supplier_invoice_no = GSTR2B.invoice_no; PURCH_REG.fy = fy(GSTR2B.invoice_date)</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</si>
  <si>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Supplier invoice nos. are the most error-prone key: run exact, then fuzzy, then 'GSTIN + date ±3 days + total tax ±Re 1' pass (implementation choice).</t>
  </si>
  <si>
    <t xml:space="preserve">Document level; purchase lines summed per document.</t>
  </si>
  <si>
    <t xml:space="preserve">PURCH_REG.supplier_invoice_date vs GSTR2B.invoice_date; PURCH_REG.taxable_value vs GSTR2B.taxable_value; PURCH_REG.igst vs GSTR2B.igst_amount; PURCH_REG.cgst vs GSTR2B.cgst_amount; PURCH_REG.sgst_utgst vs GSTR2B.sgst_amount; PURCH_REG.cess vs GSTR2B.cess_amount; PURCH_REG.place_of_supply vs GSTR2B.pos; PURCH_REG.reverse_charge vs GSTR2B.reverse_charge; PURCH_REG.books_period vs GSTR2B.return_period; GSTR2B.itc_availability</t>
  </si>
  <si>
    <t xml:space="preserve">Implementation choice (law prescribes none): Rs 1 per head per document; optional percentage tolerance 0.1% for large docs. ITC is allowed only up to the amount in 2B – any excess over 2B is not claimable even if within tolerance.</t>
  </si>
  <si>
    <t xml:space="preserve">itc_claimable_doc = min(books_tax_h, gstr2b_tax_h) for each head where itcavl=='Y' and not blocked; excess_in_books_h = books_tax_h − gstr2b_tax_h</t>
  </si>
  <si>
    <t xml:space="preserve">1. Load books for period + 2B for same period and all other 2B of the FY (and next FY up to 30 Nov). 2. Validate. 3. Pass 1 exact; pass 2 fuzzy doc no.; pass 3 GSTIN+date window+tax total. 4. For matches compare fields and period (books period vs 2B period). 5. Classify each document (single primary category; secondary flags). 6. RCM documents in books (s.9(3)/9(4)) are not expected in 2B B2B except where supplier reported with rev='Y' -&gt; route to RCM rules. 7. itcavl='N' in 2B (e.g. POS rule, s.16(4) expired, Rule 37A) -&gt; ITC_NOT_AVAILABLE with reason. 8. Summarise: Σ claimable ITC for 3B Table 4A(5).</t>
  </si>
  <si>
    <t xml:space="preserve">MATCHED: all fields within tolerance, same period; VALUE_MISMATCH: taxable value differs; TAX_MISMATCH: tax differs (books &gt; 2B = excess claim risk; books &lt; 2B = ITC left); HEAD_MISMATCH: IGST vs CGST+SGST; DATE_MISMATCH: doc date differs, same period; PERIOD_MISMATCH: in 2B of a different month (earlier = ITC available earlier; later = ITC to be deferred); GSTIN_MISMATCH: same doc under another GSTIN (supplier's other registration or wrong GSTIN); INVNO_MISMATCH: matched only by fuzzy/tax pass; MISSING_IN_2B: in books, not in any 2B (supplier not filed / wrong GSTIN / B2C reported); MISSING_IN_BOOKS: in 2B, not in books; DUPLICATE: duplicate in books or 2B; RCM_IN_2B: supplier reported reverse-charge doc (rev=Y) – ITC via RCM rules; ITC_NOT_AVAILABLE: 2B itcavl=N; REVERSE_CHARGE_IN_BOOKS_ONLY: RCM purchase from unregistered/notified service (not expected in 2B)</t>
  </si>
  <si>
    <t xml:space="preserve">MATCHED=Low; VALUE_MISMATCH=Medium; TAX_MISMATCH=High; HEAD_MISMATCH=High; DATE_MISMATCH=Low; PERIOD_MISMATCH=Medium; GSTIN_MISMATCH=High; INVNO_MISMATCH=Low; MISSING_IN_2B=Critical; MISSING_IN_BOOKS=Medium; DUPLICATE=Critical; RCM_IN_2B=Medium; ITC_NOT_AVAILABLE=High; REVERSE_CHARGE_IN_BOOKS_ONLY=Low</t>
  </si>
  <si>
    <t xml:space="preserve">value_tolerance_inr=1; pct_tolerance=0; date_window_days=3; fuzzy_match=true; lookback_months=12; lookahead_until=30-Nov-next-FY</t>
  </si>
  <si>
    <t xml:space="preserve">Supplier GSTIN valid &amp; active (if GSTIN status file available); doc date &lt;= books date; ITC heads consistent with POS (supplier state vs client state); same document not booked twice; 2B file period and GSTIN equal the client's.</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</si>
  <si>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supplier_gstin; supplier_name; doc_no_books; doc_no_2b; 2b_period; itcavl; itc_reason; itc_claimable; itc_excess</t>
  </si>
  <si>
    <t xml:space="preserve">Client 27. Books Aug-2025: (1) 27AAAPA1111A1Z1 PI-10 txval 1,00,000 C 9,000 S 9,000; (2) 29BBBPB2222B1Z2 7788 txval 50,000 IGST 9,000; (3) 27CCCPC3333C1Z3 A/55 txval 20,000 C 1,800 S 1,800; (4) 24DDDPD4444D1Z4 X-1 txval 10,000 IGST 1,800; (5) PI-10 booked twice. 2B Aug-2025: PI10 (fuzzy) same values -&gt; INVNO_MISMATCH (ITC 18,000 OK); 7788 IGST 8,100 -&gt; TAX_MISMATCH excess 900 (claimable 8,100); A/55 absent in Aug but in Sep-2025 2B -&gt; PERIOD_MISMATCH (defer 3,600 to Sep); X-1 not in any 2B -&gt; MISSING_IN_2B (1,800 not claimable); 2B has 27EEEPE5555E1Z5 INV-9 txval 5,000 C 450 S 450 -&gt; MISSING_IN_BOOKS; second PI-10 -&gt; DUPLICATE. Claimable Aug = 18,000 + 8,100 = 26,100 vs books 34,200 -&gt; excess 8,100.</t>
  </si>
  <si>
    <t xml:space="preserve">Books IGST 9,000.60 vs 2B 9,000 -&gt; MATCHED (diff 0.60); claimable = 9,000.</t>
  </si>
  <si>
    <t xml:space="preserve">Purchase from unregistered GTA under RCM -&gt; REVERSE_CHARGE_IN_BOOKS_ONLY, not MISSING_IN_2B. Import of goods -&gt; routed to RC-GST-027.</t>
  </si>
  <si>
    <t xml:space="preserve">Supplier filed GSTR-1 late (period shift); supplier used wrong GSTIN (client's other branch); supplier reported as B2C; invoice no. typed differently; freight/rounding differences; supplier CN not booked; capital goods booked in FAR not purchase register; duplicate booking from GRN and invoice.</t>
  </si>
  <si>
    <t xml:space="preserve">MISSING_IN_2B: do not claim; follow up with supplier; if already claimed, reverse in 4B(2) (temporary) and re-claim when appears. TAX_MISMATCH (books &gt; 2B): claim 2B amount only. MISSING_IN_BOOKS: book invoice or reject in IMS (RC-GST-015). DUPLICATE: reverse duplicate ITC immediately, s.50(3) interest if utilised.</t>
  </si>
  <si>
    <t xml:space="preserve">def rc_gst_013(pr, g2b_fy, p):
    b = agg(pr[~pr.is_import], ['supplier_gstin','doc_type','doc_n','fy'], SUM_HEADS)
    r = agg(concat(g2b_fy.b2b, g2b_fy.cdnr, overlay_amend(g2b_fy)), ['ctin','typ','inum_n','fy'], SUM_HEADS+['ret_period','itcavl','rsn','rev'])
    out = duplicates(b,'DUPLICATE') + duplicates(r,'DUPLICATE')
    b, r = dedupe(b), dedupe(r)
    p1, ub, ur = match_exact(b, r, [('supplier_gstin','ctin'),('doc_type','typ'),('doc_n','inum_n'),('fy','fy')])
    p2, ub, ur = match_fuzzy(ub, ur, gstin_equal=True, key='doc_fz') if p.fuzzy_match else ([], ub, ur)
    p3, ub, ur = match_window(ub, ur, gstin_equal=True, days=p.date_window_days, tax_tol=p.value_tolerance_inr)
    p4, ub, ur = match_on(ub, ur, ['doc_n','dt','total_tax'])  # GSTIN_MISMATCH
    for a, x, tag in [(a,x,'') for a,x in p1] + [(a,x,'INVNO_MISMATCH') for a,x in p2+p3]:
        cats = classify(a, x, p)   # TAX/VALUE/HEAD/DATE/PERIOD/RCM_IN_2B/ITC_NOT_AVAILABLE
        out.append(exc(cats or tag or 'MATCHED', a, x, itc_claimable=claimable(a, x)))
    out += [exc('GSTIN_MISMATCH', a, x) for a, x in p4]
    out += [exc('REVERSE_CHARGE_IN_BOOKS_ONLY' if a.rcm_flag else 'MISSING_IN_2B', a) for a in ub]
    out += [exc('MISSING_IN_BOOKS', None, x) for x in ur]
    return out</t>
  </si>
  <si>
    <t xml:space="preserve">TaxGuru – ITC only as per GSTR-2B w.e.f. 01.01.2022 | https://taxguru.in/goods-and-service-tax/claim-itc-gstr-2b-mandatory-w-e-f-01-01-2022.html | N.39/2021-CT (s.16(2)(aa)), N.40/2021-CT (Rule 36(4))
ClearTax – FAQs on IMS | https://cleartax.in/s/faqs-on-invoice-management-system-ims-gst | IMS from 01.10.2024; deemed acceptance
EY alert – GSTN advisory on IMS changes (23.09.2025) | https://www.ey.com/en_in/technical/alerts-hub/2025/09/gstn-issues-advisory-on-the-changes-introduced-in-the-invoice-management-system | pending CN one period; ITC reversal declaration; from Oct 2025 period
TaxGuru – Finance Act 2025 GST amendments effective 01.10.2025 | https://taxguru.in/goods-and-service-tax/gst-amendments-finance-act-2025-effective-oct-1-2025-notified.html | N.16/2025-CT; s.34(2) proviso; s.38; s.39(1)</t>
  </si>
  <si>
    <t xml:space="preserve">Legal basis (s.16(2)(aa), Rule 36(4) N.40/2021) verified via secondary (TaxGuru). Matching passes, tolerances and categories are implementation design. GSTR-2B JSON field names (ctin, inum, dt, val, pos, rev, itcavl, rsn, txval, igst, cgst, sgst, cess, supprd, supfildt) as commonly published – confirm against current API version.</t>
  </si>
  <si>
    <t xml:space="preserve">RC-GST-014</t>
  </si>
  <si>
    <t xml:space="preserve">GST – ITC – Return vs return</t>
  </si>
  <si>
    <t xml:space="preserve">GSTR-2B ITC available vs GSTR-3B Table 4A ITC claimed (Rule 88D / DRC-01C)</t>
  </si>
  <si>
    <t xml:space="preserve">Check that ITC claimed in GSTR-3B Table 4A does not exceed ITC available in GSTR-2B (plus valid re-claims, RCM and imports), month-wise and cumulatively, and anticipate DRC-01C.</t>
  </si>
  <si>
    <t xml:space="preserve">ECRRS</t>
  </si>
  <si>
    <t xml:space="preserve">tax period (month) and FY cumulative</t>
  </si>
  <si>
    <t xml:space="preserve">CGST Act s.16(2)(aa), s.39(1) (FA 2025); Rule 36(4); Rule 88D inserted by N.38/2023-CT dt 04.08.2023 (DRC-01C intimation where ITC in GSTR-3B exceeds ITC in GSTR-2B by amount/percentage recommended by Council; reply or pay via DRC-03 within 7 days; non-reply -&gt; subsequent GSTR-1/IFF blocked); Circular 170/02/2022-GST (Table 4 reporting); GSTR-3B Table 4 auto-populated from 2B/IMS. Hard-lock of Table 4 – reported as targeted (July 2026) but not officially confirmed.</t>
  </si>
  <si>
    <t xml:space="preserve">All regular taxpayers.</t>
  </si>
  <si>
    <t xml:space="preserve">2023-08-04</t>
  </si>
  <si>
    <t xml:space="preserve">GSTR-2B summary (ITC available by section and head; ITC not available; ITC reversal section); GSTR-3B Table 4 (4A(1) import goods, 4A(2) import services, 4A(3) RCM, 4A(4) ISD, 4A(5) all other; 4B(1), 4B(2); 4C; 4D(1), 4D(2)); ECRRS closing balance.</t>
  </si>
  <si>
    <t xml:space="preserve">GSTR2B.gstin = GSTR3B.gstin; GSTR2B.return_period = GSTR3B.return_period</t>
  </si>
  <si>
    <t xml:space="preserve">Return period MMYYYY.</t>
  </si>
  <si>
    <t xml:space="preserve">Per period per head; FY cumulative per head.</t>
  </si>
  <si>
    <t xml:space="preserve">GSTR2B.b2b_net_itc (B2B + B2BA − CDNR) vs GSTR3B.4A5 − GSTR3B.4D1_reclaim_part; GSTR2B.isd_itc vs GSTR3B.4A4; GSTR2B.impg_itc vs GSTR3B.4A1; GSTR3B.4A2+4A3 vs GSTR3B.3_1_d (RCM rule RC-GST-020); GSTR3B.4C vs 4A − 4B1 − 4B2</t>
  </si>
  <si>
    <t xml:space="preserve">Rs 1 per head (implementation choice). Rule 88D system threshold – Council-recommended amount/percentage not publicly notified; secondary sources cite ~Rs 25 lakh and 20% – param for risk flag only.</t>
  </si>
  <si>
    <t xml:space="preserve">excess_h = GSTR3B.4A5_h − (GSTR2B.b2b_net_h + reclaim_allowed_h); reclaim_allowed_h = min(GSTR3B.4D1_h, ECRRS.opening_h + GSTR3B.4B2_h); drc01c_risk = Σ excess_h &gt; drc01c_amount_inr and Σ excess_h / Σ GSTR2B_h * 100 &gt; drc01c_pct; net_itc_check = 4C − (4A_total − 4B1 − 4B2)</t>
  </si>
  <si>
    <t xml:space="preserve">1. Load 2B summary and 3B Table 4 per period. 2. Compute expected 4A(5), 4A(4), 4A(1). 3. Compare; positive excess -&gt; EXCESS_ITC_CLAIMED; negative -&gt; ITC_NOT_CLAIMED (may be legit due to IMS pending, blocked credit, Rule 42 – check 4B). 4. Arithmetic check of 4C. 5. Cumulative FY excess (claims shifted between months). 6. DRC01C_RISK flag. 7. For periods where 2B section 'ITC reversal' is present, check it appears in 4B(2).</t>
  </si>
  <si>
    <t xml:space="preserve">MATCHED; EXCESS_ITC_CLAIMED: 3B 4A exceeds 2B (+reclaim); ITC_NOT_CLAIMED: 3B less than 2B; ISD_DIFF; IMPORT_DIFF; NET_ITC_ARITH: 4C != 4A − 4B; CUMULATIVE_EXCESS: FY-to-date excess; DRC01C_RISK; MANUAL_EDIT: 3B Table 4 differs from system-generated auto-populated values</t>
  </si>
  <si>
    <t xml:space="preserve">MATCHED=Low; EXCESS_ITC_CLAIMED=Critical; ITC_NOT_CLAIMED=Medium; ISD_DIFF=High; IMPORT_DIFF=High; NET_ITC_ARITH=High; CUMULATIVE_EXCESS=Critical; DRC01C_RISK=Critical; MANUAL_EDIT=Medium</t>
  </si>
  <si>
    <t xml:space="preserve">tax_tolerance_inr=1; drc01c_amount_inr=2500000; drc01c_pct=20</t>
  </si>
  <si>
    <t xml:space="preserve">Both files for same GSTIN/period; 3B filed (not draft).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</si>
  <si>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gstr3b_cell; gstr2b_value; gstr3b_value; excess</t>
  </si>
  <si>
    <t xml:space="preserve">Sep-2025 IGST. 2B B2B 4,00,000, CDNR −20,000 -&gt; net 3,80,000. ECRRS opening 15,000; 3B 4B(2) 5,000; 4D(1) 10,000 (&lt;= 20,000 OK). 3B 4A(5) 4,10,000 -&gt; expected 3,80,000 + 10,000 = 3,90,000 -&gt; EXCESS_ITC_CLAIMED 20,000 (5.1%, below 20% -&gt; no DRC01C_RISK). 4C reported 4,05,000 vs 4,10,000 − 0 − 5,000 = 4,05,000 OK.</t>
  </si>
  <si>
    <t xml:space="preserve">2B 1,00,000; 3B 4A(5) 1,00,000; no reclaim -&gt; MATCHED.</t>
  </si>
  <si>
    <t xml:space="preserve">3B 4A(5) 90,000 &lt; 2B 1,00,000 because IMS invoices 'pending' (10,000) -&gt; ITC_NOT_CLAIMED, Medium, with note to check IMS pending list (2B regenerated only after IMS action).</t>
  </si>
  <si>
    <t xml:space="preserve">ITC claimed on books basis; re-claims shown in 4A(5) instead of 4D(1); ITC of previous year claimed; RCM ITC put in 4A(5); IMS rejected documents still claimed; 2B regenerated after IMS action but 3B based on original 2B.</t>
  </si>
  <si>
    <t xml:space="preserve">EXCESS_ITC_CLAIMED: reverse in next 3B 4B(2) or pay via DRC-03 with s.50(3) interest if utilised (Rule 88B(3)); prepare DRC-01C Part B reply within 7 days if intimation received.</t>
  </si>
  <si>
    <t xml:space="preserve">def rc_gst_014(g2b, g3b, ecrrs, p):
    out = []
    for h in ['igst','cgst','sgst','cess']:
        reclaim_ok = min(g3b['4D1'][h], ecrrs.opening[h] + g3b['4B2'][h])
        exp5 = g2b.b2b_net[h] + reclaim_ok
        d = g3b['4A5'][h] - exp5
        if d &gt; p.tax_tolerance_inr: out.append(exc('EXCESS_ITC_CLAIMED', head=h, diff=d))
        elif d &lt; -p.tax_tolerance_inr: out.append(exc('ITC_NOT_CLAIMED', head=h, diff=d))
        if abs(g3b['4A4'][h]-g2b.isd[h]) &gt; p.tax_tolerance_inr: out.append(exc('ISD_DIFF', head=h))
        if abs(g3b['4A1'][h]-g2b.impg[h]) &gt; p.tax_tolerance_inr: out.append(exc('IMPORT_DIFF', head=h))
        if abs(g3b['4C'][h] - (sum(g3b[c][h] for c in A_ROWS) - g3b['4B1'][h] - g3b['4B2'][h])) &gt; p.tax_tolerance_inr:
            out.append(exc('NET_ITC_ARITH', head=h))
    ex = sum(max(o.diff,0) for o in out if o.cat=='EXCESS_ITC_CLAIMED')
    if ex &gt; p.drc01c_amount_inr and ex/ max(g2b.total,1)*100 &gt; p.drc01c_pct: out.append(exc('DRC01C_RISK', diff=ex))
    return out</t>
  </si>
  <si>
    <t xml:space="preserve">ClearTax – Rule 88D DRC-01C | https://cleartax.in/s/rule-88d-cgst-itc-mismatch-gstr-2b-vs-gstr-3b | N.38/2023-CT dt 04.08.2023; 7 days; DRC-03; GSTR-1/IFF blocking
Taxo – GSTN advisory 06.10.2023 on DRC-01C | https://taxo.online/latest-news/06-10-2023-gstn-issued-advisory-in-respect-of-introduction-of-compliance-pertaining-to-drc-01c/ | 2B vs 3B per return period; 'predefined limits'; subsequent GSTR-1/IFF blocked
Razorpay – DRC-01B guide | https://razorpay.com/learn/drc-01b-gst-liability-mismatch-guide/ | thresholds not publicly disclosed; DRC-01C 'around Rs 25 lakh / 20%'
Circular 170/02/2022-GST | https://www.gstcouncil.gov.in/sites/default/files/2024-06/cir-170-02-2022-cgst.pdf | GSTR-3B Table 4 and 3.2 reporting
CompuTax – GSTR-3B ITC locking status (09.07.2026) | https://www.computaxonline.com/blog/post/2026/07/09/gst-itc-auto-restriction-gstr-2b-gstr-3b-hard-locking | 3.1/3.2 locked from July 2025 (Advisory 606); Table 4 lock not officially confirmed
TaxGuru – ITC reclaim ledger &amp; RCM ledger hard validations | https://taxguru.in/goods-and-service-tax/gstn-itc-reclaim-ledger-rcm-ledger-hard-validations-block-gstr-3b-filing.html | advisory 29.12.2025: 4D(1) &lt;= reclaim balance + 4B(2) current; 4A(2)+4A(3) &lt;= 3.1(d) + RCM ledger balance</t>
  </si>
  <si>
    <t xml:space="preserve">Rule 88D notification (N.38/2023-CT dt 04.08.2023), 7-day reply and GSTR-1/IFF blocking verified via ClearTax and Taxo reproduction of GSTN advisory 06.10.2023; threshold not published officially. Table 4 hard-lock status as of Oct 2026 unconfirmed (CompuTax July 2026). Reclaim formula follows GSTN advisory 29.12.2025 hard-validation logic (TaxGuru).</t>
  </si>
  <si>
    <t xml:space="preserve">RC-GST-015</t>
  </si>
  <si>
    <t xml:space="preserve">GST – ITC – IMS</t>
  </si>
  <si>
    <t xml:space="preserve">IMS actions (accept/reject/pending) vs purchase register</t>
  </si>
  <si>
    <t xml:space="preserve">Check that IMS actions agree with the books: accepted documents are booked, rejected documents are not booked (or are disputed), pending documents are tracked, and credit-note actions reflect ITC actually availed.</t>
  </si>
  <si>
    <t xml:space="preserve">Invoice Management System on GST portal from 01.10.2024 (Accept/Reject/Pending; no action = deemed accepted at GSTR-2B generation); GSTN advisory 23.09.2025 (from Oct 2025 tax period: credit notes/upward CN amendments/certain downward amendments may be kept pending only for one tax period; recipient can declare ITC reversal amount actually availed on CNs); advisory 18.12.2025 on IMS credit notes; CGST s.34(2) proviso (FA 2025) – supplier's tax reduction depends on recipient reversal; s.38 (FA 2025, w.e.f. 01.10.2025).</t>
  </si>
  <si>
    <t xml:space="preserve">All recipients with inward B2B documents on IMS.</t>
  </si>
  <si>
    <t xml:space="preserve">2024-10-01</t>
  </si>
  <si>
    <t xml:space="preserve">IMS download with action status (Accepted/Rejected/Pending/No action), remarks, declared ITC reversal for CNs; purchase register incl. dispute/hold flags; GSTR-2B (regenerated) for the period.</t>
  </si>
  <si>
    <t xml:space="preserve">IMS.supplier_gstin = PURCH_REG.party_gstin; IMS.doc_type = PURCH_REG.doc_type; IMS.document_no = PURCH_REG.supplier_invoice_no; IMS.fy = PURCH_REG.fy</t>
  </si>
  <si>
    <t xml:space="preserve">IMS.ims_action vs PURCH_REG.booking_status; IMS.taxable_value vs PURCH_REG.taxable_value; IMS.tax_heads vs PURCH_REG.tax_heads; IMS.declared_igst vs PURCH_REG.cn_itc_reversed; IMS.pending_since vs current period</t>
  </si>
  <si>
    <t xml:space="preserve">Rs 1 per head (implementation choice).</t>
  </si>
  <si>
    <t xml:space="preserve">pending_age_periods = periods_between(IMS.supplier_period, current_period); cn_pending_breach = doc_type=='CN' and action=='Pending' and pending_age_periods &gt; max_cn_pending_periods</t>
  </si>
  <si>
    <t xml:space="preserve">1. Match IMS docs to books. 2. Accepted (or deemed accepted) but not in books -&gt; ACCEPTED_NOT_BOOKED. 3. Rejected but booked with ITC -&gt; REJECTED_BUT_ITC_CLAIMED. 4. Pending but ITC claimed -&gt; PENDING_ITC_CLAIMED (pending docs are not in 2B). 5. CN accepted: compare declared reversal with ITC actually availed on original invoice in books -&gt; CN_REVERSAL_DIFF. 6. CN pending beyond one period (Oct 2025 onward) -&gt; CN_PENDING_LIMIT. 7. Books docs whose IMS status 'No action' -&gt; NO_ACTION_DEEMED_ACCEPT (info). 8. Rejected documents with no books entry -&gt; REJECT_OK.</t>
  </si>
  <si>
    <t xml:space="preserve">CONSISTENT; ACCEPTED_NOT_BOOKED; REJECTED_BUT_ITC_CLAIMED; PENDING_ITC_CLAIMED; CN_REVERSAL_DIFF; CN_PENDING_LIMIT; NO_ACTION_DEEMED_ACCEPT; REJECT_OK; VALUE_DIFF</t>
  </si>
  <si>
    <t xml:space="preserve">CONSISTENT=Low; ACCEPTED_NOT_BOOKED=High; REJECTED_BUT_ITC_CLAIMED=Critical; PENDING_ITC_CLAIMED=Critical; CN_REVERSAL_DIFF=High; CN_PENDING_LIMIT=Medium; NO_ACTION_DEEMED_ACCEPT=Low; REJECT_OK=Low; VALUE_DIFF=Medium</t>
  </si>
  <si>
    <t xml:space="preserve">max_cn_pending_periods=1; cn_rule_from_period=102025; value_tolerance_inr=1</t>
  </si>
  <si>
    <t xml:space="preserve">IMS file period equals reconciliation period; statuses in allowed set.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</si>
  <si>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ims_action; ims_remark; declared_reversal; books_itc</t>
  </si>
  <si>
    <t xml:space="preserve">Oct-2025 IMS: INV-1 accepted 18,000 tax, booked -&gt; CONSISTENT; INV-2 rejected 9,000, booked and ITC claimed -&gt; REJECTED_BUT_ITC_CLAIMED; INV-3 pending 3,600, ITC claimed -&gt; PENDING_ITC_CLAIMED; CN-1 accepted, declared reversal 0 but books show original ITC 1,800 claimed -&gt; CN_REVERSAL_DIFF 1,800.</t>
  </si>
  <si>
    <t xml:space="preserve">Accepted invoice booked with equal values -&gt; CONSISTENT.</t>
  </si>
  <si>
    <t xml:space="preserve">Invoice pending in Sept-2024 (before IMS) -&gt; rule not applicable (effective_from).</t>
  </si>
  <si>
    <t xml:space="preserve">Bulk 'accept all'; rejection without informing supplier; CN pending to avoid reversal; IMS action after 2B generation without recomputing 2B; ITC claimed from books not from regenerated 2B.</t>
  </si>
  <si>
    <t xml:space="preserve">REJECTED_BUT_ITC_CLAIMED / PENDING_ITC_CLAIMED: reverse ITC or change IMS action before 3B; CN_REVERSAL_DIFF: declare correct reversal in IMS (supplier liability depends on it).</t>
  </si>
  <si>
    <t xml:space="preserve">def rc_gst_015(ims, pr, p):
    pairs, ui, ub = match_exact(ims, agg(pr, DOCKEY, SUM_HEADS+['itc_claimed']), DOCKEY_PAIRS)
    out = []
    for i, b in pairs:
        if i.action=='REJECTED' and b.itc_claimed&gt;0: out.append(exc('REJECTED_BUT_ITC_CLAIMED', i, b))
        elif i.action=='PENDING' and b.itc_claimed&gt;0: out.append(exc('PENDING_ITC_CLAIMED', i, b))
        elif i.doc_type=='CN' and i.action=='ACCEPTED' and abs(i.declared_reversal - orig_itc(pr, i)) &gt; p.value_tolerance_inr:
            out.append(exc('CN_REVERSAL_DIFF', i, b))
        else: out.append(exc('CONSISTENT', i, b))
        if i.doc_type=='CN' and i.action=='PENDING' and period_ge(p.period, p.cn_rule_from_period) and periods_between(i.supplier_period, p.period) &gt; p.max_cn_pending_periods:
            out.append(exc('CN_PENDING_LIMIT', i))
    out += [exc('ACCEPTED_NOT_BOOKED' if i.action in ('ACCEPTED','NO_ACTION') else 'REJECT_OK', i) for i in ui]
    return out</t>
  </si>
  <si>
    <t xml:space="preserve">ClearTax – FAQs on IMS | https://cleartax.in/s/faqs-on-invoice-management-system-ims-gst | IMS from 01.10.2024; deemed acceptance
EY alert – GSTN advisory on IMS changes (23.09.2025) | https://www.ey.com/en_in/technical/alerts-hub/2025/09/gstn-issues-advisory-on-the-changes-introduced-in-the-invoice-management-system | pending CN one period; ITC reversal declaration; from Oct 2025 period
TaxGuru – GSTN 4 advisories December 2025 | https://taxguru.in/goods-and-service-tax/gstn-issues-4-advisories-december-2025-clarify-key-compliance-procedures.html | 05.12.2025 Table 3.2 lock; 18.12.2025 IMS CN; 29.12.2025 ECRRS/RCM
TaxGuru – Finance Act 2025 GST amendments effective 01.10.2025 | https://taxguru.in/goods-and-service-tax/gst-amendments-finance-act-2025-effective-oct-1-2025-notified.html | N.16/2025-CT; s.34(2) proviso; s.38; s.39(1)</t>
  </si>
  <si>
    <t xml:space="preserve">IMS rules verified via EY and ClearTax secondary summaries of GSTN advisories. Exact list of document types that can/cannot be kept pending (and whether CN pending limit is one tax period from supplier filing) to be confirmed from GSTN advisory text.</t>
  </si>
  <si>
    <t xml:space="preserve">RC-GST-016</t>
  </si>
  <si>
    <t xml:space="preserve">GSTR-2A vs GSTR-2B – late-filed supplier documents and period shift</t>
  </si>
  <si>
    <t xml:space="preserve">Identify documents visible in dynamic GSTR-2A but not in the period's GSTR-2B (supplier filed after cut-off, or IMS pending), so ITC is claimed in the correct later period.</t>
  </si>
  <si>
    <t xml:space="preserve">GSTR2A</t>
  </si>
  <si>
    <t xml:space="preserve">tax period (month), FY</t>
  </si>
  <si>
    <t xml:space="preserve">Rule 60 (GSTR-2A dynamic) and Rule 60(7)-(9) (GSTR-2B static, generated on 14th of following month – cut-off of supplier GSTR-1/IFF filing); Rule 36(4) (ITC only per 2B); s.16(4).</t>
  </si>
  <si>
    <t xml:space="preserve">All recipients.</t>
  </si>
  <si>
    <t xml:space="preserve">GSTR-2A (with supplier filing date 'cfs'/filing period) and all GSTR-2B files of the FY.</t>
  </si>
  <si>
    <t xml:space="preserve">GSTR2A.supplier_gstin = GSTR2B.supplier_gstin; GSTR2A.invoice_no = GSTR2B.invoice_no; GSTR2A.doc_type = GSTR2B.doc_type</t>
  </si>
  <si>
    <t xml:space="preserve">GSTR2A.gstr1_period vs GSTR2B.return_period; GSTR2A.tax_heads vs GSTR2B.tax_heads; GSTR2A.gstr1_filing_date vs 2B cut-off date</t>
  </si>
  <si>
    <t xml:space="preserve">Exact on presence; Rs 1 on values.</t>
  </si>
  <si>
    <t xml:space="preserve">expected_2b_period = first 2B period whose cut-off &gt;= supplier filing date (and IMS action not pending)</t>
  </si>
  <si>
    <t xml:space="preserve">1. Match 2A docs to any 2B of the FY. 2. Present in 2A for period P but in 2B of P+k -&gt; LATE_FILED_SHIFT (ITC claimable in P+k). 3. Present in 2A, absent in all 2B -&gt; IN_2A_NOT_2B (pending IMS / post cut-off / ITC not available). 4. Values differ (supplier amended) -&gt; AMENDED_VALUE. 5. Link to books (RC-GST-013) to show which books entries are affected.</t>
  </si>
  <si>
    <t xml:space="preserve">SAME_PERIOD; LATE_FILED_SHIFT; IN_2A_NOT_2B; AMENDED_VALUE; IN_2B_NOT_2A</t>
  </si>
  <si>
    <t xml:space="preserve">SAME_PERIOD=Low; LATE_FILED_SHIFT=Medium; IN_2A_NOT_2B=High; AMENDED_VALUE=Medium; IN_2B_NOT_2A=Low</t>
  </si>
  <si>
    <t xml:space="preserve">value_tolerance_inr=1</t>
  </si>
  <si>
    <t xml:space="preserve">2A downloaded after the latest 2B to be compared.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</si>
  <si>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2a_period; 2b_period; supplier_filing_date</t>
  </si>
  <si>
    <t xml:space="preserve">Invoice INV-9 dated 25-08-2025, supplier filed Aug GSTR-1 on 20-09-2025 (after 2B cut-off 14-09). 2A Aug shows INV-9; 2B Aug lacks it; 2B Sep has it -&gt; LATE_FILED_SHIFT (claim in Sep 3B). INV-10 in 2A Aug, not in any 2B (pending in IMS) -&gt; IN_2A_NOT_2B.</t>
  </si>
  <si>
    <t xml:space="preserve">Doc in 2A Aug and 2B Aug -&gt; SAME_PERIOD.</t>
  </si>
  <si>
    <t xml:space="preserve">2A downloaded before supplier amendment -&gt; run flagged stale if 2A date &lt; last 2B generation date.</t>
  </si>
  <si>
    <t xml:space="preserve">Supplier QRMP filing IFF late; supplier GSTR-1 after the 13th; documents kept pending in IMS.</t>
  </si>
  <si>
    <t xml:space="preserve">LATE_FILED_SHIFT: claim in later period's 3B; check s.16(4) deadline (RC-GST-031).</t>
  </si>
  <si>
    <t xml:space="preserve">def rc_gst_016(g2a, g2b_all, p):
    allb = concat_with_period(g2b_all)
    pairs, ua, ub = match_exact(g2a, allb, DOCKEY_PAIRS)
    out = []
    for a, b in pairs:
        cat = 'SAME_PERIOD' if a.supplier_period == b.ret_period else 'LATE_FILED_SHIFT'
        out.append(exc(cat, a, b))
        if any(abs(a[h]-b[h])&gt;p.value_tolerance_inr for h in TAXH): out.append(exc('AMENDED_VALUE', a, b))
    out += [exc('IN_2A_NOT_2B', a) for a in ua] + [exc('IN_2B_NOT_2A', None, b) for b in ub]
    return out</t>
  </si>
  <si>
    <t xml:space="preserve">TaxGuru – ITC only as per GSTR-2B w.e.f. 01.01.2022 | https://taxguru.in/goods-and-service-tax/claim-itc-gstr-2b-mandatory-w-e-f-01-01-2022.html | N.39/2021-CT (s.16(2)(aa)), N.40/2021-CT (Rule 36(4))</t>
  </si>
  <si>
    <t xml:space="preserve">Rule 60(7)-(9) and 14th cut-off from statute knowledge / GST-012 – not re-opened here. Implementation design.</t>
  </si>
  <si>
    <t xml:space="preserve">RC-GST-017</t>
  </si>
  <si>
    <t xml:space="preserve">GST – ITC – Payment condition</t>
  </si>
  <si>
    <t xml:space="preserve">Purchase register payment dates vs 180-day rule (Rule 37) – reversal, interest, re-claim</t>
  </si>
  <si>
    <t xml:space="preserve">Find purchase invoices on which ITC was claimed but value plus tax has not been paid to the supplier within 180 days of invoice date, compute ITC to be reversed and interest, and track re-availment on payment.</t>
  </si>
  <si>
    <t xml:space="preserve">BANK_BOOK</t>
  </si>
  <si>
    <t xml:space="preserve">tax period (month) in which 180th day falls</t>
  </si>
  <si>
    <t xml:space="preserve">CGST Act s.16(2) second proviso (pay value + tax within 180 days, else ITC added to output tax with interest) and third proviso (re-availment on payment); Rule 37(1), (2), (4) as substituted by N.19/2022-CT w.e.f. 01.10.2022 (reverse proportionate ITC in return for the period in which 180 days end; interest u/s 50; time limit u/s 16(4) not applicable to re-availment); Rule 88B; reported in GSTR-3B 4B(2) and re-claim in 4D(1)/4A(5) via ECRRS.</t>
  </si>
  <si>
    <t xml:space="preserve">All recipients; excludes (per Rule 37(1)) supplies on which tax payable under reverse charge, deemed supplies without consideration (Schedule I), and additions to value under s.15(2)(b) – exclusions as per Rule 37 text.</t>
  </si>
  <si>
    <t xml:space="preserve">Purchase register with invoice date, value incl. tax, ITC claimed and period of claim; payments to supplier (bank book / creditor ledger) with dates and allocation to invoices (FIFO if not allocated – implementation choice); GSTR-3B 4B(2) and 4D(1) values.</t>
  </si>
  <si>
    <t xml:space="preserve">PURCH_REG.party_gstin = BANK_BOOK.party_gstin; PURCH_REG.supplier_invoice_no = BANK_BOOK.bill_ref (or FIFO allocation)</t>
  </si>
  <si>
    <t xml:space="preserve">Implementation choice: (1) Invoice/document number – uppercase, trim, collapse internal spaces, remove characters other than A-Z 0-9 '/' '-'; exact pass on this form. (2) Fuzzy pass key = strip '/', '-', spaces; strip leading zeros of each numeric run; strip common FY tokens (e.g. '2025-26', '25-26', '2526', 'FY26') – only if the remainder is still &gt;= 3 characters. Law (Rule 46(b)) allows up to 16 characters, unique per FY. (3) GSTIN – uppercase, trim, validate 15-char pattern ^[0-9]{2}[A-Z]{5}[0-9]{4}[A-Z][1-9A-Z]Z[0-9A-Z]$ and check digit (see GST-001). (4) Dates – parse DD-MM-YYYY, DD/MM/YYYY, DD-MON-YY, YYYY-MM-DD, Excel serials into ISO date. (5) Amounts – Decimal, 2 dp, negative for credit notes only after doc-type mapping. Party matching on GSTIN or ledger code via PARTY_MASTER.</t>
  </si>
  <si>
    <t xml:space="preserve">Invoice level; payments allocated to invoices.</t>
  </si>
  <si>
    <t xml:space="preserve">PURCH_REG.invoice_value vs Σ payments within 180 days; PURCH_REG.itc_claimed vs required_reversal; required_reversal vs GSTR3B.4B2 of the trigger period</t>
  </si>
  <si>
    <t xml:space="preserve">Rs 1 (implementation choice).</t>
  </si>
  <si>
    <t xml:space="preserve">day180 = invoice_date + 180 days (Rule says 'within a period of 180 days from the date of issue of invoice'); paid_by_180 = Σ payments dated &lt;= day180; unpaid_ratio = (invoice_value − paid_by_180) / invoice_value; reversal = itc_claimed × unpaid_ratio; interest = reversal × 18% × days(from date ITC availed/utilised to date of reversal or payment)/365 (start date per CA – see notes)</t>
  </si>
  <si>
    <t xml:space="preserve">1. Allocate payments to invoices (by reference; else FIFO by invoice date). 2. Compute day180 and paid_by_180 (include TDS/TCS deducted and book adjustments as 'paid' only if CA param allows). 3. If unpaid &gt; 0 and ITC claimed, compute proportionate reversal due in the period containing day180. 4. Compare with 3B 4B(2) for that period (aggregate). 5. On later payment, compute re-claim (4D(1)) and check it is not before payment date. 6. Compute interest per param.</t>
  </si>
  <si>
    <t xml:space="preserve">PAID_IN_TIME; REVERSAL_DUE: unpaid at day180, ITC to reverse; REVERSAL_NOT_DONE: 3B 4B(2) lower than required; REVERSED_OK; RECLAIM_DUE: paid after reversal, re-claim available; RECLAIM_BEFORE_PAYMENT: re-claim taken before payment; PARTIAL_PAYMENT: proportionate reversal; EXCLUDED: RCM/deemed supply</t>
  </si>
  <si>
    <t xml:space="preserve">PAID_IN_TIME=Low; REVERSAL_DUE=High; REVERSAL_NOT_DONE=Critical; REVERSED_OK=Low; RECLAIM_DUE=Medium; RECLAIM_BEFORE_PAYMENT=High; PARTIAL_PAYMENT=High; EXCLUDED=Low</t>
  </si>
  <si>
    <t xml:space="preserve">days_limit=180; interest_rate_pct=18; interest_start=availment_date; count_tds_as_paid=true; allocation=reference_else_fifo</t>
  </si>
  <si>
    <t xml:space="preserve">Payment dates &gt;= invoice date (warn advances); invoice value incl. tax present; ITC claim period known.</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</si>
  <si>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invoice_date; day180; paid_by_180; unpaid_amount; reversal_itc; interest; reclaim_period</t>
  </si>
  <si>
    <t xml:space="preserve">INV-500 dt 01-02-2025 value 1,18,000 (ITC 18,000 claimed Feb-2025). Payments: 50,000 on 15-03-2025; 68,000 on 10-09-2025. day180 = 31-07-2025. paid_by_180 = 50,000; unpaid ratio = 68,000/1,18,000 = 0.5763; reversal = 18,000 × 0.5763 = 10,373 in Jul-2025 3B 4B(2). 3B Jul 4B(2) = 0 -&gt; REVERSAL_NOT_DONE. Re-claim 10,373 available Sep-2025 (payment 10-09-2025). Interest at 18% from 20-03-2025 (Feb 3B due date, availment) to 20-08-2025 (153 days) = 10,373 × 0.18 × 153/365 = 782.65 -&gt; 783 (s.170) – if CA chooses availment start date.</t>
  </si>
  <si>
    <t xml:space="preserve">Invoice paid in full on day 179 -&gt; PAID_IN_TIME.</t>
  </si>
  <si>
    <t xml:space="preserve">RCM invoice from unregistered GTA unpaid at 200 days -&gt; EXCLUDED (Rule 37 does not apply to RCM supplies).</t>
  </si>
  <si>
    <t xml:space="preserve">Payments booked against on-account without invoice allocation; disputes/retention money; netting with receivables (journal set-off – whether 'payment' is a CA judgment); MSME vendors; foreign-currency adjustments.</t>
  </si>
  <si>
    <t xml:space="preserve">REVERSAL_NOT_DONE: reverse in next 3B 4B(2) (shows in ECRRS) and pay interest via DRC-03; RECLAIM_DUE: re-claim in 4A(5) and report in 4D(1) after payment.</t>
  </si>
  <si>
    <t xml:space="preserve">def rc_gst_017(pr, pay, g3b_by_period, p):
    alloc = allocate(pay, pr, method=p.allocation)
    out = []
    for inv in pr[(pr.itc_claimed&gt;0) &amp; (~pr.rcm_flag)]:
        d180 = inv.invoice_date + timedelta(days=p.days_limit)
        paid = alloc.paid_by(inv.id, d180, include_tds=p.count_tds_as_paid)
        if paid &gt;= inv.invoice_value - 1: out.append(exc('PAID_IN_TIME', inv)); continue
        ratio = (inv.invoice_value - paid) / inv.invoice_value
        rev = round(inv.itc_claimed * ratio, 2)
        per = period_of(d180)
        out.append(exc('REVERSAL_DUE' if ratio == 1 else 'PARTIAL_PAYMENT', inv, reversal=rev, period=per))
        later = alloc.payment_dates_after(inv.id, d180)
        if later: out.append(exc('RECLAIM_DUE', inv, reclaim_period=period_of(later[-1])))
    # aggregate check per period
    for per, rev_sum in group_sum(out, 'period', 'reversal').items():
        if g3b_by_period[per]['4B2_total'] + 1 &lt; rev_sum: out.append(exc('REVERSAL_NOT_DONE', period=per, diff=rev_sum - g3b_by_period[per]['4B2_total']))
    return out</t>
  </si>
  <si>
    <t xml:space="preserve">Rule 37 CGST Rules (Chhattisgarh GST dept copy) | https://www.cggst.com/uploads/document/1755064447-rule-37.pdf | Rule 37(1),(2),(4) as substituted by N.19/2022-CT
Rule 88B CGST Rules (Chhattisgarh GST dept copy) | https://www.cggst.com/uploads/document/1754119329-rule-88b.pdf | Rule 88B(1)-(3)
Circular 170/02/2022-GST | https://www.gstcouncil.gov.in/sites/default/files/2024-06/cir-170-02-2022-cgst.pdf | GSTR-3B Table 4 and 3.2 reporting
GSTHero – ECRRS | https://gsthero.com/blog/electronic-credit-reversal-and-reclaimed-statement/ | from Aug 2023 return period</t>
  </si>
  <si>
    <t xml:space="preserve">Rule 37 text verified from state GST department copy. Interest start date and rate (s.50(1) vs s.50(3); 18%) are open – see gst.json open questions; default param uses availment date and 18%, CA to decide. Whether netting/set-off counts as payment is a CA judgment.</t>
  </si>
  <si>
    <t xml:space="preserve">RC-GST-018</t>
  </si>
  <si>
    <t xml:space="preserve">GST – ITC – Reversal &amp; re-claim</t>
  </si>
  <si>
    <t xml:space="preserve">GSTR-3B Table 4B(2)/4D(1) reversals and re-claims vs ECRRS (incl. opening balance)</t>
  </si>
  <si>
    <t xml:space="preserve">Roll forward the Electronic Credit Reversal and Re-claimed Statement from 3B data and books, and flag re-claims exceeding the reclaimable balance (negative ledger), and opening-balance errors.</t>
  </si>
  <si>
    <t xml:space="preserve">tax period (month), running balance</t>
  </si>
  <si>
    <t xml:space="preserve">Circular 170/02/2022-GST (temporary reversals in 4B(2), re-claim in 4A(5) and 4D(1)); GSTN ECRRS from August 2023 return period (monthly) / Jul-Sep 2023 quarter (QRMP) with one-time opening balance; GSTN advisory No. 643 dt 29.12.2025 – hard validation: 4D(1) re-claim &lt;= ECRRS closing balance + current 4B(2) (activation date not confirmed).</t>
  </si>
  <si>
    <t xml:space="preserve">ECRRS download (opening balance, reversal, re-claim, closing per head per period); GSTR-3B 4B(2), 4D(1); books register of temporary reversals (Rule 37, 2B missing, IMS, s.16(2)(b)/(c)).</t>
  </si>
  <si>
    <t xml:space="preserve">GSTR3B.return_period = ECRRS.return_period; GSTR3B.gstin = ECRRS.gstin</t>
  </si>
  <si>
    <t xml:space="preserve">Per period per head; and per-document books register summed per period.</t>
  </si>
  <si>
    <t xml:space="preserve">GSTR3B.4B2_h vs ECRRS.reversal_igst; GSTR3B.4D1_h vs ECRRS.reclaim_igst; ECRRS.opening_igst + 4B2_h − 4D1_h vs ECRRS.closing_igst; ECRRS.closing_igst vs books_temp_reversal_balance_h</t>
  </si>
  <si>
    <t xml:space="preserve">Rs 1 per head (implementation choice). Negative balance – zero tolerance (portal validation).</t>
  </si>
  <si>
    <t xml:space="preserve">closing_h = opening_h + rev_4B2_h − reclaim_4D1_h; negative if closing_h &lt; 0; books_gap_h = ECRRS.closing_h − books_open_items_h</t>
  </si>
  <si>
    <t xml:space="preserve">1. Load ECRRS; start from opening balance declared (Aug 2023). 2. Recompute closing each period from 3B values. 3. Compare with portal closing. 4. Negative closing -&gt; NEGATIVE_BALANCE (3B may be blocked). 5. Compare closing with books open temporary reversals (documents reversed and not yet re-claimed) -&gt; BOOKS_GAP. 6. Permanent reversals (Rule 42/43/17(5)/38) found in 4B(2) instead of 4B(1) -&gt; WRONG_ROW (from books classification).</t>
  </si>
  <si>
    <t xml:space="preserve">MATCHED; ROLLFORWARD_DIFF: recomputed closing != portal; NEGATIVE_BALANCE; RECLAIM_EXCEEDS: 4D(1) &gt; opening + 4B(2); BOOKS_GAP: ECRRS balance differs from books open reversals; WRONG_ROW: permanent reversal in 4B(2) or temporary in 4B(1); OPENING_BALANCE_SUSPECT: opening balance not supported by books</t>
  </si>
  <si>
    <t xml:space="preserve">MATCHED=Low; ROLLFORWARD_DIFF=Medium; NEGATIVE_BALANCE=Critical; RECLAIM_EXCEEDS=Critical; BOOKS_GAP=High; WRONG_ROW=High; OPENING_BALANCE_SUSPECT=High</t>
  </si>
  <si>
    <t xml:space="preserve">tax_tolerance_inr=1; ecrrs_start_period=082023</t>
  </si>
  <si>
    <t xml:space="preserve">Periods continuous; heads IGST/CGST/SGST/cess.</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</si>
  <si>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opening; reversal; reclaim; closing_recomputed; closing_portal</t>
  </si>
  <si>
    <t xml:space="preserve">IGST: opening Jul-2025 12,000; Jul 4B(2) 10,373; Jul 4D(1) 0 -&gt; closing 22,373. Aug 4B(2) 0; Aug 4D(1) 25,000 -&gt; 22,373 − 25,000 = −2,627 -&gt; RECLAIM_EXCEEDS and NEGATIVE_BALANCE. Books open items Aug-end: 0 -&gt; BOOKS_GAP vs portal.</t>
  </si>
  <si>
    <t xml:space="preserve">opening 5,000 + reversal 2,000 − reclaim 7,000 = 0 -&gt; MATCHED.</t>
  </si>
  <si>
    <t xml:space="preserve">QRMP taxpayer: periods quarterly from Jul-Sep 2023 – monthly comparisons skipped.</t>
  </si>
  <si>
    <t xml:space="preserve">Opening balance not declared or wrong; re-claims of ITC never reversed via 4B(2) (e.g. ITC reversed by not claiming); Rule 42 reversals put in 4B(2) and later 're-claimed'.</t>
  </si>
  <si>
    <t xml:space="preserve">NEGATIVE_BALANCE / RECLAIM_EXCEEDS: reverse excess in 4B(2) of next 3B (adds to liability if ITC insufficient) and pay s.50(3) interest if utilised; correct opening balance via portal facility if still open.</t>
  </si>
  <si>
    <t xml:space="preserve">def rc_gst_018(g3b_series, ecrrs, books_open, p):
    out = []; bal = dict(ecrrs.opening_at(p.ecrrs_start_period))
    for per in periods(g3b_series):
        for h in HEADS4:
            if g3b_series[per]['4D1'][h] &gt; bal[h] + g3b_series[per]['4B2'][h] + p.tax_tolerance_inr:
                out.append(exc('RECLAIM_EXCEEDS', period=per, head=h))
            bal[h] += g3b_series[per]['4B2'][h] - g3b_series[per]['4D1'][h]
            if bal[h] &lt; 0: out.append(exc('NEGATIVE_BALANCE', period=per, head=h, value=bal[h]))
            if abs(bal[h] - ecrrs.closing(per, h)) &gt; p.tax_tolerance_inr: out.append(exc('ROLLFORWARD_DIFF', period=per, head=h))
            if abs(ecrrs.closing(per, h) - books_open.balance(per, h)) &gt; p.tax_tolerance_inr: out.append(exc('BOOKS_GAP', period=per, head=h))
    return out</t>
  </si>
  <si>
    <t xml:space="preserve">Circular 170/02/2022-GST | https://www.gstcouncil.gov.in/sites/default/files/2024-06/cir-170-02-2022-cgst.pdf | GSTR-3B Table 4 and 3.2 reporting
GSTHero – ECRRS | https://gsthero.com/blog/electronic-credit-reversal-and-reclaimed-statement/ | from Aug 2023 return period
TaxGuru – ITC reclaim ledger &amp; RCM ledger hard validations | https://taxguru.in/goods-and-service-tax/gstn-itc-reclaim-ledger-rcm-ledger-hard-validations-block-gstr-3b-filing.html | advisory 29.12.2025: 4D(1) &lt;= reclaim balance + 4B(2) current; 4A(2)+4A(3) &lt;= 3.1(d) + RCM ledger balance
Busy – GSTR-3B hard block survival guide (July 2026) | https://busy.in/business-updates/how-to-fix-gstr-3b-hard-block/ | Advisory No. 643 dt 29.12.2025; activation date not stated
TaxGuru – GSTN 4 advisories December 2025 | https://taxguru.in/goods-and-service-tax/gstn-issues-4-advisories-december-2025-clarify-key-compliance-procedures.html | 05.12.2025 Table 3.2 lock; 18.12.2025 IMS CN; 29.12.2025 ECRRS/RCM</t>
  </si>
  <si>
    <t xml:space="preserve">Hard-validation formula verified via TaxGuru summary of GSTN advisory 29.12.2025 (Advisory No. 643 per Busy). Activation date of blocking not confirmed as of July 2026 (Busy). ECRRS start periods verified via TaxGuru/GSTHero (secondary).</t>
  </si>
  <si>
    <t xml:space="preserve">RC-GST-019</t>
  </si>
  <si>
    <t xml:space="preserve">GST – Reverse charge</t>
  </si>
  <si>
    <t xml:space="preserve">RCM: GL expense heads vs GSTR-3B 3.1(d) liability and 4A(2)/4A(3) ITC</t>
  </si>
  <si>
    <t xml:space="preserve">Identify expenses in the general ledger that attract reverse charge (GTA, legal, director fees, security, rent of commercial property from unregistered, import of services, etc.), compute expected RCM tax, and compare with liability paid in 3B 3.1(d) and ITC taken in 4A(2)/(3).</t>
  </si>
  <si>
    <t xml:space="preserve">GL</t>
  </si>
  <si>
    <t xml:space="preserve">tax period (month) based on time of supply</t>
  </si>
  <si>
    <t xml:space="preserve">CGST Act s.9(3) / IGST Act s.5(3) – Notification 13/2017-CT(Rate) (services) as amended incl. 9/2024-CT(Rate) (renting of non-residential property by unregistered person to registered person, from 10.10.2024) and 7/2025-CT(Rate) (composition recipients excluded from that entry, from 16.01.2025); Notification 4/2017-CT(Rate) (goods); IGST s.5(3) + N.10/2017-IT(Rate) (import of services); s.9(4) (notified classes); s.13(3) time of supply; s.31(3)(f) self-invoice; s.49(4) RCM to be paid in cash; GTA from 22.09.2025: 5% (RCM default) or 18% forward charge option (Council FAQ).</t>
  </si>
  <si>
    <t xml:space="preserve">Registered recipients of notified goods/services.</t>
  </si>
  <si>
    <t xml:space="preserve">GL with expense head, party, party GSTIN/registration status, PAN, nature (body corporate/individual/firm), invoice date, payment date, amount; RCM mapping master (GL head -&gt; RCM entry, rate, conditions); GSTR-3B 3.1(d), 4A(2), 4A(3); self-invoices.</t>
  </si>
  <si>
    <t xml:space="preserve">GL.ledger_name = RCM_MASTER.gl_head; GL.period_tos = GSTR3B.return_period</t>
  </si>
  <si>
    <t xml:space="preserve">GL head names mapped via master (implementation choice); party constitution from PARTY_MASTER; month of time of supply = month(min(payment_date, invoice_date + 60 days)) per s.13(3) for services.</t>
  </si>
  <si>
    <t xml:space="preserve">Per period per RCM entry per head (IGST if supplier state != recipient state or import of services; else CGST+SGST).</t>
  </si>
  <si>
    <t xml:space="preserve">Σ expected_rcm_tax_h vs GSTR3B.3_1_d_h; Σ expected_rcm_itc_eligible_h vs GSTR3B.4A3_h (domestic) and 4A2_h (import of services); GSTR3B.4A2+4A3 vs GSTR3B.3_1_d (RC-GST-020)</t>
  </si>
  <si>
    <t xml:space="preserve">Rs 10 per head per period (implementation choice – rounding of many small bills).</t>
  </si>
  <si>
    <t xml:space="preserve">rcm_tax = taxable_value × rate; tos_services = min(payment_date, invoice_date + 60 days); expected_itc = rcm_tax where eligible (not blocked u/s 17(5), business use)</t>
  </si>
  <si>
    <t xml:space="preserve">1. Filter GL lines whose head maps to an RCM entry. 2. Apply conditions per entry (e.g. legal services by individual advocate/firm to business entity; security by non-body-corporate to registered person; renting of commercial property by unregistered person; director sitting fees by director to company; GTA not opting forward charge; import of services from non-resident). 3. Compute RCM tax and time of supply period. 4. Aggregate per period. 5. Compare to 3B 3.1(d). 6. Compare eligible ITC to 4A(2)/(3). 7. Lines where supplier charged GST on invoice for an RCM entry -&gt; SUPPLIER_CHARGED_GST.</t>
  </si>
  <si>
    <t xml:space="preserve">MATCHED; RCM_SHORT_PAID: 3.1(d) below expected; RCM_EXCESS_PAID; RCM_ITC_SHORT: ITC not taken; RCM_ITC_EXCESS: ITC above liability/eligible; PERIOD_SHIFT: paid in another period; SUPPLIER_CHARGED_GST: forward-charge GST on RCM service; UNMAPPED_HEAD: GL head likely RCM but not in master; SELF_INVOICE_MISSING: unregistered supplier without self-invoice</t>
  </si>
  <si>
    <t xml:space="preserve">MATCHED=Low; RCM_SHORT_PAID=Critical; RCM_EXCESS_PAID=Medium; RCM_ITC_SHORT=Medium; RCM_ITC_EXCESS=Critical; PERIOD_SHIFT=Medium; SUPPLIER_CHARGED_GST=High; UNMAPPED_HEAD=Medium; SELF_INVOICE_MISSING=High</t>
  </si>
  <si>
    <t xml:space="preserve">tolerance_inr=10; rcm_master_version=; gta_default_rate_pct=5; tos_days=60</t>
  </si>
  <si>
    <t xml:space="preserve">Party GSTIN status and constitution present; rates as per master by date; import of services flagged by foreign party.</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</si>
  <si>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gl_head; rcm_entry; expected_tax; reported_tax; tos_period</t>
  </si>
  <si>
    <t xml:space="preserve">Client 27, Aug-2025. GL: Freight (GTA, individual unregistered) 1,00,000 paid 10-08-2025 -&gt; RCM 5% = 5,000 (CGST 2,500 SGST 2,500); Legal fees (advocate, 27) 50,000 -&gt; 18% = 9,000 (4,500+4,500); Director sitting fees 30,000 -&gt; 5,400; Rent of shop from unregistered owner 40,000 -&gt; 7,200; AWS (non-resident) 2,00,000 -&gt; IGST 36,000. Expected: CGST 4,500+... -&gt; CGST 2,500+4,500+2,700+3,600 = 13,300; SGST 13,300; IGST 36,000. 3B 3.1(d): CGST 10,000 SGST 10,000 IGST 36,000 -&gt; RCM_SHORT_PAID CGST 3,300, SGST 3,300 (rent entry missed).</t>
  </si>
  <si>
    <t xml:space="preserve">GTA that opted forward charge (declaration on file) charging 18% on invoice -&gt; not RCM, no exception.</t>
  </si>
  <si>
    <t xml:space="preserve">Legal fees paid to advocate by an individual (non-business entity client) -&gt; not RCM; rule only runs where client is a business entity (params).</t>
  </si>
  <si>
    <t xml:space="preserve">Rent of commercial property from unregistered landlord missed (new from 10.10.2024); GTA rate confusion after 22.09.2025; director remuneration (employees – not RCM) vs sitting fees; import of software subscriptions; time of supply 60-day rule ignored; RCM paid via ITC (not allowed).</t>
  </si>
  <si>
    <t xml:space="preserve">RCM_SHORT_PAID: pay in cash via next 3B 3.1(d) with s.50 interest from due date of original period; claim ITC in same return if eligible; issue self-invoice for unregistered suppliers.</t>
  </si>
  <si>
    <t xml:space="preserve">def rc_gst_019(gl, g3b, master, p):
    lines = gl.merge(master, on='gl_head')
    lines = lines[lines.apply(lambda r: master_conditions_ok(r), axis=1)]
    lines['tos'] = np.minimum(lines.payment_date.fillna(date.max), lines.invoice_date + timedelta(days=p.tos_days))
    lines['period'] = lines.tos.map(period_of)
    lines[['igst','cgst','sgst']] = lines.apply(split_heads_by_state, axis=1)
    exp = lines[lines.period==p.period][['igst','cgst','sgst']].sum()
    out = []
    for h in ['igst','cgst','sgst']:
        d = exp[h] - g3b['3_1_d'][h]
        if d &gt; p.tolerance_inr: out.append(exc('RCM_SHORT_PAID', head=h, diff=d))
        elif d &lt; -p.tolerance_inr: out.append(exc('RCM_EXCESS_PAID', head=h, diff=d))
    out += [exc('SUPPLIER_CHARGED_GST', r) for r in lines if r.gst_charged_on_invoice &gt; 0]
    out += [exc('UNMAPPED_HEAD', h) for h in suspect_heads(gl, master)]
    return out</t>
  </si>
  <si>
    <t xml:space="preserve">TaxRoutine – RCM services notification consolidated | https://taxroutine.com/repository/gst-notifications/rcm-services/ | N.13/2017-CT(Rate) as amended (9/2024, 7/2025)
ClearTax – RCM on renting of commercial property | https://cleartax.in/s/rcm-on-rent-of-commercial-property-under-gst | from 10.10.2024; composition excluded 16.01.2025
GST Council FAQ on GST 2.0 rate changes | https://gstcouncil.gov.in/sites/default/files/2025-09/faq.pdf | FAQ 60 (GTA 5%/18%)</t>
  </si>
  <si>
    <t xml:space="preserve">RCM entry list from secondary consolidation (TaxRoutine) and gst.json GST-021; specific conditions (e.g., legal services exemption for small business entities, security services exclusions) need CA confirmation. Rate per entry must be taken from the rate master as on time of supply. Time of supply 60-day rule (s.13(3)) from statute knowledge.</t>
  </si>
  <si>
    <t xml:space="preserve">RC-GST-020</t>
  </si>
  <si>
    <t xml:space="preserve">RCM liability/ITC statement: 3B 3.1(d) paid vs 4A(2)+4A(3) ITC claimed (ledger validation)</t>
  </si>
  <si>
    <t xml:space="preserve">Check RCM ITC claimed never exceeds RCM tax actually paid (cumulative, by head), as enforced by GSTN's RCM Liability/ITC Statement.</t>
  </si>
  <si>
    <t xml:space="preserve">RCM_STMT</t>
  </si>
  <si>
    <t xml:space="preserve">GSTN RCM Liability/ITC Statement – monthly filers from August 2024, QRMP from Jul-Sep 2024 quarter (advisory 23.08.2024; opening balance facility); GSTN advisory No. 643 dt 29.12.2025 – hard validation: 4A(2)+4A(3) ITC &lt;= 3.1(d) RCM liability of the period + RCM ledger closing balance (activation date not confirmed); CGST s.16, s.49(4).</t>
  </si>
  <si>
    <t xml:space="preserve">All taxpayers paying RCM.</t>
  </si>
  <si>
    <t xml:space="preserve">2024-08-01</t>
  </si>
  <si>
    <t xml:space="preserve">GSTR-3B series 3.1(d), 4A(2), 4A(3); RCM Liability/ITC Statement download (opening, liability paid, ITC claimed, closing).</t>
  </si>
  <si>
    <t xml:space="preserve">GSTR3B.return_period = RCM_STMT.ret_period</t>
  </si>
  <si>
    <t xml:space="preserve">Period MMYYYY.</t>
  </si>
  <si>
    <t xml:space="preserve">Per period per head.</t>
  </si>
  <si>
    <t xml:space="preserve">GSTR3B.3_1_d_h vs RCM_STMT.liability_h; GSTR3B.4A2_h + GSTR3B.4A3_h vs RCM_STMT.itc_h; recomputed closing vs RCM_STMT.closing_h</t>
  </si>
  <si>
    <t xml:space="preserve">Rs 1 per head (implementation choice); negative closing – zero tolerance.</t>
  </si>
  <si>
    <t xml:space="preserve">closing_h = opening_h + liability_3_1_d_h − itc_4A2_4A3_h; negative if closing_h &lt; 0 (ITC claimed exceeds RCM paid)</t>
  </si>
  <si>
    <t xml:space="preserve">1. Start with opening balance (declared). 2. Roll forward. 3. Negative -&gt; RCM_ITC_EXCEEDS_PAID. 4. Compare with portal statement. 5. Positive closing persisting &gt; 12 months -&gt; ITC_NOT_CLAIMED_STALE (may lapse u/s 16(4)).</t>
  </si>
  <si>
    <t xml:space="preserve">MATCHED; RCM_ITC_EXCEEDS_PAID; ROLLFORWARD_DIFF; ITC_NOT_CLAIMED_STALE</t>
  </si>
  <si>
    <t xml:space="preserve">MATCHED=Low; RCM_ITC_EXCEEDS_PAID=Critical; ROLLFORWARD_DIFF=Medium; ITC_NOT_CLAIMED_STALE=Medium</t>
  </si>
  <si>
    <t xml:space="preserve">tax_tolerance_inr=1; stale_months=12</t>
  </si>
  <si>
    <t xml:space="preserve">Periods continuous from statement start.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</si>
  <si>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opening; liability; itc; closing</t>
  </si>
  <si>
    <t xml:space="preserve">CGST: opening 0; Aug 3.1(d) 10,000, 4A(3) 13,300 -&gt; closing −3,300 -&gt; RCM_ITC_EXCEEDS_PAID (ITC on unpaid rent RCM).</t>
  </si>
  <si>
    <t xml:space="preserve">3.1(d) 5,000; ITC 5,000 -&gt; closing 0 MATCHED.</t>
  </si>
  <si>
    <t xml:space="preserve">ITC on RCM paid in previous month claimed this month: opening 2,000 + 0 − 2,000 = 0 -&gt; OK.</t>
  </si>
  <si>
    <t xml:space="preserve">ITC claimed on RCM entries before payment; import-of-services IGST put in 4A(3) instead of 4A(2) (head ok but row wrong); opening balance not declared.</t>
  </si>
  <si>
    <t xml:space="preserve">Pay additional RCM in 3.1(d) or reduce RCM ITC; interest under s.50(3) if excess ITC utilised.</t>
  </si>
  <si>
    <t xml:space="preserve">def rc_gst_020(g3b_series, stmt, p):
    out = []; bal = dict(stmt.opening)
    for per in periods(g3b_series):
        for h in ['igst','cgst','sgst','cess']:
            bal[h] += g3b_series[per]['3_1_d'][h] - g3b_series[per]['4A2'][h] - g3b_series[per]['4A3'][h]
            if bal[h] &lt; -p.tax_tolerance_inr: out.append(exc('RCM_ITC_EXCEEDS_PAID', period=per, head=h, value=bal[h]))
            if abs(bal[h] - stmt.closing(per, h)) &gt; p.tax_tolerance_inr: out.append(exc('ROLLFORWARD_DIFF', period=per, head=h))
    return out</t>
  </si>
  <si>
    <t xml:space="preserve">TaxGuru – ITC reclaim ledger &amp; RCM ledger hard validations | https://taxguru.in/goods-and-service-tax/gstn-itc-reclaim-ledger-rcm-ledger-hard-validations-block-gstr-3b-filing.html | advisory 29.12.2025: 4D(1) &lt;= reclaim balance + 4B(2) current; 4A(2)+4A(3) &lt;= 3.1(d) + RCM ledger balance
Busy – GSTR-3B hard block survival guide (July 2026) | https://busy.in/business-updates/how-to-fix-gstr-3b-hard-block/ | Advisory No. 643 dt 29.12.2025; activation date not stated
Taxo – GSTN advisory 29.12.2025 on ECRRS &amp; RCM liability/ITC statement | https://taxo.online/latest-news/29-12-2025-gstn-has-issued-an-advisory-on-electronic-credit-reversal-and-re-claimed-statement-rcm-liability-itc-statement/ | seen in search results</t>
  </si>
  <si>
    <t xml:space="preserve">NEW DOC CODE: RCM_STMT (GST portal RCM Liability/ITC Statement) – added because no fixed code represents it (ELL is the liability ledger). Activation of hard blocking not confirmed.</t>
  </si>
  <si>
    <t xml:space="preserve">RC-GST-021</t>
  </si>
  <si>
    <t xml:space="preserve">GST – Payment &amp; ledgers</t>
  </si>
  <si>
    <t xml:space="preserve">GSTR-3B tax paid (Table 6.1) vs ECL/ECRL/ELL – cash vs credit utilisation and order (s.49, Rule 88A)</t>
  </si>
  <si>
    <t xml:space="preserve">Check that the tax paid in GSTR-3B by cash and by each ITC head ties to debits in the cash and credit ledgers and the liability ledger, that cash-only items (RCM, interest, late fee) were paid in cash, and that the cross-utilisation order was followed.</t>
  </si>
  <si>
    <t xml:space="preserve">ECL</t>
  </si>
  <si>
    <t xml:space="preserve">ECRL</t>
  </si>
  <si>
    <t xml:space="preserve">CGST Act s.49(2)-(5) (ITC utilisation; IGST credit first for IGST then CGST/SGST; CGST credit not for SGST and vice versa), s.49(4) and s.49(1) (cash ledger), s.49A (IGST credit to be fully utilised before CGST/SGST credit), s.49B; Rule 88A (inserted N.16/2019-CT: IGST credit may be used for CGST/SGST in any order/proportion but must be exhausted first); Circular 98/17/2019-GST; Rule 86 (ECRL), Rule 87 (ECL), Rule 85 (ELL); RCM liability payable only in cash (s.49(4) read with definition of output tax).</t>
  </si>
  <si>
    <t xml:space="preserve">2019-03-29</t>
  </si>
  <si>
    <t xml:space="preserve">GSTR-3B Table 6.1 (tax payable, paid through ITC by head, paid in cash, interest, late fee); ECL, ECRL, ELL downloads for the period (debit entries with reference to return ARN/date).</t>
  </si>
  <si>
    <t xml:space="preserve">GSTR3B.return_period = ECL.tax_period; GSTR3B.arn = ECL.reference_no; GSTR3B.arn = ECRL.reference_no; GSTR3B.arn = ELL.reference_no</t>
  </si>
  <si>
    <t xml:space="preserve">ARN uppercase; ledger debit description parsed for return period (implementation choice).</t>
  </si>
  <si>
    <t xml:space="preserve">Per period per head and per payment mode (cash/ITC by source head).</t>
  </si>
  <si>
    <t xml:space="preserve">GSTR3B.6_1.paid_cash_h vs ECL.debit_tax_h (tax); GSTR3B.6_1.paid_itc_from_x_to_y vs ECRL.debit_h; GSTR3B.6_1.interest_h vs ECL.debit_interest_h; GSTR3B.6_1.latefee_h vs ECL.debit_fee_h; GSTR3B.6_1.tax_payable_h vs ELL.liability_created_h (liability created)</t>
  </si>
  <si>
    <t xml:space="preserve">Rs 0 (system ledgers) – any difference indicates wrong file/period; Rs 1 for rounding in manual inputs (implementation choice).</t>
  </si>
  <si>
    <t xml:space="preserve">rcm_cash_check: paid_cash_h &gt;= rcm_liability_h (3.1(d)) + interest_h + latefee_h; order_check: if IGST ITC closing balance &gt; 0 after set-off while CGST/SGST credit was used for any liability -&gt; s.49A breach; ledger_check: ECRL.opening_h − debits_h + credits_h = ECRL.closing_h</t>
  </si>
  <si>
    <t xml:space="preserve">1. Read 6.1 per head. 2. Match to ledger debits by ARN. 3. Compare amounts. 4. Check RCM + interest + late fee paid only in cash. 5. Check IGST credit exhausted before CGST/SGST credit used (s.49A, Rule 88A). 6. Check CGST credit never used for SGST/UTGST and vice versa. 7. Check ledger arithmetic. 8. Optimisation note: compute minimum cash outflow possible (GST-029 algorithm) and report saving (info).</t>
  </si>
  <si>
    <t xml:space="preserve">MATCHED; CASH_DEBIT_DIFF; CREDIT_DEBIT_DIFF; LIABILITY_DIFF; RCM_PAID_BY_ITC: cash paid &lt; RCM liability; ORDER_BREACH: s.49A/Rule 88A order not followed; CROSS_HEAD_BREACH: CGST&lt;-&gt;SGST cross use; LEDGER_ARITH: ledger balance does not roll; SUBOPTIMAL_CASH: more cash paid than needed (info)</t>
  </si>
  <si>
    <t xml:space="preserve">MATCHED=Low; CASH_DEBIT_DIFF=High; CREDIT_DEBIT_DIFF=High; LIABILITY_DIFF=High; RCM_PAID_BY_ITC=Critical; ORDER_BREACH=High; CROSS_HEAD_BREACH=Critical; LEDGER_ARITH=Medium; SUBOPTIMAL_CASH=Low</t>
  </si>
  <si>
    <t xml:space="preserve">tolerance_inr=0</t>
  </si>
  <si>
    <t xml:space="preserve">Ledgers cover the 3B filing date; heads mapped (tax/interest/penalty/fee/others in ECL).</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</si>
  <si>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payment_mode; source_head; ledger_ref</t>
  </si>
  <si>
    <t xml:space="preserve">Aug-2025 liability: IGST 50,000, CGST 40,000, SGST 40,000; RCM CGST 3,000 SGST 3,000 (included). ITC: IGST 60,000, CGST 10,000, SGST 10,000. Correct: IGST credit -&gt; IGST 50,000, balance 10,000 -&gt; CGST/SGST (e.g. CGST 10,000); CGST credit 10,000 -&gt; CGST (forward charge 37,000 − 10,000 IGST −10,000 = 17,000 left after RCM 3,000 cash); 3B shows CGST credit used 10,000 while IGST credit 10,000 still unused -&gt; ORDER_BREACH. RCM 3,000 paid from CGST credit -&gt; RCM_PAID_BY_ITC.</t>
  </si>
  <si>
    <t xml:space="preserve">Cash debit 25,000 CGST equals 6.1 paid in cash 25,000 -&gt; MATCHED.</t>
  </si>
  <si>
    <t xml:space="preserve">Ledger file from a different GSTIN -&gt; abort INPUT_ERROR.</t>
  </si>
  <si>
    <t xml:space="preserve">Manual set-off on older portal versions; DRC-03 payments mixed with 3B debits; interest paid under wrong head; cash ledger balance in 'others' minor head.</t>
  </si>
  <si>
    <t xml:space="preserve">RCM_PAID_BY_ITC: pay RCM again in cash, re-credit ITC is not automatic – CA review (refund/adjustment). ORDER_BREACH: note – generally portal enforces; review for older periods.</t>
  </si>
  <si>
    <t xml:space="preserve">def rc_gst_021(g3b, ecl, ecrl, ell, p):
    out = []
    for h in ['igst','cgst','sgst','cess']:
        if abs(g3b.t6_1.cash[h] - ecl.debits(g3b.arn, h, minor='tax')) &gt; p.tolerance_inr: out.append(exc('CASH_DEBIT_DIFF', head=h))
        if abs(sum(g3b.t6_1.itc[(s,h)] for s in SRC) - ecrl.debits_for_liability(g3b.arn, h)) &gt; p.tolerance_inr: out.append(exc('CREDIT_DEBIT_DIFF', head=h))
        if g3b.t6_1.cash[h] + 1 &lt; g3b['3_1_d'][h]: out.append(exc('RCM_PAID_BY_ITC', head=h))
    if g3b.t6_1.itc[('cgst','sgst')] &gt; 0 or g3b.t6_1.itc[('sgst','cgst')] &gt; 0: out.append(exc('CROSS_HEAD_BREACH'))
    if igst_credit_left_after(g3b, ecrl) &gt; 0 and (g3b.t6_1.itc_used('cgst') + g3b.t6_1.itc_used('sgst')) &gt; 0: out.append(exc('ORDER_BREACH'))
    opt = optimise_cash(g3b.liability, ecrl.opening_plus_current)
    if g3b.t6_1.cash_total - opt &gt; 1: out.append(exc('SUBOPTIMAL_CASH', diff=g3b.t6_1.cash_total - opt))
    return out</t>
  </si>
  <si>
    <t xml:space="preserve">Taxmann – ITC utilisation guide | https://www.taxmann.com/post/blog/guide-to-maximizing-the-utilization-of-gst-input-tax-credit/ | s.49(5), 49A, 49B, Rule 88A, Circ 98/17/2019</t>
  </si>
  <si>
    <t xml:space="preserve">Utilisation order verified via Taxmann (GST-029). Ledger field names are implementation mapping of portal downloads. Rule 86B restriction (from 01.02.2026 limited to pan masala/tobacco manufacturers per N.20/2025-CT) not modelled here.</t>
  </si>
  <si>
    <t xml:space="preserve">RC-GST-022</t>
  </si>
  <si>
    <t xml:space="preserve">GST – Interest</t>
  </si>
  <si>
    <t xml:space="preserve">Interest u/s 50 – computed (late 3B cash portion, short payment, wrong ITC utilised) vs paid (ELL/DRC-03)</t>
  </si>
  <si>
    <t xml:space="preserve">Recompute interest on delayed returns, short-paid tax and wrongly availed &amp; utilised ITC, and compare with interest actually paid via GSTR-3B 5.1/DRC-03 and recorded in the liability ledger.</t>
  </si>
  <si>
    <t xml:space="preserve">ELL</t>
  </si>
  <si>
    <t xml:space="preserve">DRC03</t>
  </si>
  <si>
    <t xml:space="preserve">tax period (month) of the liability; payment date</t>
  </si>
  <si>
    <t xml:space="preserve">CGST Act s.50(1) and proviso (interest on delayed tax; for return filed after due date, only on tax paid by debiting cash ledger – w.e.f. 01.07.2017 per FA 2021 / N.16/2021-CT – not re-verified), s.50(3) (substituted by FA 2022 retrospectively from 01.07.2017 – interest only where ITC wrongly availed and utilised; N.9/2022-CT); Notification 13/2017-CT (rates: 18% s.50(1); s.50(3) rate 24% originally, substituted to 18% retrospectively by FA 2022 per secondary – conflicting); Rule 88B (manner of computing interest, N.14/2022-CT); s.170 rounding.</t>
  </si>
  <si>
    <t xml:space="preserve">All taxpayers with late filing, short payment or wrong ITC utilisation.</t>
  </si>
  <si>
    <t xml:space="preserve">3B filing dates and 6.1 cash payments; due dates master (GST-025 incl. QRMP 22nd/24th); ECL deposits with dates (for proviso – cash balance before due date); DRC-03 list (cause, period, interest paid); outputs of RC-GST-007/014/017/018 for short payment and excess ITC.</t>
  </si>
  <si>
    <t xml:space="preserve">GSTR3B.return_period = ELL.tax_period; DRC03.period_from..period_to covers GSTR3B.return_period</t>
  </si>
  <si>
    <t xml:space="preserve">Periods MMYYYY; DRC-03 period range expanded to months (implementation choice).</t>
  </si>
  <si>
    <t xml:space="preserve">Per period per head; DRC-03 interest per period per head.</t>
  </si>
  <si>
    <t xml:space="preserve">computed_interest_h vs GSTR3B.5_1_interest_h + DRC03.interest (+ ELL interest debits)</t>
  </si>
  <si>
    <t xml:space="preserve">Rs 1 per head (s.170 rounding to nearest rupee) – then Rs 10 implementation tolerance for day-count convention.</t>
  </si>
  <si>
    <t xml:space="preserve">late_return: base_h = cash_paid_h − ecl_balance_h_available_on_due_date_held_till_debit; days = filing_date − due_date; interest = base_h × 18% × days/365. short_payment: interest = short_h × 18% × days(due_date → payment_date)/365. wrong_itc (Rule 88B(3)): utilised_h = max(0, wrong_itc_h − ecrl_balance_h(t)) tracked; interest = utilised × rate_503 × days(utilisation → reversal)/365; round each final figure per s.170.</t>
  </si>
  <si>
    <t xml:space="preserve">1. For each 3B: compute delay days. 2. Determine cash portion; exclude cash ledger balance credited on/before due date that remained till debit (Rule 88B(1) proviso). 3. Compute interest. 4. Add short payment interest from RC-GST-007 timing/short items. 5. Add s.50(3) interest from RC-GST-014/018 excess ITC where utilised (ECRL balance fell below wrong ITC). 6. Sum paid interest from 3B 5.1 and DRC-03. 7. Compare.</t>
  </si>
  <si>
    <t xml:space="preserve">MATCHED; INTEREST_SHORT_PAID; INTEREST_EXCESS_PAID; INTEREST_NOT_PAID: due but zero paid; RATE_POLICY: s.50(3) rate assumption applied (info)</t>
  </si>
  <si>
    <t xml:space="preserve">MATCHED=Low; INTEREST_SHORT_PAID=High; INTEREST_EXCESS_PAID=Low; INTEREST_NOT_PAID=High; RATE_POLICY=Low</t>
  </si>
  <si>
    <t xml:space="preserve">rate_50_1_pct=18; rate_50_3_pct=18; day_count=exclusive_due_inclusive_payment; year_days=365; tolerance_inr=10</t>
  </si>
  <si>
    <t xml:space="preserve">Due date per period and per QRMP group; filing date present; cash deposit dates present for proviso.</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</si>
  <si>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base; days; rate; computed; paid; diff</t>
  </si>
  <si>
    <t xml:space="preserve">Aug-2025 3B due 20-09-2025, filed 05-10-2025 (15 days). Cash paid CGST 20,000, SGST 20,000; ECL had CGST 5,000 deposited 15-09-2025 held till debit -&gt; base CGST 15,000. Interest CGST = 15,000 × 18% × 15/365 = 110.96 -&gt; 111; SGST base 20,000 -&gt; 147.95 -&gt; 148. Paid in 3B 5.1: CGST 100, SGST 148 -&gt; INTEREST_SHORT_PAID CGST 11.</t>
  </si>
  <si>
    <t xml:space="preserve">3B filed on due date -&gt; no interest; paid 0 -&gt; MATCHED.</t>
  </si>
  <si>
    <t xml:space="preserve">ITC wrongly availed 50,000 IGST but ECRL balance never fell below 50,000 until reversal -&gt; utilised 0 -&gt; no s.50(3) interest.</t>
  </si>
  <si>
    <t xml:space="preserve">Portal-computed interest is system-calculated for late 3B (auto-populated) – manual DRC-03 interest for short payments often missed; QRMP state group due date wrong; interest computed on gross liability not cash portion.</t>
  </si>
  <si>
    <t xml:space="preserve">Pay shortfall via DRC-03 (cause: voluntary – interest) and record; keep working papers.</t>
  </si>
  <si>
    <t xml:space="preserve">def rc_gst_022(g3b_series, ecl, drc03, extras, p):
    out = []
    for g in g3b_series:
        due = due_date(g.ret_period, p.client_qrmp_state_group)
        days = max(0, (g.filing_date - due).days)
        comp = {}
        for h in TAXH:
            base = max(0, g.t6_1.cash[h] - ecl.balance_held(h, from_=due, till=g.filing_date))
            comp[h] = base * p.rate_50_1_pct/100 * days/p.year_days
            comp[h] += extras.short_payment_interest(g.ret_period, h, p) + extras.wrong_itc_interest(g.ret_period, h, p)
            paid = g.t5_1.interest[h] + drc03.interest(g.ret_period, h)
            d = round_s170(comp[h]) - paid
            if d &gt; p.tolerance_inr: out.append(exc('INTEREST_NOT_PAID' if paid==0 else 'INTEREST_SHORT_PAID', period=g.ret_period, head=h, diff=d))
            elif d &lt; -p.tolerance_inr: out.append(exc('INTEREST_EXCESS_PAID', period=g.ret_period, head=h, diff=d))
    return out</t>
  </si>
  <si>
    <t xml:space="preserve">Rule 88B CGST Rules (Chhattisgarh GST dept copy) | https://www.cggst.com/uploads/document/1754119329-rule-88b.pdf | Rule 88B(1)-(3)
Masters India – interest on wrongly availed ITC s.50(3) | https://www.mastersindia.co/blog/interest-on-wrongly-availed-itc-under-section-503-gst/ | N.9/2022-CT; retrospective 01.07.2017
TaxTMI forum – FA 2022 substitution of 18% for 24% | https://www.taxtmi.com/forum/issue?id=118761 | Finance Act 2022 s.116 &amp; Sixth Schedule (secondary)
Section 170 CGST Act (Chhattisgarh GST dept copy) | https://www.cggst.com/uploads/document/1752824769-section-170.pdf | rounding to nearest rupee
TaxHeal – GSTR-3B QRMP due dates 22nd/24th | https://www.taxheal.com/?p=89244 | N.82/2020-CT state groups</t>
  </si>
  <si>
    <t xml:space="preserve">s.50(3) rate (18% vs 24%) conflicting across sources (see gst.json GST-022) – default 18% param, CA to confirm. Day-count convention is implementation choice. s.50(1) proviso retrospective amendment notification not re-verified. s.50(3) rate resolved to 18% (see GST-022, verification 13-10-2026).</t>
  </si>
  <si>
    <t xml:space="preserve">RC-GST-023</t>
  </si>
  <si>
    <t xml:space="preserve">GST – Late fee</t>
  </si>
  <si>
    <t xml:space="preserve">Late fee u/s 47 computed vs paid (GSTR-3B, GSTR-1, GSTR-9)</t>
  </si>
  <si>
    <t xml:space="preserve">Recompute late fee for late GSTR-3B/GSTR-1/GSTR-9 and compare with fee actually paid (cash ledger / return).</t>
  </si>
  <si>
    <t xml:space="preserve">GSTR9</t>
  </si>
  <si>
    <t xml:space="preserve">tax period / FY</t>
  </si>
  <si>
    <t xml:space="preserve">CGST Act s.47(1) (Rs 100/day per Act, capped), s.47(2) (annual return: Rs 100/day, max 0.25% of turnover in State/UT); N.19/2021-CT (GSTR-3B from June 2021 period) and N.20/2021-CT (GSTR-1): Rs 25+25/day (nil: 10+10), caps Rs 500 (nil), 2,000 (AATO up to Rs 1.5 cr), 5,000 (Rs 1.5–5 cr), 10,000 (&gt; Rs 5 cr) total; N.7/2023-CT (GSTR-9 from FY 2022-23: AATO &lt;= Rs 5 cr Rs 25+25/day cap 0.02%+0.02%; Rs 5–20 cr Rs 50+50/day cap 0.02%+0.02%; &gt; Rs 20 cr statutory).</t>
  </si>
  <si>
    <t xml:space="preserve">Taxpayers filing returns after due date.</t>
  </si>
  <si>
    <t xml:space="preserve">2021-06-01</t>
  </si>
  <si>
    <t xml:space="preserve">Due dates master; filing dates (GSTR-1, 3B, 9, 9C); nil-return flag; AATO of preceding FY; turnover in State for GSTR-9; ECL late fee debits.</t>
  </si>
  <si>
    <t xml:space="preserve">GSTR3B.return_period = ECL.tax_period (and fy(tax_period) when matched to GSTR9.financial_year) (minor head 'fee'); GSTR9.financial_year = ECL.tax_period (and fy(tax_period) when matched to GSTR9.financial_year)</t>
  </si>
  <si>
    <t xml:space="preserve">Period MMYYYY / FY YYYY-YY.</t>
  </si>
  <si>
    <t xml:space="preserve">Per return per period per head (CGST, SGST).</t>
  </si>
  <si>
    <t xml:space="preserve">computed_fee_h vs paid_fee_h</t>
  </si>
  <si>
    <t xml:space="preserve">Exact (Rs 0) – fee is in whole rupees.</t>
  </si>
  <si>
    <t xml:space="preserve">fee_total = min(days_late × per_day_total, cap_total); split 50:50 CGST/SGST; GSTR-9: fee_head = min(days × per_day_head, cap_pct_head × state_turnover)</t>
  </si>
  <si>
    <t xml:space="preserve">1. days_late = filing_date − due_date (&gt;0). 2. Select slab (nil / AATO band). 3. Compute and cap. 4. GSTR-1 late fee is collected via the next GSTR-3B (portal practice) – compare against 3B 5.1 fee field of the next period. 5. Compare paid. 6. 57th Council late-fee waiver recommendation (08.10.2026) not applied unless notified.</t>
  </si>
  <si>
    <t xml:space="preserve">MATCHED; FEE_SHORT_PAID; FEE_EXCESS_PAID; FEE_NOT_PAID</t>
  </si>
  <si>
    <t xml:space="preserve">MATCHED=Low; FEE_SHORT_PAID=Medium; FEE_EXCESS_PAID=Low; FEE_NOT_PAID=Medium</t>
  </si>
  <si>
    <t xml:space="preserve">aato_prev_fy_inr=; per_day_3b_total=50; per_day_nil_total=20; caps_total=500/2000/5000/10000; gstr9_bands=per N.7/2023</t>
  </si>
  <si>
    <t xml:space="preserve">Due date master present; filing date &gt;= period end.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</si>
  <si>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return_type; days_late; slab; computed; paid</t>
  </si>
  <si>
    <t xml:space="preserve">GSTR-3B Aug-2025 due 20-09-2025 filed 30-10-2025: 40 days × Rs 50 = 2,000; AATO Rs 1 cr -&gt; cap 2,000 -&gt; fee 2,000 (1,000+1,000). Paid 1,000 total -&gt; FEE_SHORT_PAID 1,000.</t>
  </si>
  <si>
    <t xml:space="preserve">Nil 3B filed 60 days late: 60 × 20 = 1,200 -&gt; cap 500 -&gt; fee 500; paid 500 -&gt; MATCHED.</t>
  </si>
  <si>
    <t xml:space="preserve">AATO up to Rs 2 crore and GSTR-9 not filed for FY 2024-25 -&gt; exempt (N.15/2025-CT) -&gt; no fee.</t>
  </si>
  <si>
    <t xml:space="preserve">Late fee waived by amnesty for older periods; GSTR-1 late fee missed; wrong AATO band.</t>
  </si>
  <si>
    <t xml:space="preserve">Short-paid fee: pay via DRC-03/next return; note CA review if amnesty applies.</t>
  </si>
  <si>
    <t xml:space="preserve">def rc_gst_023(filings, ecl, p):
    out = []
    for f in filings:
        days = max(0, (f.filing_date - f.due_date).days)
        if f.type in ('GSTR3B','GSTR1'):
            per = p.per_day_nil_total if f.nil else p.per_day_3b_total
            cap = 500 if f.nil else cap_by_aato(p.aato_prev_fy_inr)
            fee = min(days*per, cap)
        else:
            fee = gstr9_fee(days, p.aato_prev_fy_inr, f.state_turnover)
        paid = ecl.fee_debits(f)
        if fee - paid &gt; 0: out.append(exc('FEE_NOT_PAID' if paid==0 else 'FEE_SHORT_PAID', f, diff=fee-paid))
        elif paid - fee &gt; 0: out.append(exc('FEE_EXCESS_PAID', f, diff=paid-fee))
    return out</t>
  </si>
  <si>
    <t xml:space="preserve">TaxHeal – N.19/2021-CT late fee caps GSTR-3B | https://www.taxheal.com/?p=89438 | caps from June 2021 period
Lexplosion – GSTR-9 late fee reduced (N.7/2023-CT) | https://lexplosion.in/late-fees-for-filing-annual-return-in-form-gstr-9-reduced-from-fy-2022-23-onwards/ | N.7/2023-CT dt 31.03.2023
CalcGuru – GST late fee calculator | https://calcguru.in/gst-late-fee-calculator/ | secondary summary of caps
TaxHeal – N.15/2025-CT annual return exemption | https://www.taxheal.com/?p=105269 | AATO up to Rs 2 crore exempt from GSTR-9 from FY 2024-25</t>
  </si>
  <si>
    <t xml:space="preserve">Caps from secondary reproductions (GST-023/024). Whether GSTR-9 late fee runs until GSTR-9C filed is open (gst.json). GSTR-1 late fee collection route via 3B is portal practice – CA to confirm.</t>
  </si>
  <si>
    <t xml:space="preserve">RC-GST-024</t>
  </si>
  <si>
    <t xml:space="preserve">GST – Annual return</t>
  </si>
  <si>
    <t xml:space="preserve">GSTR-9 Tables 4, 5, 9, 10, 11 vs sum of GSTR-1/1A and GSTR-3B for the FY</t>
  </si>
  <si>
    <t xml:space="preserve">Tie the annual return outward-supply and tax-payable tables to the sum of the year's GSTR-1/1A/IFF and GSTR-3B, including next-year amendments reported in Tables 10/11.</t>
  </si>
  <si>
    <t xml:space="preserve">financial year</t>
  </si>
  <si>
    <t xml:space="preserve">CGST Act s.44; Rule 80; FORM GSTR-9 (Tables 4, 5 auto-populated from GSTR-1/1A/IFF; Table 9 from GSTR-3B Table 6.1 net liability – auto-populated if positive, editable); GSTR-9 for FY 2024-25 onward includes GSTR-1A data (GSTN FAQ); N.15/2025-CT (AATO up to Rs 2 crore exempt from FY 2024-25).</t>
  </si>
  <si>
    <t xml:space="preserve">Taxpayers required to file GSTR-9 (AATO &gt; Rs 2 crore from FY 2024-25).</t>
  </si>
  <si>
    <t xml:space="preserve">All GSTR-1/1A/IFF and GSTR-3B of the FY; GSTR-1 amendments of next FY up to the cut-off pertaining to the FY; GSTR-9 JSON/PDF.</t>
  </si>
  <si>
    <t xml:space="preserve">GSTR9.financial_year = fy(GSTR1.return_period); GSTR9.financial_year = fy(GSTR3B.return_period)</t>
  </si>
  <si>
    <t xml:space="preserve">FY YYYY-YY.</t>
  </si>
  <si>
    <t xml:space="preserve">FY totals per table row per head.</t>
  </si>
  <si>
    <t xml:space="preserve">GSTR9.4A..4L vs Σ GSTR1 (B2C, B2B, zero-rated, deemed, advances, CN/DN, amendments); GSTR9.5 (exempt/nil/non-GST, zero-rated without tax) vs Σ GSTR1 Table 8 &amp; 6A WOPAY; GSTR9.9.tax_payable_h vs Σ GSTR3B.6_1 payable_h; GSTR9.9.paid_cash_h vs Σ GSTR3B cash; GSTR9.9.paid_itc_h vs Σ GSTR3B ITC; GSTR9.10/11 vs GSTR1 amendments in next FY</t>
  </si>
  <si>
    <t xml:space="preserve">Rs 1 per head per row (implementation choice).</t>
  </si>
  <si>
    <t xml:space="preserve">diff_row_h = GSTR9_row_h − Σ_source_row_h; total_turnover_9 = 4N + 5N; tax_gap = Σ GSTR9.4_tax − Σ GSTR9.9_paid</t>
  </si>
  <si>
    <t xml:space="preserve">1. Aggregate GSTR-1/1A/IFF by table for FY. 2. Compare Table 4 rows and Table 5 rows. 3. Aggregate 3B 6.1. 4. Compare Table 9. 5. Table 4 tax (liability declared) vs Table 9 paid -&gt; if 4 &gt; 9 then additional liability (pay via DRC-03 – Table 14). 6. Tables 10/11 vs next-FY amendments. 7. HSN Table 17 vs Σ GSTR-1 Table 12 (download facility).</t>
  </si>
  <si>
    <t xml:space="preserve">MATCHED; ROW_DIFF: row differs from source returns; LIABILITY_UNPAID: Table 4 tax &gt; Table 9 paid; EXCESS_PAID: paid &gt; declared; AMENDMENT_DIFF: Tables 10/11 differ from next-year amendments; HSN_DIFF: Table 17 differs</t>
  </si>
  <si>
    <t xml:space="preserve">MATCHED=Low; ROW_DIFF=Medium; LIABILITY_UNPAID=Critical; EXCESS_PAID=Medium; AMENDMENT_DIFF=Medium; HSN_DIFF=Low</t>
  </si>
  <si>
    <t xml:space="preserve">tax_tolerance_inr=1; aato_inr=</t>
  </si>
  <si>
    <t xml:space="preserve">All 12 months (or 4 quarters) present; GSTR-9 is for same GSTIN.</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</si>
  <si>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gstr9_table; row; head</t>
  </si>
  <si>
    <t xml:space="preserve">FY 2024-25: Σ GSTR-1 B2B IGST 12,00,000; GSTR-9 4B IGST 12,00,000 -&gt; MATCHED. GSTR-9 Table 4 total CGST 8,00,000; Σ 3B paid CGST 7,85,000 -&gt; LIABILITY_UNPAID 15,000 (pay via DRC-03 with interest).</t>
  </si>
  <si>
    <t xml:space="preserve">All rows equal -&gt; MATCHED.</t>
  </si>
  <si>
    <t xml:space="preserve">AATO Rs 1.8 crore FY 2024-25 -&gt; GSTR-9 not required; rule returns NOT_APPLICABLE.</t>
  </si>
  <si>
    <t xml:space="preserve">Next-year amendments not included; GSTR-1A not included for FY 2024-25+; advances adjusted; ECO supplies; Table 9 auto-populates only if positive.</t>
  </si>
  <si>
    <t xml:space="preserve">LIABILITY_UNPAID: pay via DRC-03 before filing GSTR-9; report in Table 14.</t>
  </si>
  <si>
    <t xml:space="preserve">def rc_gst_024(g9, g1_fy, g3b_fy, g1_next, p):
    if p.aato_inr &lt;= 2e7 and fy_ge(g9.fy, '2024-25'): return [exc('NOT_APPLICABLE')]
    src4 = map_gstr1_to_g9_t4(g1_fy, g1_next)
    out = compare_rows(g9.t4, src4, p.tax_tolerance_inr, 'ROW_DIFF') + compare_rows(g9.t5, map_gstr1_to_g9_t5(g1_fy), p.tax_tolerance_inr, 'ROW_DIFF')
    out += compare_rows(g9.t9, sum_3b_6_1(g3b_fy), p.tax_tolerance_inr, 'ROW_DIFF')
    for h in TAXH:
        d = g9.t4.tax_total[h] - g9.t9.paid_total[h]
        if d &gt; p.tax_tolerance_inr: out.append(exc('LIABILITY_UNPAID', head=h, diff=d))
    return out</t>
  </si>
  <si>
    <t xml:space="preserve">VJM Global – GSTN FAQs on GSTR-9/9C FY 2024-25 | https://www.vjmglobal.com/blog/gstn-issued-faqs-on-newly-released-form-gstr-9-9c-for-fy-2024-25 | 8A from 2B; 8C; 6A1; 8H1; Table 4/5 from GSTR-1/1A/IFF; Table 9 from 3B 6.1
GSTZen – FAQs on GSTR-9/9C changes FY 2024-25 | https://gstzen.in/a/faqs-on-gstr-9-9c-changes-fy-2024-25.html | Tables 6A1, 8H1; advisory 15.10.2025
TaxHeal – N.15/2025-CT annual return exemption | https://www.taxheal.com/?p=105269 | AATO up to Rs 2 crore exempt from GSTR-9 from FY 2024-25</t>
  </si>
  <si>
    <t xml:space="preserve">Auto-population sources verified via VJM summary of GSTN FAQ (FY 2024-25). Detailed row mapping (4A-4L, 5A-5N) from form knowledge – CA to confirm with current form version.</t>
  </si>
  <si>
    <t xml:space="preserve">RC-GST-025</t>
  </si>
  <si>
    <t xml:space="preserve">GST – Annual return – ITC</t>
  </si>
  <si>
    <t xml:space="preserve">GSTR-9 ITC tables (6, 7, 8A–8K, 13) vs GSTR-2B, GSTR-3B and books</t>
  </si>
  <si>
    <t xml:space="preserve">Tie ITC claimed in Table 6 to the year's GSTR-3B, Table 8A to GSTR-2B, and explain the 8A–8B difference (8D) and lapsed credits (8E/8F), including next-year claims (8C, 6A1, 8H1).</t>
  </si>
  <si>
    <t xml:space="preserve">CGST Act s.44, s.16(4); FORM GSTR-9 Tables 6, 7, 8, 13; GSTN FAQ for FY 2024-25: Table 8A auto-populated from GSTR-2B (FY invoices appearing in 2B April–October of next year; excludes previous-FY invoices), Table 8C = current-FY ITC claimed in next FY's 3B 4A(5) within time; Table 6A1 = previous-year ITC claimed in current year; Table 8H1 = import IGST of FY claimed next FY; Rule 37/37A re-claims not in 6A1.</t>
  </si>
  <si>
    <t xml:space="preserve">GSTR-9 filers.</t>
  </si>
  <si>
    <t xml:space="preserve">2024-04-01</t>
  </si>
  <si>
    <t xml:space="preserve">GSTR-9 Table 6/7/8/13; all GSTR-2B of FY and Apr–Oct next FY ('Table 8A document details' Excel); all 3B of FY and next FY up to 30 Nov; books ITC register.</t>
  </si>
  <si>
    <t xml:space="preserve">GSTR9.financial_year = fy(GSTR3B.return_period); GSTR9.8A document list = GSTR2B documents (ctin, inum, dt)</t>
  </si>
  <si>
    <t xml:space="preserve">FY per head; document level for 8A detail.</t>
  </si>
  <si>
    <t xml:space="preserve">GSTR9.6A_h vs Σ GSTR3B.4A_h (FY); GSTR9.6B..6H split vs books classification (inputs/capital goods/input services); GSTR9.7_h (reversals) vs Σ GSTR3B.4B_h; GSTR9.8A_h vs Σ GSTR2B ITC (FY docs); GSTR9.8B_h vs 6B+6H; GSTR9.8C_h vs next-FY 3B claims of FY docs; GSTR9.8D = 8A − (8B + 8C); GSTR9.8G vs Σ BoE IGST (imports); GSTR9.13 vs next-FY claims</t>
  </si>
  <si>
    <t xml:space="preserve">8D_h = 8A_h − (8B_h + 8C_h); 8E (ITC available but not availed) + 8F (ineligible) should explain positive 8D; lapse_h = 8E_h (ITC lost after s.16(4)); 6J (difference) = 6I − 6A (should be 0)</t>
  </si>
  <si>
    <t xml:space="preserve">1. Sum 3B 4A for FY -&gt; compare 6A. 2. Sum 3B 4B -&gt; compare Table 7. 3. Build 8A from 2B documents with doc date in FY (2B periods Apr FY – Oct next FY). 4. 8C from next-FY 3B claims for FY documents (from RC-GST-013 period mapping). 5. Compute 8D; positive 8D must be explained by 8E/8F; negative 8D (claimed more than 2B) -&gt; EXCESS_OVER_2B. 6. Compare 8G with BoE (RC-GST-027).</t>
  </si>
  <si>
    <t xml:space="preserve">MATCHED; T6A_DIFF; T7_DIFF; T8A_DIFF; EXCESS_OVER_2B: 8D negative; UNEXPLAINED_8D: positive 8D not explained by 8E/8F; ITC_LAPSED: 8E amount (info); IMPORT_DIFF: 8G vs BoE; SPLIT_DIFF: 6B/6C/6D/6E split differs from books</t>
  </si>
  <si>
    <t xml:space="preserve">MATCHED=Low; T6A_DIFF=High; T7_DIFF=High; T8A_DIFF=Medium; EXCESS_OVER_2B=Critical; UNEXPLAINED_8D=Medium; ITC_LAPSED=Medium; IMPORT_DIFF=High; SPLIT_DIFF=Low</t>
  </si>
  <si>
    <t xml:space="preserve">tax_tolerance_inr=1</t>
  </si>
  <si>
    <t xml:space="preserve">2B files April FY to October next FY present.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</si>
  <si>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gstr9_table; head; values</t>
  </si>
  <si>
    <t xml:space="preserve">FY 2024-25 IGST: 8A 10,00,000; 8B (6B+6H) 9,40,000; 8C 30,000 -&gt; 8D = 10,00,000 − 9,70,000 = 30,000; 8E 0, 8F 20,000 -&gt; UNEXPLAINED_8D 10,000.</t>
  </si>
  <si>
    <t xml:space="preserve">8A 5,00,000 = 8B 4,90,000 + 8C 10,000 -&gt; 8D 0 MATCHED.</t>
  </si>
  <si>
    <t xml:space="preserve">Previous-year (FY 2023-24) invoices claimed in FY 2024-25 -&gt; 6A1, excluded from 8A, no exception.</t>
  </si>
  <si>
    <t xml:space="preserve">RCM and import ITC wrongly in 6B; ITC on 2B documents never claimed (lapsed); next-year claims missed in 8C; Rule 37 re-claims put in 6A1.</t>
  </si>
  <si>
    <t xml:space="preserve">EXCESS_OVER_2B: reverse with interest via DRC-03 (Table 14); UNEXPLAINED_8D: document reasons (blocked credit, IMS rejections).</t>
  </si>
  <si>
    <t xml:space="preserve">def rc_gst_025(g9, g2b_span, g3b_fy, g3b_next, books, p):
    out = []
    for h in HEADS4:
        if abs(g9.t6A[h] - sum(x['4A'][h] for x in g3b_fy)) &gt; p.tax_tolerance_inr: out.append(exc('T6A_DIFF', head=h))
        if abs(g9.t7_total[h] - sum(x['4B1'][h]+x['4B2'][h] for x in g3b_fy)) &gt; p.tax_tolerance_inr: out.append(exc('T7_DIFF', head=h))
        a8 = sum_itc(docs_with_fy(g2b_span, g9.fy), h)
        if abs(g9.t8A[h] - a8) &gt; p.tax_tolerance_inr: out.append(exc('T8A_DIFF', head=h))
        d8 = g9.t8A[h] - (g9.t8B[h] + g9.t8C[h])
        if d8 &lt; -p.tax_tolerance_inr: out.append(exc('EXCESS_OVER_2B', head=h, diff=d8))
        elif d8 - (g9.t8E[h] + g9.t8F[h]) &gt; p.tax_tolerance_inr: out.append(exc('UNEXPLAINED_8D', head=h, diff=d8 - g9.t8E[h] - g9.t8F[h]))
    return out</t>
  </si>
  <si>
    <t xml:space="preserve">VJM Global – GSTN FAQs on GSTR-9/9C FY 2024-25 | https://www.vjmglobal.com/blog/gstn-issued-faqs-on-newly-released-form-gstr-9-9c-for-fy-2024-25 | 8A from 2B; 8C; 6A1; 8H1; Table 4/5 from GSTR-1/1A/IFF; Table 9 from 3B 6.1
GSTZen – FAQs on GSTR-9/9C changes FY 2024-25 | https://gstzen.in/a/faqs-on-gstr-9-9c-changes-fy-2024-25.html | Tables 6A1, 8H1; advisory 15.10.2025</t>
  </si>
  <si>
    <t xml:space="preserve">FY 2024-25 Table 8A/8C/6A1/8H1 logic verified via VJM summary of GSTN FAQs. FY 2025-26 GSTR-9 (due 31.12.2026) assumed same – not checked.</t>
  </si>
  <si>
    <t xml:space="preserve">RC-GST-026</t>
  </si>
  <si>
    <t xml:space="preserve">GST – Reconciliation statement</t>
  </si>
  <si>
    <t xml:space="preserve">GSTR-9C turnover reconciliation: financial statements / trial balance vs GSTR-9 (Table 5–7)</t>
  </si>
  <si>
    <t xml:space="preserve">Reconcile turnover in the audited financial statements (per GSTIN) with turnover declared in GSTR-9, listing each adjustment (unbilled revenue, advances, deemed supplies, credit notes, Schedule III items, foreign exchange, etc.).</t>
  </si>
  <si>
    <t xml:space="preserve">FS</t>
  </si>
  <si>
    <t xml:space="preserve">TB</t>
  </si>
  <si>
    <t xml:space="preserve">CGST Act s.44 (annual return including self-certified reconciliation statement); Rule 80(3) as amended by N.30/2021-CT (GSTR-9C self-certified, for AATO &gt; Rs 5 crore); FORM GSTR-9C Part II Table 5 (5A turnover per audited FS; adjustments 5B–5N optional for FY 2020-21 per N.30/2021; 5O; 5P; 5Q), Table 6 reasons, Table 7 (taxable turnover), Table 8 reasons.</t>
  </si>
  <si>
    <t xml:space="preserve">Taxpayers with AATO &gt; Rs 5 crore (per GSTIN reconciliation).</t>
  </si>
  <si>
    <t xml:space="preserve">2021-08-01</t>
  </si>
  <si>
    <t xml:space="preserve">Audited FS / TB with revenue ledgers mapped to GSTIN (multi-state entities: branch-wise TB); GSTR-9 Tables 4N, 5N, 5M; adjustment schedules (unbilled revenue opening/closing, advances, credit notes post year-end, deemed supply, Schedule III).</t>
  </si>
  <si>
    <t xml:space="preserve">FS.entity_pan = GSTR9.gstin[2:12]; FS.fy = GSTR9.financial_year; TB.gstin_branch = GSTR9.gstin</t>
  </si>
  <si>
    <t xml:space="preserve">PAN from GSTIN chars 3-12; GL mapping master (revenue heads -&gt; GST category) – implementation choice.</t>
  </si>
  <si>
    <t xml:space="preserve">FY totals per GSTIN; adjustment lines.</t>
  </si>
  <si>
    <t xml:space="preserve">FS.turnover_gstin (5A) ± adjustments (5B–5O) vs GSTR9.total_turnover (5Q = 4N + 5N + 10 − 11 per form logic); TB.taxable_turnover_by_rate vs GSTR9 taxable turnover (Table 7)</t>
  </si>
  <si>
    <t xml:space="preserve">Rs 1 for arithmetic; unexplained difference reported at Re 1 (implementation choice); CA may set materiality.</t>
  </si>
  <si>
    <t xml:space="preserve">unreconciled = FS_turnover_5A + Σ adjustments(signed) − GSTR9_turnover; adjustments examples: + unbilled revenue at beginning, − unbilled revenue at end, + unadjusted advances at end, − unadjusted advances at beginning, + deemed supply (Schedule I), − credit notes accounted after year-end but reported in GSTR-9, − trade discounts not permissible? (CA), ± turnover April–June 2017 n/a, − Schedule III / non-GST items not in GSTR-9 turnover</t>
  </si>
  <si>
    <t xml:space="preserve">1. Derive FS turnover for the GSTIN (TB revenue heads). 2. Load adjustment schedules; compute each adjustment from TB/GL (unbilled revenue, advances). 3. Compute reconciled turnover. 4. Compare with GSTR-9 turnover; residual -&gt; UNRECONCILED. 5. Taxable turnover by rate (Table 7/9) vs GSTR-9 tax: compute tax at rates and compare with paid (Table 9 vs 11 additional liability).</t>
  </si>
  <si>
    <t xml:space="preserve">RECONCILED; UNRECONCILED_TURNOVER; ADJ_UNSUPPORTED: adjustment without GL backing; TAXABLE_DIFF: taxable turnover mismatch; ADDITIONAL_LIABILITY: tax on unreconciled taxable turnover (Table 11)</t>
  </si>
  <si>
    <t xml:space="preserve">RECONCILED=Low; UNRECONCILED_TURNOVER=High; ADJ_UNSUPPORTED=Medium; TAXABLE_DIFF=High; ADDITIONAL_LIABILITY=Critical</t>
  </si>
  <si>
    <t xml:space="preserve">materiality_inr=1; aato_threshold_inr=50000000</t>
  </si>
  <si>
    <t xml:space="preserve">FS figures audited/final; multi-GSTIN split totals equal entity FS.</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</si>
  <si>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adjustment_code; amount; gl_reference</t>
  </si>
  <si>
    <t xml:space="preserve">FS revenue (GSTIN 27) 50,00,00,000; unbilled revenue opening 20,00,000, closing 35,00,000; advances closing 10,00,000, opening 5,00,000; CN after year-end 2,00,000 in GSTR-9. Reconciled = 50,00,00,000 + 20,00,000 − 35,00,000 + 10,00,000 − 5,00,000 − 2,00,000 = 49,88,00,000. GSTR-9 turnover 49,80,00,000 -&gt; UNRECONCILED_TURNOVER 8,00,000 (if taxable @18%, ADDITIONAL_LIABILITY 1,44,000).</t>
  </si>
  <si>
    <t xml:space="preserve">Residual 0 -&gt; RECONCILED.</t>
  </si>
  <si>
    <t xml:space="preserve">AATO Rs 4 crore -&gt; 9C not required -&gt; NOT_APPLICABLE.</t>
  </si>
  <si>
    <t xml:space="preserve">Inter-branch supplies (distinct persons) not in FS revenue; other income (scrap, asset sale, rent) taxable but not in revenue from operations; Ind AS adjustments (fair value, significant financing); export incentives; foreign exchange gains.</t>
  </si>
  <si>
    <t xml:space="preserve">Pay additional liability via DRC-03 (Table 11); document adjustments for 9C Table 5/6.</t>
  </si>
  <si>
    <t xml:space="preserve">def rc_gst_026(fs_tb, g9, adj, p):
    if p.aato_inr &lt;= p.aato_threshold_inr: return [exc('NOT_APPLICABLE')]
    t5a = revenue_for_gstin(fs_tb, g9.gstin)
    rec = t5a + sum(a.signed_amount for a in adj)
    out = [exc('ADJ_UNSUPPORTED', a) for a in adj if not a.gl_ref]
    d = rec - g9.total_turnover
    out.append(exc('RECONCILED' if abs(d) &lt;= p.materiality_inr else 'UNRECONCILED_TURNOVER', diff=d))
    return out</t>
  </si>
  <si>
    <t xml:space="preserve">ClearTax – revised GSTR-9C from FY 2020-21 | https://cleartax.in/s/revised-gstr-9c-fy-2020-21 | self-certification; N.29/30/2021-CT; Table 5, 9, 11, 12, 14
ClearTax – GSTR-9C reconciliation statement | https://cleartax.in/s/gst-reconciliation-statement-gstr-9c | N.30/2021-CT; &gt; Rs 5 crore</t>
  </si>
  <si>
    <t xml:space="preserve">Self-certification and optional rows verified via ClearTax (N.29/30/2021). Adjustment list is professional practice – CA must confirm sign conventions and current form rows. Ind AS items require judgment.</t>
  </si>
  <si>
    <t xml:space="preserve">RC-GST-027</t>
  </si>
  <si>
    <t xml:space="preserve">GSTR-9C ITC reconciliation: books ITC (GL) vs GSTR-9 Table 7J (Table 12) and expense-wise (Table 14)</t>
  </si>
  <si>
    <t xml:space="preserve">Reconcile ITC as per audited books with net ITC per GSTR-9, and (optionally) expense-head-wise ITC.</t>
  </si>
  <si>
    <t xml:space="preserve">Rule 80(3) / FORM GSTR-9C Part IV Table 12 (12A ITC per audited FS/books, 12B ITC booked in earlier FY claimed in current FY, 12C ITC booked in current FY to be claimed in subsequent FY, 12D, 12E ITC per GSTR-9 7J, 12F unreconciled) and Table 14 (optional from FY 2020-21 per N.30/2021-CT).</t>
  </si>
  <si>
    <t xml:space="preserve">Taxpayers with AATO &gt; Rs 5 crore.</t>
  </si>
  <si>
    <t xml:space="preserve">TB / GL input credit ledgers (IGST/CGST/SGST/cess input), ITC on capital goods, ITC reversal ledgers; GSTR-9 Table 7J (net ITC available for utilisation).</t>
  </si>
  <si>
    <t xml:space="preserve">TB.gstin_branch = GSTR9.gstin; TB.fy = GSTR9.financial_year</t>
  </si>
  <si>
    <t xml:space="preserve">GL head mapping master – implementation choice.</t>
  </si>
  <si>
    <t xml:space="preserve">FY per head; expense-head-wise for Table 14.</t>
  </si>
  <si>
    <t xml:space="preserve">(TB.itc_booked_h + 12B_h − 12C_h) vs GSTR9.7J_h</t>
  </si>
  <si>
    <t xml:space="preserve">12D = 12A + 12B − 12C; 12F (unreconciled) = 12D − 12E</t>
  </si>
  <si>
    <t xml:space="preserve">1. 12A = Σ debits to input credit ledgers in FY (net of reversals as booked). 2. 12B = earlier-FY books ITC claimed this FY (from 6A1 / RC-GST-025). 3. 12C = current-FY books ITC claimed next FY (8C/13). 4. 12E = GSTR-9 7J. 5. 12F residual; positive = books &gt; return (ITC lost?); negative = return &gt; books (excess claim).</t>
  </si>
  <si>
    <t xml:space="preserve">RECONCILED; BOOKS_MORE_THAN_RETURN: possible unclaimed ITC; RETURN_MORE_THAN_BOOKS: ITC claimed not in books (high risk); HEAD_SPLIT_DIFF</t>
  </si>
  <si>
    <t xml:space="preserve">RECONCILED=Low; BOOKS_MORE_THAN_RETURN=Medium; RETURN_MORE_THAN_BOOKS=Critical; HEAD_SPLIT_DIFF=Medium</t>
  </si>
  <si>
    <t xml:space="preserve">tolerance_inr=1</t>
  </si>
  <si>
    <t xml:space="preserve">Input ledgers identified; TB balances final.</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</si>
  <si>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head; t12A; t12B; t12C; t12D; t12E; t12F</t>
  </si>
  <si>
    <t xml:space="preserve">CGST: 12A 40,00,000; 12B 50,000; 12C 1,00,000 -&gt; 12D 39,50,000; 12E 39,80,000 -&gt; 12F −30,000 -&gt; RETURN_MORE_THAN_BOOKS.</t>
  </si>
  <si>
    <t xml:space="preserve">12D = 12E -&gt; RECONCILED.</t>
  </si>
  <si>
    <t xml:space="preserve">Branch without separate TB -&gt; INPUT_ERROR (cannot compute per GSTIN).</t>
  </si>
  <si>
    <t xml:space="preserve">ITC expensed in P&amp;L (blocked credit) but claimed; capital goods ITC capitalised; ISD credits; RCM ITC; reversals booked at year-end only.</t>
  </si>
  <si>
    <t xml:space="preserve">RETURN_MORE_THAN_BOOKS: verify and reverse via DRC-03 with interest; record in 9C Part V.</t>
  </si>
  <si>
    <t xml:space="preserve">def rc_gst_027(tb, g9, p):
    out = []
    for h in HEADS4:
        t12d = tb.itc_booked[h] + g9.t6A1[h] - (g9.t8C[h] + g9.t13[h])
        f = t12d - g9.t7J[h]
        if f &gt; p.tolerance_inr: out.append(exc('BOOKS_MORE_THAN_RETURN', head=h, diff=f))
        elif f &lt; -p.tolerance_inr: out.append(exc('RETURN_MORE_THAN_BOOKS', head=h, diff=f))
    return out or [exc('RECONCILED')]</t>
  </si>
  <si>
    <t xml:space="preserve">ClearTax – revised GSTR-9C from FY 2020-21 | https://cleartax.in/s/revised-gstr-9c-fy-2020-21 | self-certification; N.29/30/2021-CT; Table 5, 9, 11, 12, 14
VJM Global – GSTN FAQs on GSTR-9/9C FY 2024-25 | https://www.vjmglobal.com/blog/gstn-issued-faqs-on-newly-released-form-gstr-9-9c-for-fy-2024-25 | 8A from 2B; 8C; 6A1; 8H1; Table 4/5 from GSTR-1/1A/IFF; Table 9 from 3B 6.1</t>
  </si>
  <si>
    <t xml:space="preserve">Table 12 row meanings from form knowledge; ClearTax confirms 12B, 12C and 14 optional (FY 2020-21). Mapping 12B/12C to GSTR-9 6A1/8C/13 is an implementation approximation – CA to confirm.</t>
  </si>
  <si>
    <t xml:space="preserve">RC-GST-028</t>
  </si>
  <si>
    <t xml:space="preserve">GST – Books vs return</t>
  </si>
  <si>
    <t xml:space="preserve">Trial balance GST ledgers (output, input, RCM payable, cash ledger) vs GSTR-3B</t>
  </si>
  <si>
    <t xml:space="preserve">Tie monthly movements in the books' GST ledgers to GSTR-3B: output tax credited, input credit debited, RCM payable, set-off entries and cash payments; flag ledger balances that should be nil.</t>
  </si>
  <si>
    <t xml:space="preserve">CGST Act s.35 (accounts), Rule 56 (books to show tax payable, ITC, RCM); s.39 (GSTR-3B). Mapping is an accounting reconciliation – no specific provision.</t>
  </si>
  <si>
    <t xml:space="preserve">TB/GL monthly movement by GST ledger (Output IGST/CGST/SGST/cess; Input IGST/CGST/SGST/cess; RCM payable; ITC reversal; GST cash ledger/electronic cash ledger asset; GST payable); ledger mapping master.</t>
  </si>
  <si>
    <t xml:space="preserve">TB.gstin_branch = GSTR3B.gstin; TB.month = GSTR3B.return_period</t>
  </si>
  <si>
    <t xml:space="preserve">Ledger names mapped via master (implementation choice).</t>
  </si>
  <si>
    <t xml:space="preserve">Per month per head.</t>
  </si>
  <si>
    <t xml:space="preserve">TB.output_credit_h (net of CN debits) vs GSTR3B.3_1_a+3_1_b tax_h; TB.rcm_payable_credit_h vs GSTR3B.3_1_d_h; TB.input_debit_h vs GSTR3B.4A_h; TB.itc_reversal_h vs GSTR3B.4B_h; TB.setoff_entries_h vs GSTR3B.6_1 ITC used_h; TB.cash_paid_h vs GSTR3B.6_1 cash_h; TB.closing_output_h (after set-off) vs 0</t>
  </si>
  <si>
    <t xml:space="preserve">Rs 1 per head per month (implementation choice).</t>
  </si>
  <si>
    <t xml:space="preserve">diff_h = books_movement_h − gstr3b_value_h; closing_payable_check = opening + credits − setoff − cash ≈ 0 after month-end entries</t>
  </si>
  <si>
    <t xml:space="preserve">1. Map ledgers. 2. Compute monthly movements. 3. Compare. 4. Input credit ledger closing vs ECRL closing (cross-check RC-GST-021). 5. Output/RCM payable closing should be nil after set-off – non-zero -&gt; PAYABLE_BALANCE.</t>
  </si>
  <si>
    <t xml:space="preserve">MATCHED; OUTPUT_DIFF; RCM_DIFF; INPUT_DIFF; REVERSAL_DIFF; SETOFF_DIFF; CASH_DIFF; PAYABLE_BALANCE; ECRL_BOOKS_DIFF</t>
  </si>
  <si>
    <t xml:space="preserve">MATCHED=Low; OUTPUT_DIFF=High; RCM_DIFF=High; INPUT_DIFF=High; REVERSAL_DIFF=Medium; SETOFF_DIFF=Medium; CASH_DIFF=Medium; PAYABLE_BALANCE=Medium; ECRL_BOOKS_DIFF=Medium</t>
  </si>
  <si>
    <t xml:space="preserve">tolerance_inr=1; ledger_map=</t>
  </si>
  <si>
    <t xml:space="preserve">All GST ledgers mapped; TB month-wise available.</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</si>
  <si>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ledger; head; books_value; return_value</t>
  </si>
  <si>
    <t xml:space="preserve">Aug-2025: Output CGST ledger credit 63,000; 3B 3.1(a) CGST 60,000 -&gt; OUTPUT_DIFF 3,000 (also seen in RC-GST-007). Input CGST debit 25,000; 3B 4A CGST 25,000 -&gt; MATCHED.</t>
  </si>
  <si>
    <t xml:space="preserve">All movements equal -&gt; MATCHED.</t>
  </si>
  <si>
    <t xml:space="preserve">Ledger 'GST Payable' combined for all heads -&gt; mapping warning; comparison at total level only.</t>
  </si>
  <si>
    <t xml:space="preserve">Year-end provision entries; GST on advances booked differently; ITC parked in 'ITC pending' ledger; blocked credits expensed.</t>
  </si>
  <si>
    <t xml:space="preserve">Pass rectification JV or correct return in next period; investigate OUTPUT_DIFF jointly with RC-GST-001/007.</t>
  </si>
  <si>
    <t xml:space="preserve">def rc_gst_028(tb, g3b, m, p):
    mv = monthly_movements(tb, m, p.period)
    pairs = [('output', lambda h: g3b['3_1_a'][h]+g3b['3_1_b'][h], 'OUTPUT_DIFF'), ('rcm_payable', lambda h: g3b['3_1_d'][h], 'RCM_DIFF'),
             ('input', lambda h: sum(g3b[r][h] for r in A_ROWS), 'INPUT_DIFF'), ('itc_reversal', lambda h: g3b['4B1'][h]+g3b['4B2'][h], 'REVERSAL_DIFF')]
    out = []
    for led, f, cat in pairs:
        for h in HEADS4:
            d = mv[led][h] - f(h)
            if abs(d) &gt; p.tolerance_inr: out.append(exc(cat, head=h, diff=d))
    return out</t>
  </si>
  <si>
    <t xml:space="preserve">Circular 170/02/2022-GST | https://www.gstcouncil.gov.in/sites/default/files/2024-06/cir-170-02-2022-cgst.pdf | GSTR-3B Table 4 and 3.2 reporting</t>
  </si>
  <si>
    <t xml:space="preserve">Accounting reconciliation – implementation design. Rule 56 reference from statute knowledge.</t>
  </si>
  <si>
    <t xml:space="preserve">RC-GST-029</t>
  </si>
  <si>
    <t xml:space="preserve">GST – Exempt supplies</t>
  </si>
  <si>
    <t xml:space="preserve">Exempt / nil-rated / non-GST turnover in books vs GSTR-1 Table 8 and GSTR-3B 3.1(c)/(e); Rule 42 inputs</t>
  </si>
  <si>
    <t xml:space="preserve">Check exempt, nil-rated and non-GST outward supplies in the books are reported in GSTR-1 Table 8 and 3B 3.1(c)/(e), and supply the exempt-turnover figures used in the Rule 42/43 reversal computation.</t>
  </si>
  <si>
    <t xml:space="preserve">tax period (month); FY for Rule 42 final</t>
  </si>
  <si>
    <t xml:space="preserve">CGST Act s.2(47) (exempt supply), s.17(2)-(3) (value of exempt supply includes reverse-charge supplies, transactions in securities, sale of land and, subject to para 5 Schedule II, building; excludes certain Schedule III items per Explanation); Rule 42, Rule 43, Rule 45 (value for securities – not re-verified); GSTR-1 Table 8 (nil rated, exempted, non-GST by inter/intra and registered/unregistered); GSTR-3B 3.1(c) (nil/exempt) and 3.1(e) (non-GST).</t>
  </si>
  <si>
    <t xml:space="preserve">Taxpayers making exempt/nil/non-GST supplies.</t>
  </si>
  <si>
    <t xml:space="preserve">Sales register / GL with supply classification (nil-rated, exempt with notification entry, non-GST e.g. petroleum/alcohol for human consumption, Schedule III), registered/unregistered and intra/inter; GSTR-1 nil section; GSTR-3B 3.1(c),(e); Rule 42 working (E, F, T4, C2) from GST-019.</t>
  </si>
  <si>
    <t xml:space="preserve">SALES_REG.supply_class = GSTR1.nil_category; SALES_REG.nil_supply_type = GSTR1.nil_supply_type</t>
  </si>
  <si>
    <t xml:space="preserve">Category map: NIL / EXEMPT / NON_GST; sply_ty INTRB2B, INTRB2C, INTRAB2B, INTRAB2C (GSTR-1 nil JSON – implementation mapping).</t>
  </si>
  <si>
    <t xml:space="preserve">Per category per supply type per month; FY for Rule 42.</t>
  </si>
  <si>
    <t xml:space="preserve">SALES_REG.nil_value vs GSTR1.nil_rated_amount; SALES_REG.exempt_value vs GSTR1.exempted_amount; SALES_REG.non_gst_value vs GSTR1.non_gst_amount; Σ(nil+exempt) vs GSTR3B.3_1_c.txval; Σ non_gst vs GSTR3B.3_1_e.txval; Rule42.E vs books exempt turnover (incl. s.17(3) items)</t>
  </si>
  <si>
    <t xml:space="preserve">Rs 10 per bucket (implementation choice).</t>
  </si>
  <si>
    <t xml:space="preserve">E_books = exempt + nil + RCM outward (where supplier not liable) + s.17(3) items; Rule 42 D1 = (E/F) × C2 recomputed and compared with 4B(1) reported</t>
  </si>
  <si>
    <t xml:space="preserve">1. Aggregate books by category. 2. Compare with GSTR-1 Table 8 and 3B. 3. Recompute E and F for Rule 42 (and Te/Tr for Rule 43); compare D1+D2 with 3B 4B(1) reversal (monthly) and annual true-up (by Sept return of next FY). 4. Flag exempt supplies with ITC fully claimed and no reversal.</t>
  </si>
  <si>
    <t xml:space="preserve">MATCHED; TABLE8_DIFF; 3B_EXEMPT_DIFF; NONGST_DIFF; RULE42_SHORT_REVERSAL; RULE42_EXCESS_REVERSAL; NO_REVERSAL_WITH_EXEMPT: exempt turnover but 4B(1) nil; MISCLASSIFIED: exempt reported as nil/non-GST or vice versa</t>
  </si>
  <si>
    <t xml:space="preserve">MATCHED=Low; TABLE8_DIFF=Medium; 3B_EXEMPT_DIFF=Medium; NONGST_DIFF=Low; RULE42_SHORT_REVERSAL=High; RULE42_EXCESS_REVERSAL=Low; NO_REVERSAL_WITH_EXEMPT=Critical; MISCLASSIFIED=Low</t>
  </si>
  <si>
    <t xml:space="preserve">bucket_tolerance_inr=10; d2_pct=5</t>
  </si>
  <si>
    <t xml:space="preserve">Each exempt line has classification; F &gt; 0 for Rule 42.</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</si>
  <si>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category; sply_ty; E; F; C2; D1; D2; reported_4B1</t>
  </si>
  <si>
    <t xml:space="preserve">Aug-2025: books exempt (interest income? excluded – CA) 2,00,000; taxable 18,00,000 -&gt; F 20,00,000; common credit C2 50,000 -&gt; D1 = 2,00,000/20,00,000 × 50,000 = 5,000; D2 (if non-business use) 2,500. 3B 4B(1) 0 -&gt; NO_REVERSAL_WITH_EXEMPT 5,000 (+2,500 if applicable). GSTR-1 Table 8 exempt 2,00,000 = books -&gt; MATCHED.</t>
  </si>
  <si>
    <t xml:space="preserve">Only taxable supplies -&gt; E=0, no reversal needed.</t>
  </si>
  <si>
    <t xml:space="preserve">Interest on deposits/loans (exempt under notification) – whether included in E is per s.17(3) Explanation and CA judgment (param list of excluded GL heads).</t>
  </si>
  <si>
    <t xml:space="preserve">Interest income, rent of residential dwelling, sale of land/old assets not classified; non-GST petroleum supplies; Schedule III items wrongly included in E; no reversal by service companies with exempt income.</t>
  </si>
  <si>
    <t xml:space="preserve">Reverse D1+D2 in 4B(1); annual recomputation with s.50(1) interest on excess (Rule 42(2)).</t>
  </si>
  <si>
    <t xml:space="preserve">def rc_gst_029(books, g1, g3b, r42, p):
    b = agg(books[books.supply_class.isin(['NIL','EXEMPT','NON_GST'])], ['supply_class','sply_ty'], ['value'])
    out = compare_outer(b, g1.nil_flat, keys=[('supply_class','cat'),('sply_ty','sply_ty')], tol=p.bucket_tolerance_inr, cats=('TABLE8_DIFF',)*3)
    if abs(b[b.supply_class.isin(['NIL','EXEMPT'])].value.sum() - g3b['3_1_c'].txval) &gt; p.bucket_tolerance_inr: out.append(exc('3B_EXEMPT_DIFF'))
    E, F = r42.E_books, r42.F_books
    d1 = E/F * r42.C2 if F else 0; d2 = p.d2_pct/100 * r42.C2 if r42.non_business_use else 0
    rep = g3b['4B1'].total
    if E &gt; 0 and rep == 0: out.append(exc('NO_REVERSAL_WITH_EXEMPT', diff=d1+d2))
    elif d1 + d2 - rep &gt; p.bucket_tolerance_inr: out.append(exc('RULE42_SHORT_REVERSAL', diff=d1+d2-rep))
    return out</t>
  </si>
  <si>
    <t xml:space="preserve">Rule 42 CGST Rules (Chhattisgarh GST dept copy) | https://www.cggst.com/uploads/document/1755064648-rule-42.pdf | Rule 42(1)-(2)
Circular 170/02/2022-GST | https://www.gstcouncil.gov.in/sites/default/files/2024-06/cir-170-02-2022-cgst.pdf | GSTR-3B Table 4 and 3.2 reporting</t>
  </si>
  <si>
    <t xml:space="preserve">Rule 42 verified from state department copy (GST-019). s.17(3) Explanation inclusions/exclusions and Rule 45 not re-verified. 4B(1) may also include Rule 38/43/17(5) reversals – separate them via books classification.</t>
  </si>
  <si>
    <t xml:space="preserve">RC-GST-030</t>
  </si>
  <si>
    <t xml:space="preserve">GST – Credit notes</t>
  </si>
  <si>
    <t xml:space="preserve">Credit notes: supplier CN in books/GSTR-1 vs recipient ITC reversal (s.34(2) proviso from 01.10.2025) and recipient-side CN in GSTR-2B vs purchase books</t>
  </si>
  <si>
    <t xml:space="preserve">(a) Supplier side: tax reduction on a CN is valid only if the recipient has reversed ITC – check IMS status of each CN; (b) Recipient side: every CN in GSTR-2B/IMS must be booked and ITC reversed (or declared not availed).</t>
  </si>
  <si>
    <t xml:space="preserve">CGST Act s.34(2) proviso as amended by Finance Act 2025 (in force 01.10.2025 via N.16/2025-CT): no reduction of output tax liability of supplier unless the ITC attributable to the CN is reversed by the registered recipient (or, for unregistered recipients, incidence not passed on); IMS changes (GSTN advisory 23.09.2025 – from Oct 2025 tax period, recipient declares ITC reversal amount on CNs; CN can be pending one period); GSTN advisory 18.12.2025 on IMS credit notes; s.16, s.42-43 (old matching) not in force.</t>
  </si>
  <si>
    <t xml:space="preserve">Suppliers issuing CNs to registered recipients; recipients receiving CNs.</t>
  </si>
  <si>
    <t xml:space="preserve">2025-10-01</t>
  </si>
  <si>
    <t xml:space="preserve">Supplier: GSTR-1 CDNR list; supplier's view of recipient IMS action (outward supplies dashboard / GSTR-1 'IMS action' status); GSTR-3B 3.1(a) of supplier (portal adds back rejected CN). Recipient: GSTR-2B CDNR / IMS CN list with declared reversal; purchase register CNs and ITC on original invoices.</t>
  </si>
  <si>
    <t xml:space="preserve">GSTR1.cdnr_recipient_gstin = IMS.recipient_gstin; GSTR1.cdnr_note_no = IMS.document_no (supplier view). Recipient view: IMS.supplier_gstin = PURCH_REG.party_gstin; IMS.document_no = PURCH_REG.supplier_invoice_no</t>
  </si>
  <si>
    <t xml:space="preserve">Note level.</t>
  </si>
  <si>
    <t xml:space="preserve">Supplier: GSTR1.cdnr_total_tax vs recipient_action (Accepted/Rejected/Pending) &amp; declared_reversal; Recipient: IMS.cn_tax vs PURCH_REG.cn_itc_reversed; IMS.declared_igst vs PURCH_REG.itc_on_original</t>
  </si>
  <si>
    <t xml:space="preserve">supplier_allowed_reduction = cn_tax if action=='Accepted' (and reversal declared &gt;= cn_tax) else declared_reversal if partial else 0; supplier_addback = cn_tax − supplier_allowed_reduction</t>
  </si>
  <si>
    <t xml:space="preserve">Supplier side: 1. For CNs reported Oct-2025 onward, fetch recipient action. 2. Rejected -&gt; CN_REJECTED_ADDBACK (supplier liability increased – compare with 3B). 3. Pending beyond limit -&gt; CN_PENDING. 4. Partial reversal -&gt; CN_PARTIAL. Recipient side: 5. CN in 2B/IMS not booked -&gt; CN_NOT_BOOKED. 6. Booked but ITC not reversed while original ITC claimed -&gt; CN_ITC_NOT_REVERSED. 7. Declared reversal != ITC on original -&gt; DECLARATION_DIFF.</t>
  </si>
  <si>
    <t xml:space="preserve">CONSISTENT; CN_REJECTED_ADDBACK; CN_PENDING; CN_PARTIAL; CN_NOT_BOOKED; CN_ITC_NOT_REVERSED; DECLARATION_DIFF</t>
  </si>
  <si>
    <t xml:space="preserve">CONSISTENT=Low; CN_REJECTED_ADDBACK=High; CN_PENDING=Medium; CN_PARTIAL=Medium; CN_NOT_BOOKED=High; CN_ITC_NOT_REVERSED=Critical; DECLARATION_DIFF=High</t>
  </si>
  <si>
    <t xml:space="preserve">value_tolerance_inr=1; from_period=102025</t>
  </si>
  <si>
    <t xml:space="preserve">CN dates &gt;= 01.10.2025 for supplier-side add-back logic; original invoice ITC known for recipient side.</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</si>
  <si>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cn_no; recipient_action; declared_reversal; supplier_addback</t>
  </si>
  <si>
    <t xml:space="preserve">Supplier: CN-5 to 29XYZ... tax IGST 9,000 (Oct-2025). Recipient rejected -&gt; CN_REJECTED_ADDBACK 9,000 (supplier 3B liability increased). Recipient side: CN-77 from supplier IGST 1,800 in 2B Nov-2025; books show CN booked, ITC reversed 0, original ITC claimed 1,800 -&gt; CN_ITC_NOT_REVERSED.</t>
  </si>
  <si>
    <t xml:space="preserve">CN accepted with declared reversal = CN tax; books reversed -&gt; CONSISTENT.</t>
  </si>
  <si>
    <t xml:space="preserve">CN dated before 01.10.2025 -&gt; FA 2025 condition not applied (old law: recipient reversal still required in practice) – rule skips supplier-side add-back.</t>
  </si>
  <si>
    <t xml:space="preserve">Recipient never claimed ITC (declares 0 reversal); disputes over discounts; post-supply discounts (s.15(3)(b)); CN to composition/unregistered recipients.</t>
  </si>
  <si>
    <t xml:space="preserve">Supplier: follow up with recipient to accept; else liability stays. Recipient: reverse ITC in 4B(2)/net in 4A per IMS; declare correct amount.</t>
  </si>
  <si>
    <t xml:space="preserve">def rc_gst_030(g1_cdnr, ims_supplier_view, ims_recipient, pr, p):
    out = []
    for cn in g1_cdnr[(g1_cdnr.ntty=='C') &amp; (g1_cdnr.period_ge(p.from_period))]:
        a = ims_supplier_view.get(cn.key)
        if a is None or a.action=='PENDING': out.append(exc('CN_PENDING', cn))
        elif a.action=='REJECTED': out.append(exc('CN_REJECTED_ADDBACK', cn, diff=cn.tax))
        elif a.declared_reversal + p.value_tolerance_inr &lt; cn.tax: out.append(exc('CN_PARTIAL', cn, diff=cn.tax - a.declared_reversal))
    for c in ims_recipient[ims_recipient.doc_type=='CN']:
        b = pr_lookup(pr, c)
        if b is None: out.append(exc('CN_NOT_BOOKED', c)); continue
        orig = orig_itc(pr, c)
        if orig &gt; 0 and b.cn_itc_reversed + p.value_tolerance_inr &lt; min(orig, c.tax): out.append(exc('CN_ITC_NOT_REVERSED', c, b))
        if abs(c.declared_reversal - min(orig, c.tax)) &gt; p.value_tolerance_inr: out.append(exc('DECLARATION_DIFF', c, b))
    return out</t>
  </si>
  <si>
    <t xml:space="preserve">TaxGuru – Finance Act 2025 GST amendments effective 01.10.2025 | https://taxguru.in/goods-and-service-tax/gst-amendments-finance-act-2025-effective-oct-1-2025-notified.html | N.16/2025-CT; s.34(2) proviso; s.38; s.39(1)
EY alert – GSTN advisory on IMS changes (23.09.2025) | https://www.ey.com/en_in/technical/alerts-hub/2025/09/gstn-issues-advisory-on-the-changes-introduced-in-the-invoice-management-system | pending CN one period; ITC reversal declaration; from Oct 2025 period
TaxGuru – GSTN 4 advisories December 2025 | https://taxguru.in/goods-and-service-tax/gstn-issues-4-advisories-december-2025-clarify-key-compliance-procedures.html | 05.12.2025 Table 3.2 lock; 18.12.2025 IMS CN; 29.12.2025 ECRRS/RCM
ICAI CA Journal – GST amendments in Finance Bill 2026 | https://cajournal.icai.org/article-details/gst-amendments-proposed-through-the-finance-bill-2026 | s.15(3)(b), s.34(1)</t>
  </si>
  <si>
    <t xml:space="preserve">FA 2025 proviso and IMS changes verified via secondary sources. Exact portal mechanics for adding back rejected CN to supplier's 3B to be confirmed from GSTN advisory. FA 2026 s.15/s.34 changes – commencement unverified.</t>
  </si>
  <si>
    <t xml:space="preserve">RC-GST-031</t>
  </si>
  <si>
    <t xml:space="preserve">GST – Time limits</t>
  </si>
  <si>
    <t xml:space="preserve">ITC time limit u/s 16(4): ITC claimed in GSTR-3B after the deadline (purchase register / 2B vs 3B claim period)</t>
  </si>
  <si>
    <t xml:space="preserve">Find ITC on invoices/debit notes of a FY claimed in a GSTR-3B filed after 30 November of the next FY (or after the annual return, if earlier), which is time-barred.</t>
  </si>
  <si>
    <t xml:space="preserve">FY of invoice; filing date of 3B in which claimed</t>
  </si>
  <si>
    <t xml:space="preserve">CGST Act s.16(4) (as amended by Finance Act 2022: ITC on invoice/debit note cannot be taken after 30 November following end of FY to which the invoice relates, or furnishing of annual return, whichever earlier); s.16(5) and s.16(6) (inserted by Finance (No.2) Act 2024 retrospectively from 01.07.2017 – relief for FY 2017-18 to 2020-21 up to 30.11.2021 returns, and for revoked registrations); Rule 37(4) (time limit not applicable to re-availment under Rule 37).</t>
  </si>
  <si>
    <t xml:space="preserve">Purchase register with invoice date and 3B period of claim (from RC-GST-013 mapping); 3B filing dates; GSTR-9 filing date of the invoice FY.</t>
  </si>
  <si>
    <t xml:space="preserve">PURCH_REG.itc_claim_period = GSTR3B.return_period</t>
  </si>
  <si>
    <t xml:space="preserve">Period MMYYYY; FY from invoice date (for debit notes – FY of debit note date, per s.16(4) proviso as amended FA 2022 – CA to confirm).</t>
  </si>
  <si>
    <t xml:space="preserve">GSTR3B.filing_date (of claim period) vs deadline(PURCH_REG.invoice_fy)</t>
  </si>
  <si>
    <t xml:space="preserve">Exact date (legal).</t>
  </si>
  <si>
    <t xml:space="preserve">deadline = min(date(fy_end_year, 11, 30), gstr9_filing_date_of_fy); time_barred = claim_3b_filing_date &gt; deadline and not is_rule37_reclaim</t>
  </si>
  <si>
    <t xml:space="preserve">1. Map each ITC claim to the 3B in which claimed and its filing date. 2. Compute deadline for invoice FY. 3. Exclude Rule 37/37A re-claims (not subject to s.16(4)). 4. Late claims -&gt; ITC_TIME_BARRED. 5. Claims due soon: invoices in 2B but not yet claimed, deadline within warn days -&gt; CLAIM_DEADLINE_NEAR. 6. Apply s.16(5)/(6) relief params for old years.</t>
  </si>
  <si>
    <t xml:space="preserve">IN_TIME; ITC_TIME_BARRED; CLAIM_DEADLINE_NEAR; RECLAIM_EXEMPT; S16_5_RELIEF</t>
  </si>
  <si>
    <t xml:space="preserve">IN_TIME=Low; ITC_TIME_BARRED=Critical; CLAIM_DEADLINE_NEAR=High; RECLAIM_EXEMPT=Low; S16_5_RELIEF=Medium</t>
  </si>
  <si>
    <t xml:space="preserve">warn_days=30; gstr9_filing_date=</t>
  </si>
  <si>
    <t xml:space="preserve">3B filing date present for claim period.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</si>
  <si>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invoice_fy; deadline; claim_period; claim_filing_date</t>
  </si>
  <si>
    <t xml:space="preserve">Invoice dt 10-03-2025 (FY 2024-25), appeared in 2B Mar-2025, ITC claimed in Oct-2025 3B filed 25-11-2025; GSTR-9 FY 2024-25 not filed -&gt; deadline 30-11-2025 -&gt; IN_TIME. Another invoice claimed in Nov-2025 3B filed 20-12-2025 -&gt; ITC_TIME_BARRED.</t>
  </si>
  <si>
    <t xml:space="preserve">Claim in 3B filed 30-11-2025 for FY 2024-25 invoice -&gt; IN_TIME (deadline inclusive).</t>
  </si>
  <si>
    <t xml:space="preserve">Rule 37 re-claim of FY 2023-24 invoice in Dec-2025 -&gt; RECLAIM_EXEMPT.</t>
  </si>
  <si>
    <t xml:space="preserve">Late supplier filing; IMS pending; ITC claimed in 'catch-up' month after deadline; GSTR-9 filed early (shortens deadline).</t>
  </si>
  <si>
    <t xml:space="preserve">ITC_TIME_BARRED: reverse with interest (s.50(3) if utilised); CLAIM_DEADLINE_NEAR: claim in next 3B filed by 30 Nov.</t>
  </si>
  <si>
    <t xml:space="preserve">def rc_gst_031(claims, g3b_dates, p):
    out = []
    for c in claims:
        if c.is_rule37_reclaim: out.append(exc('RECLAIM_EXEMPT', c)); continue
        dl = min(date(fy_end(c.invoice_date).year, 11, 30), p.gstr9_filing_date.get(c.fy, date.max))
        fd = g3b_dates[c.claim_period]
        out.append(exc('ITC_TIME_BARRED' if fd &gt; dl else 'IN_TIME', c, deadline=dl))
    return out</t>
  </si>
  <si>
    <t xml:space="preserve">EY – effective date for FA 2024 GST amendments | https://ey.com/content/dam/ey-unified-site/ey-com/en-in/alerts-hub/government-notifies-effective-date-for-amendments-made-in-gst-law-vide-finance-act-2024.pdf | s.16(5),(6); N.17/2024-CT
Rule 37 CGST Rules (Chhattisgarh GST dept copy) | https://www.cggst.com/uploads/document/1755064447-rule-37.pdf | Rule 37(1),(2),(4) as substituted by N.19/2022-CT</t>
  </si>
  <si>
    <t xml:space="preserve">s.16(4) FA 2022 wording from statute knowledge (GST-014); s.16(5)/(6) verified via EY. 57th Council recommended aligning time limits – not law as of 13.10.2026.</t>
  </si>
  <si>
    <t xml:space="preserve">RC-GST-032</t>
  </si>
  <si>
    <t xml:space="preserve">Return filing and amendment time bars: s.37(5)/39(11)/44(2)/52(14) 3-year bar and s.37(3)/39(9) rectification limits</t>
  </si>
  <si>
    <t xml:space="preserve">List returns pending beyond 3 years from due date (portal-barred) and rectifications in GSTR-1/3B made after the statutory limit.</t>
  </si>
  <si>
    <t xml:space="preserve">tax period; FY</t>
  </si>
  <si>
    <t xml:space="preserve">CGST Act s.37(5), s.39(11), s.44(2), s.52(14) (no return after 3 years from due date – FA 2023, effective 01.10.2023 by N.28/2023-CT); GSTN advisories (portal barring from July 2025 tax period / 1 August 2025, rolling); s.37(3) and s.39(9) (rectification not after 30 November following end of FY or annual return, whichever earlier – FA 2022).</t>
  </si>
  <si>
    <t xml:space="preserve">All taxpayers.</t>
  </si>
  <si>
    <t xml:space="preserve">2023-10-01</t>
  </si>
  <si>
    <t xml:space="preserve">Filing status list (all periods since registration) with due date and filing date; returns filed for each period.</t>
  </si>
  <si>
    <t xml:space="preserve">GSTR3B.return_period = GSTR1.return_period</t>
  </si>
  <si>
    <t xml:space="preserve">Period MMYYYY; due date from master.</t>
  </si>
  <si>
    <t xml:space="preserve">Per return per period.</t>
  </si>
  <si>
    <t xml:space="preserve">run_date vs due_date + 3 years (for unfiled returns); amendment/rectification filing date vs rectification deadline</t>
  </si>
  <si>
    <t xml:space="preserve">Exact date.</t>
  </si>
  <si>
    <t xml:space="preserve">bar_date = due_date + 3 years; barred = not filed and run_date &gt; bar_date; near = not filed and (bar_date − run_date).days &lt;= warn_days</t>
  </si>
  <si>
    <t xml:space="preserve">1. For each period/return type, check filed. 2. Unfiled and past bar date -&gt; RETURN_TIME_BARRED. 3. Unfiled within warn window -&gt; BAR_APPROACHING. 4. Rectifications of previous FY (e.g. 3B liability/ITC for FY in later 3B) after 30 Nov -&gt; RECTIFICATION_LATE (note: payment of omitted tax is still due; only claim/decrease restricted).</t>
  </si>
  <si>
    <t xml:space="preserve">FILED; RETURN_TIME_BARRED; BAR_APPROACHING; RECTIFICATION_LATE</t>
  </si>
  <si>
    <t xml:space="preserve">FILED=Low; RETURN_TIME_BARRED=Critical; BAR_APPROACHING=High; RECTIFICATION_LATE=High</t>
  </si>
  <si>
    <t xml:space="preserve">warn_days=90</t>
  </si>
  <si>
    <t xml:space="preserve">Registration date known; QRMP periods mapped.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</si>
  <si>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return_type; due_date; bar_date</t>
  </si>
  <si>
    <t xml:space="preserve">Run 13-10-2026: GSTR-3B Aug-2023 due 20-09-2023 unfiled -&gt; bar 20-09-2026 -&gt; RETURN_TIME_BARRED. GSTR-1 Dec-2023 due 11-01-2024 unfiled -&gt; bar 11-01-2027 -&gt; BAR_APPROACHING (90 days).</t>
  </si>
  <si>
    <t xml:space="preserve">All returns filed -&gt; FILED.</t>
  </si>
  <si>
    <t xml:space="preserve">Cancelled registration period after cancellation date -&gt; not expected.</t>
  </si>
  <si>
    <t xml:space="preserve">Old nil returns never filed; GSTR-9 for early years; GSTR-7/8 for TDS deductors.</t>
  </si>
  <si>
    <t xml:space="preserve">BAR_APPROACHING: file immediately; RETURN_TIME_BARRED: CA review – liability can still be determined by assessment.</t>
  </si>
  <si>
    <t xml:space="preserve">def rc_gst_032(status, p):
    out = []
    for r in status:
        bar = add_years(r.due_date, 3)
        if r.filed: out.append(exc('FILED', r)); continue
        if p.run_date &gt; bar: out.append(exc('RETURN_TIME_BARRED', r, bar_date=bar))
        elif (bar - p.run_date).days &lt;= p.warn_days: out.append(exc('BAR_APPROACHING', r, bar_date=bar))
    return out</t>
  </si>
  <si>
    <t xml:space="preserve">Taxmann – returns cannot be filed after 3 years | https://www.taxmann.com/post/blog/gstn-warns-pending-gst-returns-cannot-be-filed-after-3-years | N.28/2023-CT; advisory 25.09.2025
ClearTax – GST return filing rule changes from July 2025 | https://cleartax.in/s/gst-return-filing-rule-changes-from-july-2025 | GSTN advisories 07.06.2025 (3B Table 3 lock), 3-year bar</t>
  </si>
  <si>
    <t xml:space="preserve">N.28/2023-CT and portal barring verified via secondary sources (GST-030). Sub-section numbers from statute knowledge.</t>
  </si>
  <si>
    <t xml:space="preserve">RC-GST-033</t>
  </si>
  <si>
    <t xml:space="preserve">GST – Rate validation</t>
  </si>
  <si>
    <t xml:space="preserve">Rate check: sales register item HSN + rate vs rate master (GST 2.0 from 22.09.2025; tobacco 01.02.2026)</t>
  </si>
  <si>
    <t xml:space="preserve">Check every outward line's GST rate against the rate master for the HSN and the time of supply, especially across the 22.09.2025 changeover.</t>
  </si>
  <si>
    <t xml:space="preserve">invoice date / time of supply</t>
  </si>
  <si>
    <t xml:space="preserve">Goods: N.9/2025-CT(Rate) &amp; N.9/2025-IT(Rate) dt 17.09.2025 (supersede 1/2017), effective 22.09.2025 – IGST schedules: I 5%, II 18%, III 40%, IV 3%, V 0.25%, VI 1.5%, VII 28% (VII omitted from 01.02.2026 by 19/2025-CT(Rate)/IT(Rate)); Services: N.15/2025-CT(Rate) amending 11/2017-CT(Rate), effective 22.09.2025; CGST s.14 (time of supply on change in rate); compensation cess Nil for listed items from 22.09.2025 (02/2025-CC(Rate)) and tobacco/pan masala from 01.02.2026 (03/2025-CC(Rate)).</t>
  </si>
  <si>
    <t xml:space="preserve">All suppliers.</t>
  </si>
  <si>
    <t xml:space="preserve">2025-09-22</t>
  </si>
  <si>
    <t xml:space="preserve">Sales register line level (HSN, description, rate, cess, date, advance/payment date for s.14); rate master table (HSN prefix, description, rate, effective_from, effective_to, conditions) loaded from notifications – note: doc_b is the RATE MASTER table (no fixed doc code; uses SALES_REG as both sides with master lookup).</t>
  </si>
  <si>
    <t xml:space="preserve">SALES_REG.hsn_sac (longest prefix) = RATE_MASTER.hsn_prefix; SALES_REG.time_of_supply within RATE_MASTER.effective_from/effective_to range</t>
  </si>
  <si>
    <t xml:space="preserve">HSN digits only; longest-prefix match (8 -&gt; 6 -&gt; 4 -&gt; 2 digits) – implementation choice; services SAC 99xxxx.</t>
  </si>
  <si>
    <t xml:space="preserve">Line level.</t>
  </si>
  <si>
    <t xml:space="preserve">SALES_REG.gst_rate vs RATE_MASTER.rate; SALES_REG.cess_rate vs RATE_MASTER.cess_rate</t>
  </si>
  <si>
    <t xml:space="preserve">Exact (rates).</t>
  </si>
  <si>
    <t xml:space="preserve">expected_rate = master.lookup(hsn, tos); tos per s.14 when rate changes: if supply before change: invoice/payment after -&gt; earlier of invoice/payment (old rate) etc.; implementation: if invoice_date and payment_date straddle 22.09.2025 apply s.14 matrix</t>
  </si>
  <si>
    <t xml:space="preserve">1. Determine time of supply (s.12/13; s.14 matrix if date straddles change: supply, invoice, payment). 2. Lookup expected rate (some entries have conditions e.g. value thresholds – mark CONDITIONAL). 3. Compare. 4. Rate higher than expected -&gt; EXCESS_RATE (refund/CN implications); lower -&gt; SHORT_RATE (tax short). 5. HSN not in master -&gt; HSN_UNMAPPED.</t>
  </si>
  <si>
    <t xml:space="preserve">RATE_OK; SHORT_RATE; EXCESS_RATE; CESS_DIFF; HSN_UNMAPPED; CONDITIONAL_RATE: needs condition check; TRANSITION_CHECK: straddles 22.09.2025</t>
  </si>
  <si>
    <t xml:space="preserve">RATE_OK=Low; SHORT_RATE=Critical; EXCESS_RATE=Medium; CESS_DIFF=High; HSN_UNMAPPED=Medium; CONDITIONAL_RATE=Medium; TRANSITION_CHECK=Medium</t>
  </si>
  <si>
    <t xml:space="preserve">rate_master_version=; changeover_date=2025-09-22; tobacco_changeover=2026-02-01</t>
  </si>
  <si>
    <t xml:space="preserve">Rate master loaded with effective dates; HSN present.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</si>
  <si>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hsn; expected_rate; charged_rate; tax_difference</t>
  </si>
  <si>
    <t xml:space="preserve">Line: HSN 8703 (car) – rate per Sch II/III by engine/length conditions -&gt; CONDITIONAL_RATE. Line: HSN 3401 (soap) invoice 25-09-2025 charged 18%; master 5% from 22.09.2025 (per Council list, verify) -&gt; EXCESS_RATE; tax diff = txval 10,000 × 13% = 1,300. Line: invoice 20-09-2025 at old rate -&gt; RATE_OK.</t>
  </si>
  <si>
    <t xml:space="preserve">Invoice 15-09-2025 at 12% for item whose old rate was 12% -&gt; RATE_OK.</t>
  </si>
  <si>
    <t xml:space="preserve">Advance received 15-09-2025, invoice 25-09-2025, goods supplied 25-09-2025 -&gt; s.14 matrix -&gt; TRANSITION_CHECK (CA).</t>
  </si>
  <si>
    <t xml:space="preserve">ERP masters not updated on 22.09.2025; 12% and 28% slabs discontinued; tobacco items continued at 28% + cess until 01.02.2026; services rate changes (hotel, gym, salon).</t>
  </si>
  <si>
    <t xml:space="preserve">SHORT_RATE: pay differential tax with interest; issue supplementary invoice/DN; EXCESS_RATE: CN/refund considerations (unjust enrichment).</t>
  </si>
  <si>
    <t xml:space="preserve">def rc_gst_033(lines, master, p):
    out = []
    for l in lines:
        tos = time_of_supply(l, change_date=p.changeover_date)
        m = master.lookup(l.hsn, tos)
        if m is None: out.append(exc('HSN_UNMAPPED', l)); continue
        if m.conditional: out.append(exc('CONDITIONAL_RATE', l, expected=m.rate)); continue
        if straddles(l, p.changeover_date): out.append(exc('TRANSITION_CHECK', l))
        if l.rate &lt; m.rate: out.append(exc('SHORT_RATE', l, expected=m.rate, diff=l.txval*(m.rate-l.rate)/100))
        elif l.rate &gt; m.rate: out.append(exc('EXCESS_RATE', l, expected=m.rate))
        if l.cess_rate != m.cess_rate: out.append(exc('CESS_DIFF', l))
    return out</t>
  </si>
  <si>
    <t xml:space="preserve">TaxHeal – N.9/2025-IT(Rate) schedules | https://www.taxheal.com/?p=104994 | Sch I 5%, II 18%, III 40%, IV 3%, V 0.25%, VI 1.5%, VII 28% (omitted 01.02.2026)
GST Council 56th meeting press release | https://gstcouncil.gov.in/sites/default/files/2025-09/press_release_press_information_bureau.pdf | 5%/18%/40%; effective 22.09.2025
GST Council FAQ on GST 2.0 rate changes | https://gstcouncil.gov.in/sites/default/files/2025-09/faq.pdf | FAQ 60 (GTA 5%/18%)
West Bengal CTD – GST updates Dec 2025 | https://comtax.wb.gov.in/GST/GST_PPU/GST_Updates_Dec_2025.pdf | 19/2025-CT(Rate) w.e.f. 01.02.2026</t>
  </si>
  <si>
    <t xml:space="preserve">Schedules and dates per GST-005/006. HSN-to-schedule mapping must be loaded from notification schedules (not reproduced). Example soap rate is illustrative from Council press material – CA must verify from master. RATE_MASTER is a reference table, not a document; consider adding code RATE_MASTER (new code suggested).</t>
  </si>
  <si>
    <t xml:space="preserve">RC-GST-034</t>
  </si>
  <si>
    <t xml:space="preserve">GST – Place of supply</t>
  </si>
  <si>
    <t xml:space="preserve">Place of supply check: supplier state vs POS vs IGST or CGST+SGST charged</t>
  </si>
  <si>
    <t xml:space="preserve">Verify that the tax type charged on each invoice (IGST vs CGST+SGST/UTGST) is consistent with the supplier's location and the place of supply, and that the POS is plausible for the buyer/delivery data.</t>
  </si>
  <si>
    <t xml:space="preserve">invoice level</t>
  </si>
  <si>
    <t xml:space="preserve">IGST Act s.7 (inter-State supply), s.8 (intra-State), s.10 (POS goods), s.12 and s.13 (POS services – domestic and cross-border); CGST s.77 / IGST s.19 (tax paid under wrong head – refund, no interest); Rule 46(n) (POS on invoice for inter-state supplies); FA 2026 omission of IGST s.13(8)(b) (intermediary) – POS becomes recipient's location (commencement per secondary source 30.03.2026 – not verified on Gazette).</t>
  </si>
  <si>
    <t xml:space="preserve">All suppliers (and recipients checking inward invoices).</t>
  </si>
  <si>
    <t xml:space="preserve">Sales register: supplier GSTIN state, buyer GSTIN state, ship-to state, POS, tax heads, supply type (goods/service, service category); for purchase side: supplier GSTIN, client state, tax heads.</t>
  </si>
  <si>
    <t xml:space="preserve">SALES_REG.voucher_no = GSTR1.b2b_invoice_no | b2cl_invoice_no | exp_invoice_no (for POS consistency with return)</t>
  </si>
  <si>
    <t xml:space="preserve">State codes 2-digit; POS '97' Other Territory; '96' foreign (export).</t>
  </si>
  <si>
    <t xml:space="preserve">Invoice level.</t>
  </si>
  <si>
    <t xml:space="preserve">supplier_state vs pos -&gt; expected tax type; SALES_REG.igst/cgst/sgst vs expected tax type; SALES_REG.place_of_supply vs SALES_REG.ship_to_state (goods) / buyer_state (B2B services default s.12(2)); SALES_REG.place_of_supply vs GSTR1.b2b_pos | b2cl_pos</t>
  </si>
  <si>
    <t xml:space="preserve">Exact.</t>
  </si>
  <si>
    <t xml:space="preserve">expected = 'IGST' if pos != supplier_state or is_export or is_sez else 'CGST+SGST'; charged = 'IGST' if igst&gt;0 else ('CGST+SGST' if cgst&gt;0 or sgst&gt;0 else 'NIL'); cgst == sgst check</t>
  </si>
  <si>
    <t xml:space="preserve">1. Derive expected tax type. 2. Compare charged. 3. Goods: POS should be delivery state (s.10(1)(a)) or bill-to for bill-to-ship-to (s.10(1)(b)) – flag where POS differs from both. 4. Services B2B: POS generally recipient location (s.12(2)) except specific (immovable property, events, transport) – flag for review where POS != buyer state. 5. CGST != SGST -&gt; SPLIT_ERROR. 6. Purchase side: supplier state = client state but IGST charged -&gt; INWARD_HEAD_ERROR (ITC risk: 2B itcavl may be N for POS rule).</t>
  </si>
  <si>
    <t xml:space="preserve">POS_OK; WRONG_TAX_TYPE: IGST vs CGST+SGST inconsistent with POS; POS_IMPLAUSIBLE: POS differs from delivery/buyer state; SPLIT_ERROR: CGST != SGST; SEZ_INTRA_ERROR: SEZ supply taxed as intra-state; INWARD_HEAD_ERROR; POS_RETURN_DIFF: books POS differs from GSTR-1</t>
  </si>
  <si>
    <t xml:space="preserve">POS_OK=Low; WRONG_TAX_TYPE=Critical; POS_IMPLAUSIBLE=Medium; SPLIT_ERROR=High; SEZ_INTRA_ERROR=Critical; INWARD_HEAD_ERROR=High; POS_RETURN_DIFF=High</t>
  </si>
  <si>
    <t xml:space="preserve">service_pos_exceptions_master=</t>
  </si>
  <si>
    <t xml:space="preserve">State codes valid; GSTIN state = first 2 chars.</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</si>
  <si>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supplier_state; pos; ship_to_state; expected_tax_type; charged_tax_type</t>
  </si>
  <si>
    <t xml:space="preserve">Supplier 27. (1) Buyer 27, ship-to 29, goods, POS 29, IGST charged -&gt; POS_OK. (2) Buyer 29, POS 29, CGST+SGST charged -&gt; WRONG_TAX_TYPE (tax 18,000 to be paid as IGST; refund of CGST/SGST u/s 77). (3) SEZ unit in 27, CGST+SGST -&gt; SEZ_INTRA_ERROR. (4) CGST 900, SGST 901 -&gt; SPLIT_ERROR.</t>
  </si>
  <si>
    <t xml:space="preserve">Intra-state supply, CGST = SGST = 9% -&gt; POS_OK.</t>
  </si>
  <si>
    <t xml:space="preserve">Export (POS 96) with IGST under WPAY -&gt; POS_OK (zero-rated).</t>
  </si>
  <si>
    <t xml:space="preserve">POS defaulted to billing address; online services to unregistered persons; event/property services; SEZ treated as local; intermediary services after FA 2026.</t>
  </si>
  <si>
    <t xml:space="preserve">WRONG_TAX_TYPE: pay correct tax and claim refund of wrong head (s.77/s.19), amend GSTR-1; buyer's ITC affected.</t>
  </si>
  <si>
    <t xml:space="preserve">def rc_gst_034(sales, g1, p):
    out = []
    for i in agg(sales, ['inv_n'], SUM_HEADS+['pos','ship_to_state','buyer_state','is_sez','is_export']):
        sup = p.client_gstin[:2]
        exp_t = 'IGST' if (i.pos != sup or i.is_sez or i.is_export) else 'CGST+SGST'
        ch = 'IGST' if i.igst &gt; 0 else ('CGST+SGST' if (i.cgst &gt; 0 or i.sgst &gt; 0) else 'NIL')
        if ch != 'NIL' and ch != exp_t: out.append(exc('SEZ_INTRA_ERROR' if i.is_sez else 'WRONG_TAX_TYPE', i))
        if abs(i.cgst - i.sgst) &gt; 0.01: out.append(exc('SPLIT_ERROR', i))
        if i.is_goods and i.pos not in (i.ship_to_state, i.buyer_state): out.append(exc('POS_IMPLAUSIBLE', i))
    return out</t>
  </si>
  <si>
    <t xml:space="preserve">ICAI CA Journal – GST amendments in Finance Bill 2026 | https://cajournal.icai.org/article-details/gst-amendments-proposed-through-the-finance-bill-2026 | s.15(3)(b), s.34(1)
Circular 170/02/2022-GST | https://www.gstcouncil.gov.in/sites/default/files/2024-06/cir-170-02-2022-cgst.pdf | GSTR-3B Table 4 and 3.2 reporting</t>
  </si>
  <si>
    <t xml:space="preserve">POS provisions from statute knowledge (GST-003). Service-specific POS rules should be a CA-maintained master.</t>
  </si>
  <si>
    <t xml:space="preserve">RC-GST-035</t>
  </si>
  <si>
    <t xml:space="preserve">GST – TDS/TCS credits</t>
  </si>
  <si>
    <t xml:space="preserve">GST TDS (GSTR-7) credit vs books receivable and TDS/TCS Credit Received acceptance</t>
  </si>
  <si>
    <t xml:space="preserve">Check GST TDS deducted by government/notified deductors (shown from their GSTR-7) agrees with the books (customer deductions) and has been accepted so that it reaches the cash ledger.</t>
  </si>
  <si>
    <t xml:space="preserve">GSTR7</t>
  </si>
  <si>
    <t xml:space="preserve">CGST Act s.51 (TDS at 2% – 1% CGST + 1% SGST, or 2% IGST – on payments where total value of supply under a contract exceeds Rs 2.5 lakh, by notified deductors); s.39(3) (GSTR-7); GST portal 'TDS and TCS Credit Received' form – deductee must accept/reject; accepted amount credited to Electronic Cash Ledger after filing; rejected goes back to deductor's GSTR-7; invoice-level action from September 2025 return period.</t>
  </si>
  <si>
    <t xml:space="preserve">Suppliers to government departments/PSUs/local authorities and other notified deductors.</t>
  </si>
  <si>
    <t xml:space="preserve">2018-10-01</t>
  </si>
  <si>
    <t xml:space="preserve">TDS credit received list (deductor GSTIN, invoice/contract, taxable value, TDS by head, deductor's GSTR-7 period, action status); books: customer receipts with TDS deducted (GL 'GST TDS receivable'), sales invoices; ECL credits (TDS).</t>
  </si>
  <si>
    <t xml:space="preserve">GSTR7.deductor_gstin = GL.party_gstin; GSTR7.deductee_invoice_no = GL.bill_ref (from Sep 2025 invoice-level) or GSTR7.deductor_gstin + month</t>
  </si>
  <si>
    <t xml:space="preserve">Deductor + month (or invoice from Sep 2025).</t>
  </si>
  <si>
    <t xml:space="preserve">GSTR7.amount_paid vs GL.payment_base; GSTR7.tds_h vs GL.tds_receivable_h; GSTR7.tds_credit_action vs expected (Accept); accepted_tds_h vs ECL.tds_credit_h</t>
  </si>
  <si>
    <t xml:space="preserve">Rs 1 per head (implementation choice); rate check exact 2% (legal).</t>
  </si>
  <si>
    <t xml:space="preserve">expected_tds = 0.02 × taxable_value (contract value &gt; 2,50,000); head: same state of deductor and supplier POS -&gt; CGST+SGST 1%+1% else IGST 2%</t>
  </si>
  <si>
    <t xml:space="preserve">1. Match deductor credits to books receipts. 2. Compare values and heads. 3. Check rate = 2% of taxable value. 4. Credits not accepted -&gt; PENDING_ACCEPTANCE. 5. Accepted but not in ECL -&gt; ECL_NOT_CREDITED (form not filed). 6. Books show TDS deducted but no GSTR-7 credit -&gt; DEDUCTOR_NOT_FILED.</t>
  </si>
  <si>
    <t xml:space="preserve">MATCHED; VALUE_DIFF; TDS_DIFF; RATE_ERROR; PENDING_ACCEPTANCE; ECL_NOT_CREDITED; DEDUCTOR_NOT_FILED; NOT_IN_BOOKS</t>
  </si>
  <si>
    <t xml:space="preserve">MATCHED=Low; VALUE_DIFF=Medium; TDS_DIFF=Medium; RATE_ERROR=Medium; PENDING_ACCEPTANCE=Medium; ECL_NOT_CREDITED=Medium; DEDUCTOR_NOT_FILED=High; NOT_IN_BOOKS=High</t>
  </si>
  <si>
    <t xml:space="preserve">tds_rate_pct=2; contract_threshold_inr=250000; value_tolerance_inr=1</t>
  </si>
  <si>
    <t xml:space="preserve">Deductor GSTIN valid (TDS registration).</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</si>
  <si>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deductor_gstin; gstr7_period; action_status</t>
  </si>
  <si>
    <t xml:space="preserve">Books: receipt from PWD (27) Aug-2025 on invoice txval 10,00,000, TDS deducted 20,000 (CGST 10,000 SGST 10,000). GSTR-7 credit: 10,00,000, CGST 10,000 SGST 10,000, status 'Not acted' -&gt; PENDING_ACCEPTANCE. Second deductor: books TDS 5,000, no GSTR-7 -&gt; DEDUCTOR_NOT_FILED.</t>
  </si>
  <si>
    <t xml:space="preserve">Credit accepted, ECL credited 20,000 -&gt; MATCHED.</t>
  </si>
  <si>
    <t xml:space="preserve">Contract value 2,00,000 with TDS deducted -&gt; RATE_ERROR/not applicable – deductor error; supplier may reject.</t>
  </si>
  <si>
    <t xml:space="preserve">Deduction on gross including GST; deductor files late; wrong GSTIN; partial payments.</t>
  </si>
  <si>
    <t xml:space="preserve">Accept correct credits and file the form; reject wrong ones with remarks; follow up with deductor.</t>
  </si>
  <si>
    <t xml:space="preserve">def rc_gst_035(g7, gl, ecl, p):
    pairs, ug, ub = match_by(g7, gl_tds_receipts(gl), keys=['deductor_gstin','inv_or_month'])
    out = compare(pairs, ['taxable_value','tds_cgst','tds_sgst','tds_igst'], p.value_tolerance_inr)
    for g, b in pairs:
        if abs(g.tds_total - p.tds_rate_pct/100*g.taxable_value) &gt; 1: out.append(exc('RATE_ERROR', g, b))
        if g.action not in ('ACCEPTED',): out.append(exc('PENDING_ACCEPTANCE', g, b))
        elif not ecl.has_credit(g): out.append(exc('ECL_NOT_CREDITED', g, b))
    out += [exc('NOT_IN_BOOKS', g) for g in ug] + [exc('DEDUCTOR_NOT_FILED', None, b) for b in ub]
    return out</t>
  </si>
  <si>
    <t xml:space="preserve">GST Portal user manual – TDS and TCS Credit Received | https://tutorial.gst.gov.in/userguide/inputtaxcredit/manual_tds_and_tcs_credit_received.htm | accept -&gt; ECL after filing; reject -&gt; back to GSTR-7/8; invoice-level action from Sept 2025</t>
  </si>
  <si>
    <t xml:space="preserve">Acceptance workflow verified on GST portal user manual (official tutorial). s.51 rate/threshold from statute knowledge (GST-027). Deemed acceptance/time limit not stated in manual.</t>
  </si>
  <si>
    <t xml:space="preserve">RC-GST-036</t>
  </si>
  <si>
    <t xml:space="preserve">GST TCS by e-commerce operator (GSTR-8) vs books ECO sales and acceptance</t>
  </si>
  <si>
    <t xml:space="preserve">Check TCS collected by e-commerce operators on the client's sales agrees with ECO settlement reports and the books, and has been accepted into the cash ledger.</t>
  </si>
  <si>
    <t xml:space="preserve">GSTR8</t>
  </si>
  <si>
    <t xml:space="preserve">CGST Act s.52 (TCS by ECO on net value of taxable supplies); N.15/2024-CT dt 10.07.2024 – rate 0.25% CGST + 0.25% SGST (0.5% IGST) from 10.07.2024 (earlier 0.5% + 0.5%); GSTR-8 by 10th; TDS/TCS Credit Received form (accept/reject; accepted to ECL).</t>
  </si>
  <si>
    <t xml:space="preserve">Suppliers selling through ECOs (Amazon, Flipkart etc.).</t>
  </si>
  <si>
    <t xml:space="preserve">TCS credit received (ECO GSTIN, gross supplies, returns, net value, TCS heads, period, status); books ECO sales by ECO GSTIN, net of returns; GSTR-1 Table 14 (supplies through ECO) if reported.</t>
  </si>
  <si>
    <t xml:space="preserve">GSTR8.eco_gstin = SALES_REG.ecom_gstin; GSTR8.return_period = SALES_REG.period; GSTR8.supplier_state_code = SALES_REG.place_of_supply (supplier GSTIN state)</t>
  </si>
  <si>
    <t xml:space="preserve">ECO GSTIN uppercase.</t>
  </si>
  <si>
    <t xml:space="preserve">ECO GSTIN + month.</t>
  </si>
  <si>
    <t xml:space="preserve">GSTR8.net_amount_liable vs SALES_REG.eco_net_taxable; GSTR8.tcs_h vs 0.5% × SALES_REG.eco_net_taxable; GSTR8.tcs_credit_action vs expected; accepted vs ECL credit</t>
  </si>
  <si>
    <t xml:space="preserve">Rs 10 per ECO per month (implementation choice – returns timing).</t>
  </si>
  <si>
    <t xml:space="preserve">expected_tcs = rate × net_value; rate = 0.5% total from 10.07.2024 (1% before); net_value = gross taxable − returns</t>
  </si>
  <si>
    <t xml:space="preserve">1. Aggregate books ECO sales per ECO per month. 2. Compare net value. 3. Recompute TCS. 4. Acceptance and ECL check. 5. Difference due to returns timing tracked cumulatively.</t>
  </si>
  <si>
    <t xml:space="preserve">MATCHED; NET_VALUE_DIFF; TCS_DIFF; PENDING_ACCEPTANCE; ECL_NOT_CREDITED; ECO_NOT_IN_BOOKS; BOOKS_NOT_IN_GSTR8</t>
  </si>
  <si>
    <t xml:space="preserve">MATCHED=Low; NET_VALUE_DIFF=High; TCS_DIFF=Medium; PENDING_ACCEPTANCE=Medium; ECL_NOT_CREDITED=Medium; ECO_NOT_IN_BOOKS=Critical; BOOKS_NOT_IN_GSTR8=Medium</t>
  </si>
  <si>
    <t xml:space="preserve">tcs_rate_pct=0.5; tolerance_inr=10</t>
  </si>
  <si>
    <t xml:space="preserve">ECO GSTIN valid; period present.</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</si>
  <si>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eco_gstin; net_value_books; net_value_gstr8</t>
  </si>
  <si>
    <t xml:space="preserve">Aug-2025 ECO 29AAACE... books net 10,00,000; GSTR-8 net 11,50,000 -&gt; NET_VALUE_DIFF 1,50,000 (possible unrecorded sales – Critical review). TCS expected 0.5% × 11,50,000 = 5,750; GSTR-8 5,750 -&gt; TCS OK.</t>
  </si>
  <si>
    <t xml:space="preserve">Net values equal, TCS 0.5%, accepted -&gt; MATCHED.</t>
  </si>
  <si>
    <t xml:space="preserve">Supplies before 10.07.2024 -&gt; rate 1% param by date.</t>
  </si>
  <si>
    <t xml:space="preserve">Returns booked later; ECO uses different POS; sales via ECO booked as B2C without ETIN; promotional discounts.</t>
  </si>
  <si>
    <t xml:space="preserve">NET_VALUE_DIFF (GSTR-8 &gt; books): investigate unrecorded sales and short-reported liability; accept/reject credits.</t>
  </si>
  <si>
    <t xml:space="preserve">def rc_gst_036(g8, sales, ecl, p):
    b = agg(sales[sales.ecom_gstin!=''], ['ecom_gstin','period'], ['net_taxable'])
    pairs, ug, ub = match_exact(g8, b, [('eco_gstin','ecom_gstin'),('period','period')])
    out = []
    for g, x in pairs:
        if abs(g.net_value - x.net_taxable) &gt; p.tolerance_inr: out.append(exc('NET_VALUE_DIFF', g, x))
        if abs(g.tcs_total - rate_by_date(g.period)*g.net_value) &gt; p.tolerance_inr: out.append(exc('TCS_DIFF', g, x))
        if g.action != 'ACCEPTED': out.append(exc('PENDING_ACCEPTANCE', g, x))
    return out + [exc('ECO_NOT_IN_BOOKS', g) for g in ug] + [exc('BOOKS_NOT_IN_GSTR8', None, x) for x in ub]</t>
  </si>
  <si>
    <t xml:space="preserve">TaxHeal – N.15/2024-CT TCS rate | https://www.taxheal.com/?p=96048 | TCS 0.25%+0.25% from 10.07.2024
GST Portal user manual – TDS and TCS Credit Received | https://tutorial.gst.gov.in/userguide/inputtaxcredit/manual_tds_and_tcs_credit_received.htm | accept -&gt; ECL after filing; reject -&gt; back to GSTR-7/8; invoice-level action from Sept 2025</t>
  </si>
  <si>
    <t xml:space="preserve">TCS rate change verified via secondary (TaxHeal). Acceptance flow per official user manual.</t>
  </si>
  <si>
    <t xml:space="preserve">RC-GST-037</t>
  </si>
  <si>
    <t xml:space="preserve">GST – ISD</t>
  </si>
  <si>
    <t xml:space="preserve">ISD distribution (GSTR-6 / ISD invoices) vs recipient GSTR-2B ISD section and books</t>
  </si>
  <si>
    <t xml:space="preserve">Check ITC distributed by the Input Service Distributor equals the ISD credits in each recipient unit's GSTR-2B and books, and that distribution follows the turnover ratio.</t>
  </si>
  <si>
    <t xml:space="preserve">CGST Act s.2(61), s.20 (as substituted by Finance Act 2024, ISD mandatory for common input services from 01.04.2025 – N.16/2024-CT); Rule 39 (manner of distribution; pro rata on turnover); Rule 54(1) (ISD invoice); GSTR-6 (13th); recipient GSTR-2B ISD section; GSTR-3B 4A(4).</t>
  </si>
  <si>
    <t xml:space="preserve">Entities with multiple GSTINs under same PAN receiving common input services.</t>
  </si>
  <si>
    <t xml:space="preserve">ISD distribution register / GSTR-6 (ISD GSTIN, recipient GSTIN, ISD invoice no., date, eligible/ineligible ITC by head); each recipient's GSTR-2B ISD section; recipient books; turnover of recipients for ratio. Note: GSTR-6 is not in the fixed doc list – distribution register loaded as GL/PURCH_REG of ISD (see notes).</t>
  </si>
  <si>
    <t xml:space="preserve">ISD_REG.isd_gstin = GSTR2B.isd_distributor_gstin; ISD_REG.isd_invoice_no = GSTR2B.isd_doc_no; ISD_REG.recipient_gstin = GSTR2B.gstin</t>
  </si>
  <si>
    <t xml:space="preserve">ISD document per recipient.</t>
  </si>
  <si>
    <t xml:space="preserve">ISD_REG.itc_h vs GSTR2B.igst_amount/cgst_amount/sgst_amount/cess_amount; GSTR2B.isd_* total vs GSTR3B.4A4; ISD_REG.share vs turnover_ratio × total common credit</t>
  </si>
  <si>
    <t xml:space="preserve">Rs 1 per head per document (implementation choice); ratio check Rs 10 per recipient.</t>
  </si>
  <si>
    <t xml:space="preserve">share_i = C × turnover_i / Σ turnover_j (relevant period per Rule 39); head: recipient in other state -&gt; IGST</t>
  </si>
  <si>
    <t xml:space="preserve">1. Match ISD documents to recipient 2B. 2. Compare. 3. Recompute shares; compare. 4. Recipient 3B 4A(4) vs 2B ISD. 5. Ineligible ITC distributed as eligible -&gt; INELIGIBLE_AS_ELIGIBLE.</t>
  </si>
  <si>
    <t xml:space="preserve">MATCHED; ISD_VALUE_DIFF; NOT_IN_RECIPIENT_2B; NOT_IN_ISD_REG; RATIO_DIFF; 3B_4A4_DIFF; INELIGIBLE_AS_ELIGIBLE; HEAD_DIFF</t>
  </si>
  <si>
    <t xml:space="preserve">MATCHED=Low; ISD_VALUE_DIFF=High; NOT_IN_RECIPIENT_2B=High; NOT_IN_ISD_REG=High; RATIO_DIFF=Medium; 3B_4A4_DIFF=High; INELIGIBLE_AS_ELIGIBLE=Critical; HEAD_DIFF=High</t>
  </si>
  <si>
    <t xml:space="preserve">tolerance_inr=1; ratio_tolerance_inr=10; turnover_basis=</t>
  </si>
  <si>
    <t xml:space="preserve">All recipient GSTINs same PAN as ISD.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</si>
  <si>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isd_gstin; recipient_gstin; isd_doc; share_expected</t>
  </si>
  <si>
    <t xml:space="preserve">Common credit IGST 1,00,000; turnover A 6 cr, B 4 cr -&gt; A 60,000, B 40,000. Distributed A 70,000, B 30,000 -&gt; RATIO_DIFF ±10,000. B 2B ISD 30,000; B 3B 4A(4) 40,000 -&gt; 3B_4A4_DIFF 10,000.</t>
  </si>
  <si>
    <t xml:space="preserve">Shares per ratio and 2B equal -&gt; MATCHED.</t>
  </si>
  <si>
    <t xml:space="preserve">Service attributable only to unit A distributed only to A -&gt; no ratio exception.</t>
  </si>
  <si>
    <t xml:space="preserve">Cross-charge used instead of ISD after 01.04.2025; distribution in wrong month; RCM credits distribution (Rule 39(1A) – not verified).</t>
  </si>
  <si>
    <t xml:space="preserve">Revise distribution via ISD credit note/debit note; recipient correct 3B.</t>
  </si>
  <si>
    <t xml:space="preserve">def rc_gst_037(isd_reg, g2b_by_recipient, g3b_by_recipient, turnover, p):
    out = []
    for r, g2b in g2b_by_recipient.items():
        pairs, ui, ug = match_exact(isd_reg[isd_reg.recipient==r], g2b.isd, [('isd_gstin','ctin'),('doc_n','docnum_n')])
        out += compare(pairs, ['igst','cgst','sgst','cess'], p.tolerance_inr)
        out += [exc('NOT_IN_RECIPIENT_2B', a) for a in ui] + [exc('NOT_IN_ISD_REG', None, x) for x in ug]
        if abs(g3b_by_recipient[r]['4A4'].total - g2b.isd.total) &gt; p.tolerance_inr: out.append(exc('3B_4A4_DIFF', recipient=r))
    out += ratio_check(isd_reg, turnover, p.ratio_tolerance_inr)
    return out</t>
  </si>
  <si>
    <t xml:space="preserve">TaxGuru – ISD mandatory from 1 April 2025 | https://taxguru.in/goods-and-service-tax/input-service-distributor-mandatory-1st-april-2025.html | N.16/2024-CT; s.2(61), s.20</t>
  </si>
  <si>
    <t xml:space="preserve">ISD mandate from 01.04.2025 verified via TaxGuru (N.16/2024-CT). GSTR-6 is not in the fixed document list – suggest new doc code GSTR6 (not added to the rule's doc fields; ISD register is used via doc_b PURCH_REG). Rule 39 turnover period not re-verified.</t>
  </si>
  <si>
    <t xml:space="preserve">RC-GST-038</t>
  </si>
  <si>
    <t xml:space="preserve">GST – Imports</t>
  </si>
  <si>
    <t xml:space="preserve">Imports: ICEGATE Bill of Entry vs GSTR-2B IMPG/IMPGSEZ vs books and GSTR-3B 4A(1)</t>
  </si>
  <si>
    <t xml:space="preserve">Check IGST paid on imports per Bills of Entry appears in GSTR-2B (IMPG/IMPGSEZ), is booked, and is claimed in 3B Table 4A(1) in the right period without excess.</t>
  </si>
  <si>
    <t xml:space="preserve">tax period (month) by reference date</t>
  </si>
  <si>
    <t xml:space="preserve">CGST Act s.16(2) and Rule 36(1)(d) (Bill of Entry as ITC document); IGST Act s.3(7)/Customs Tariff Act s.3(7) (IGST on imports); GSTR-2B import section (IMPG, IMPGSEZ) populated from ICEGATE (reference date = latest of out-of-charge, duty payment or amendment date); GST portal 'Search BoE' / 'Query ICEGATE' facility; GSTR-3B 4A(1); GSTR-9 8G/8H/8H1.</t>
  </si>
  <si>
    <t xml:space="preserve">Importers of goods.</t>
  </si>
  <si>
    <t xml:space="preserve">2020-10-01</t>
  </si>
  <si>
    <t xml:space="preserve">Books import register (BoE no., date, port code, assessable value, IGST, cess, duty payment date); GSTR-2B impg/impgsez (refdt, portcd, benum, bedt, txval, igst, cess, isamd); GSTR-3B 4A(1).</t>
  </si>
  <si>
    <t xml:space="preserve">PURCH_REG.boe_no = GSTR2B.boe_no; PURCH_REG.boe_date = GSTR2B.boe_date; PURCH_REG.port_code = GSTR2B.port_code</t>
  </si>
  <si>
    <t xml:space="preserve">BoE number digits only (strip leading zeros – implementation choice); port code uppercase 6 chars; dates ISO.</t>
  </si>
  <si>
    <t xml:space="preserve">BoE level.</t>
  </si>
  <si>
    <t xml:space="preserve">PURCH_REG.taxable_value vs GSTR2B.boe_taxable_value; PURCH_REG.igst vs GSTR2B.boe_igst; PURCH_REG.cess vs GSTR2B.boe_cess; PURCH_REG.itc_claim_period vs period(GSTR2B.boe_ref_date); Σ GSTR2B.boe_igst vs GSTR3B.4A1.igst</t>
  </si>
  <si>
    <t xml:space="preserve">Rs 1 per BoE (implementation choice).</t>
  </si>
  <si>
    <t xml:space="preserve">excess_4A1 = GSTR3B.4A1 − Σ GSTR2B.impg(period) − Σ BoE fetched via query not yet in 2B (allowed per CA)</t>
  </si>
  <si>
    <t xml:space="preserve">1. Match BoEs. 2. Compare values. 3. Missing in 2B: check reference date + 2 days lag; recommend 'Query ICEGATE'. 4. Period of claim vs 2B period. 5. Compare 3B 4A(1) with 2B import total. 6. SEZ imports: IMPGSEZ with supplier GSTIN.</t>
  </si>
  <si>
    <t xml:space="preserve">MATCHED; VALUE_DIFF; IGST_DIFF; MISSING_IN_2B; MISSING_IN_BOOKS; PERIOD_MISMATCH; 4A1_EXCESS; 4A1_SHORT; AMENDED_BOE</t>
  </si>
  <si>
    <t xml:space="preserve">MATCHED=Low; VALUE_DIFF=Medium; IGST_DIFF=High; MISSING_IN_2B=High; MISSING_IN_BOOKS=Medium; PERIOD_MISMATCH=Medium; 4A1_EXCESS=Critical; 4A1_SHORT=Medium; AMENDED_BOE=Medium</t>
  </si>
  <si>
    <t xml:space="preserve">tolerance_inr=1; icegate_lag_days=2</t>
  </si>
  <si>
    <t xml:space="preserve">BoE date &lt;= reference date; port code valid; GSTIN on BoE = client GSTIN.</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</si>
  <si>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boe_no; boe_date; port_code; ref_date</t>
  </si>
  <si>
    <t xml:space="preserve">Books: BoE 7654321 dt 05-08-2025 INNSA1 IGST 1,80,000; BoE 7654400 dt 28-08-2025 IGST 90,000. 2B Aug: 7654321 IGST 1,80,000 -&gt; MATCHED; 7654400 in 2B Sep (ref date 02-09-2025) -&gt; PERIOD_MISMATCH. 3B Aug 4A(1) 2,70,000 vs 2B 1,80,000 -&gt; 4A1_EXCESS 90,000.</t>
  </si>
  <si>
    <t xml:space="preserve">BoE IGST 50,000.40 vs 2B 50,000 -&gt; MATCHED.</t>
  </si>
  <si>
    <t xml:space="preserve">BoE filed under another GSTIN (other state unit) -&gt; MISSING_IN_2B; ITC not available to this GSTIN.</t>
  </si>
  <si>
    <t xml:space="preserve">BoE filed with PAN-based IEC but wrong GSTIN; amendment of BoE; ICEGATE lag; ITC on customs duty (BCD) wrongly taken.</t>
  </si>
  <si>
    <t xml:space="preserve">MISSING_IN_2B: use 'Search BoE'/'Query ICEGATE'; 4A1_EXCESS: reverse or justify; correct GSTIN on BoE via customs amendment.</t>
  </si>
  <si>
    <t xml:space="preserve">def rc_gst_038(imp, g2b_fy, g3b, p):
    r = concat(g2b_fy.impg, g2b_fy.impgsez)
    pairs, ub, ur = match_exact(imp, r, [('boe_n','benum_n'),('boe_date','bedt'),('port_code','portcd')])
    out = compare(pairs, ['assessable_value:txval','igst','cess'], p.tolerance_inr)
    out += [exc('PERIOD_MISMATCH', a, x) for a, x in pairs if a.claim_period != period_of(x.refdt)]
    out += [exc('MISSING_IN_2B', a) for a in ub] + [exc('MISSING_IN_BOOKS', None, x) for x in ur]
    d = g3b['4A1'].igst - r[r.ret_period==p.period].igst.sum()
    if d &gt; p.tolerance_inr: out.append(exc('4A1_EXCESS', diff=d))
    elif d &lt; -p.tolerance_inr: out.append(exc('4A1_SHORT', diff=d))
    return out</t>
  </si>
  <si>
    <t xml:space="preserve">TaxHeal – on-demand fetching of BoE from ICEGATE | https://www.taxheal.com/?p=90244 | IMPG/IMPGSEZ fields; reference date; ~2 days lag; Search BoE
VJM Global – GSTN FAQs on GSTR-9/9C FY 2024-25 | https://www.vjmglobal.com/blog/gstn-issued-faqs-on-newly-released-form-gstr-9-9c-for-fy-2024-25 | 8A from 2B; 8C; 6A1; 8H1; Table 4/5 from GSTR-1/1A/IFF; Table 9 from 3B 6.1</t>
  </si>
  <si>
    <t xml:space="preserve">IMPG/IMPGSEZ fields and ICEGATE fetch verified via TaxHeal (secondary). ICEGATE BoE data is not in the fixed doc list – imports are loaded via PURCH_REG import register; suggest new doc code ICEGATE_BOE.</t>
  </si>
  <si>
    <t xml:space="preserve">RC-GST-039</t>
  </si>
  <si>
    <t xml:space="preserve">GST – Advances</t>
  </si>
  <si>
    <t xml:space="preserve">Advances received/adjusted (GSTR-1 Table 11) vs books (services)</t>
  </si>
  <si>
    <t xml:space="preserve">Check tax on advances received for services (and adjustments when invoices are issued) is reported in Table 11A/11B and matches the advance ledger in the books.</t>
  </si>
  <si>
    <t xml:space="preserve">CGST Act s.13(2) (time of supply of services – earlier of invoice/payment); s.12 time of supply for goods – GST on advances for goods not payable (N.66/2017-CT – not re-verified); Rule 50 (receipt voucher), Rule 51 (refund voucher); GSTR-1 Table 11A (advances received), 11B (advance adjusted).</t>
  </si>
  <si>
    <t xml:space="preserve">Service suppliers receiving advances.</t>
  </si>
  <si>
    <t xml:space="preserve">2017-11-15</t>
  </si>
  <si>
    <t xml:space="preserve">GL customer advance ledger (receipts, adjustments against invoices, refunds) with POS and rate; receipt voucher register; GSTR-1 at (11A) and txpd (11B) sections.</t>
  </si>
  <si>
    <t xml:space="preserve">GL.pos = GSTR1.at_pos; GL.gst_rate = GSTR1.at_rate; GL.MMYYYY of voucher_date (vs GSTR1.return_period) = GSTR1.return_period</t>
  </si>
  <si>
    <t xml:space="preserve">POS 2-digit; rate 2 dp.</t>
  </si>
  <si>
    <t xml:space="preserve">Per POS + rate + month (Table 11 is summary).</t>
  </si>
  <si>
    <t xml:space="preserve">GL.advance_received_excl_tax vs GSTR1.at_advance_amount; GL.tax_on_advance_h vs GSTR1.at_* tax_h; GL.advance_adjusted vs GSTR1.txpd_advance_adjusted</t>
  </si>
  <si>
    <t xml:space="preserve">advance_value_excl_tax = receipt × 100 / (100 + rate); tax = receipt − advance_value; adjusted = advances adjusted against invoices issued in the period (same POS/rate)</t>
  </si>
  <si>
    <t xml:space="preserve">1. Filter service advances (exclude goods). 2. Compute taxable portion. 3. Aggregate. 4. Compare 11A and 11B. 5. Advance unadjusted at month-end with no invoice and no 11A -&gt; ADVANCE_NOT_REPORTED. 6. 11B adjustment exceeding cumulative 11A -&gt; ADJUSTMENT_EXCEEDS.</t>
  </si>
  <si>
    <t xml:space="preserve">MATCHED; ADVANCE_NOT_REPORTED; ADVANCE_VALUE_DIFF; ADJUSTMENT_DIFF; ADJUSTMENT_EXCEEDS; GOODS_ADVANCE_TAXED</t>
  </si>
  <si>
    <t xml:space="preserve">MATCHED=Low; ADVANCE_NOT_REPORTED=High; ADVANCE_VALUE_DIFF=Medium; ADJUSTMENT_DIFF=Medium; ADJUSTMENT_EXCEEDS=High; GOODS_ADVANCE_TAXED=Low</t>
  </si>
  <si>
    <t xml:space="preserve">tolerance_inr=10</t>
  </si>
  <si>
    <t xml:space="preserve">Advance has rate and POS; receipt voucher issued.</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</si>
  <si>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pos; rate; received; adjusted</t>
  </si>
  <si>
    <t xml:space="preserve">Aug-2025: advance 1,18,000 (18%, POS 27) received 10-08-2025, invoice not issued in Aug -&gt; 11A expected txval 1,00,000 tax 18,000. GSTR-1 11A nil -&gt; ADVANCE_NOT_REPORTED (tax 18,000 payable in Aug).</t>
  </si>
  <si>
    <t xml:space="preserve">Advance and invoice in same month -&gt; no 11A required (invoice reported) -&gt; MATCHED.</t>
  </si>
  <si>
    <t xml:space="preserve">Advance for goods -&gt; excluded (GOODS_ADVANCE_TAXED only if 11A reported).</t>
  </si>
  <si>
    <t xml:space="preserve">Advances adjusted in same month; advances refunded; mixed goods/services contracts.</t>
  </si>
  <si>
    <t xml:space="preserve">Report in 11A and pay tax; adjust in 11B when invoiced.</t>
  </si>
  <si>
    <t xml:space="preserve">def rc_gst_039(gl_adv, g1, p):
    a = gl_adv[gl_adv.is_service].assign(txval=lambda d: d.receipt*100/(100+d.rate))
    rec = agg(a[a.unadjusted_at_month_end], ['pos','rate'], ['txval'])
    out = compare_outer(rec, g1.at, keys=[('pos','pos'),('rate','rt')], tol=p.tolerance_inr, cats=('ADVANCE_VALUE_DIFF','ADVANCE_NOT_REPORTED','MISSING_IN_BOOKS'))
    adj = agg(a[a.adjusted_in_period], ['pos','rate'], ['txval'])
    out += compare_outer(adj, g1.txpd, keys=[('pos','pos'),('rate','rt')], tol=p.tolerance_inr, cats=('ADJUSTMENT_DIFF','ADJUSTMENT_DIFF','ADJUSTMENT_EXCEEDS'))
    return out</t>
  </si>
  <si>
    <t xml:space="preserve">Legal basis from statute knowledge (not re-opened in this session). Table 11 JSON section names (at, txpd) as commonly published – confirm. MISSING_IN_BOOKS used for 11A in return without books advance.</t>
  </si>
  <si>
    <t xml:space="preserve">RC-GST-040</t>
  </si>
  <si>
    <t xml:space="preserve">GST – Composition</t>
  </si>
  <si>
    <t xml:space="preserve">Composition: CMP-08 quarterly and GSTR-4 annual turnover/tax vs books</t>
  </si>
  <si>
    <t xml:space="preserve">Check turnover and tax paid in CMP-08 (quarterly) and GSTR-4 (annual) agree with books, the composition rate is right, inward supplies/RCM are reported, and turnover stays within the limit.</t>
  </si>
  <si>
    <t xml:space="preserve">CMP08</t>
  </si>
  <si>
    <t xml:space="preserve">GSTR4</t>
  </si>
  <si>
    <t xml:space="preserve">quarter; financial year</t>
  </si>
  <si>
    <t xml:space="preserve">CGST Act s.10 (composition; limit Rs 1.5 crore – Rs 75 lakh special category; services s.10(2A) Rs 50 lakh – not re-verified); Rule 7 (rates: manufacturers 1% total, restaurants 5%, traders 1% of turnover of taxable supplies – not re-verified); Rule 62 (CMP-08 by 18th of month after quarter; GSTR-4 annual by 30 June following FY from FY 2024-25 per N.12/2024-CT); s.9(4) and RCM liability paid via CMP-08.</t>
  </si>
  <si>
    <t xml:space="preserve">Composition taxpayers.</t>
  </si>
  <si>
    <t xml:space="preserve">2019-04-01</t>
  </si>
  <si>
    <t xml:space="preserve">CMP-08 for 4 quarters (outward turnover, tax, RCM inward, interest); GSTR-4 (Table 4 inward, Table 5 summary of CMP-08, Table 6 TDS/TCS); sales register; purchase register (RCM, inward from registered/unregistered); turnover master for limit.</t>
  </si>
  <si>
    <t xml:space="preserve">CMP08.quarter = SALES_REG.quarter; GSTR4.financial_year = fy(CMP08.quarter)</t>
  </si>
  <si>
    <t xml:space="preserve">Quarter Q1-Q4 of FY.</t>
  </si>
  <si>
    <t xml:space="preserve">Quarter and FY totals.</t>
  </si>
  <si>
    <t xml:space="preserve">CMP08.outward_value vs SALES_REG.turnover_q; CMP08.outward_tax_h vs rate × turnover_q; CMP08.rcm_tax vs PURCH_REG.rcm_tax_q; Σ CMP08 vs GSTR4.t5_*; GSTR4.inward_totals vs PURCH_REG; SALES_REG.fy_turnover vs composition_limit</t>
  </si>
  <si>
    <t xml:space="preserve">Rs 10 per quarter (implementation choice); limit exact.</t>
  </si>
  <si>
    <t xml:space="preserve">expected_tax_q = composition_rate × turnover_q (split CGST/SGST equally); limit_breach = aggregate_turnover_fy &gt; limit</t>
  </si>
  <si>
    <t xml:space="preserve">1. Quarterly turnover from books vs CMP-08. 2. Recompute tax at rate. 3. RCM inward vs CMP-08. 4. Σ CMP-08 vs GSTR-4 Table 5. 5. Inward supplies in GSTR-4 vs purchase register. 6. Limit check on aggregate turnover (PAN level).</t>
  </si>
  <si>
    <t xml:space="preserve">MATCHED; TURNOVER_DIFF; TAX_DIFF; RCM_DIFF; ANNUAL_SUMMARY_DIFF; INWARD_DIFF; LIMIT_BREACH; TAX_INVOICE_ISSUED: composition dealer charged GST on invoice</t>
  </si>
  <si>
    <t xml:space="preserve">MATCHED=Low; TURNOVER_DIFF=High; TAX_DIFF=High; RCM_DIFF=High; ANNUAL_SUMMARY_DIFF=Medium; INWARD_DIFF=Low; LIMIT_BREACH=Critical; TAX_INVOICE_ISSUED=Critical</t>
  </si>
  <si>
    <t xml:space="preserve">composition_rate_pct=1; limit_inr=15000000; tolerance_inr=10</t>
  </si>
  <si>
    <t xml:space="preserve">Client is composition (registration type); rate param per category.</t>
  </si>
  <si>
    <t xml:space="preserve">exception_id; rule_id; client_id; gstin; period; doc_a_ref (file+row); doc_b_ref; match_key; match_pass (exact/fuzzy); category; severity; field_name; value_a; value_b; difference; tolerance_applied; suggested_action; legal_reference; status (Open/Under review/Resolved/Accepted-as-is); reviewer; review_comment; created_at; quarter; turnover_books; turnover_cmp08</t>
  </si>
  <si>
    <t xml:space="preserve">Trader, rate 1%. Q2 FY 2025-26 books turnover 40,00,000; CMP-08 35,00,000 -&gt; TURNOVER_DIFF 5,00,000; tax expected 40,000 vs paid 35,000 -&gt; TAX_DIFF 5,000. FY turnover 1,62,00,000 &gt; 1,50,00,000 -&gt; LIMIT_BREACH (exit composition).</t>
  </si>
  <si>
    <t xml:space="preserve">Turnover equal; tax 1% -&gt; MATCHED.</t>
  </si>
  <si>
    <t xml:space="preserve">Exempt supplies included in turnover: for traders tax on taxable supplies only – param excludes exempt.</t>
  </si>
  <si>
    <t xml:space="preserve">Exempt sales included/excluded inconsistently; RCM on rent (composition excluded from entry from 16.01.2025); inter-state sales (not allowed); bill of supply vs tax invoice.</t>
  </si>
  <si>
    <t xml:space="preserve">Pay differential via next CMP-08/DRC-03 with interest; LIMIT_BREACH – file intimation and move to regular scheme.</t>
  </si>
  <si>
    <t xml:space="preserve">def rc_gst_040(cmp08, sales, pr, g4, p):
    out = []
    for q in cmp08:
        t = sales_turnover(sales, q.quarter, taxable_only=True)
        if abs(t - q.turnover) &gt; p.tolerance_inr: out.append(exc('TURNOVER_DIFF', q, diff=t-q.turnover))
        if abs(p.composition_rate_pct/100*t - q.tax_total) &gt; p.tolerance_inr: out.append(exc('TAX_DIFF', q))
        if abs(rcm_tax(pr, q.quarter) - q.rcm_tax) &gt; p.tolerance_inr: out.append(exc('RCM_DIFF', q))
    if g4 and abs(sum(q.tax_total for q in cmp08) - g4.t5.tax_total) &gt; p.tolerance_inr: out.append(exc('ANNUAL_SUMMARY_DIFF'))
    if aggregate_turnover(sales) &gt; p.limit_inr: out.append(exc('LIMIT_BREACH'))
    return out</t>
  </si>
  <si>
    <t xml:space="preserve">IndiaFilings – GSTR-4 filing | https://www.indiafilings.com/learn/gstr-4-filing/ | 30 June from FY 2024-25 per N.12/2024-CT
ClearTax – RCM on renting of commercial property | https://cleartax.in/s/rcm-on-rent-of-commercial-property-under-gst | from 10.10.2024; composition excluded 16.01.2025</t>
  </si>
  <si>
    <t xml:space="preserve">Composition limits and rates from statute knowledge – not re-verified in this session; GSTR-4 30-June due date per secondary (N.12/2024-CT).</t>
  </si>
  <si>
    <t xml:space="preserve">Deductor-side TDS (ledger vs returns vs challans vs TRACES) and deductee-side income tax (26AS / AIS / TIS vs books vs ITR vs Form 3CD).  Row 5 holds the YAML key for each column. Research date 13 October 2026. Every rule needs CA validation before use.</t>
  </si>
  <si>
    <t xml:space="preserve">RC-TDS-001</t>
  </si>
  <si>
    <t xml:space="preserve">TDS – Deductor statement reconciliation</t>
  </si>
  <si>
    <t xml:space="preserve">TDS ledger (books) vs quarterly TDS statement – deductee-wise</t>
  </si>
  <si>
    <t xml:space="preserve">Confirm every TDS deduction booked in the client's TDS payable ledger is reported in the quarterly statement (26Q/27Q/24Q) against the right PAN, section, amount paid/credited, TDS and date, and that nothing is reported that is not in books.</t>
  </si>
  <si>
    <t xml:space="preserve">TDS_LEDGER</t>
  </si>
  <si>
    <t xml:space="preserve">TDS_RET_26Q</t>
  </si>
  <si>
    <t xml:space="preserve">quarter (by date of payment/credit) within financial year / tax year</t>
  </si>
  <si>
    <t xml:space="preserve">IT Act 1961 s.200(3) read with Rule 31A (Forms 24Q/26Q/27Q) – FY 2025-26; IT Act 2025 s.397(3)(b) read with Rule 219 (Forms 138/140/144) – tax year 2026-27. Duty to deduct: Chapter XVII-B (1961) / ss.392-393 (2025).</t>
  </si>
  <si>
    <t xml:space="preserve">All deductors with TAN filing quarterly TDS statements (non-salary 26Q/140, NR 27Q/144, salary 24Q/138).</t>
  </si>
  <si>
    <t xml:space="preserve">TDS_LEDGER export with one row per deduction (party, PAN, section, invoice/credit date, base amount, TDS, deduction date); statement in FVU text/consolidated file (TRACES) or Excel from TDS software parsed into deductee rows; party master with PAN. Run separately for 27Q and 24Q (doc_b = TDS_RET_27Q / TDS_RET_24Q).</t>
  </si>
  <si>
    <t xml:space="preserve">TDS_LEDGER.party_pan = TDS_RET_26Q.deductee_pan; TDS_LEDGER.tds_section = TDS_RET_26Q.section_code; TDS_LEDGER.voucher_date = TDS_RET_26Q.date_paid_credited; TDS_LEDGER.tds_amount = TDS_RET_26Q.tax_deducted</t>
  </si>
  <si>
    <t xml:space="preserve">PAN: upper-case, strip spaces, validate regex ^[A-Z]{5}[0-9]{4}[A-Z]$; 'PANNOTAVBL'/'PANAPPLIED'/'PANINVALID' kept as literal tokens and matched on deductee name instead (fuzzy token-sort ≥0.85 – implementation choice). Section: map books labels ('194C','94C','Contract','393(1)-6(i)') to a canonical code via the TDS-002 map. Dates: parse dd/mm/yyyy, dd-mmm-yy, ISO to date. Amounts: paise integers. Date matching window ±3 days (implementation choice) because books often carry invoice date and statement carries credit date.</t>
  </si>
  <si>
    <t xml:space="preserve">Pass 1 at row level; pass 2 aggregate by PAN + section + month (sum of amount paid and TDS) for unmatched rows; pass 3 aggregate by PAN + section + quarter.</t>
  </si>
  <si>
    <t xml:space="preserve">TDS_LEDGER.assessable_value vs TDS_RET_26Q.amount_paid_credited; TDS_LEDGER.tds_amount vs TDS_RET_26Q.tax_deducted; TDS_LEDGER.deduction_date vs TDS_RET_26Q.date_deducted; TDS_LEDGER.tds_section vs TDS_RET_26Q.section_code; TDS_LEDGER.tds_rate vs TDS_RET_26Q.rate_deducted</t>
  </si>
  <si>
    <t xml:space="preserve">Amount and TDS: ₹1 per row, ₹10 per PAN-section-quarter aggregate (implementation choice – no statutory rounding for line TDS; s.288B not applied per line).</t>
  </si>
  <si>
    <t xml:space="preserve">diff_base = ledger.base_amount − stmt.amount_paid_credited; diff_tds = ledger.tds_amount − stmt.total_tax_deducted; quarter_total_check = Σledger.tds (quarter) − Σstmt.total_tax_deducted (quarter)</t>
  </si>
  <si>
    <t xml:space="preserve">1. Select statement type by deductee/section: salary 192/392 → 24Q/138; non-resident → 27Q/144; else 26Q/140. 2. Normalise keys. 3. Pass 1 exact: PAN+section+TDS equal and date within window → MATCHED (if base also equal) or BASE_DIFF. 4. Pass 2: PAN+section+month aggregates; compare totals; classify residuals. 5. Pass 3: same PAN, different section with equal TDS → SECTION_MISMATCH. 6. Same section+amount+date, different PAN → PAN_MISMATCH. 7. Remaining ledger rows → MISSING_IN_RETURN; remaining statement rows → MISSING_IN_BOOKS. 8. Quarter totals: Σledger TDS vs Σstatement TDS and vs statement control total (Form 27A). 9. Produce exception list and quarter summary.</t>
  </si>
  <si>
    <t xml:space="preserve">MATCHED: PAN, section, amount, TDS agree; BASE_DIFF: TDS agrees but amount paid/credited differs; TDS_DIFF: TDS differs beyond tolerance; SECTION_MISMATCH: same party/amount reported under a different section; PAN_MISMATCH: PAN in statement differs from party master/books; DATE_QTR_DIFF: deduction reported in a different quarter from books; MISSING_IN_RETURN: deduction in books not in any statement of the year; MISSING_IN_BOOKS: statement row with no ledger entry; NO_PAN_REPORTED: PANNOTAVBL/invalid PAN in statement</t>
  </si>
  <si>
    <t xml:space="preserve">MATCHED=Low; BASE_DIFF=Medium; TDS_DIFF=High; SECTION_MISMATCH=High; PAN_MISMATCH=Critical; DATE_QTR_DIFF=Medium; MISSING_IN_RETURN=Critical; MISSING_IN_BOOKS=High; NO_PAN_REPORTED=High</t>
  </si>
  <si>
    <t xml:space="preserve">row_tolerance_inr=1; aggregate_tolerance_inr=10; date_window_days=3; name_fuzzy_threshold=0.85; statement_scope=regular+latest_correction</t>
  </si>
  <si>
    <t xml:space="preserve">TAN format ^[A-Z]{4}[0-9]{5}[A-Z]$ and same TAN in both docs; FY and quarter present; each ledger row has section and PAN or a 'no PAN' flag; statement parsed from latest accepted (regular + corrections merged) version; no negative TDS except reversal rows flagged.</t>
  </si>
  <si>
    <t xml:space="preserve">exception_id, tan, fy, quarter, form, deductee_pan, deductee_name, section_books, section_return, books_amount, return_amount, books_tds, return_tds, diff_amount, diff_tds, books_date, return_date, category, severity, suggested_action, reviewer_status</t>
  </si>
  <si>
    <t xml:space="preserve">Ledger: (1) AAACX1234K 194C 10-05-2025 base 2,00,000 TDS 4,000; (2) ABCPY5678L 194J 20-05-2025 base 60,000 TDS 6,000; (3) AAAFZ9999Q 194-I 01-06-2025 base 75,000 TDS 7,500. 26Q Q1: (a) AAACX1234K 194C 10-05-2025 2,00,000 / 4,000; (b) ABCPY5678L 194C 20-05-2025 60,000 / 6,000; (c) AAAPW1111R 194H 15-06-2025 30,000 / 600. Result: 1↔a MATCHED; 2↔b SECTION_MISMATCH (194J in books, 194C in return; TDS equal 6,000); 3 MISSING_IN_RETURN (TDS 7,500); c MISSING_IN_BOOKS (TDS 600). Quarter: ledger 17,500 vs return 10,600 → diff 6,900 = 7,500 − 600.</t>
  </si>
  <si>
    <t xml:space="preserve">Ledger row PAN P, 194J, TDS 5,000; return row same PAN, 194J, TDS 5,000.40 → MATCHED (diff 0.40 ≤ ₹1).</t>
  </si>
  <si>
    <t xml:space="preserve">Ledger row PAN P TDS 5,000; return row PAN P TDS 4,500 same section/date → TDS_DIFF (500); ledger row with PAN 'ABCDE1234' (9 chars) → validation error, matched by name only and flagged NO_PAN_REPORTED/PAN_MISMATCH.</t>
  </si>
  <si>
    <t xml:space="preserve">Invoice date in books vs credit date in return (quarter shift); provisions at year-end booked with TDS but deducted only on payment; GST included in base in books but excluded in return (Circular 23/2017); wrong section chosen in TDS software (194C vs 194J); PAN typos; correction statements filed but not re-imported; deductions under lower-deduction certificate shown at normal rate in books; reversal entries for cancelled invoices not reflected in return.</t>
  </si>
  <si>
    <t xml:space="preserve">Highlight MISSING_IN_RETURN and PAN_MISMATCH first. Remedy: file correction statement (add deductee / PAN correction / section change) on TRACES before limitation (round-1 TDS-048); for MISSING_IN_BOOKS investigate wrong TAN or unbooked expense; pass rectification JV in books where the return is right.</t>
  </si>
  <si>
    <t xml:space="preserve">def rc_tds_001(ledger, stmt, p):
    L = norm(ledger); R = norm(stmt)
    out = []
    for l in L:
        r = find(R, pan=l.pan, sec=l.sec, tds=approx(l.tds, p.row_tol), date=within(l.date, p.date_window))
        if r: out.append(cat('MATCHED' if abs(l.base-r.base)&lt;=p.row_tol else 'BASE_DIFF', l, r)); R.remove(r); continue
        r = find(R, pan=l.pan, tds=approx(l.tds, p.row_tol), date=within(l.date, p.date_window))
        if r: out.append(cat('SECTION_MISMATCH', l, r)); R.remove(r); continue
        r = find(R, sec=l.sec, tds=approx(l.tds, p.row_tol), date=within(l.date, p.date_window))
        if r: out.append(cat('PAN_MISMATCH', l, r)); R.remove(r); continue
        out.append(cat('MISSING_IN_RETURN', l, None))
    out += aggregate_pass(out, key=('pan','sec','month'))
    out += [cat('NO_PAN_REPORTED' if not valid_pan(r.pan) else 'MISSING_IN_BOOKS', None, r) for r in R]
    return out</t>
  </si>
  <si>
    <t xml:space="preserve">Income-tax Act 2025 – section 393 (TDS table) | https://www.incometaxindia.gov.in/w/section-393-6 | s.393(1)-(4)
Income-tax Act 2025 – section 397 (TAN, statements, higher rate) | https://www.incometaxindia.gov.in/w/section-397-6 | s.397(2),(3)
Income-tax Rules 2026 – Rule 219 (statements) | https://www.incometaxindia.gov.in/w/rule-219-1 | Rule 219
Protean – Do's and Don'ts for deductors/collectors (e-TDS) | https://tinpan.proteantech.in/downloads/e-tds/download/DosandDontsdeductorscollectors.pdf | CIN = BSR(7) + challan serial(≤5) + date; one challan entry with full amount; Annexure II only in Q4 24Q
Form 26Q layout (TDSMAN copy) | https://www.tdsman.com/downloads/forms/Form-26Q.pdf | challan cols 401-411; deductee cols 412-425; reason codes A/B/C/T/Y/Z</t>
  </si>
  <si>
    <t xml:space="preserve">Statutory duty to report verified (s.397/Rule 219 official pages, reused from round-1 TDS-036/043). Matching algorithm, windows and tolerances are implementation choices. Form codes: 24Q→Form 138, 26Q→Form 140, 27Q→Form 144, 27EQ→Form 143, 16→130, 16A→131, 26AS→Form 168 for tax year 2026-27 (codes in this tool stay TDS_RET_24Q/26Q/27Q, F16, F16A, F26AS). Section codes: maintain 1961→2025 map per round-1 rule TDS-002 (e.g. 194C→393(1) Sl.6(i), 194J→393(1) Sl.6(iii), 194-I→393(1) Sl.2(ii), 194H→393(1) Sl.1(ii), 194A→393(1) Sl.5(ii)/(iii), 192→392).</t>
  </si>
  <si>
    <t xml:space="preserve">RC-TDS-002</t>
  </si>
  <si>
    <t xml:space="preserve">TDS – Completeness / s.40(a)(ia)</t>
  </si>
  <si>
    <t xml:space="preserve">Expense GL heads vs TDS ledger – payments liable to TDS but not deducted / short deducted</t>
  </si>
  <si>
    <t xml:space="preserve">Identify GL expense postings (contract, professional fees, rent, commission, interest, purchase of goods &gt;₹50 lakh) that cross the section threshold but have no or lower TDS, and quantify potential s.40(a)(ia)/40(a)(i) disallowance and s.201 default.</t>
  </si>
  <si>
    <t xml:space="preserve">PARTY_MASTER</t>
  </si>
  <si>
    <t xml:space="preserve">financial year / tax year (threshold aggregation per party per year), month for default interest</t>
  </si>
  <si>
    <t xml:space="preserve">Deduction sections: 1961 ss.194A/194C/194H/194-I/194J/194Q/195 → 2025 s.393(1)/(2) Tables (TDS-002 map). Disallowance: IT Act 1961 s.40(a)(ia) 30% (residents), s.40(a)(i) 100% (non-residents) → IT Act 2025 s.35 (clause numbering not verified). Default: s.201(1) / s.398. Tax audit reporting Form 3CD cl.21(b) and cl.34(a).</t>
  </si>
  <si>
    <t xml:space="preserve">Deductors other than individuals/HUF not under audit; per section exemptions per round-1 rules TDS-007..TDS-032.</t>
  </si>
  <si>
    <t xml:space="preserve">GL with voucher-level postings (ledger name, party, amount excl. GST, GST amount, date); mapping table GL head → TDS nature/section (CA-maintained); PARTY_MASTER with PAN, residential status, entity type (PAN 4th char), lower-deduction certificate details; section threshold &amp; rate master from round-1 rules (date-effective).</t>
  </si>
  <si>
    <t xml:space="preserve">GL.party_id = TDS_LEDGER.party_ledger; GL.voucher_no = TDS_LEDGER.voucher_no (if present); GL.party_pan = TDS_LEDGER.party_pan</t>
  </si>
  <si>
    <t xml:space="preserve">Party: match by party_id; fallback PAN; fallback normalised name (upper-case, remove 'M/S', 'PVT', 'LTD', 'LIMITED', punctuation – implementation choice). Base amount: exclude GST where shown separately (CBDT Circular 23/2017), exclude material value for 194C if separately shown.</t>
  </si>
  <si>
    <t xml:space="preserve">party + section + financial year for threshold test; party + section + month for computing expected TDS and interest.</t>
  </si>
  <si>
    <t xml:space="preserve">expected_tds (computed from GL) vs TDS_LEDGER.tds_amount; GL.base_amount vs TDS_LEDGER.assessable_value</t>
  </si>
  <si>
    <t xml:space="preserve">₹1 per voucher; ₹10 per party-section-year (implementation choice).</t>
  </si>
  <si>
    <t xml:space="preserve">expected_tds = Σ(base_i) × rate(section, payee_type, pan_status, cert) once aggregate threshold crossed (for 194C: on whole aggregate once single &gt; ₹30,000 or aggregate &gt; ₹1,00,000); shortfall = expected_tds − actual_tds; potential_disallowance_40a_ia = 30% × base_of_shortfall_rows (resident) ; 40a_i = 100% × base (non-resident) where TDS not deducted/paid by ITR due date</t>
  </si>
  <si>
    <t xml:space="preserve">1. Filter GL to expense/asset heads mapped to a TDS nature. 2. Exclude GST component and exempt payees (e.g., 194C transporter with PAN declaration – code T; payments to government/RBI; 197A declarations – code B). 3. Aggregate per party per section per FY in date order; apply threshold rules (single/aggregate/per month for 194-I/per category for 194J). 4. Determine rate: section rate, 1%/2% by PAN 4th char for 194C, 20% if PAN missing/invalid (s.206AA/s.397(2)), certificate rate if valid lower-deduction certificate (round-1 TDS-041). 5. Compute expected TDS per voucher from the point threshold is crossed (for 194C include earlier unconsumed sums). 6. Join to TDS_LEDGER; compute shortfall. 7. Classify. 8. For NOT_DEDUCTED / SHORT_DEDUCTED rows compute potential disallowance and s.201(1A) interest (link RC-TDS-005). 9. Output 3CD cl.34(a)-style table: section, nature, total paid, amount liable, amount deducted at prescribed rate, at lower rate, not deducted.</t>
  </si>
  <si>
    <t xml:space="preserve">OK: TDS deducted at expected amount; NOT_DEDUCTED: liable, no TDS; SHORT_DEDUCTED: TDS lower than expected beyond tolerance; EXCESS_DEDUCTED: TDS higher than expected; BELOW_THRESHOLD: not liable yet (informational); CERT_APPLIED: lower rate justified by valid certificate; GST_INCLUDED_IN_BASE: TDS computed on GST-inclusive amount; NO_MAPPING: GL head not mapped to TDS nature</t>
  </si>
  <si>
    <t xml:space="preserve">OK=Low; NOT_DEDUCTED=Critical; SHORT_DEDUCTED=High; EXCESS_DEDUCTED=Low; BELOW_THRESHOLD=Low; CERT_APPLIED=Low; GST_INCLUDED_IN_BASE=Low; NO_MAPPING=Medium</t>
  </si>
  <si>
    <t xml:space="preserve">voucher_tolerance_inr=1; party_year_tolerance_inr=10; disallowance_rate_resident_pct=30; disallowance_rate_nonresident_pct=100; include_provisions=true; threshold_table_version=TDS-rules-2026-10</t>
  </si>
  <si>
    <t xml:space="preserve">GL debits/credits balanced; every mapped party has PAN or 'no PAN' flag; residential status present; FY dates within period; threshold master has entries effective for the transaction dates.</t>
  </si>
  <si>
    <t xml:space="preserve">party_name, pan, section, nature, fy, gl_heads, total_base, amount_liable, expected_tds, actual_tds, shortfall, first_liable_date, category, potential_disallowance, interest_ref, severity, remarks</t>
  </si>
  <si>
    <t xml:space="preserve">Contractor X (company, PAN valid), FY 2025-26 GL: 15-Apr 25,000; 20-Jun 28,000; 18-Sep 52,000 (no single bill &gt; ₹30,000 except Sep; aggregate after Sep = 1,05,000 &gt; 1,00,000). Expected TDS 2% on 1,05,000 = 2,100 (deductible on Sep credit). TDS ledger: Sep 1,040 (2% on 52,000 only). Shortfall 1,060 → SHORT_DEDUCTED. Potential 40(a)(ia) disallowance if not made good by ITR due date: 30% × 53,000 (base not subjected) = 15,900. Professional Y: fees 45,000 for the year → BELOW_THRESHOLD (194J ₹50,000).</t>
  </si>
  <si>
    <t xml:space="preserve">Rent to individual landlord ₹60,000/month (194-I, &gt;₹50,000 per month) with 10% TDS 6,000 each month in TDS ledger → OK.</t>
  </si>
  <si>
    <t xml:space="preserve">Same rent with no TDS ledger entries → NOT_DEDUCTED for each month, expected 6,000/month; potential disallowance 30% × 7,20,000 = 2,16,000 for the year.</t>
  </si>
  <si>
    <t xml:space="preserve">Year-end provisions (TDS deductible on credit incl. suspense/provision accounts); reimbursements billed separately; GST-inclusive base; vendors crossing 194C aggregate late in year; 194Q purchases (buyer turnover &gt; ₹10 crore) not mapped; foreign payments without 195 analysis; certificate expired/limit exhausted; payments to partners now under 194T.</t>
  </si>
  <si>
    <t xml:space="preserve">Flag rows; suggest deduct and deposit with s.201(1A) interest before ITR due date to avoid disallowance (allowed in year of payment); compute 3CD cl.21(b) and cl.34 data; for payees who filed returns consider accountant certificate route (Form 26A under 1961 – 2025 equivalent not verified).</t>
  </si>
  <si>
    <t xml:space="preserve">def rc_tds_002(gl, tdsl, pm, master):
    rows = [g for g in gl if map_nature(g.ledger)]
    out = []
    for (party, sec), grp in groupby(sorted(rows, key=lambda g:(g.party, sec_of(g), g.date)), key=...):
        cum = 0; liable_from = None
        for g in grp:
            base = g.amount - (g.gst if g.gst_separate else 0)
            cum += base
            if crosses_threshold(sec, base, cum, g.date, master): liable_from = liable_from or g
        exp = expected_tds(grp, liable_from, rate(sec, pm[party], g.date))
        act = sum(t.tds for t in tdsl if t.party==party and t.sec==sec)
        out.append(classify(exp, act, liable_from))
    return out</t>
  </si>
  <si>
    <t xml:space="preserve">Income-tax Act 2025 – section 393 (TDS table) | https://www.incometaxindia.gov.in/w/section-393-6 | s.393(1)-(4)
Income-tax Act 2025 – section 397 (TAN, statements, higher rate) | https://www.incometaxindia.gov.in/w/section-397-6 | s.397(2),(3)
CBDT FAQs – higher rate of TDS under section 397 | https://www.incometaxindia.gov.in/documents/d/guest/faqs-on-higher-rate-of-tds-under-section-397 | s.397(2)
TaxGuru – TDS not deductible on GST component (Circular 23/2017) | https://taxguru.in/income-tax/tds-deductible-gst-component-cbdt.html | Circular 23/2017
eztax – Income-tax Act 2025 section 35 | https://eztax.in/income-tax-act-2025/section-35 | 30% disallowance (secondary)
TheTaxTalk – checklist for clause 34 of tax audit report | https://thetaxtalk.com/2025/07/a-simple-checklist-for-clause-34-of-tax-audit-report-to-be-considered-by-auditors/ | cl.34(a)/(b)/(c)</t>
  </si>
  <si>
    <t xml:space="preserve">Thresholds/rates are not repeated here – take from round-1 rules TDS-007..TDS-032 (date-effective). 30%/100% disallowance under 1961 per established law; 2025 Act s.35 per secondary source only (round-1 IT-022/TDS-049). Short-deduction disallowance is judicially debated – CA decides whether 'SHORT_DEDUCTED' attracts 40(a)(ia). Applicable-law selector: payment/credit date ≤ 31-03-2026 → Income-tax Act 1961 + Rules 1962; ≥ 01-04-2026 → Income-tax Act 2025 + Income-tax Rules 2026 (round-1 TDS-001/IT-001).</t>
  </si>
  <si>
    <t xml:space="preserve">RC-TDS-003</t>
  </si>
  <si>
    <t xml:space="preserve">TDS – Challan reconciliation</t>
  </si>
  <si>
    <t xml:space="preserve">TDS statement vs challans – challan utilisation, short payment, unconsumed challans, CIN mapping</t>
  </si>
  <si>
    <t xml:space="preserve">Ensure each challan quoted in the statement exists (CIN = BSR + challan serial + date), its amount equals the bank/OLTAS record, total TDS allocated to deductees does not exceed the challan amount, and identify unconsumed challan balances and deductee rows without challan (short payment).</t>
  </si>
  <si>
    <t xml:space="preserve">TDS_CHALLAN</t>
  </si>
  <si>
    <t xml:space="preserve">quarter; challan carried across quarters (a challan may be used in two quarters)</t>
  </si>
  <si>
    <t xml:space="preserve">Deposit: Rule 30 (1962) / Rule 218 (2026). Statement: s.200(3) &amp; Rule 31A / s.397(3) &amp; Rule 219. Default for short payment: s.201(1) / s.398. Protean deductor guidance on CIN (BSR 7 digits + challan serial ≤5 digits + date).</t>
  </si>
  <si>
    <t xml:space="preserve">All deductors (non-government; government book-entry via Form 24G uses BIN/DDO serial instead – handle as variant).</t>
  </si>
  <si>
    <t xml:space="preserve">Statement challan block (cols 401-411: tax, interest, fee, others, total, BSR, challan serial, date, minor head) and deductee rows linked to challan serial; TDS_CHALLAN list (from client counterfoils / OLTAS / TRACES challan status) with CIN, minor head (200 = TDS payable by taxpayer, 400 = regular assessment), major head, tax/interest/fee/penalty split, amount.</t>
  </si>
  <si>
    <t xml:space="preserve">TDS_RET_26Q.bsr_code = TDS_CHALLAN.bsr_code; TDS_RET_26Q.challan_serial_no = TDS_CHALLAN.challan_serial_no; TDS_RET_26Q.challan_date = TDS_CHALLAN.date_of_deposit</t>
  </si>
  <si>
    <t xml:space="preserve">BSR: 7-digit string, left-pad zeros; challan serial: integer, strip leading zeros (5-digit max); date: dd/mm/yyyy → date; CIN key = BSR|serial|yyyymmdd. Do not use the ITNS form number '281' as serial (Protean guidance). Amount: paise integers.</t>
  </si>
  <si>
    <t xml:space="preserve">challan (CIN) level across all statements of the FY (Q1-Q4, all forms of same TAN).</t>
  </si>
  <si>
    <t xml:space="preserve">TDS_RET_26Q.challan_total vs TDS_CHALLAN.amount_total; Σ TDS_RET_26Q.tax_deposited (per CIN) vs TDS_CHALLAN.amount_tax + interest + others; TDS_RET_26Q.challan_interest vs TDS_CHALLAN.amount_interest; TDS_RET_26Q.challan_fee vs TDS_CHALLAN.amount_fee</t>
  </si>
  <si>
    <t xml:space="preserve">0 for CIN fields and challan total (statement must quote exact amount); ₹1 for allocation sums (implementation choice).</t>
  </si>
  <si>
    <t xml:space="preserve">consumed(CIN) = Σ deductee.tds_deposited over all statements referencing CIN (+ interest + fee + others claimed); unconsumed(CIN) = challan.total − consumed; overbooked(CIN) = consumed − challan.total if &gt; 0; short_payment(row) = deductee.tds_deducted − deductee.tds_deposited (or row without valid CIN)</t>
  </si>
  <si>
    <t xml:space="preserve">1. Build CIN key in both docs. 2. For each statement challan entry, look up TDS_CHALLAN; if absent → CIN_NOT_FOUND. 3. Compare challan total, tax/interest/fee split, minor head (should be 200 for TDS payable by deductor; 400 = demand payment). 4. Across all quarterly statements of the FY sum allocations per CIN; compare with challan amount → OVERBOOKED / UNCONSUMED. 5. Deductee rows: tds_deducted &gt; tds_deposited or linked to nil/invalid challan → SHORT_PAYMENT. 6. TDS_LEDGER payments to government (Dr TDS payable, Cr bank) without a challan in the list → PAYMENT_NOT_IN_CHALLAN_LIST; challans not used in any statement → UNUSED_CHALLAN. 7. Check TAN on challan = TAN on statement; major head 0020 (company)/0021 (non-company) consistent with deductor type (implementation check). 8. Output challan-wise utilisation register.</t>
  </si>
  <si>
    <t xml:space="preserve">MATCHED: CIN found, amounts agree, fully consumed; CIN_NOT_FOUND: challan quoted in statement not in challan list/OLTAS; AMOUNT_MISMATCH: challan total in statement differs from deposit; SPLIT_MISMATCH: tax/interest/fee split differs; OVERBOOKED: allocations exceed challan amount (26AS status 'O' for deductees); UNCONSUMED: challan balance not allocated; UNUSED_CHALLAN: challan never used; SHORT_PAYMENT: deductee rows TDS deducted but not deposited/linked; MINOR_HEAD_WRONG: deposited under 400 or wrong TAN/major head</t>
  </si>
  <si>
    <t xml:space="preserve">MATCHED=Low; CIN_NOT_FOUND=Critical; AMOUNT_MISMATCH=Critical; SPLIT_MISMATCH=Medium; OVERBOOKED=Critical; UNCONSUMED=Medium; UNUSED_CHALLAN=High; SHORT_PAYMENT=Critical; MINOR_HEAD_WRONG=High</t>
  </si>
  <si>
    <t xml:space="preserve">allocation_tolerance_inr=1; consider_all_forms_same_tan=true; fy_scope=current+next_q1 (challans deposited in April for March deductions)</t>
  </si>
  <si>
    <t xml:space="preserve">BSR 7 digits numeric; serial 1-5 digits; deposit date not after statement filing date; TAN identical; minor head ∈ {200,400}; challan date within FY or by 30 April following for Q4.</t>
  </si>
  <si>
    <t xml:space="preserve">cin, bsr, serial, deposit_date, tan, minor_head, challan_amount, tax, interest, fee, consumed_amount, unconsumed_amount, statements_using (form-qtr list), category, severity, action</t>
  </si>
  <si>
    <t xml:space="preserve">Challans: C1 0510308|00012|07-05-2025 ₹50,000 (tax); C2 0510308|00045|07-06-2025 ₹30,000; C3 0510308|00077|05-07-2025 ₹12,000. 26Q Q1 allocations: C1 48,000; C2 30,000; C9 0510308|00099|07-06-2025 (not in list) 5,000. 26Q Q2 allocations: C1 2,500. Result: C1 consumed 50,500 &gt; 50,000 → OVERBOOKED 500; C2 MATCHED; C9 CIN_NOT_FOUND (rows SHORT_PAYMENT 5,000); C3 UNUSED_CHALLAN 12,000 (likely June TDS deposited – check).</t>
  </si>
  <si>
    <t xml:space="preserve">Challan ₹10,000 used ₹6,000 in Q1 and ₹4,000 in Q2 → MATCHED (fully consumed across quarters).</t>
  </si>
  <si>
    <t xml:space="preserve">Statement quotes serial '281' → CIN_NOT_FOUND + validation warning 'ITNS form number used as serial'.</t>
  </si>
  <si>
    <t xml:space="preserve">Wrong BSR/serial/date keyed; challan deposited under wrong TAN, wrong FY, minor head 400; challan split per deductee; interest/fee paid in separate challan not linked; one challan used in two forms beyond its amount; bank upload delays (OLTAS shows 'No records found').</t>
  </si>
  <si>
    <t xml:space="preserve">For CIN_NOT_FOUND/AMOUNT_MISMATCH: verify on TRACES/Protean 'Challan Status Enquiry' and file correction statement (challan correction) or request bank/AO correction; OVERBOOKED/SHORT_PAYMENT: tag unconsumed challan or pay fresh challan with 1.5% interest, then file correction; UNCONSUMED: use for other deductees/next quarter or claim refund via TRACES (Form 26B under 1961 – 2025 equivalent not verified).</t>
  </si>
  <si>
    <t xml:space="preserve">def rc_tds_003(stmts, challans):
    C = {cin(c): c for c in challans}
    use = defaultdict(int); out=[]
    for s in stmts:
        for ch in s.challans:
            k = cin(ch)
            if k not in C: out.append(cat('CIN_NOT_FOUND', ch)); out += [cat('SHORT_PAYMENT', d) for d in ch.deductees]; continue
            if ch.total != C[k].total: out.append(cat('AMOUNT_MISMATCH', ch, C[k]))
            use[k] += sum(d.tds_deposited for d in ch.deductees) + ch.interest + ch.fee + ch.others
    for k, c in C.items():
        bal = c.total - use.get(k, 0)
        out.append(cat('UNUSED_CHALLAN' if k not in use else 'OVERBOOKED' if bal &lt; -tol else 'UNCONSUMED' if bal &gt; tol else 'MATCHED', c, bal))
    return out</t>
  </si>
  <si>
    <t xml:space="preserve">Protean – Do's and Don'ts for deductors/collectors (e-TDS) | https://tinpan.proteantech.in/downloads/e-tds/download/DosandDontsdeductorscollectors.pdf | CIN = BSR(7) + challan serial(≤5) + date; one challan entry with full amount; Annexure II only in Q4 24Q
Form 26Q layout (TDSMAN copy) | https://www.tdsman.com/downloads/forms/Form-26Q.pdf | challan cols 401-411; deductee cols 412-425; reason codes A/B/C/T/Y/Z
Income Tax Department – Statement and challan status | https://www.incometaxindia.gov.in/tax-services/statement-and-challan-status | TRACES challan status / consumption
Income-tax Rules 2026 – Rule 218 (time for deposit) | https://www.incometaxindia.gov.in/w/rule-218-1 | Rule 218
Income-tax Rules 2026 – Rule 219 (statements) | https://www.incometaxindia.gov.in/w/rule-219-1 | Rule 219
TDSMAN – FAQ on Form 26AS (booking status F/O/U/P) | https://blog.tdsman.com/2018/09/faq-on-form-26as-2/ | booking status codes; Parts A/A1/B/C/D/E</t>
  </si>
  <si>
    <t xml:space="preserve">CIN composition and 'one challan entry with full amount' verified from Protean deductor guidance. Minor-head codes 200/400 and major heads 0020/0021 are from established practice – not re-verified this session. Refund-of-excess-challan form under 2025 Rules not verified.</t>
  </si>
  <si>
    <t xml:space="preserve">RC-TDS-004</t>
  </si>
  <si>
    <t xml:space="preserve">TDS – Interest</t>
  </si>
  <si>
    <t xml:space="preserve">Challan deposit date vs due date – interest for late payment (s.201(1A)(ii) / s.398(3))</t>
  </si>
  <si>
    <t xml:space="preserve">For each deduction, compare the challan deposit date with the due date of deposit and compute interest at 1.5% per month or part from date of deduction to date of payment; compare with interest actually paid (statement col 403 / challan interest).</t>
  </si>
  <si>
    <t xml:space="preserve">month of deduction</t>
  </si>
  <si>
    <t xml:space="preserve">IT Act 1961 s.201(1A)(ii) – 1.5% per month or part of month from date of deduction to date of payment; Rule 30 due dates. IT Act 2025 s.398(3)(a)(ii); Rule 218 due dates (7th of next month; 30 April for March; 30 days from month end for Form 141 items). TCS: s.206C(7) 1961 (rate conflict noted in round-1 TDS-037) / s.398(3) 2025.</t>
  </si>
  <si>
    <t xml:space="preserve">All deductors/collectors.</t>
  </si>
  <si>
    <t xml:space="preserve">RC-TDS-003 run (deductee rows linked to valid CINs); due-date master per round-1 TDS-035 (incl. government same-day rule and quarterly AO-approved option).</t>
  </si>
  <si>
    <t xml:space="preserve">TDS_RET_26Q.challan_cin = TDS_CHALLAN.cin</t>
  </si>
  <si>
    <t xml:space="preserve">As RC-TDS-003 (CIN key). Dates as date objects.</t>
  </si>
  <si>
    <t xml:space="preserve">deductee row → summed per challan per month of deduction for reporting.</t>
  </si>
  <si>
    <t xml:space="preserve">TDS_CHALLAN.date_of_deposit vs due_date(TDS_RET_26Q.date_deducted); computed_interest vs TDS_CHALLAN.amount_interest (+ interest in other challans tagged)</t>
  </si>
  <si>
    <t xml:space="preserve">Interest: ₹10 per challan (rounding per s.288B to nearest ₹10 is applied to amount payable – round-1 IT-012/TDS-046; implementation choice).</t>
  </si>
  <si>
    <t xml:space="preserve">months = month_count(date_of_deduction, date_of_deposit) [default: calendar months inclusive – part of month = full month, TRACES practice; alternative: 30-day periods – configurable]; interest = tds_deducted × 1.5% × months, only if date_of_deposit &gt; due_date</t>
  </si>
  <si>
    <t xml:space="preserve">1. For each deductee row get date_of_deduction and linked challan deposit date. 2. Compute due date by month of deduction (March → 30 April; else 7th of next month; government book entry → same day). 3. If deposit ≤ due date → ON_TIME. 4. Else compute months from date of deduction (not due date) to deposit. 5. Interest = TDS × 1.5% × months. 6. Sum per month/quarter; compare to interest paid. 7. Interest shortfall → INTEREST_SHORT_PAID.</t>
  </si>
  <si>
    <t xml:space="preserve">ON_TIME: deposited by due date; LATE_INTEREST_PAID: late, interest paid ≥ computed; INTEREST_SHORT_PAID: late, interest paid &lt; computed; INTEREST_EXCESS_PAID: interest paid &gt; computed; NO_CHALLAN: row without challan (see RC-TDS-003)</t>
  </si>
  <si>
    <t xml:space="preserve">ON_TIME=Low; LATE_INTEREST_PAID=Low; INTEREST_SHORT_PAID=High; INTEREST_EXCESS_PAID=Low; NO_CHALLAN=Critical</t>
  </si>
  <si>
    <t xml:space="preserve">late_payment_rate_pct_per_month=1.5; month_count_method=calendar_inclusive; interest_tolerance_inr=10; holiday_rollover=false</t>
  </si>
  <si>
    <t xml:space="preserve">date_of_deduction ≤ date_of_deposit (else 'deposited before deduction' warning); deduction dates within quarter; due-date master loaded for FY.</t>
  </si>
  <si>
    <t xml:space="preserve">tan, form, quarter, deductee_pan, section, date_of_deduction, due_date, date_of_deposit, cin, tds, months, interest_computed, interest_paid, diff, category, severity</t>
  </si>
  <si>
    <t xml:space="preserve">Row 1: TDS 10,000 deducted 15-05-2025, due 07-06-2025, deposited 10-06-2025 → months May, June = 2 → interest 10,000×1.5%×2 = 300. Row 2: TDS 4,000 deducted 31-03-2026, deposited 28-04-2026 (due 30-04-2026) → ON_TIME. Row 3: TDS 2,000 deducted 03-07-2025 deposited 05-08-2025 (due 07-08) → ON_TIME. Challan interest paid for Row 1 = 150 → INTEREST_SHORT_PAID 150.</t>
  </si>
  <si>
    <t xml:space="preserve">TDS 1,000 deducted 25-01-2026, deposited 07-02-2026 → ON_TIME, interest 0.</t>
  </si>
  <si>
    <t xml:space="preserve">TDS 1,000 deducted 25-01-2026, deposited 08-02-2026 → months Jan+Feb = 2, interest 30; if interest paid 15 → INTEREST_SHORT_PAID (15; tolerance 10 applied → still flagged if &gt; tolerance, here 15 &gt; 10 → flagged).</t>
  </si>
  <si>
    <t xml:space="preserve">Interest computed from due date instead of deduction date; part-month counted as nil; challan for March deposited after 30 April; interest paid under separate challan not tagged; date of deduction keyed as payment date.</t>
  </si>
  <si>
    <t xml:space="preserve">Compute interest payable; recommend payment via challan (minor head 200, interest column) and correction statement tagging interest; note interest is not deductible as business expense (established law – CA review).</t>
  </si>
  <si>
    <t xml:space="preserve">def rc_tds_004(rows, challans, dd_master, p):
    out=[]
    for r in rows:
        ch = challans.get(r.cin)
        if not ch: out.append(cat('NO_CHALLAN', r)); continue
        due = dd_master.due(r.deduction_date, r.deductor_type)
        if ch.date &lt;= due: out.append(cat('ON_TIME', r)); continue
        m = months(r.deduction_date, ch.date, p.month_count_method)
        out.append(dict(r=r, interest=round(r.tds*p.rate/100*m, 2), months=m))
    return compare_with_paid(out, challans, p.interest_tolerance_inr)</t>
  </si>
  <si>
    <t xml:space="preserve">Income-tax Act 1961 – section 201 | https://www.incometaxindia.gov.in/w/section-201-60 | s.201(1A)
Income-tax Act 2025 – section 398 (consequences of failure; interest) | https://www.incometaxindia.gov.in/w/section-398-5 | s.398(3)
Income-tax Rules 2026 – Rule 218 (time for deposit) | https://www.incometaxindia.gov.in/w/rule-218-1 | Rule 218
TDSMAN – interest calculation on delayed payment of TDS | https://blog.tdsman.com/2015/04/interest-calculation-delayed-payment-tds/ | calendar-month counting practice
TDSMAN – Evaluate TDS defaults using justification report | https://blog.tdsman.com/2013/07/evaluate-your-tds-defaults-using-justification-report-downloaded-from-traces/ | PAN errors, late payment 1.5%, short deduction</t>
  </si>
  <si>
    <t xml:space="preserve">Rates and 'month or part of a month' verified officially in round-1 TDS-037; calendar-month counting is TRACES practice per secondary source – configurable. No statutory holiday roll-over found (round-1 TDS-035).</t>
  </si>
  <si>
    <t xml:space="preserve">RC-TDS-005</t>
  </si>
  <si>
    <t xml:space="preserve">Date of payment/credit vs date of deduction – interest for late deduction (s.201(1A)(i) / s.398(3))</t>
  </si>
  <si>
    <t xml:space="preserve">Detect deductions made after the date tax was deductible (earlier of credit to payee account incl. suspense/provision and payment, for most non-salary sections) and compute 1% per month interest from date deductible to date deducted.</t>
  </si>
  <si>
    <t xml:space="preserve">deduction event</t>
  </si>
  <si>
    <t xml:space="preserve">IT Act 1961 s.201(1A)(i) – 1% per month or part from date tax was deductible to date actually deducted; IT Act 2025 s.398(3)(a)(i). Time of deduction per section (e.g., 'credit or payment whichever earlier' for 194C/194J/194-I/194H/194A).</t>
  </si>
  <si>
    <t xml:space="preserve">Sections where deduction is at credit or payment, whichever earlier; salary (192/392) deductible at payment – exclude or use payment date.</t>
  </si>
  <si>
    <t xml:space="preserve">Statement rows with date_of_payment_credit and date_of_deduction; GL showing first credit to the party / expense provision voucher dates (to catch statement rows where credit date was keyed late).</t>
  </si>
  <si>
    <t xml:space="preserve">TDS_RET_26Q.deductee_pan = GL.party_pan; TDS_RET_26Q.amount_paid_credited = GL.base_amount; TDS_RET_26Q.section_code = mapped_section(GL.ledger_name)</t>
  </si>
  <si>
    <t xml:space="preserve">As RC-TDS-001; GL credit date = voucher date of first credit (expense Dr / party Cr or provision Cr).</t>
  </si>
  <si>
    <t xml:space="preserve">deductee row (one deduction event).</t>
  </si>
  <si>
    <t xml:space="preserve">TDS_RET_26Q.date_deducted vs min(TDS_RET_26Q.date_paid_credited, GL.first_credit_date)</t>
  </si>
  <si>
    <t xml:space="preserve">0 days (statutory); ₹10 interest tolerance (implementation choice).</t>
  </si>
  <si>
    <t xml:space="preserve">deductible_date = min(credit_date_books, credit_date_return, payment_date); if date_of_deduction &gt; deductible_date: months = month_count(deductible_date, date_of_deduction); interest = tds × 1% × months</t>
  </si>
  <si>
    <t xml:space="preserve">1. For each statement row, find the GL credit entry; take earliest credit/payment date. 2. Compare with date_of_deduction. 3. Compute months (same convention as RC-TDS-004). 4. Interest 1% × TDS × months. 5. Flag rows where statement credit date differs from books credit date by &gt;0 days (CREDIT_DATE_UNDERSTATED). 6. Combine with RC-TDS-004 for total interest payable per challan.</t>
  </si>
  <si>
    <t xml:space="preserve">ON_TIME_DEDUCTION: deducted on/before deductible date; LATE_DEDUCTION: deducted after deductible date – interest computed; CREDIT_DATE_UNDERSTATED: statement credit date later than books credit date; NO_GL_LINK: credit voucher not found</t>
  </si>
  <si>
    <t xml:space="preserve">ON_TIME_DEDUCTION=Low; LATE_DEDUCTION=High; CREDIT_DATE_UNDERSTATED=High; NO_GL_LINK=Medium</t>
  </si>
  <si>
    <t xml:space="preserve">late_deduction_rate_pct_per_month=1; month_count_method=calendar_inclusive; interest_tolerance_inr=10; salary_sections_excluded=192,392</t>
  </si>
  <si>
    <t xml:space="preserve">date_of_deduction ≥ date_of_payment_credit is normal; date_of_deduction &lt; credit date → warning (advance deduction allowed – not error).</t>
  </si>
  <si>
    <t xml:space="preserve">deductee_pan, section, credit_date_books, credit_date_return, payment_date, date_of_deduction, months, tds, interest_1pct, category, severity</t>
  </si>
  <si>
    <t xml:space="preserve">(1) Professional fee credited in GL 31-03-2026 (provision), paid &amp; deducted 20-05-2026; TDS 12,000 → months Mar, Apr, May = 3 → interest 12,000×1%×3 = 360 (LATE_DEDUCTION; also CREDIT_DATE_UNDERSTATED if statement shows credit 20-05-2026 and the provision is reported in Q1 of next year). (2) Contract credited 10-08-2025, deducted 10-08-2025 → ON_TIME_DEDUCTION.</t>
  </si>
  <si>
    <t xml:space="preserve">Credit 05-06-2025, deduction 05-06-2025 → ON_TIME_DEDUCTION.</t>
  </si>
  <si>
    <t xml:space="preserve">Credit 28-06-2025, deduction 02-07-2025, TDS 5,000 → months Jun+Jul = 2 → interest 100 → LATE_DEDUCTION.</t>
  </si>
  <si>
    <t xml:space="preserve">Year-end provisions without TDS (deducted on payment next year); TDS deducted only on payment for advance payments; statement credit date keyed as payment date; expense booked on receipt of invoice late.</t>
  </si>
  <si>
    <t xml:space="preserve">Compute 1% interest; recommend year-end TDS on provisions (where payee identifiable) or reverse provisions; include in s.201(1A) payable and 3CD cl.34(c).</t>
  </si>
  <si>
    <t xml:space="preserve">def rc_tds_005(rows, gl, p):
    for r in rows:
        if r.section in p.salary_sections_excluded: continue
        g = first_credit(gl, r.pan, r.section, r.amount)
        ddate = min(x for x in [r.credit_date, g.date if g else None, r.payment_date] if x)
        if r.deduction_date &lt;= ddate: yield cat('ON_TIME_DEDUCTION', r); continue
        m = months(ddate, r.deduction_date, p.month_count_method)
        yield cat('LATE_DEDUCTION', r, interest=r.tds*p.rate/100*m)
        if g and g.date &lt; r.credit_date: yield cat('CREDIT_DATE_UNDERSTATED', r, g)</t>
  </si>
  <si>
    <t xml:space="preserve">Income-tax Act 1961 – section 201 | https://www.incometaxindia.gov.in/w/section-201-60 | s.201(1A)
Income-tax Act 2025 – section 398 (consequences of failure; interest) | https://www.incometaxindia.gov.in/w/section-398-5 | s.398(3)
TDSMAN – interest calculation on delayed payment of TDS | https://blog.tdsman.com/2015/04/interest-calculation-delayed-payment-tds/ | calendar-month counting practice</t>
  </si>
  <si>
    <t xml:space="preserve">1% rate verified officially (round-1 TDS-037). 'Credit to suspense/provision account deemed credit' is from established law (Explanation to ss.194C/194J etc.) – not re-opened this session. Whether year-end provisions where payee is not identifiable attract TDS is a judgement item (CA review).</t>
  </si>
  <si>
    <t xml:space="preserve">RC-TDS-006</t>
  </si>
  <si>
    <t xml:space="preserve">TDS – Rate validation</t>
  </si>
  <si>
    <t xml:space="preserve">Rate check – statement rate vs expected rate (206AA no-PAN, lower/nil certificate, 15G/15H, threshold codes)</t>
  </si>
  <si>
    <t xml:space="preserve">Recompute the expected TDS for each statement row from section rate, payee type, PAN status, certificate and declaration codes, and flag short/excess deduction and invalid use of reason codes (A/B/C/T/Y/Z).</t>
  </si>
  <si>
    <t xml:space="preserve">deductee row</t>
  </si>
  <si>
    <t xml:space="preserve">Section rates (round-1 TDS-007..032); higher rate for no/invalid PAN: IT Act 1961 s.206AA (20%; 5% for 194O/194Q) / IT Act 2025 s.397(2); lower/nil certificate s.197 / s.395(1) (Form 13 → Form 128); declarations s.197A / s.393(6)-(7) (Form 15G/15H → Form 121); transporter s.194C(6). Statement reason codes per Form 26Q layout.</t>
  </si>
  <si>
    <t xml:space="preserve">All non-salary statements (26Q/27Q); salary uses RC-TDS-010.</t>
  </si>
  <si>
    <t xml:space="preserve">Rate master (date-effective); PARTY_MASTER with PAN, PAN-validity status (TRACES PAN verification / FVU PAN statistics), entity type, residential status; certificate register (cert no., PAN, TAN, section, rate, amount limit, validity from/to); 15G/15H/121 register; transporter declarations.</t>
  </si>
  <si>
    <t xml:space="preserve">TDS_RET_26Q.deductee_pan = PARTY_MASTER.pan; TDS_RET_26Q.lower_cert_no = PARTY_MASTER.lower_deduction_cert_no</t>
  </si>
  <si>
    <t xml:space="preserve">PAN upper-case; certificate number upper-case, strip spaces; section canonical code.</t>
  </si>
  <si>
    <t xml:space="preserve">deductee row; certificate utilisation aggregated per certificate across the FY.</t>
  </si>
  <si>
    <t xml:space="preserve">TDS_RET_26Q.rate_deducted vs expected_rate; TDS_RET_26Q.tax_deducted vs expected_tds; TDS_RET_26Q.remark_reason_code vs eligibility evidence</t>
  </si>
  <si>
    <t xml:space="preserve">₹1 per row (implementation choice); rate compared to 2 decimals.</t>
  </si>
  <si>
    <t xml:space="preserve">expected_rate = cert_rate if valid_cert(row) and cum_cert_amount ≤ cert_limit else max(section_rate, 20%) if pan_invalid (5% for 194O/194Q; for salary higher of average rate and 20%) else 0 if reason in {B, T, Y, Z} and evidence ok else section_rate; expected_tds = amount × expected_rate; short = expected_tds − actual</t>
  </si>
  <si>
    <t xml:space="preserve">1. Determine PAN status (valid / invalid / not available / inoperative – CA rule). 2. If reason code 'A': verify certificate exists, matches TAN+PAN+section, txn date within validity, cumulative amount within limit; else expected = normal/20%. 3. 'B': verify declaration on file for FY and PAN present (declaration without PAN invalid). 4. 'C': verify PAN invalid/missing and rate ≥ 20% (or 5% for 194O/194Q). 5. 'T': only 194C with PAN and transporter declaration. 6. 'Y': below threshold – re-test aggregate (RC-TDS-002) for the year; if aggregate later crosses, flag. 7. No code: expected = section rate. 8. Compute shortfall; classify.</t>
  </si>
  <si>
    <t xml:space="preserve">RATE_OK: actual equals expected; SHORT_RATE: lower rate than expected without valid basis; NO_PAN_LOW_RATE: PAN missing/invalid but section rate applied instead of s.206AA/s.397(2) rate; CERT_INVALID: code A but certificate missing/expired/limit exhausted/wrong section; DECL_INVALID: code B without PAN or declaration; T_CODE_INVALID: code T used outside 194C or without PAN; Y_CODE_INVALID: code Y but aggregate exceeds threshold; EXCESS_RATE: higher than expected</t>
  </si>
  <si>
    <t xml:space="preserve">RATE_OK=Low; SHORT_RATE=High; NO_PAN_LOW_RATE=Critical; CERT_INVALID=High; DECL_INVALID=High; T_CODE_INVALID=High; Y_CODE_INVALID=High; EXCESS_RATE=Low</t>
  </si>
  <si>
    <t xml:space="preserve">row_tolerance_inr=1; inoperative_pan_treated_as_no_pan=CA_to_decide; higher_rate_pct=20; higher_rate_194O_194Q_pct=5</t>
  </si>
  <si>
    <t xml:space="preserve">Reason code ∈ {A,B,C,T,Y,Z,blank}; certificate number present when code A; PAN format; section valid for date.</t>
  </si>
  <si>
    <t xml:space="preserve">deductee_pan, pan_status, section, amount, actual_rate, expected_rate, actual_tds, expected_tds, short_deduction, reason_code, certificate_no, cert_limit, cert_used_cum, category, severity</t>
  </si>
  <si>
    <t xml:space="preserve">(1) 194J, PAN valid, 1,00,000, 10% → 10,000 RATE_OK. (2) 194C, PAN 'PANNOTAVBL', 50,000 at 2% = 1,000 → expected 20% = 10,000 → NO_PAN_LOW_RATE short 9,000. (3) 194-I code A cert 2% limit 5,00,000, cumulative before row 4,80,000, row 60,000 → 20,000 at 2% (400) + 40,000 at 10% (4,000) = 4,400 expected; actual 1,200 → CERT_INVALID (limit exhausted) short 3,200. (4) 194A code B, 15G on file, PAN valid → RATE_OK.</t>
  </si>
  <si>
    <t xml:space="preserve">194H commission 30,000, PAN valid, 2% → 600 → RATE_OK.</t>
  </si>
  <si>
    <t xml:space="preserve">194Q purchase, PAN invalid, rate 0.1% → expected 5% → NO_PAN_LOW_RATE.</t>
  </si>
  <si>
    <t xml:space="preserve">PAN inoperative (not linked to Aadhaar) treated as valid; certificate limit not tracked; certificate issued for one section used for another; 15G accepted from company; 'Y' code used per invoice while annual aggregate crosses threshold; 194C rate 1% applied to company payee.</t>
  </si>
  <si>
    <t xml:space="preserve">Compute short deduction and interest (RC-TDS-005); recommend correction statement or recovery from payee; maintain certificate utilisation tracker; mirror TRACES justification 'short deduction' (RC-TDS-008).</t>
  </si>
  <si>
    <t xml:space="preserve">def rc_tds_006(rows, pm, certs, decls, master):
    for r in rows:
        exp_rate = master.rate(r.section, pm[r.pan], r.date)
        if r.reason=='A': c = certs.valid(r.cert_no, r.pan, r.section, r.date); exp_rate = c.rate if c and c.remaining &gt;= r.amount else exp_rate
        if not pan_valid(r.pan): exp_rate = master.higher_rate(r.section, exp_rate)
        if r.reason in ('B','T','Y','Z') and evidence_ok(r, decls, master): exp_rate = 0
        exp = round(r.amount*exp_rate/100, 2)
        yield classify(r, exp)</t>
  </si>
  <si>
    <t xml:space="preserve">Income-tax Act 2025 – section 397 (TAN, statements, higher rate) | https://www.incometaxindia.gov.in/w/section-397-6 | s.397(2),(3)
CBDT FAQs – higher rate of TDS under section 397 | https://www.incometaxindia.gov.in/documents/d/guest/faqs-on-higher-rate-of-tds-under-section-397 | s.397(2)
Income-tax Act 2025 – section 395 (certificates / lower deduction) | https://www.incometaxindia.gov.in/w/section-395-6 | s.395(1),(4)
CBDT FAQs – Form 128 (lower deduction certificate) | https://www.incometaxindia.gov.in/documents/d/guest/form-128-faqs | Form 128 (erstwhile Form 13)
Form 26Q layout (TDSMAN copy) | https://www.tdsman.com/downloads/forms/Form-26Q.pdf | challan cols 401-411; deductee cols 412-425; reason codes A/B/C/T/Y/Z
Income-tax Act 2025 – section 393 (TDS table) | https://www.incometaxindia.gov.in/w/section-393-6 | s.393(1)-(4)</t>
  </si>
  <si>
    <t xml:space="preserve">Higher-rate rule and certificate mechanics verified in round-1 (TDS-033, TDS-041). Reason codes from Form 26Q layout (secondary copy). Inoperative-PAN consequences not researched – CA decides. 2025-Act statement reason codes for Forms 140/144 not verified – assume same semantics.</t>
  </si>
  <si>
    <t xml:space="preserve">RC-TDS-007</t>
  </si>
  <si>
    <t xml:space="preserve">TDS – Late fee</t>
  </si>
  <si>
    <t xml:space="preserve">Statement filing date vs due date – late fee s.234E / s.427</t>
  </si>
  <si>
    <t xml:space="preserve">Compute late filing fee ₹200 per day of default capped at TDS deductible for the statement, and compare with fee paid (statement col 404 / challan fee).</t>
  </si>
  <si>
    <t xml:space="preserve">TRACES_JUST</t>
  </si>
  <si>
    <t xml:space="preserve">quarter (per form)</t>
  </si>
  <si>
    <t xml:space="preserve">IT Act 1961 s.234E (₹200 per day, not exceeding TDS/TCS amount) with Rule 31A due dates; IT Act 2025 s.427(1) with Rule 219 due dates (31 Jul / 31 Oct / 31 Jan / 31 May for TDS; TCS 27EQ under 1961: 15th of month after quarter, Form 143 under 2025: same as TDS).</t>
  </si>
  <si>
    <t xml:space="preserve">Each quarterly statement (24Q/26Q/27Q/27EQ; 138/140/144/143).</t>
  </si>
  <si>
    <t xml:space="preserve">Statement header: form, quarter, FY, original filing date (token/receipt date), total TDS; challan fee amounts; due-date master (round-1 TDS-036).</t>
  </si>
  <si>
    <t xml:space="preserve">TDS_RET_26Q.tan = TDS_CHALLAN.tan; TDS_RET_26Q.challan_cin = TDS_CHALLAN.cin (fee column)</t>
  </si>
  <si>
    <t xml:space="preserve">Form + quarter + FY string 'FY2025-26-Q1-26Q'; dates as date.</t>
  </si>
  <si>
    <t xml:space="preserve">statement (form-quarter).</t>
  </si>
  <si>
    <t xml:space="preserve">TDS_RET_26Q.statement_filing_date vs due_date; computed_fee vs Σ challan fee allocated to statement</t>
  </si>
  <si>
    <t xml:space="preserve">₹0 (statutory formula); fee rounding not applied (₹200 multiples).</t>
  </si>
  <si>
    <t xml:space="preserve">days = max(0, filing_date − due_date) [days of default counted from day after due date to filing date inclusive – implementation reading]; fee = min(200 × days, total_tds_deductible_in_statement)</t>
  </si>
  <si>
    <t xml:space="preserve">1. Look up due date by form/quarter/FY. 2. Use original statement filing date (corrections do not reset). 3. Compute days and fee with cap. 4. Sum fee paid in challans linked to the statement. 5. Classify. 6. Cross-check with TRACES_JUST 'late filing levy' (RC-TDS-008).</t>
  </si>
  <si>
    <t xml:space="preserve">ON_TIME: filed by due date; FEE_PAID: late, fee paid ≥ computed; FEE_SHORT: fee paid &lt; computed; FEE_EXCESS: fee paid &gt; computed; NOT_FILED: statement not filed and due date passed</t>
  </si>
  <si>
    <t xml:space="preserve">ON_TIME=Low; FEE_PAID=Low; FEE_SHORT=High; FEE_EXCESS=Low; NOT_FILED=Critical</t>
  </si>
  <si>
    <t xml:space="preserve">fee_per_day_inr=200; cap_basis=tds_deductible; penalty_271H_alert_days=365</t>
  </si>
  <si>
    <t xml:space="preserve">Filing date present; due-date master for form/FY; total TDS of statement &gt; 0 for cap (nil statements – fee cap 0).</t>
  </si>
  <si>
    <t xml:space="preserve">tan, form, fy, quarter, due_date, filing_date, days_late, fee_computed, fee_cap, fee_paid, diff, category, severity</t>
  </si>
  <si>
    <t xml:space="preserve">26Q Q1 FY 2025-26 due 31-07-2025, filed 15-08-2025 → days 15 → 3,000; TDS 1,20,000 → cap not hit → fee 3,000; fee paid 0 → FEE_SHORT 3,000. 24Q Q2 TDS 2,500 filed 100 days late → 20,000 capped to 2,500.</t>
  </si>
  <si>
    <t xml:space="preserve">27Q Q3 FY 2025-26 due 31-01-2026 filed 31-01-2026 → ON_TIME.</t>
  </si>
  <si>
    <t xml:space="preserve">26Q Q4 FY 2025-26 due 31-05-2026 filed 10-06-2026 → 10 days → 2,000; fee paid 1,800 → FEE_SHORT 200.</t>
  </si>
  <si>
    <t xml:space="preserve">Fee not paid before filing; using correction filing date; nil-TDS statements; 27EQ old 15th due dates vs new 31st (Form 143).</t>
  </si>
  <si>
    <t xml:space="preserve">Pay fee via challan (fee column) and tag in correction statement; flag s.271H/s.461 penalty exposure if delay &gt; 1 year (round-1 TDS-039).</t>
  </si>
  <si>
    <t xml:space="preserve">def rc_tds_007(stmt, challans, dd):
    due = dd.statement_due(stmt.form, stmt.fy, stmt.qtr)
    days = max(0, (stmt.filing_date - due).days)
    fee = min(200*days, stmt.total_tds)
    paid = sum(c.fee for c in challans if c.cin in stmt.cins)
    return classify(days, fee, paid)</t>
  </si>
  <si>
    <t xml:space="preserve">Income-tax Act 2025 – section 427 (fee for late statement) | https://www.incometaxindia.gov.in/w/section-427-6 | s.427(1)
Income-tax Rules 2026 – Rule 219 (statements) | https://www.incometaxindia.gov.in/w/rule-219-1 | Rule 219
Form 26Q layout (TDSMAN copy) | https://www.tdsman.com/downloads/forms/Form-26Q.pdf | challan cols 401-411; deductee cols 412-425; reason codes A/B/C/T/Y/Z</t>
  </si>
  <si>
    <t xml:space="preserve">Fee rate and cap verified officially (round-1 TDS-038). Day-count convention is implementation reading. TCS 27EQ 15th due dates are secondary (round-1 TDS-036).</t>
  </si>
  <si>
    <t xml:space="preserve">RC-TDS-008</t>
  </si>
  <si>
    <t xml:space="preserve">TDS – Default reconciliation</t>
  </si>
  <si>
    <t xml:space="preserve">TRACES justification report vs tool's own computed defaults</t>
  </si>
  <si>
    <t xml:space="preserve">Reconcile each default line in the TRACES justification report (short payment, short deduction, interest on late payment/deduction, late filing fee, PAN errors) with the tool's own computation (RC-TDS-003 to RC-TDS-007) to decide whether a correction statement or payment is needed, or the demand is erroneous.</t>
  </si>
  <si>
    <t xml:space="preserve">statement (form-quarter-FY)</t>
  </si>
  <si>
    <t xml:space="preserve">Processing of statements: s.200A (1961) / statement processing under 2025 Act (section not verified); default components: s.201(1), s.201(1A), s.234E, s.206AA (1961) / ss.398, 427, 397(2) (2025).</t>
  </si>
  <si>
    <t xml:space="preserve">Deductors with defaults on TRACES for a statement.</t>
  </si>
  <si>
    <t xml:space="preserve">Justification report (Excel/text from TRACES) parsed into default rows with type, deductee row id/PAN, amount; tool outputs of RC-TDS-003/004/005/006/007 for the same statement.</t>
  </si>
  <si>
    <t xml:space="preserve">TRACES_JUST.token_no = TDS_RET_26Q.token_no; TRACES_JUST.deductee_record_no = TDS_RET_26Q.deductee_record_no; TRACES_JUST.default_type = tool.default_type</t>
  </si>
  <si>
    <t xml:space="preserve">Default type mapping (implementation): 'Short Payment' → SHORT_PAYMENT; 'Short Deduction' / 'Short Deduction due to PAN not available' → SHORT_DEDUCTION; 'Interest on Short Payment' / 'Interest on Late Payment' → INT_LATE_PAYMENT; 'Interest on Late Deduction' → INT_LATE_DEDUCTION; 'Late Filing' → FEE_234E. PAN upper-case; row numbers as integer.</t>
  </si>
  <si>
    <t xml:space="preserve">default type per deductee row, then per statement.</t>
  </si>
  <si>
    <t xml:space="preserve">TRACES_JUST.default_amount vs tool.computed_amount (per type per row); TRACES_JUST.total_default vs tool.total_default</t>
  </si>
  <si>
    <t xml:space="preserve">₹10 per default type per statement (implementation choice; TRACES rounding not published).</t>
  </si>
  <si>
    <t xml:space="preserve">diff_type = TRACES_amount − tool_amount; net_payable = Σ TRACES defaults − interest/fee already paid</t>
  </si>
  <si>
    <t xml:space="preserve">1. Parse justification report into rows. 2. Map to tool's categories. 3. Match row-wise; where TRACES uses challan-level interest, aggregate tool output to challan. 4. Classify: AGREED (both compute same), TRACES_HIGHER (likely data error – e.g., wrong date of deduction, wrong challan tag, PAN), TOOL_HIGHER (tool found default TRACES did not – e.g., threshold aggregation, provision credit dates), TRACES_ONLY, TOOL_ONLY. 5. For TRACES_HIGHER suggest correction (date, challan tagging, PAN, reason code). 6. Summarise outstanding demand vs computed.</t>
  </si>
  <si>
    <t xml:space="preserve">AGREED: same default ±tolerance; TRACES_HIGHER: TRACES default exceeds tool; TOOL_HIGHER: tool computes higher default than TRACES (latent exposure); TRACES_ONLY: default only in TRACES; TOOL_ONLY: default only in tool; DEMAND_CLEARED: TRACES default nil after correction</t>
  </si>
  <si>
    <t xml:space="preserve">AGREED=Medium; TRACES_HIGHER=High; TOOL_HIGHER=High; TRACES_ONLY=High; TOOL_ONLY=Medium; DEMAND_CLEARED=Low</t>
  </si>
  <si>
    <t xml:space="preserve">type_tolerance_inr=10; month_count_method=calendar_inclusive</t>
  </si>
  <si>
    <t xml:space="preserve">Justification report belongs to same TAN/form/quarter/FY and latest processed statement version; tool runs complete for that statement.</t>
  </si>
  <si>
    <t xml:space="preserve">tan, form, fy, quarter, default_type, deductee_row, pan, traces_amount, tool_amount, diff, probable_cause, category, severity, suggested_correction</t>
  </si>
  <si>
    <t xml:space="preserve">Q1 26Q: TRACES late-payment interest 1,050; tool 900 (TRACES uses deduction date 30-04 for a row deducted 30-05 – keyed wrong) → TRACES_HIGHER 150 – correct date. TRACES short deduction 9,000 for PANNOTAVBL row; tool 9,000 → AGREED. TRACES late fee 3,000; tool 3,000 → AGREED. Tool finds 194C aggregate short deduction 1,060 not in TRACES → TOOL_ONLY (latent).</t>
  </si>
  <si>
    <t xml:space="preserve">TRACES interest on late deduction 360; tool 360 → AGREED.</t>
  </si>
  <si>
    <t xml:space="preserve">TRACES short payment 5,000 for a row whose challan is in list but serial mis-keyed → TRACES_HIGHER → suggest challan correction (link RC-TDS-003 CIN_NOT_FOUND).</t>
  </si>
  <si>
    <t xml:space="preserve">Wrong date of deduction/payment keyed; challan not tagged; PAN invalid/structurally valid but not in ITD database; reason code A without certificate number validated on TRACES; rounding differences.</t>
  </si>
  <si>
    <t xml:space="preserve">Prepare correction statement data (online correction or FVU), or pay via challan (minor head 400 for demand – verify) after correction; keep evidence for TOOL_ONLY items (CA decides on voluntary payment).</t>
  </si>
  <si>
    <t xml:space="preserve">def rc_tds_008(just, tool, p):
    J = group(just, ('row','type')); T = group(tool, ('row','type'))
    for k in J.keys() | T.keys():
        a, b = J.get(k,0), T.get(k,0)
        yield cat('AGREED' if abs(a-b)&lt;=p.tol else 'TRACES_ONLY' if not b else 'TOOL_ONLY' if not a else 'TRACES_HIGHER' if a&gt;b else 'TOOL_HIGHER', k, a, b)</t>
  </si>
  <si>
    <t xml:space="preserve">TDSMAN – Evaluate TDS defaults using justification report | https://blog.tdsman.com/2013/07/evaluate-your-tds-defaults-using-justification-report-downloaded-from-traces/ | PAN errors, late payment 1.5%, short deduction
Income-tax Act 1961 – section 201 | https://www.incometaxindia.gov.in/w/section-201-60 | s.201(1A)
Income-tax Act 2025 – section 398 (consequences of failure; interest) | https://www.incometaxindia.gov.in/w/section-398-5 | s.398(3)
Income-tax Act 2025 – section 427 (fee for late statement) | https://www.incometaxindia.gov.in/w/section-427-6 | s.427(1)
Income-tax Act 2025 – section 397 (TAN, statements, higher rate) | https://www.incometaxindia.gov.in/w/section-397-6 | s.397(2),(3)</t>
  </si>
  <si>
    <t xml:space="preserve">Exact TRACES algorithm and report layout are not officially published in sources opened; default types and 1.5% interest on late payment per TDSMAN (secondary). Statement-processing section under 2025 Act not verified. Minor head for paying demand (400) – established practice, verify.</t>
  </si>
  <si>
    <t xml:space="preserve">RC-TDS-009</t>
  </si>
  <si>
    <t xml:space="preserve">TDS – Certificates</t>
  </si>
  <si>
    <t xml:space="preserve">Form 16A / Form 131 issued vs statement data</t>
  </si>
  <si>
    <t xml:space="preserve">Ensure TDS certificates issued to deductees (downloaded from TRACES) agree with the processed statement – deductee PAN, section, amount, TDS, challan details – and were issued by the due date.</t>
  </si>
  <si>
    <t xml:space="preserve">F16A</t>
  </si>
  <si>
    <t xml:space="preserve">quarter</t>
  </si>
  <si>
    <t xml:space="preserve">IT Act 1961 s.203 &amp; Rule 31 (Form 16A quarterly, within 15 days from statement due date); IT Act 2025 s.395(4) &amp; Rule 215 (Form 131). Due dates 15 Aug / 15 Nov / 15 Feb / 15 Jun (round-1 TDS-040).</t>
  </si>
  <si>
    <t xml:space="preserve">Non-salary deductors.</t>
  </si>
  <si>
    <t xml:space="preserve">F16A PDFs parsed (certificate no., TAN, PAN, quarter, section, amount paid, TDS, date of payment, BSR, challan serial, date of deposit, status of matching); issue/dispatch log with dates.</t>
  </si>
  <si>
    <t xml:space="preserve">F16A.deductor_tan = TDS_RET_26Q.tan; F16A.deductee_pan = TDS_RET_26Q.deductee_pan; F16A.quarter = TDS_RET_26Q.quarter; F16A.nature_of_payment = TDS_RET_26Q.section_code</t>
  </si>
  <si>
    <t xml:space="preserve">PAN/TAN upper-case; section canonical; amounts paise.</t>
  </si>
  <si>
    <t xml:space="preserve">PAN + section + quarter.</t>
  </si>
  <si>
    <t xml:space="preserve">F16A.amount_paid_credited vs Σ TDS_RET_26Q.amount_paid_credited; F16A.tax_deposited vs Σ TDS_RET_26Q.tax_deposited; F16A.issue_date vs certificate_due_date</t>
  </si>
  <si>
    <t xml:space="preserve">₹0 (certificate generated from same data; any difference means stale certificate).</t>
  </si>
  <si>
    <t xml:space="preserve">diff = F16A.value − Σ statement rows (PAN, section, quarter); late_days = issue_date − due_date</t>
  </si>
  <si>
    <t xml:space="preserve">1. Group statement rows. 2. Match certificates. 3. Compare amounts. 4. Missing certificates for PANs with TDS → NOT_ISSUED. 5. Certificates for earlier statement version (before correction) → STALE. 6. Issue date vs due date → LATE_ISSUE (penalty exposure per established law s.272A(2)(g) – not verified).</t>
  </si>
  <si>
    <t xml:space="preserve">MATCHED: matched; VALUE_DIFF: certificate amounts differ from latest statement; NOT_ISSUED: deductee with TDS but no certificate; STALE: certificate generated before latest correction; LATE_ISSUE: issued after due date; EXTRA_CERT: certificate for PAN not in statement</t>
  </si>
  <si>
    <t xml:space="preserve">MATCHED=Low; VALUE_DIFF=High; NOT_ISSUED=Medium; STALE=Medium; LATE_ISSUE=Medium; EXTRA_CERT=High</t>
  </si>
  <si>
    <t xml:space="preserve">issue_grace_days=0</t>
  </si>
  <si>
    <t xml:space="preserve">Certificate TAN = client TAN; certificate number unique; quarter present.</t>
  </si>
  <si>
    <t xml:space="preserve">certificate_no, pan, section, quarter, cert_amount, stmt_amount, cert_tds, stmt_tds, issue_date, due_date, category, severity</t>
  </si>
  <si>
    <t xml:space="preserve">PAN A Q1 194J: cert TDS 6,000, statement after correction 6,500 → STALE/VALUE_DIFF 500. PAN B Q1 194C: statement 1,000, no cert → NOT_ISSUED. PAN C Q1 cert issued 20-08-2025 (due 15-08-2025) → LATE_ISSUE 5 days.</t>
  </si>
  <si>
    <t xml:space="preserve">Cert and statement both 194H TDS 600 for PAN D Q2, issued 10-11-2025 → MATCHED.</t>
  </si>
  <si>
    <t xml:space="preserve">Cert issued from deductor's own software (not TRACES) with different values → VALUE_DIFF + note 'must be downloaded from TRACES'.</t>
  </si>
  <si>
    <t xml:space="preserve">Certificates generated before correction; manually prepared certificates; PAN corrections; quarter mismatch.</t>
  </si>
  <si>
    <t xml:space="preserve">Re-download Form 16A/131 from TRACES after correction and re-issue; maintain dispatch log.</t>
  </si>
  <si>
    <t xml:space="preserve">def rc_tds_009(certs, stmt):
    S = group_sum(stmt.rows, ('pan','section','qtr'))
    for c in certs:
        s = S.pop((c.pan,c.section,c.qtr), None)
        yield classify(c, s)
    for k, s in S.items(): yield cat('NOT_ISSUED', None, s)</t>
  </si>
  <si>
    <t xml:space="preserve">Income-tax Act 2025 – section 395 (certificates / lower deduction) | https://www.incometaxindia.gov.in/w/section-395-6 | s.395(1),(4)
CBDT FAQs – Form 130 | https://www.incometaxindia.gov.in/documents/d/guest/form-130-faqs | Form 130 (erstwhile Form 16)</t>
  </si>
  <si>
    <t xml:space="preserve">Form 131 due dates under Rules 2026 per round-1 TDS-040 (partially verified). Penalty for late certificate not verified.</t>
  </si>
  <si>
    <t xml:space="preserve">RC-TDS-010</t>
  </si>
  <si>
    <t xml:space="preserve">TDS – Salary</t>
  </si>
  <si>
    <t xml:space="preserve">24Q salary TDS vs payroll register (monthly) and taxable salary</t>
  </si>
  <si>
    <t xml:space="preserve">Ensure monthly salary TDS per employee in the payroll register equals TDS reported in Form 24Q/138 Annexure I, and that the amount paid/credited reported equals payroll gross salary; flag employees with payroll TDS not reported and vice versa.</t>
  </si>
  <si>
    <t xml:space="preserve">PAYROLL_REG</t>
  </si>
  <si>
    <t xml:space="preserve">TDS_RET_24Q</t>
  </si>
  <si>
    <t xml:space="preserve">month within quarter; cumulative to date for FY</t>
  </si>
  <si>
    <t xml:space="preserve">IT Act 1961 s.192 (estimated income, average rate), s.200(3), Rule 31A (24Q) – FY 2025-26; IT Act 2025 s.392, s.397(3), Rule 219 (Form 138) – tax year 2026-27.</t>
  </si>
  <si>
    <t xml:space="preserve">Employers deducting TDS on salary.</t>
  </si>
  <si>
    <t xml:space="preserve">PAYROLL_REG with employee id, PAN, month, gross salary, exempt allowances, TDS; 24Q Annexure I deductee rows (PAN, amount paid, TDS, date of payment/deduction).</t>
  </si>
  <si>
    <t xml:space="preserve">PAYROLL_REG.pan = TDS_RET_24Q.deductee_pan; PAYROLL_REG.pay_month = month(TDS_RET_24Q.date_paid_credited)</t>
  </si>
  <si>
    <t xml:space="preserve">PAN upper-case; employees without PAN: match on employee name (fuzzy) and flag 20% rule (s.206AA/s.397(2) – higher of average rate and 20%); month 'YYYY-MM'.</t>
  </si>
  <si>
    <t xml:space="preserve">employee + month; then employee + quarter.</t>
  </si>
  <si>
    <t xml:space="preserve">PAYROLL_REG.tds_salary vs TDS_RET_24Q.tax_deducted; PAYROLL_REG.gross_earnings vs TDS_RET_24Q.amount_paid_credited</t>
  </si>
  <si>
    <t xml:space="preserve">TDS ₹1 per employee-month; amount paid ₹1 (implementation). Amount-paid comparison may be informational where payroll reports only taxable salary – configurable basis.</t>
  </si>
  <si>
    <t xml:space="preserve">diff_tds = payroll.tds − 24Q.tds; diff_amt = payroll.salary_basis − 24Q.amount_paid; quarter_total_diff = Σpayroll.tds − Σ24Q.tds</t>
  </si>
  <si>
    <t xml:space="preserve">1. Choose salary basis param (gross / gross less exempt). 2. Group both docs per employee-month. 3. Match on PAN; fallback name. 4. Compare TDS and amount. 5. Employees with payroll TDS &gt; 0 absent in 24Q → MISSING_IN_RETURN; 24Q rows absent in payroll → MISSING_IN_PAYROLL. 6. Employees with taxable salary but zero TDS for whole quarter – informational ZERO_TDS_CHECK (check estimated income vs regime/rebate). 7. Totals vs TDS_LEDGER salary TDS head.</t>
  </si>
  <si>
    <t xml:space="preserve">MATCHED: matched; TDS_DIFF: tds diff; AMOUNT_DIFF: amount diff; MISSING_IN_RETURN: missing in return; MISSING_IN_PAYROLL: missing in payroll; NO_PAN_EMPLOYEE: PAN missing (higher rate rule); ZERO_TDS_CHECK: taxable salary with nil TDS (informational)</t>
  </si>
  <si>
    <t xml:space="preserve">MATCHED=Low; TDS_DIFF=High; AMOUNT_DIFF=Medium; MISSING_IN_RETURN=Critical; MISSING_IN_PAYROLL=High; NO_PAN_EMPLOYEE=High; ZERO_TDS_CHECK=Low</t>
  </si>
  <si>
    <t xml:space="preserve">salary_basis=gross_salary; tds_tolerance_inr=1; amount_tolerance_inr=1; name_fuzzy_threshold=0.85</t>
  </si>
  <si>
    <t xml:space="preserve">Payroll months within FY; PAN format; 24Q TAN equals employer TAN; no duplicate employee-month rows.</t>
  </si>
  <si>
    <t xml:space="preserve">employee_id, pan, month, payroll_salary, return_amount, payroll_tds, return_tds, diff_tds, category, severity</t>
  </si>
  <si>
    <t xml:space="preserve">Emp E1 Apr-Jun TDS 5,000×3 in payroll; 24Q Q1 shows 5,000, 5,000, 4,000 → June TDS_DIFF 1,000. Emp E2 TDS 2,000 June in payroll, absent in 24Q → MISSING_IN_RETURN. Emp E3 (joined May) in 24Q TDS 1,500 but not in payroll register export (contract payroll) → MISSING_IN_PAYROLL.</t>
  </si>
  <si>
    <t xml:space="preserve">E4 payroll TDS 3,333 each month; 24Q same → MATCHED.</t>
  </si>
  <si>
    <t xml:space="preserve">E5 PAN blank, payroll TDS 1,000 on monthly taxable 50,000 → NO_PAN_EMPLOYEE (expected higher of average rate and 20%).</t>
  </si>
  <si>
    <t xml:space="preserve">Arrears/bonus paid off-cycle; F&amp;F settlements processed outside payroll; TDS on perquisites paid by employer (s.192(1A)); employees with multiple payroll codes; month of payment vs month of accrual.</t>
  </si>
  <si>
    <t xml:space="preserve">File correction for missing employees; adjust TDS in subsequent months (s.192(3) permits adjustment of excess/short within year); review regime selection.</t>
  </si>
  <si>
    <t xml:space="preserve">def rc_tds_010(payroll, r24q, p):
    P = group_sum(payroll, ('pan','month'), ['salary','tds'])
    R = group_sum(r24q.rows, ('pan','month'), ['amount','tds'])
    for k in P.keys()|R.keys():
        yield classify(P.get(k), R.get(k), p)</t>
  </si>
  <si>
    <t xml:space="preserve">Income-tax Act 2025 – section 392 (salary TDS) | https://www.incometaxindia.gov.in/w/section-392-6 | s.392
Income-tax Rules 2026 – Rule 219 (statements) | https://www.incometaxindia.gov.in/w/rule-219-1 | Rule 219
TDSMAN – Simple guide for employee income details, Form 24Q-Q4 | https://blog.tdsman.com/2024/04/simple-guide-for-employee-income-details-form-24q-q4/ | Annexure II feeds Form 16 Part B
Protean – Do's and Don'ts for deductors/collectors (e-TDS) | https://tinpan.proteantech.in/downloads/e-tds/download/DosandDontsdeductorscollectors.pdf | CIN = BSR(7) + challan serial(≤5) + date; one challan entry with full amount; Annexure II only in Q4 24Q</t>
  </si>
  <si>
    <t xml:space="preserve">Statutory reporting duty verified (round-1 TDS-003/036); matching basis is implementation design. Form 138 Annexure layout under Rules 2026 not opened – assume equivalent fields.</t>
  </si>
  <si>
    <t xml:space="preserve">RC-TDS-011</t>
  </si>
  <si>
    <t xml:space="preserve">TDS – Salary annual</t>
  </si>
  <si>
    <t xml:space="preserve">24Q Q4 Annexure II (salary details) vs Form 16 Part B vs payroll annual computation</t>
  </si>
  <si>
    <t xml:space="preserve">Ensure annual salary computation per employee is consistent across payroll's tax computation, 24Q Q4 Annexure II and Form 16 Part B (gross salary, s.10 exemptions, standard deduction, Chapter VI-A, taxable income, tax, rebate, surcharge, cess, relief, TDS), and TDS for the year equals Σ Annexure I TDS of Q1-Q4.</t>
  </si>
  <si>
    <t xml:space="preserve">F16_PARTB</t>
  </si>
  <si>
    <t xml:space="preserve">financial year / tax year (Q4 statement)</t>
  </si>
  <si>
    <t xml:space="preserve">IT Act 1961 s.192, s.203, Rule 31 (Form 16), Rule 31A (24Q Annexure II in Q4) – FY 2025-26; IT Act 2025 s.392, s.395(4), Rule 215 (Form 130), Rule 219 (Form 138) – tax year 2026-27; standard deduction ₹75,000 new regime / ₹50,000 old (round-1 IT-010); rebate s.87A/s.156 (round-1 IT-007/008).</t>
  </si>
  <si>
    <t xml:space="preserve">All employers filing 24Q/138.</t>
  </si>
  <si>
    <t xml:space="preserve">Q4 24Q Annexure II per employee; Form 16 Part B (generated by employer software / TRACES Part A + employer Part B); payroll annual tax computation sheet; Q1-Q3 Annexure I totals.</t>
  </si>
  <si>
    <t xml:space="preserve">TDS_RET_24Q.sd_employee_pan = F16_PARTB.sd_employee_pan; TDS_RET_24Q.sd_employee_pan = PAYROLL_REG.pan</t>
  </si>
  <si>
    <t xml:space="preserve">PAN upper-case; regime flag normalise to {NEW, OLD} (Annexure II 'opting out of 115BAC(1A)' Y/N → OLD/NEW).</t>
  </si>
  <si>
    <t xml:space="preserve">employee (annual).</t>
  </si>
  <si>
    <t xml:space="preserve">annex2.gross_salary vs F16_PARTB.sd_gross_salary_total vs PAYROLL_REG.annual_gross; annex2.exempt_s10 vs F16_PARTB.sd_exemptions_s10; annex2.standard_deduction vs F16_PARTB.sd_standard_deduction; annex2.chapter_via vs F16_PARTB.sd_chapter_via_total; annex2.total_taxable_income vs F16_PARTB.sd_total_taxable_income; annex2.net_tax_payable vs F16_PARTB.sd_net_tax_payable; annex2.total_tds vs Σ annexure1.tds (Q1-Q4) vs F16_PARTB.sd_tds_current_employer; annex2.regime vs PAYROLL_REG.tax_regime</t>
  </si>
  <si>
    <t xml:space="preserve">₹0 for figures copied between documents; ₹10 for recomputed tax (s.288A/288B rounding of income/tax – round-1 IT-011/012).</t>
  </si>
  <si>
    <t xml:space="preserve">recomputed_tax = slab(regime, taxable_income) − rebate + surcharge + cess(4%) − relief_89; tds_gap = recomputed_tax − total_tds (positive = short deduction for year); annual_tds_check = annex2.total_tds − Σ_Q1..Q4 annexure1.tds</t>
  </si>
  <si>
    <t xml:space="preserve">1. Parse Annexure II and Form 16 Part B. 2. Field-by-field compare. 3. Recompute taxable income: gross − s.10 exemptions − s.16 deductions (+ other income declared) − Chapter VI-A (old regime only, except permitted deductions); round to ₹10. 4. Recompute tax using round-1 IT-002/003/005/006/007 tables. 5. Compare with net tax payable and TDS. 6. Check Annexure II TDS = Σ Annexure I TDS for the employee across Q1-Q4 (same TAN). 7. Check regime: new-regime employees should not have old-regime-only exemptions/deductions (HRA, LTA, 80C etc.).</t>
  </si>
  <si>
    <t xml:space="preserve">MATCHED: matched; FIELD_DIFF: field differs between Annexure II and Form 16 Part B; PAYROLL_DIFF: Annexure II differs from payroll computation; TAX_RECOMPUTE_DIFF: recomputed tax differs; SHORT_DEDUCTION_YEAR: TDS &lt; tax payable; EXCESS_DEDUCTION_YEAR: TDS &gt; tax payable; ANNEX_TDS_MISMATCH: Annexure II TDS ≠ Σ Annexure I TDS; REGIME_INCONSISTENT: deductions not allowed in chosen regime</t>
  </si>
  <si>
    <t xml:space="preserve">MATCHED=Low; FIELD_DIFF=High; PAYROLL_DIFF=Medium; TAX_RECOMPUTE_DIFF=High; SHORT_DEDUCTION_YEAR=High; EXCESS_DEDUCTION_YEAR=Low; ANNEX_TDS_MISMATCH=Critical; REGIME_INCONSISTENT=High</t>
  </si>
  <si>
    <t xml:space="preserve">tax_tolerance_inr=10; slab_table=IT-002/IT-003; cess_pct=4; std_deduction_new=75000; std_deduction_old=50000</t>
  </si>
  <si>
    <t xml:space="preserve">Annexure II only in Q4 statement (Protean); every employee in Annexure I during year should appear in Annexure II (if employed/paid in year); regime flag present.</t>
  </si>
  <si>
    <t xml:space="preserve">pan, employee_name, regime, field, annex2_value, f16b_value, payroll_value, recomputed_value, diff, category, severity</t>
  </si>
  <si>
    <t xml:space="preserve">E1 new regime: gross 14,00,000; std ded 75,000; taxable 13,25,000; tax per new slab (0-4L nil; 4-8L 5% = 20,000; 8-12L 10% = 40,000; 12-13.25L 15% = 18,750) = 78,750; cess 3,150 → 81,900. Annexure II net tax 81,900; Σ Annexure I TDS 78,000 → SHORT_DEDUCTION_YEAR 3,900. Form 16 Part B shows Chapter VI-A 80C 1,50,000 for E1 → REGIME_INCONSISTENT.</t>
  </si>
  <si>
    <t xml:space="preserve">E2 new regime taxable 11,50,000 → tax 55,000 (20,000 + 35,000) rebate 87A full (≤12 L) → nil; TDS nil → MATCHED.</t>
  </si>
  <si>
    <t xml:space="preserve">E3 Annexure II TDS 60,000 but Annexure I Q1-Q4 total 55,000 → ANNEX_TDS_MISMATCH 5,000.</t>
  </si>
  <si>
    <t xml:space="preserve">Previous employer salary (Form 12B/124) not included; perquisites (17(2)) omitted; HRA allowed under new regime; s.89 relief claims; mid-year regime change; employees who left (Annexure II omitted).</t>
  </si>
  <si>
    <t xml:space="preserve">Correct Annexure II via correction statement; regenerate Form 16 Part B; recover short TDS (cannot be recovered after year – employee pays self-assessment tax; note s.201 exposure).</t>
  </si>
  <si>
    <t xml:space="preserve">def rc_tds_011(a2, f16b, payroll, a1):
    for pan, x in a2.items():
        y = f16b.get(pan); z = payroll.get(pan)
        for fld in FIELDS: compare(x[fld], y and y[fld], z and z[fld])
        tax = compute_tax(x.regime, round10(x.taxable_income))
        tds_q = sum(r.tds for r in a1 if r.pan==pan)
        yield checks(x, tax, tds_q)</t>
  </si>
  <si>
    <t xml:space="preserve">TDSMAN – Simple guide for employee income details, Form 24Q-Q4 | https://blog.tdsman.com/2024/04/simple-guide-for-employee-income-details-form-24q-q4/ | Annexure II feeds Form 16 Part B
Protean – Do's and Don'ts for deductors/collectors (e-TDS) | https://tinpan.proteantech.in/downloads/e-tds/download/DosandDontsdeductorscollectors.pdf | CIN = BSR(7) + challan serial(≤5) + date; one challan entry with full amount; Annexure II only in Q4 24Q
CBDT FAQs – Form 130 | https://www.incometaxindia.gov.in/documents/d/guest/form-130-faqs | Form 130 (erstwhile Form 16)
Income-tax Act 2025 – section 392 (salary TDS) | https://www.incometaxindia.gov.in/w/section-392-6 | s.392</t>
  </si>
  <si>
    <t xml:space="preserve">Annexure II/Form 16 Part B field structure per TDSMAN (secondary). Slab/rebate figures are those verified in round-1 IT-002/IT-007 (new regime FY 2025-26: nil to ₹4 L, 5% 4-8 L, 10% 8-12 L, 15% 12-16 L, 20% 16-20 L, 25% 20-24 L, 30% above). Form 138/130 field equivalents for tax year 2026-27 not opened.</t>
  </si>
  <si>
    <t xml:space="preserve">RC-TDS-012</t>
  </si>
  <si>
    <t xml:space="preserve">TCS – Collector reconciliation</t>
  </si>
  <si>
    <t xml:space="preserve">TCS (collector side) – books vs 27EQ/143 vs challans</t>
  </si>
  <si>
    <t xml:space="preserve">Ensure TCS collected per sales invoice (scrap, minerals, motor vehicle &gt; ₹10 lakh, LRS/tour packages for authorised dealers, etc.) is recomputed, reported in 27EQ/Form 143 and deposited.</t>
  </si>
  <si>
    <t xml:space="preserve">TCS_RET_27EQ</t>
  </si>
  <si>
    <t xml:space="preserve">IT Act 1961 s.206C, Rule 37CA (deposit), Rule 31AA (27EQ); IT Act 2025 s.394, Rule 218, Rule 219 (Form 143); higher rate s.206CC / s.397(2); interest s.206C(7) / s.398(3). s.206C(1H) omitted from 01-04-2025 (round-1 TCS-006).</t>
  </si>
  <si>
    <t xml:space="preserve">Sellers/collectors liable under s.206C/s.394.</t>
  </si>
  <si>
    <t xml:space="preserve">Sales register with buyer PAN, nature code, invoice value, TCS amount; 27EQ collectee rows; challan list (CIN).</t>
  </si>
  <si>
    <t xml:space="preserve">SALES_REG.party_pan = TCS_RET_27EQ.collectee_pan; SALES_REG.tcs_section_code = TCS_RET_27EQ.tcs_collection_code; SALES_REG.voucher_date of the invoice, or of the receipt voucher for receipt-based TCS codes = TCS_RET_27EQ.date_deducted</t>
  </si>
  <si>
    <t xml:space="preserve">As RC-TDS-001; collection code canonical map 1961 sub-section ↔ 2025 s.394 Table Sl. (round-1 TCS-001..005).</t>
  </si>
  <si>
    <t xml:space="preserve">invoice → PAN + code + month.</t>
  </si>
  <si>
    <t xml:space="preserve">SALES_REG.tcs_amount vs TCS_RET_27EQ.tax_deducted; expected_tcs vs SALES_REG.tcs_amount; Σ TCS_RET_27EQ.tax_deposited per CIN vs TDS_CHALLAN.amount_total</t>
  </si>
  <si>
    <t xml:space="preserve">₹1 per invoice; ₹10 per PAN-code-quarter (implementation).</t>
  </si>
  <si>
    <t xml:space="preserve">expected_tcs = amount_received_or_debited × rate(code, date, pan_status); diff_books = expected − books_tcs; diff_return = books_tcs − return_tcs</t>
  </si>
  <si>
    <t xml:space="preserve">1. Recompute expected TCS per invoice (point of collection: debit or receipt per section). 2. Compare with books. 3. Match books to 27EQ rows (as RC-TDS-001). 4. Challan utilisation (as RC-TDS-003). 5. Interest for late collection/deposit (rates per round-1 TCS-008; 1961 rate conflict flagged). 6. Late fee (RC-TDS-007).</t>
  </si>
  <si>
    <t xml:space="preserve">MATCHED: matched; NOT_COLLECTED: not collected; SHORT_COLLECTED: short collected; MISSING_IN_RETURN: missing in return; MISSING_IN_BOOKS: missing in books; CHALLAN_SHORT: challan short; NO_PAN_LOW_RATE: no pan low rate</t>
  </si>
  <si>
    <t xml:space="preserve">MATCHED=Low; NOT_COLLECTED=Critical; SHORT_COLLECTED=High; MISSING_IN_RETURN=Critical; MISSING_IN_BOOKS=High; CHALLAN_SHORT=Critical; NO_PAN_LOW_RATE=High</t>
  </si>
  <si>
    <t xml:space="preserve">row_tolerance_inr=1; aggregate_tolerance_inr=10; tcs_rate_table=TCS-001..005</t>
  </si>
  <si>
    <t xml:space="preserve">Collection codes valid for date; buyer PAN format; 27EQ due dates (15th old / 31st new).</t>
  </si>
  <si>
    <t xml:space="preserve">buyer_pan, code, invoice_no, invoice_date, amount, expected_tcs, books_tcs, return_tcs, diff, category, severity</t>
  </si>
  <si>
    <t xml:space="preserve">Scrap sale ₹5,00,000 to PAN Q (rate 1% per round-1 TCS-001 for FY 2025-26 – take from master) → expected 5,000; books 5,000; 27EQ 5,000 → MATCHED. Motor car ₹12,00,000 to PAN R (1%) → expected 12,000; books 0 → NOT_COLLECTED.</t>
  </si>
  <si>
    <t xml:space="preserve">Expected = books = return ±₹1 → MATCHED.</t>
  </si>
  <si>
    <t xml:space="preserve">Collectee without PAN at normal rate → NO_PAN_LOW_RATE.</t>
  </si>
  <si>
    <t xml:space="preserve">Continuing to collect 206C(1H) after omission; GST inclusion in base; credit notes; collection on advance receipts.</t>
  </si>
  <si>
    <t xml:space="preserve">Collect/deposit with interest; correction statement; update sales billing TCS master.</t>
  </si>
  <si>
    <t xml:space="preserve">def rc_tds_012(sales, r27eq, challans, master):
    for inv in sales: inv.exp = expected_tcs(inv, master)
    yield from compare_rows(sales, r27eq.rows)
    yield from rc_tds_003_like(r27eq, challans)</t>
  </si>
  <si>
    <t xml:space="preserve">Income-tax Act 2025 – section 397 (TAN, statements, higher rate) | https://www.incometaxindia.gov.in/w/section-397-6 | s.397(2),(3)
Income-tax Rules 2026 – Rule 218 (time for deposit) | https://www.incometaxindia.gov.in/w/rule-218-1 | Rule 218
Income-tax Rules 2026 – Rule 219 (statements) | https://www.incometaxindia.gov.in/w/rule-219-1 | Rule 219
Income-tax Act 2025 – section 398 (consequences of failure; interest) | https://www.incometaxindia.gov.in/w/section-398-5 | s.398(3)</t>
  </si>
  <si>
    <t xml:space="preserve">Rates not repeated – use round-1 TCS rules (FY 2025-26 vs tax year 2026-27 rate changes by Finance Act 2026). TCS whether part of GST value not researched.</t>
  </si>
  <si>
    <t xml:space="preserve">RC-IT-001</t>
  </si>
  <si>
    <t xml:space="preserve">Income tax – Deductee income reconciliation</t>
  </si>
  <si>
    <t xml:space="preserve">Form 26AS / AIS TDS entries vs income booked – deductor (TAN) and section-wise</t>
  </si>
  <si>
    <t xml:space="preserve">Match income reported by each deductor in 26AS/AIS (receipts, interest, rent, professional fees, commission) to income booked in the client's GL, to detect unrecorded income, timing differences and wrong-PAN reporting.</t>
  </si>
  <si>
    <t xml:space="preserve">F26AS</t>
  </si>
  <si>
    <t xml:space="preserve">AIS</t>
  </si>
  <si>
    <t xml:space="preserve">financial year / tax year; quarter for timing analysis</t>
  </si>
  <si>
    <t xml:space="preserve">IT Act 1961 s.199 read with Rule 37BA (credit on basis of deductor's statement; credit in year in which income is assessable; proportionate where income spread over years); IT Act 2025 s.390(6) empowers rules for credit and tax year of credit – corresponding Rule under Income-tax Rules 2026 not verified. Form 26AS (s.203AA/Rule 31AB) → Form 168 under 2025 Act (secondary). AIS: s.285BB / Rule 114-I (1961) – 2025 equivalents not verified.</t>
  </si>
  <si>
    <t xml:space="preserve">All assessees with TDS/TCS reported against PAN.</t>
  </si>
  <si>
    <t xml:space="preserve">26AS Part A/A1/A2 (TDS) rows: deductor name, TAN, section, transaction date, amount paid/credited, TDS, booking status; AIS TDS/TCS section (reported/processed value); GL income ledgers with customer/party and TAN/PAN mapping (PARTY_MASTER: customer ↔ deductor TAN).</t>
  </si>
  <si>
    <t xml:space="preserve">F26AS.deductor_tan = PARTY_MASTER.tan → GL.party_id; F26AS.section_code = mapped_section(GL.ledger_name)</t>
  </si>
  <si>
    <t xml:space="preserve">TAN upper-case, regex ^[A-Z]{4}[0-9]{5}[A-Z]$; if TAN not mapped, fuzzy match deductor name to customer name (remove 'LIMITED','LTD','PVT','PRIVATE', punctuation; token-sort ≥0.85 – implementation choice) and ask user to confirm mapping (persist). Section codes canonical (192, 194A, 194C, 194H, 194-I(a)/(b), 194J(a)/(b), 194Q …; 2025 Act Table Sl. map). GST: books income excl. GST; 26AS amount may include GST if deductor did not exclude – keep both.</t>
  </si>
  <si>
    <t xml:space="preserve">TAN + section + quarter (primary); TAN + section + FY (final).</t>
  </si>
  <si>
    <t xml:space="preserve">F26AS.amount_paid_credited vs GL.income_booked (excl. GST); F26AS.amount_paid_credited vs GL.income_booked_incl_gst (secondary test)</t>
  </si>
  <si>
    <t xml:space="preserve">Greater of ₹100 or 0.5% per TAN-section-FY (implementation choice).</t>
  </si>
  <si>
    <t xml:space="preserve">diff = Σ26AS.amount − ΣGL.income (per TAN-section-FY); gst_explained = |Σ26AS.amount − ΣGL.income_incl_gst| ≤ tol; timing = items booked in FY but credited in 26AS in prior/next FY (from GL invoice dates vs 26AS transaction dates)</t>
  </si>
  <si>
    <t xml:space="preserve">1. Load 26AS (and AIS TDS section where 26AS lacks detail; use AIS processed value). 2. Map TAN → customer. 3. Aggregate both sides. 4. Compare; test GST-inclusive alternative. 5. Timing analysis: compare Q4 26AS vs Q1 next-year books and year-end debtors/unbilled revenue. 6. Unmapped TANs → IN_26AS_NOT_IN_BOOKS (possible unrecorded income or wrong PAN). 7. Customers with TDS receivable in books but no 26AS → IN_BOOKS_NOT_IN_26AS (deductor default/wrong PAN/late filing). 8. Section mismatch between booked nature and 26AS section → SECTION_DIFF (e.g. 194C vs 194J).</t>
  </si>
  <si>
    <t xml:space="preserve">MATCHED: amounts agree within tolerance; GST_INCLUDED: difference explained by GST included by deductor; TIMING_DIFF: difference explained by year-end accrual/credit timing; AMOUNT_DIFF: unexplained difference; IN_26AS_NOT_IN_BOOKS: deductor/income in 26AS not booked; IN_BOOKS_NOT_IN_26AS: income with TDS in books not reported by deductor; SECTION_DIFF: section in 26AS differs from nature booked</t>
  </si>
  <si>
    <t xml:space="preserve">MATCHED=Low; GST_INCLUDED=Low; TIMING_DIFF=Medium; AMOUNT_DIFF=High; IN_26AS_NOT_IN_BOOKS=Critical; IN_BOOKS_NOT_IN_26AS=High; SECTION_DIFF=Medium</t>
  </si>
  <si>
    <t xml:space="preserve">tolerance_inr=100; tolerance_pct=0.5; fuzzy_threshold=0.85; gst_rate_test=[5,12,18,28]; timing_window_days=45</t>
  </si>
  <si>
    <t xml:space="preserve">26AS PAN = client PAN; assessment year/FY matches; 26AS download date recorded (data changes over time); income ledgers mapped to sections.</t>
  </si>
  <si>
    <t xml:space="preserve">tan, deductor_name, mapped_customer, section, fy, amount_26as, amount_books, amount_books_incl_gst, diff, tds_26as, booking_status, category, severity, probable_cause</t>
  </si>
  <si>
    <t xml:space="preserve">TAN MUMA12345B (Alpha Ltd) 194J: 26AS 11,80,000 (TDS 1,18,000); books fees 10,00,000 + GST 1,80,000 → GST_INCLUDED. TAN DELB54321C (Beta) 194C: 26AS 5,00,000; books 4,20,000; invoice 80,000 dated 28-03-2026 booked, Beta credited 05-04-2026 → TIMING_DIFF. TAN BLRC11111D (Gamma) 194A: 26AS interest 36,000, no ledger → IN_26AS_NOT_IN_BOOKS.</t>
  </si>
  <si>
    <t xml:space="preserve">Customer TAN X 194C 26AS 2,00,000; books 2,00,000 → MATCHED.</t>
  </si>
  <si>
    <t xml:space="preserve">Books shows TDS receivable 10,000 from customer Y (194J) but no 26AS row for Y's TAN → IN_BOOKS_NOT_IN_26AS.</t>
  </si>
  <si>
    <t xml:space="preserve">Deductor deducts on GST-inclusive amount; deductor credits on provision basis at its year-end; wrong PAN quoted; deductor late/non-filing; advance receipts; branch TANs of same customer; reimbursements.</t>
  </si>
  <si>
    <t xml:space="preserve">For IN_26AS_NOT_IN_BOOKS: verify and book income or give AIS feedback ('relates to other PAN/year', 'denied') and ask deductor to correct; for IN_BOOKS_NOT_IN_26AS: follow up customer to file/correct statement before ITR; record timing differences for next year's tracker.</t>
  </si>
  <si>
    <t xml:space="preserve">def rc_it_001(f26as, gl, pm, p):
    A = group_sum(f26as.tds_rows, ('tan','section','fy'), ['amount','tds'])
    B = group_sum(map_income(gl, pm), ('tan','section','fy'), ['income','income_incl_gst'])
    for k in A.keys()|B.keys():
        a, b = A.get(k), B.get(k)
        yield classify_income(a, b, p)</t>
  </si>
  <si>
    <t xml:space="preserve">Income-tax Rules 1962 – Rule 37BA (credit for TDS) | https://www.incometaxindia.gov.in/w/rule-37ba | Rule 37BA(1)-(3)
Income-tax Act 2025 – section 390 (payment of tax; rules for credit) | https://www.incometaxindia.gov.in/w/section-390-6 | s.390(6) – rule-making power for credit
TDSMAN – FAQ on Form 26AS (booking status F/O/U/P) | https://blog.tdsman.com/2018/09/faq-on-form-26as-2/ | booking status codes; Parts A/A1/B/C/D/E
Income Tax Department – Annual Information Statement | https://www.incometaxindia.gov.in/annual-information-statement | AIS Part A/B, TIS derived value, feedback options
NSDL – FAQs on Annual Information Statement | https://investor.nsdl.com/portal/en/kb/articles/faqs-on-annual-information-statement-ais-26-10-2023 | feedback options A-F; reported/processed/derived value
TaxGuru – commonly observed AIS mismatches | https://taxguru.in/income-tax/commonly-observed-ais-mismatches-trigger-income-tax-notice.html | GST turnover vs ITR, interest, securities, property</t>
  </si>
  <si>
    <t xml:space="preserve">Rule 37BA verified officially (this session and round-1 ITR-005). Matching and tolerance are implementation design. Booking status codes from secondary source.</t>
  </si>
  <si>
    <t xml:space="preserve">RC-IT-002</t>
  </si>
  <si>
    <t xml:space="preserve">Income tax – TDS credit</t>
  </si>
  <si>
    <t xml:space="preserve">TDS credit claimable – books TDS receivable vs 26AS vs ITR Schedule TDS (Rule 37BA timing, booking status)</t>
  </si>
  <si>
    <t xml:space="preserve">Determine TDS credit claimable in the return for the year: match TDS receivable in books with 26AS (status F/O/U/P), apply Rule 37BA(3) – credit in year in which income is assessable (carry-forward for income offered later) – and compare with ITR Schedule TDS claim.</t>
  </si>
  <si>
    <t xml:space="preserve">ITR</t>
  </si>
  <si>
    <t xml:space="preserve">financial year / tax year (with brought-forward and carried-forward unclaimed TDS)</t>
  </si>
  <si>
    <t xml:space="preserve">IT Act 1961 s.199 read with Rule 37BA (credit on basis of deductor's statement; credit in year in which income is assessable; proportionate where income spread over years); IT Act 2025 s.390(6) empowers rules for credit and tax year of credit – corresponding Rule under Income-tax Rules 2026 not verified. Form 26AS (s.203AA/Rule 31AB) → Form 168 under 2025 Act (secondary).</t>
  </si>
  <si>
    <t xml:space="preserve">All assessees claiming TDS credit (business assessees with accrual accounting especially).</t>
  </si>
  <si>
    <t xml:space="preserve">RC-IT-001 mapping; books TDS receivable ledger (deductee side – loaded as TDS_LEDGER with direction='receivable') with invoice reference &amp; income year; ITR Schedule TDS2/TDS3 (TAN, year of deduction, TDS b/f, TDS of current year, claimed this year, gross amount offered, carried forward).</t>
  </si>
  <si>
    <t xml:space="preserve">F26AS.deductor_tan = TDS_LEDGER.tds_receivable_deductor_tan; F26AS.section_code = TDS_LEDGER.tds_section; F26AS.deductor_tan = ITR.tds2_deductor_tan</t>
  </si>
  <si>
    <t xml:space="preserve">TAN upper-case; FY of deduction from 26AS transaction date; income-year tag from books invoice date.</t>
  </si>
  <si>
    <t xml:space="preserve">TAN + section + FY of deduction + income year.</t>
  </si>
  <si>
    <t xml:space="preserve">F26AS.tds_deposited (status F) vs TDS_LEDGER.tds_receivable; ITR.tds2_claimed_own_hands vs claimable_tds; ITR.tds2_gross_amount vs income offered</t>
  </si>
  <si>
    <t xml:space="preserve">₹10 per TAN (s.288B rounding style – implementation choice).</t>
  </si>
  <si>
    <t xml:space="preserve">claimable(TAN) = Σ 26AS TDS with status ∈ {F} (and P for govt deductors – CA choice) relating to income assessable this year + b/f TDS whose income is offered this year; proportionate where income spread: credit_this_year = TDS × income_offered_this_year / total_income_subject_to_TDS; carry_forward = 26AS TDS − credit_this_year; at_risk = ITR claim − claimable</t>
  </si>
  <si>
    <t xml:space="preserve">1. Pull 26AS TDS per TAN with booking status. 2. Map to books TDS receivable and the income year of underlying invoices. 3. For 26AS TDS on income booked in an earlier year (claimed then?) or later year (advance/unbilled) → TIMING – carry forward per Rule 37BA(3). 4. Status U (unmatched) / O (overbooked) → credit at risk – follow up deductor. 5. Compute claimable; compare with ITR Schedule TDS 'claimed this year' and 'carried forward'. 6. Books TDS not in 26AS → NOT_IN_26AS (write-off or follow-up). 7. ITR claim &gt; claimable → OVER_CLAIM (will be denied in s.143(1)/s.270(1) processing – inferred mapping).</t>
  </si>
  <si>
    <t xml:space="preserve">CLAIMABLE_MATCHED: books = 26AS (F) and claimed; NOT_IN_26AS: books TDS absent in 26AS; IN_26AS_NOT_IN_BOOKS: 26AS TDS not recorded in books; STATUS_U_OR_O: 26AS status unmatched/overbooked – credit not final; TIMING_CARRY_FORWARD: income assessable in another year – carry forward; OVER_CLAIM: ITR claim exceeds claimable; UNDER_CLAIM: ITR claim below claimable; GROSS_NOT_OFFERED: ITR gross receipts offered less than 26AS amount without carry-forward explanation</t>
  </si>
  <si>
    <t xml:space="preserve">CLAIMABLE_MATCHED=Low; NOT_IN_26AS=High; IN_26AS_NOT_IN_BOOKS=High; STATUS_U_OR_O=High; TIMING_CARRY_FORWARD=Medium; OVER_CLAIM=Critical; UNDER_CLAIM=Medium; GROSS_NOT_OFFERED=High</t>
  </si>
  <si>
    <t xml:space="preserve">accept_status_P=true; tolerance_inr=10; proportionate_credit=true</t>
  </si>
  <si>
    <t xml:space="preserve">26AS download after last quarter's statement due date (31 May) recommended; ITR schedule FY/AY consistent; b/f TDS register present.</t>
  </si>
  <si>
    <t xml:space="preserve">tan, deductor, section, fy_deduction, tds_26as, status, tds_books, income_year, claimable_this_year, claimed_in_itr, carry_forward, diff, category, severity</t>
  </si>
  <si>
    <t xml:space="preserve">TAN A 194J TDS 1,18,000 status F; books 1,18,000; income all FY 2025-26 → claimable 1,18,000; ITR claim 1,18,000 → CLAIMABLE_MATCHED. TAN B 194C TDS 10,000 on ₹5,00,000 credited in 26AS FY 2025-26 but invoice for ₹1,00,000 relates to April 2026 → credit this year 10,000×4,00,000/5,00,000 = 8,000; carry forward 2,000 → TIMING_CARRY_FORWARD; ITR claims 10,000 → OVER_CLAIM 2,000. TAN C status U 3,000 → STATUS_U_OR_O.</t>
  </si>
  <si>
    <t xml:space="preserve">Books 5,000, 26AS F 5,000, ITR 5,000 → CLAIMABLE_MATCHED.</t>
  </si>
  <si>
    <t xml:space="preserve">ITR claims 7,500 for TAN D; 26AS shows 5,000 → OVER_CLAIM 2,500.</t>
  </si>
  <si>
    <t xml:space="preserve">Deductor credits on accrual at its year-end; advance receipts; deductor filed late (status shows after ITR); deductor overbooked challan (O); TDS on reimbursements; claiming credit of TDS for income offered in earlier year.</t>
  </si>
  <si>
    <t xml:space="preserve">Produce ITR Schedule TDS draft with b/f and c/f columns; send follow-up letters to deductors for NOT_IN_26AS/STATUS_U_OR_O; maintain unclaimed TDS register across years.</t>
  </si>
  <si>
    <t xml:space="preserve">def rc_it_002(f26as, books, itr, p):
    for tan, rows in group(f26as.tds_rows, 'tan'):
        final = sum(r.tds for r in rows if r.status=='F' or (p.accept_status_P and r.status=='P'))
        ratio = income_offered_ratio(books, tan)
        claimable = final*ratio + bf_claimable(tan)
        claimed = itr.tds_claimed(tan)
        yield classify_credit(final, books.tds(tan), claimable, claimed, rows)</t>
  </si>
  <si>
    <t xml:space="preserve">Income-tax Rules 1962 – Rule 37BA (credit for TDS) | https://www.incometaxindia.gov.in/w/rule-37ba | Rule 37BA(1)-(3)
Income-tax Act 2025 – section 390 (payment of tax; rules for credit) | https://www.incometaxindia.gov.in/w/section-390-6 | s.390(6) – rule-making power for credit
TDSMAN – FAQ on Form 26AS (booking status F/O/U/P) | https://blog.tdsman.com/2018/09/faq-on-form-26as-2/ | booking status codes; Parts A/A1/B/C/D/E
ClearTax – Income-tax changes from April 2026 | https://cleartax.in/s/income-tax-changes-from-april-2026 | Form 26AS -&gt; Form 168 (secondary)</t>
  </si>
  <si>
    <t xml:space="preserve">Rule 37BA(1)-(3) verified (official). Booking status meanings F/O/U/P from TDSMAN (secondary). ITR Schedule TDS column names from established form knowledge (official ITR schema not opened – verify against AY 2026-27 JSON schema). Whether status 'P' credit should be claimed – CA choice.</t>
  </si>
  <si>
    <t xml:space="preserve">RC-IT-003</t>
  </si>
  <si>
    <t xml:space="preserve">Income tax – AIS SFT reconciliation</t>
  </si>
  <si>
    <t xml:space="preserve">AIS SFT entries vs books / ITR (cash deposits, property, securities, interest, dividend, time deposits)</t>
  </si>
  <si>
    <t xml:space="preserve">Reconcile Statement of Financial Transactions information in AIS with the client's books and return so that high-value transactions are explained before filing.</t>
  </si>
  <si>
    <t xml:space="preserve">financial year / tax year</t>
  </si>
  <si>
    <t xml:space="preserve">IT Act 1961 s.285BA (SFT) and Rule 114E; AIS under s.285BB / Rule 114-I – 2025 Act equivalents not verified (round-1 ITR-006).</t>
  </si>
  <si>
    <t xml:space="preserve">All assessees with AIS SFT entries.</t>
  </si>
  <si>
    <t xml:space="preserve">AIS JSON/PDF parsed: information code (SFT-xxx), description, source (filer name), account no./reference, date, amount, reported/processed value, feedback status; GL bank, investment, property and income ledgers; ITR schedules (CG, OS, BP, AL).</t>
  </si>
  <si>
    <t xml:space="preserve">AIS.information_code → mapping table → GL.ledger_group; AIS.account_number = GL.bank_account_no (for cash deposits/time deposits); AIS.txn_date = GL.voucher_date (window)</t>
  </si>
  <si>
    <t xml:space="preserve">Account numbers: strip spaces, keep last 4-6 digits for masked AIS values (implementation choice); filer names normalised; dates ±5 days (implementation choice).</t>
  </si>
  <si>
    <t xml:space="preserve">SFT code + filer + account for the FY (cash deposits aggregate per account); transaction-level for property/securities.</t>
  </si>
  <si>
    <t xml:space="preserve">AIS.reported_value vs GL.debit - credit on ledgers mapped to the AIS information code (by mapped ledger); AIS.interest_reported/dividend vs ITR.os_income_lines amounts; AIS.property_value_reported vs GL.fixed_asset/ITR.cg_property_consideration</t>
  </si>
  <si>
    <t xml:space="preserve">₹1,000 or 1% per SFT group (implementation choice).</t>
  </si>
  <si>
    <t xml:space="preserve">diff = AIS.processed_value − books_value; explained if books_value includes item or feedback submitted</t>
  </si>
  <si>
    <t xml:space="preserve">1. Map codes (secondary list): SFT-003 cash deposits current a/c ≥ ₹50 lakh; SFT-004 cash deposits other a/c ≥ ₹10 lakh; SFT-005 time deposits ≥ ₹10 lakh; SFT-006 credit card; SFT-007/008/010 bonds/shares/MF purchase; SFT-012 immovable property ≥ ₹30 lakh; SFT-013 cash payment for goods/services ≥ ₹2 lakh; SFT-015 dividend; SFT-016 interest; SFT-017/018 securities/MF transactions. 2. For each, locate books evidence (bank ledger cash deposits; investment ledger; property ledger; income ledgers). 3. Compare amounts. 4. Check ITR disclosure (capital gains, other sources, Schedule AL if applicable). 5. Record AIS feedback recommendation.</t>
  </si>
  <si>
    <t xml:space="preserve">EXPLAINED: books/ITR reflect the transaction; VALUE_DIFF: amounts differ; NOT_IN_BOOKS: transaction not recorded; NOT_IN_ITR: income/gain not offered; NOT_OURS: transaction relates to other PAN/year (feedback C); DUPLICATE: duplicate AIS entry (feedback D)</t>
  </si>
  <si>
    <t xml:space="preserve">EXPLAINED=Low; VALUE_DIFF=Medium; NOT_IN_BOOKS=Critical; NOT_IN_ITR=Critical; NOT_OURS=Medium; DUPLICATE=Low</t>
  </si>
  <si>
    <t xml:space="preserve">tolerance_inr=1000; tolerance_pct=1; date_window_days=5; sft_code_map_version=2026</t>
  </si>
  <si>
    <t xml:space="preserve">AIS FY matches; PAN matches; SFT code recognised; masked account numbers handled.</t>
  </si>
  <si>
    <t xml:space="preserve">sft_code, description, filer, account_ref, ais_amount, books_amount, itr_amount, diff, recommended_feedback, category, severity</t>
  </si>
  <si>
    <t xml:space="preserve">SFT-004 Bank X SB a/c ****1234 cash deposits 12,00,000; books cash deposit entries 12,00,000 → EXPLAINED. SFT-012 property purchase 75,00,000 (Sub-registrar) dated 10-01-2026; no property ledger → NOT_IN_BOOKS. SFT-016 interest Bank Y 48,000; ITR other sources interest 40,000 → NOT_IN_ITR 8,000.</t>
  </si>
  <si>
    <t xml:space="preserve">SFT-015 dividend 15,000 from company Z; books dividend 15,000; ITR OS dividend 15,000 → EXPLAINED.</t>
  </si>
  <si>
    <t xml:space="preserve">SFT-005 time deposit 20,00,000 shown twice by bank → DUPLICATE (feedback option D).</t>
  </si>
  <si>
    <t xml:space="preserve">Joint accounts/properties; AIS reporting at gross; dividend reinvestment; aggregate cash deposits across branches; property registered value vs agreement value (s.50C/s.56(2)(x) issues); duplicate reporting by RTA and company.</t>
  </si>
  <si>
    <t xml:space="preserve">Book missing transactions or prepare explanations; recommend AIS feedback option (A–F per ITD AIS page); ensure ITR schedules include income.</t>
  </si>
  <si>
    <t xml:space="preserve">def rc_it_003(ais, gl, itr, cmap, p):
    for item in ais.sft:
        target = cmap[item.code]
        b = find_books(gl, target, item, p.date_window_days)
        r = itr.value(target.itr_field, item)
        yield classify_sft(item, b, r, p)</t>
  </si>
  <si>
    <t xml:space="preserve">Income Tax Department – Annual Information Statement | https://www.incometaxindia.gov.in/annual-information-statement | AIS Part A/B, TIS derived value, feedback options
NSDL – FAQs on Annual Information Statement | https://investor.nsdl.com/portal/en/kb/articles/faqs-on-annual-information-statement-ais-26-10-2023 | feedback options A-F; reported/processed/derived value
TaxAJ – SFT codes in AIS | https://www.taxaj.com/learn/?p=304 | SFT-001..018 and thresholds (secondary)
Income Tax Department – Understanding Statement of Financial Transaction (SFT) | https://www.incometaxindia.gov.in/w/understanding-statement-of-financial-transaction-sft- | seen in search results only
TaxGuru – commonly observed AIS mismatches | https://taxguru.in/income-tax/commonly-observed-ais-mismatches-trigger-income-tax-notice.html | GST turnover vs ITR, interest, securities, property</t>
  </si>
  <si>
    <t xml:space="preserve">SFT code list/thresholds from secondary source (TaxAJ); the official SFT page was seen only in search results. AIS structure and feedback options verified on ITD AIS page.</t>
  </si>
  <si>
    <t xml:space="preserve">RC-IT-004</t>
  </si>
  <si>
    <t xml:space="preserve">Income tax – TIS reconciliation</t>
  </si>
  <si>
    <t xml:space="preserve">TIS (derived values) vs ITR schedules</t>
  </si>
  <si>
    <t xml:space="preserve">Compare each TIS information category's derived value (after feedback) with the corresponding ITR schedule figure so that prefilled data and the filed return agree or differences are documented.</t>
  </si>
  <si>
    <t xml:space="preserve">TIS</t>
  </si>
  <si>
    <t xml:space="preserve">AIS/TIS under s.285BB / Rule 114-I (1961) – 2025 equivalents not verified; return under s.139 / s.263.</t>
  </si>
  <si>
    <t xml:space="preserve">All return filers.</t>
  </si>
  <si>
    <t xml:space="preserve">TIS export (category, processed value, derived value); ITR JSON (final or draft).</t>
  </si>
  <si>
    <t xml:space="preserve">TIS.information_category → mapping → ITR.itr_field_path</t>
  </si>
  <si>
    <t xml:space="preserve">Category names normalised (Salary; Interest from savings bank; Interest from deposit; Interest from others; Dividend; Rent received; Sale of securities and units of MF; Sale of land/building; Business receipts; GST turnover; Purchases …) – mapping table is implementation choice.</t>
  </si>
  <si>
    <t xml:space="preserve">category.</t>
  </si>
  <si>
    <t xml:space="preserve">TIS.derived_value vs ITR.itr_mapped_value</t>
  </si>
  <si>
    <t xml:space="preserve">₹100 per category (implementation).</t>
  </si>
  <si>
    <t xml:space="preserve">diff = TIS.derived_value − ITR.mapped_value</t>
  </si>
  <si>
    <t xml:space="preserve">1. Map categories. 2. Compare. 3. For business receipts/GST turnover use RC-IT-007. 4. Flag ITR &lt; TIS beyond tolerance. 5. ITR &gt; TIS → informational. 6. Ensure feedback recorded in AIS for every accepted difference.</t>
  </si>
  <si>
    <t xml:space="preserve">MATCHED: matched; ITR_LOWER: ITR below TIS derived value; ITR_HIGHER: ITR above TIS (informational); NOT_MAPPED: category without ITR mapping; FEEDBACK_MISSING: difference without AIS feedback</t>
  </si>
  <si>
    <t xml:space="preserve">MATCHED=Low; ITR_LOWER=High; ITR_HIGHER=Low; NOT_MAPPED=Medium; FEEDBACK_MISSING=Medium</t>
  </si>
  <si>
    <t xml:space="preserve">tolerance_inr=100</t>
  </si>
  <si>
    <t xml:space="preserve">TIS and ITR same PAN/AY; TIS downloaded after feedback.</t>
  </si>
  <si>
    <t xml:space="preserve">category, tis_processed, tis_derived, itr_value, diff, feedback_status, category_code, severity</t>
  </si>
  <si>
    <t xml:space="preserve">Interest from deposit: TIS derived 1,20,000; ITR 1,20,000 → MATCHED. Sale of securities: TIS 8,00,000; ITR Schedule CG sale value 7,50,000 → ITR_LOWER 50,000. Rent: TIS 3,60,000; ITR HP 3,60,000 → MATCHED.</t>
  </si>
  <si>
    <t xml:space="preserve">Dividend TIS 10,000 = ITR 10,000 → MATCHED.</t>
  </si>
  <si>
    <t xml:space="preserve">Business receipts TIS 50,00,000 vs ITR 45,00,000 and no feedback → ITR_LOWER + FEEDBACK_MISSING.</t>
  </si>
  <si>
    <t xml:space="preserve">TIS gross vs net; exempt income; joint holdings; timing of sale; GST turnover includes taxes.</t>
  </si>
  <si>
    <t xml:space="preserve">Correct ITR or submit AIS feedback; document reasons in working papers.</t>
  </si>
  <si>
    <t xml:space="preserve">def rc_it_004(tis, itr, cmap, p):
    for c in tis:
        v = itr.get(cmap.get(c.category)) if c.category in cmap else None
        yield classify(c, v, p)</t>
  </si>
  <si>
    <t xml:space="preserve">Income Tax Department – Annual Information Statement | https://www.incometaxindia.gov.in/annual-information-statement | AIS Part A/B, TIS derived value, feedback options
NSDL – FAQs on Annual Information Statement | https://investor.nsdl.com/portal/en/kb/articles/faqs-on-annual-information-statement-ais-26-10-2023 | feedback options A-F; reported/processed/derived value</t>
  </si>
  <si>
    <t xml:space="preserve">TIS derived value used for prefill – verified on ITD AIS page. Category list partly from established knowledge.</t>
  </si>
  <si>
    <t xml:space="preserve">RC-IT-005</t>
  </si>
  <si>
    <t xml:space="preserve">Income tax – Tax payments</t>
  </si>
  <si>
    <t xml:space="preserve">Advance tax / self-assessment tax challans vs ITR Schedule IT vs 26AS Part C</t>
  </si>
  <si>
    <t xml:space="preserve">Verify every advance/self-assessment tax challan is captured in ITR Schedule IT with correct BSR, date, serial and amount, appears in 26AS Part C, and instalments meet s.211/s.408 percentages (feeding 234C).</t>
  </si>
  <si>
    <t xml:space="preserve">ADV_TAX_CHALLAN</t>
  </si>
  <si>
    <t xml:space="preserve">financial year / tax year; instalment dates 15 Jun/15 Sep/15 Dec/15 Mar</t>
  </si>
  <si>
    <t xml:space="preserve">IT Act 1961 s.208-211, s.140A, s.234B/234C – FY 2025-26; IT Act 2025 s.403-408, s.424/425 – tax year 2026-27 (round-1 ADV-001..007).</t>
  </si>
  <si>
    <t xml:space="preserve">Assessees liable to advance tax (tax ≥ ₹10,000) and all paying self-assessment tax.</t>
  </si>
  <si>
    <t xml:space="preserve">Challan list (CIN, minor head 100 advance / 300 self-assessment, assessment year, amount split tax/surcharge/cess/interest); ITR Schedule IT; 26AS Part C.</t>
  </si>
  <si>
    <t xml:space="preserve">ADV_TAX_CHALLAN.bsr_code = ITR.it_bsr_code; ADV_TAX_CHALLAN.challan_serial_no = ITR.it_challan_serial; ADV_TAX_CHALLAN.date_of_deposit = ITR.it_date_of_deposit; ADV_TAX_CHALLAN.cin = F26AS.taxpaid_cin</t>
  </si>
  <si>
    <t xml:space="preserve">CIN as RC-TDS-003.</t>
  </si>
  <si>
    <t xml:space="preserve">challan.</t>
  </si>
  <si>
    <t xml:space="preserve">ADV_TAX_CHALLAN.amount_total vs ITR.it_amount; ADV_TAX_CHALLAN.amount_total vs F26AS.taxpaid_amount; ADV_TAX_CHALLAN.minor_head vs expected (100/300); ADV_TAX_CHALLAN.assessment_year vs return year</t>
  </si>
  <si>
    <t xml:space="preserve">₹0.</t>
  </si>
  <si>
    <t xml:space="preserve">cum_paid_by(date) = Σ advance tax challans with deposit_date ≤ instalment date; required = pct × tax_on_returned_income_less_TDS; shortfall_i = required_i − cum_paid_i</t>
  </si>
  <si>
    <t xml:space="preserve">1. Match challans to Schedule IT and 26AS Part C. 2. Flag wrong AY / minor head (e.g., paid as 400). 3. Compute cumulative percentages at each instalment date (15/45/75/100%; presumptive single instalment 15 March) – link round-1 ADV-002/003/006 for 234C. 4. Challans in 26AS not in ITR → UNCLAIMED. 5. ITR entries not in challan list/26AS → NOT_FOUND.</t>
  </si>
  <si>
    <t xml:space="preserve">MATCHED: matched; NOT_IN_ITR: challan not claimed; NOT_IN_26AS: challan absent from 26AS (bank upload/wrong PAN/AY); ITR_ONLY: Schedule IT entry with no challan; AMOUNT_DIFF: amount diff; WRONG_AY_OR_HEAD: wrong AY / minor head – needs challan correction; INSTALMENT_SHORTFALL: cumulative payment below required %</t>
  </si>
  <si>
    <t xml:space="preserve">MATCHED=Low; NOT_IN_ITR=Medium; NOT_IN_26AS=High; ITR_ONLY=Critical; AMOUNT_DIFF=High; WRONG_AY_OR_HEAD=High; INSTALMENT_SHORTFALL=Medium</t>
  </si>
  <si>
    <t xml:space="preserve">instalment_pcts=15,45,75,100; presumptive_single_instalment=false</t>
  </si>
  <si>
    <t xml:space="preserve">PAN on challan; AY; minor head ∈ {100, 300, 400 (flag)}.</t>
  </si>
  <si>
    <t xml:space="preserve">cin, deposit_date, minor_head, ay, amount, itr_amount, f26as_amount, category, severity, instalment_status</t>
  </si>
  <si>
    <t xml:space="preserve">Tax liability (net of TDS) 4,00,000. Challans: 14-06-2025 60,000; 15-09-2025 1,00,000; 15-12-2025 1,40,000; 13-03-2026 1,00,000. Cumulative: 60,000 (15%=60,000 ok), 1,60,000 (45%=1,80,000 → shortfall 20,000), 3,00,000 (75% = 3,00,000 ok), 4,00,000 (ok). ITR Schedule IT omits 13-03-2026 challan → NOT_IN_ITR 1,00,000.</t>
  </si>
  <si>
    <t xml:space="preserve">Challan 15-06-2025 ₹50,000 present in ITR and 26AS Part C → MATCHED.</t>
  </si>
  <si>
    <t xml:space="preserve">Challan paid with AY 2025-26 instead of 2026-27 → WRONG_AY_OR_HEAD (apply to AO for correction).</t>
  </si>
  <si>
    <t xml:space="preserve">Wrong AY; tax paid under wrong PAN; self-assessment tax keyed as advance tax; challan date vs realisation date; payment on holiday after due date.</t>
  </si>
  <si>
    <t xml:space="preserve">Add missing Schedule IT rows; request challan correction (AY/minor head) from AO/bank within allowed time; compute 234B/234C (round-1 ADV-005/006).</t>
  </si>
  <si>
    <t xml:space="preserve">def rc_it_005(challans, itr, f26as, liability, p):
    for c in challans: yield match3(c, itr.schedule_it, f26as.part_c)
    yield from instalment_test(challans, liability, p.instalment_pcts)</t>
  </si>
  <si>
    <t xml:space="preserve">Income-tax Act 2025 – section 408 (advance tax instalments) | https://www.incometaxindia.gov.in/w/section-408-5 | s.408
TDSMAN – FAQ on Form 26AS (booking status F/O/U/P) | https://blog.tdsman.com/2018/09/faq-on-form-26as-2/ | booking status codes; Parts A/A1/B/C/D/E
CBDT Circular 07/2026 – extension of tax audit / ITR due dates AY 2026-27 | https://incometaxindia.gov.in/documents/d/guest/circular-7-2026-pdf | Circular 07/2026 dt 28-09-2026</t>
  </si>
  <si>
    <t xml:space="preserve">Instalment % verified (round-1 ADV-002). Minor head codes 100/300/400 from established practice – not re-verified this session.</t>
  </si>
  <si>
    <t xml:space="preserve">RC-IT-006</t>
  </si>
  <si>
    <t xml:space="preserve">Income tax – TCS credit</t>
  </si>
  <si>
    <t xml:space="preserve">26AS Part B TCS vs books TCS receivable vs ITR Schedule TCS</t>
  </si>
  <si>
    <t xml:space="preserve">Ensure TCS collected from the client by sellers/dealers (e.g., motor vehicle, LRS, scrap purchases) is recorded in books and claimed in ITR, matching 26AS.</t>
  </si>
  <si>
    <t xml:space="preserve">IT Act 1961 s.206C(4) (credit to collectee) &amp; Rule 37-I – not re-verified; IT Act 2025 s.390(6) rules – not verified; TCS sections per round-1 TCS-001..008.</t>
  </si>
  <si>
    <t xml:space="preserve">Assessees from whom tax was collected.</t>
  </si>
  <si>
    <t xml:space="preserve">26AS Part B rows (collector TAN, section, amount, TCS); GL TCS receivable/advance tax ledger; ITR Schedule TCS.</t>
  </si>
  <si>
    <t xml:space="preserve">F26AS.deductor_tan = PARTY_MASTER.tan → GL.party_id; F26AS.deductor_tan = ITR.tcs_collector_tan</t>
  </si>
  <si>
    <t xml:space="preserve">As RC-IT-001.</t>
  </si>
  <si>
    <t xml:space="preserve">collector TAN + FY.</t>
  </si>
  <si>
    <t xml:space="preserve">F26AS.tds_deposited vs GL.tcs_receivable; F26AS.tds_deposited vs ITR.tcs_claimed</t>
  </si>
  <si>
    <t xml:space="preserve">₹10.</t>
  </si>
  <si>
    <t xml:space="preserve">diff_books = 26AS.tcs − books.tcs; diff_itr = 26AS.tcs − itr.claimed</t>
  </si>
  <si>
    <t xml:space="preserve">1. Map collectors. 2. Compare. 3. TCS often booked into asset/expense cost instead of TCS receivable → MISPOSTED (search purchase ledgers for TCS amounts). 4. ITR claim check.</t>
  </si>
  <si>
    <t xml:space="preserve">MATCHED: matched; NOT_IN_BOOKS: not in books; MISPOSTED: TCS added to asset/expense cost; NOT_CLAIMED_IN_ITR: not claimed in itr; OVER_CLAIM: over claim; NOT_IN_26AS: not in 26as</t>
  </si>
  <si>
    <t xml:space="preserve">MATCHED=Low; NOT_IN_BOOKS=Medium; MISPOSTED=Medium; NOT_CLAIMED_IN_ITR=Medium; OVER_CLAIM=Critical; NOT_IN_26AS=High</t>
  </si>
  <si>
    <t xml:space="preserve">26AS Part B loaded; PAN matches.</t>
  </si>
  <si>
    <t xml:space="preserve">collector_tan, collector_name, section, tcs_26as, tcs_books, tcs_itr, diff, category, severity</t>
  </si>
  <si>
    <t xml:space="preserve">Car dealer TAN PNEA11111A TCS 15,000 on ₹15,00,000 car; books: car capitalised at 15,15,000 → MISPOSTED (reclass 15,000 to TCS receivable, reduce asset). LRS remittance bank TCS 40,000; books &amp; ITR 40,000 → MATCHED.</t>
  </si>
  <si>
    <t xml:space="preserve">26AS TCS 2,000 = books 2,000 = ITR 2,000 → MATCHED.</t>
  </si>
  <si>
    <t xml:space="preserve">ITR claims TCS 5,000 with no 26AS entry → OVER_CLAIM.</t>
  </si>
  <si>
    <t xml:space="preserve">TCS capitalised; collector reports under wrong PAN; TCS on 206C(1H) (omitted from 01-04-2025) still charged by some sellers.</t>
  </si>
  <si>
    <t xml:space="preserve">Reclassify; claim in Schedule TCS; ask collector to correct.</t>
  </si>
  <si>
    <t xml:space="preserve">def rc_it_006(f26as, gl, itr):
    for tan, rows in group(f26as.tcs_rows, 'tan'): yield classify(sum(r.tcs for r in rows), gl.tcs(tan), gl.find_amount(sum(r.tcs for r in rows)), itr.tcs(tan))</t>
  </si>
  <si>
    <t xml:space="preserve">TDSMAN – FAQ on Form 26AS (booking status F/O/U/P) | https://blog.tdsman.com/2018/09/faq-on-form-26as-2/ | booking status codes; Parts A/A1/B/C/D/E
Income-tax Act 2025 – section 390 (payment of tax; rules for credit) | https://www.incometaxindia.gov.in/w/section-390-6 | s.390(6) – rule-making power for credit
Income-tax Rules 1962 – Rule 37BA (credit for TDS) | https://www.incometaxindia.gov.in/w/rule-37ba | Rule 37BA(1)-(3)</t>
  </si>
  <si>
    <t xml:space="preserve">Collectee credit rule (Rule 37-I) not re-opened; 26AS Part B = TCS per TDSMAN (secondary).</t>
  </si>
  <si>
    <t xml:space="preserve">RC-IT-007</t>
  </si>
  <si>
    <t xml:space="preserve">Income tax – Turnover</t>
  </si>
  <si>
    <t xml:space="preserve">Turnover reconciliation – books vs GST returns (GSTR-3B/GSTR-1) vs ITR vs Form 3CD</t>
  </si>
  <si>
    <t xml:space="preserve">Reconcile revenue per books with GST turnover (aggregate across GSTINs, adjusted for taxes, exempt/non-GST supplies, timing and credit notes), turnover reported in ITR (P&amp;L / Part A-OI / AIS GST turnover) and in Form 3CD, explaining every difference.</t>
  </si>
  <si>
    <t xml:space="preserve">financial year / tax year (12 GST tax periods April–March; amendments in following year tracked)</t>
  </si>
  <si>
    <t xml:space="preserve">IT Act 1961 s.44AB / s.63 (turnover thresholds); Form 3CD (Rule 6G) turnover disclosures (cl.40 – established knowledge, not re-verified); CGST Act s.37/39/44 (round-1 GST module).</t>
  </si>
  <si>
    <t xml:space="preserve">Business assessees registered under GST.</t>
  </si>
  <si>
    <t xml:space="preserve">TB revenue heads; GSTR-3B Table 3.1 (a)-(e) values for all GSTINs of the PAN (and GSTR-1 for cross-check); ITR P&amp;L revenue; F3CD turnover figures; list of non-GST incomes (interest, dividend, rent on residential, sale of fixed assets etc.).</t>
  </si>
  <si>
    <t xml:space="preserve">TB.pan = GSTR3B.pan (all GSTINs aggregated); TB.fy = GSTR3B.fy; TB.fy = ITR.assessment_year-1</t>
  </si>
  <si>
    <t xml:space="preserve">GSTIN → PAN (chars 3-12). Fiscal period mapping 'MMYYYY' to FY. Exclude IGST/CGST/SGST/cess from GST values (use taxable value).</t>
  </si>
  <si>
    <t xml:space="preserve">PAN + FY; also GSTIN + month for drill-down.</t>
  </si>
  <si>
    <t xml:space="preserve">TB.revenue_from_operations vs GSTR3B.taxable_value_total (3.1a+3.1b+3.1c+3.1e); TB.revenue_from_operations vs ITR.bp_turnover_gross_receipts; ITR.bp_turnover_gross_receipts vs F3CD.cl40_total_turnover</t>
  </si>
  <si>
    <t xml:space="preserve">0.1% or ₹1,000 whichever higher per comparison (implementation choice).</t>
  </si>
  <si>
    <t xml:space="preserve">gst_turnover_adj = Σ3.1(a,b,c,e) taxable value − advances taxed + advances adjusted − stock transfers/branch supplies (distinct persons) ± amendments (in later periods relating to FY) − non-business supplies; books_turnover_adj = revenue_from_operations + other GST-able income (scrap, sale of assets) − non-GST income; unexplained = books_turnover_adj − gst_turnover_adj</t>
  </si>
  <si>
    <t xml:space="preserve">1. Aggregate GST across GSTINs. 2. Build reconciliation bridge with standard items: inter-GSTIN supplies (distinct persons), sale of fixed assets, scrap, advances, credit notes after year end, unbilled revenue/accruals, export of services timing, exempt/non-GST supplies, amendments in GSTR-1A/next-year returns. 3. Compare books vs ITR (must equal P&amp;L). 4. Compare ITR vs F3CD turnover. 5. Compare with AIS 'GST turnover' and TIS business receipts if available (RC-IT-004). 6. Residual unexplained &gt; tolerance → flag.</t>
  </si>
  <si>
    <t xml:space="preserve">MATCHED: matched; EXPLAINED_BRIDGE: difference fully explained by bridge items; UNEXPLAINED_DIFF: residual difference; ITR_NE_BOOKS: ITR turnover differs from audited P&amp;L; F3CD_NE_ITR: 3CD turnover differs from ITR; GST_HIGHER: GST turnover exceeds books (possible unrecorded sales); BOOKS_HIGHER: books exceed GST (possible unreported GST supplies)</t>
  </si>
  <si>
    <t xml:space="preserve">MATCHED=Low; EXPLAINED_BRIDGE=Low; UNEXPLAINED_DIFF=High; ITR_NE_BOOKS=Critical; F3CD_NE_ITR=High; GST_HIGHER=Critical; BOOKS_HIGHER=High</t>
  </si>
  <si>
    <t xml:space="preserve">tolerance_pct=0.1; tolerance_inr=1000; include_amendments_upto=30-11-next_fy</t>
  </si>
  <si>
    <t xml:space="preserve">All GSTINs of PAN loaded (12 months each); TB is final/audited; revenue ledgers classified.</t>
  </si>
  <si>
    <t xml:space="preserve">fy, books_turnover, gst_turnover, itr_turnover, f3cd_turnover, bridge_items (list with amounts), unexplained, category, severity</t>
  </si>
  <si>
    <t xml:space="preserve">Books revenue 10,00,00,000. GSTR-3B taxable (2 GSTINs) 10,45,00,000 including inter-GSTIN supplies 40,00,000 and sale of old machinery 3,00,000; credit note issued May next year for FY sales 2,00,000 reported in next year's GSTR-3B. Bridge: 10,45,00,000 − 40,00,000 − 3,00,000 − 2,00,000 = 10,00,00,000 → EXPLAINED_BRIDGE. ITR 10,00,00,000 = books; F3CD 10,00,00,000 → MATCHED.</t>
  </si>
  <si>
    <t xml:space="preserve">Single GSTIN, books 2,00,00,000 = GST taxable 2,00,00,000 → MATCHED.</t>
  </si>
  <si>
    <t xml:space="preserve">GST 1,25,00,000 vs books 1,10,00,000 with no bridge items → GST_HIGHER 15,00,000.</t>
  </si>
  <si>
    <t xml:space="preserve">Inter-state branch transfers; deemed supplies; sale of assets; advances; unbilled revenue (Ind AS 115); discounts not via credit notes; GST reported in 3B with timing differences; job-work; exports of services where payment pending.</t>
  </si>
  <si>
    <t xml:space="preserve">Produce bridge statement for file; for GST_HIGHER verify missing sales in books (CARO 3(viii)); for BOOKS_HIGHER check GST liability (DRC-03 with interest) – see GST module.</t>
  </si>
  <si>
    <t xml:space="preserve">def rc_it_007(tb, gstr3b_all, itr, f3cd, bridge, p):
    g = sum(r.taxable_3_1abce for r in gstr3b_all)
    b = tb.revenue_from_operations
    resid = (b + bridge.books_side()) - (g - bridge.gst_side())
    yield classify(resid, p); yield cmp(itr.turnover, b, 'ITR_NE_BOOKS'); yield cmp(f3cd.turnover, itr.turnover, 'F3CD_NE_ITR')</t>
  </si>
  <si>
    <t xml:space="preserve">Income-tax Act 2025 – section 63 (tax audit) | https://www.incometaxindia.gov.in/w/section-63-134 | s.63
TaxGuru – commonly observed AIS mismatches | https://taxguru.in/income-tax/commonly-observed-ais-mismatches-trigger-income-tax-notice.html | GST turnover vs ITR, interest, securities, property
TaxGuru – Tax audit FY 2025-26 guide, Form 3CD | https://taxguru.in/income-tax/tax-audit-fy-2025-26-guide-form-3cd.html | </t>
  </si>
  <si>
    <t xml:space="preserve">No statute prescribes this bridge; it is professional practice. 3CD clause number for turnover not verified. Form 26 (2025 Act) clause mapping not verified (round-1 AUD-003).</t>
  </si>
  <si>
    <t xml:space="preserve">RC-IT-008</t>
  </si>
  <si>
    <t xml:space="preserve">Tax audit – s.43B</t>
  </si>
  <si>
    <t xml:space="preserve">Form 3CD clause 26 (s.43B) figures vs TB/GL statutory dues and payment dates</t>
  </si>
  <si>
    <t xml:space="preserve">Recompute s.43B items (statutory dues – GST, PF employer share, ESI employer share, bonus/commission, leave encashment, interest to banks/NBFCs, 43B(h) MSME) from TB/GL and payment evidence and compare with figures reported in 3CD cl.26.</t>
  </si>
  <si>
    <t xml:space="preserve">F3CD</t>
  </si>
  <si>
    <t xml:space="preserve">financial year; payments up to ITR due date (31-10-2026 extended to 21-11-2026 for AY 2026-27 per CBDT Circular 07/2026)</t>
  </si>
  <si>
    <t xml:space="preserve">IT Act 1961 s.43B(a)-(h) and first proviso (payment by return due date u/s 139(1), not for (h)) – FY 2025-26; IT Act 2025 s.37 (s.37(2)(g) for MSME; s.37(3) relaxation excludes (g)) – tax year 2026-27 (round-1 IT-016/017). Form 3CD cl.26 (Rule 6G).</t>
  </si>
  <si>
    <t xml:space="preserve">Tax-audit assessees (FY 2025-26: Form 3CD; tax year 2026-27: Form 26 – clause mapping not verified).</t>
  </si>
  <si>
    <t xml:space="preserve">TB liability heads mapped to 43B categories; GL payment vouchers with dates after year end up to ITR due date; prior-year disallowed amounts register; 3CD cl.26 table (category, opening unpaid, paid during year, incurred in year, paid by due date, not paid).</t>
  </si>
  <si>
    <t xml:space="preserve">F3CD.cl26_section_43b_item = mapped_category(TB.ledger_name)</t>
  </si>
  <si>
    <t xml:space="preserve">Category map (implementation): GST/VAT/excise; PF/ESI/other employer contributions; bonus/commission to employees; interest on loans from PFIs/banks/NBFCs; leave encashment; railway dues; MSME (43B(h)).</t>
  </si>
  <si>
    <t xml:space="preserve">43B category.</t>
  </si>
  <si>
    <t xml:space="preserve">F3CD.cl26_pre_existing_paid vs computed; F3CD.cl26_incurred_paid_by_due_date vs computed; F3CD.cl26_not_paid vs computed</t>
  </si>
  <si>
    <t xml:space="preserve">for each category: opening_unpaid (prior year disallowed) → paid_in_year → allowed this year; current_liability = closing balance from TB (incurred during year); paid_by_due_date = Σ payments after FY end up to due date allocated FIFO; disallow = current_liability − paid_by_due_date (for (h): paid within MSMED s.15 period instead)</t>
  </si>
  <si>
    <t xml:space="preserve">1. Map TB closing balances to categories. 2. Allocate post-year payments FIFO up to ITR due date (for (h) use RC-IT-013). 3. Compute allowed/disallowed. 4. Pre-existing liabilities (prior-year disallowed) paid during year → allowable this year. 5. Compare with 3CD cl.26 rows. 6. Cross-check employee contributions are NOT in 43B (s.36(1)(va) – RC-PAY-006).</t>
  </si>
  <si>
    <t xml:space="preserve">MATCHED: matched; REPORTED_LOWER: 3CD disallowance lower than computed; REPORTED_HIGHER: reported higher; CATEGORY_MISSING: category with liability not reported; EMPLOYEE_CONTRIB_IN_43B: employee share wrongly reported under 43B; PRIOR_YEAR_NOT_ALLOWED: prior-year disallowed amount paid but not claimed</t>
  </si>
  <si>
    <t xml:space="preserve">MATCHED=Low; REPORTED_LOWER=High; REPORTED_HIGHER=Medium; CATEGORY_MISSING=High; EMPLOYEE_CONTRIB_IN_43B=High; PRIOR_YEAR_NOT_ALLOWED=Medium</t>
  </si>
  <si>
    <t xml:space="preserve">itr_due_date=2026-11-21; tolerance_inr=100</t>
  </si>
  <si>
    <t xml:space="preserve">TB final; payment vouchers after year end loaded through due date; category map complete.</t>
  </si>
  <si>
    <t xml:space="preserve">category, opening_unpaid, paid_in_year, current_liability, paid_by_due_date, computed_disallowance, reported_disallowance, diff, category_code, severity</t>
  </si>
  <si>
    <t xml:space="preserve">Bonus payable 31-03-2026 ₹8,00,000; paid 10-11-2026 6,00,000 (≤ 21-11-2026) and 2,00,000 on 15-12-2026 → disallow 2,00,000; 3CD reports 0 → REPORTED_LOWER 2,00,000. GST payable 5,00,000 paid 20-04-2026 → allowed; 3CD shows paid → MATCHED.</t>
  </si>
  <si>
    <t xml:space="preserve">Leave encashment provision 3,00,000, unpaid; 3CD reports 3,00,000 not paid → MATCHED.</t>
  </si>
  <si>
    <t xml:space="preserve">Employee PF share 50,000 reported under cl.26 → EMPLOYEE_CONTRIB_IN_43B.</t>
  </si>
  <si>
    <t xml:space="preserve">Extended due date applicability; interest converted into loan; MSME (h) not reported; payments by journal adjustment not actual payment.</t>
  </si>
  <si>
    <t xml:space="preserve">Draft corrected cl.26 table; carry forward disallowed amounts register for next year.</t>
  </si>
  <si>
    <t xml:space="preserve">def rc_it_008(f3cd, tb, gl, p):
    for cat, bal in map43b(tb).items():
        paid = fifo_paid(gl, cat, p.fy_end, p.itr_due_date if cat!='MSME_h' else None)
        comp = max(0, bal - paid)
        yield cmp(f3cd.cl26(cat).not_paid, comp, p.tolerance_inr)</t>
  </si>
  <si>
    <t xml:space="preserve">Income-tax Act 2025 – section 37 (deduction on actual payment) | https://www.incometaxindia.gov.in/w/section-37-169 | s.37(2)(g), s.37(3)
CBDT Circular 07/2026 – extension of tax audit / ITR due dates AY 2026-27 | https://incometaxindia.gov.in/documents/d/guest/circular-7-2026-pdf | Circular 07/2026 dt 28-09-2026
TaxGuru – Tax audit FY 2025-26 guide, Form 3CD | https://taxguru.in/income-tax/tax-audit-fy-2025-26-guide-form-3cd.html | 
India Briefing – MSME tax audit Form 3CD clauses 22 &amp; 26 FY 2025-26 | https://www.india-briefing.com/news/msme-tax-audit-form-3cd-clauses-22-26-fy-2025-26-47290.html/ | cl.22 / cl.26</t>
  </si>
  <si>
    <t xml:space="preserve">s.37 (2025) verified (round-1 IT-016). Whether CBDT-extended due date applies for s.43B 'due date' is a CA judgement (open question). Exact cl.26 column labels not opened – keys indicative.</t>
  </si>
  <si>
    <t xml:space="preserve">RC-IT-009</t>
  </si>
  <si>
    <t xml:space="preserve">Tax audit – TDS</t>
  </si>
  <si>
    <t xml:space="preserve">Form 3CD clause 34(a)/(b)/(c) vs TDS statements and tool computations</t>
  </si>
  <si>
    <t xml:space="preserve">Verify 3CD cl.34(a) (section-wise amounts paid, liable, deducted, not deducted, deposited), cl.34(b) (statements filed on time) and cl.34(c) (interest u/s 201(1A)/206C(7)) against books and RC-TDS outputs.</t>
  </si>
  <si>
    <t xml:space="preserve">Form 3CD cl.34 (Rule 6G); ss.200, 201(1A), 206C(7) (1961). Form 26 equivalent (2025 Act) clauses not verified.</t>
  </si>
  <si>
    <t xml:space="preserve">Tax-audit assessees with TDS/TCS obligations.</t>
  </si>
  <si>
    <t xml:space="preserve">Outputs of RC-TDS-002 (liability), RC-TDS-001/003 (deduction &amp; deposit), RC-TDS-004/005 (interest), RC-TDS-007 (filing dates); 3CD cl.34 tables.</t>
  </si>
  <si>
    <t xml:space="preserve">F3CD.cl34a_tan = TDS_RET_26Q.tan; F3CD.cl34a_section = TDS_RET_26Q.section_code; F3CD.cl34b_form_quarter = TDS_RET_26Q.form_quarter</t>
  </si>
  <si>
    <t xml:space="preserve">Section canonical; quarter labels.</t>
  </si>
  <si>
    <t xml:space="preserve">TAN + section (34a); form + quarter (34b); TAN (34c).</t>
  </si>
  <si>
    <t xml:space="preserve">F3CD.cl34a_total_amount vs RC-TDS-002.total_base; F3CD.cl34a_amount_required_tds vs RC-TDS-002.amount_liable; F3CD.cl34a_tax_deducted_total vs Σ statements TDS; F3CD.cl34a_amount_not_deducted vs RC-TDS-002.NOT_DEDUCTED base; F3CD.cl34b_date_furnished vs statement filing date; F3CD.cl34c_interest_payable vs RC-TDS-004+005</t>
  </si>
  <si>
    <t xml:space="preserve">₹100 per section; ₹0 for dates.</t>
  </si>
  <si>
    <t xml:space="preserve">diff_x = reported_x − computed_x for each column</t>
  </si>
  <si>
    <t xml:space="preserve">1. Build computed cl.34(a) from tool outputs. 2. Compare column-wise. 3. cl.34(b): due vs actual filing date per statement; flag 'No' where late and check whether all details reported (RC-TDS-001 MISSING_IN_RETURN). 4. cl.34(c): computed interest vs reported and paid.</t>
  </si>
  <si>
    <t xml:space="preserve">MATCHED: matched; AMOUNT_DIFF: amount diff; NOT_DEDUCTED_UNDERREPORTED: not deducted underreported; LATE_FILING_NOT_REPORTED: late filing not reported; INTEREST_DIFF: interest diff; SECTION_MISSING: section missing</t>
  </si>
  <si>
    <t xml:space="preserve">MATCHED=Low; AMOUNT_DIFF=Medium; NOT_DEDUCTED_UNDERREPORTED=High; LATE_FILING_NOT_REPORTED=High; INTEREST_DIFF=Medium; SECTION_MISSING=High</t>
  </si>
  <si>
    <t xml:space="preserve">RC-TDS rules run for all four quarters and all forms.</t>
  </si>
  <si>
    <t xml:space="preserve">clause, tan, section_or_form, column, reported, computed, diff, category, severity</t>
  </si>
  <si>
    <t xml:space="preserve">194C reported paid 50,00,000 / deducted on 48,00,000 / not deducted 0; computed not deducted 1,05,000 (RC-TDS-002) → NOT_DEDUCTED_UNDERREPORTED. 26Q Q1 filed 15-08-2025 reported 'Yes' in 'filed within due date' → LATE_FILING_NOT_REPORTED.</t>
  </si>
  <si>
    <t xml:space="preserve">All columns within ₹100 → MATCHED.</t>
  </si>
  <si>
    <t xml:space="preserve">cl.34(c) interest reported 0 while RC-TDS-004 computes 300 → INTEREST_DIFF.</t>
  </si>
  <si>
    <t xml:space="preserve">Auditor uses TDS software summary not books; GST-inclusive bases; omission of 194Q; quarter-wise filing dates.</t>
  </si>
  <si>
    <t xml:space="preserve">Draft cl.34 schedule from tool outputs for auditor review.</t>
  </si>
  <si>
    <t xml:space="preserve">def rc_it_009(f3cd, tool):
    for row in f3cd.cl34a: yield cmp_row(row, tool.cl34a(row.tan,row.section))
    for row in f3cd.cl34b: yield cmp_row(row, tool.filing(row.form,row.qtr))
    yield cmp(f3cd.cl34c.total, tool.interest_total())</t>
  </si>
  <si>
    <t xml:space="preserve">TheTaxTalk – checklist for clause 34 of tax audit report | https://thetaxtalk.com/2025/07/a-simple-checklist-for-clause-34-of-tax-audit-report-to-be-considered-by-auditors/ | cl.34(a)/(b)/(c)
TaxGuru – Tax audit FY 2025-26 guide, Form 3CD | https://taxguru.in/income-tax/tax-audit-fy-2025-26-guide-form-3cd.html | 
Income-tax Act 1961 – section 201 | https://www.incometaxindia.gov.in/w/section-201-60 | s.201(1A)</t>
  </si>
  <si>
    <t xml:space="preserve">Clause 34 content per secondary checklist; exact column headings of 3CD cl.34(a) not opened officially.</t>
  </si>
  <si>
    <t xml:space="preserve">RC-IT-010</t>
  </si>
  <si>
    <t xml:space="preserve">Tax audit – GST break-up</t>
  </si>
  <si>
    <t xml:space="preserve">Form 3CD clause 44 GST break-up of expenditure vs GL / purchase register / vendor GST status</t>
  </si>
  <si>
    <t xml:space="preserve">Recompute cl.44 table (total expenditure; from registered – exempt, composition, others; total registered; unregistered) from GL &amp; PURCH_REG using vendor GSTIN status and compare to reported figures.</t>
  </si>
  <si>
    <t xml:space="preserve">Form 3CD cl.44 (inserted 2018; applicable from FY 2022-23 reporting onward per secondary sources – round-1 AUD-005).</t>
  </si>
  <si>
    <t xml:space="preserve">Tax-audit assessees.</t>
  </si>
  <si>
    <t xml:space="preserve">GL expenditure (revenue + capital) at voucher level with vendor; PARTY_MASTER GSTIN &amp; registration type (regular/composition/unregistered) as on transaction date; purchase register tax category (exempt/nil/taxable).</t>
  </si>
  <si>
    <t xml:space="preserve">GL.party_id = PARTY_MASTER.party_name; GL.voucher_no = PURCH_REG.voucher_no</t>
  </si>
  <si>
    <t xml:space="preserve">GSTIN regex ^[0-9]{2}[A-Z]{5}[0-9]{4}[A-Z][1-9A-Z]Z[0-9A-Z]$; registration type normalised.</t>
  </si>
  <si>
    <t xml:space="preserve">column of cl.44.</t>
  </si>
  <si>
    <t xml:space="preserve">F3CD.cl44_total_expenditure vs computed_total; col3 exempt vs computed; col4 composition vs computed; col5 others vs computed; col7 unregistered vs computed</t>
  </si>
  <si>
    <t xml:space="preserve">0.5% per column (implementation choice; reporting is professional judgement).</t>
  </si>
  <si>
    <t xml:space="preserve">col6 = col3 + col4 + col5; col2 = col6 + col7; population = P&amp;L expenditure + capex − non-cash (depreciation, provisions) − non-supplies (salary, statutory dues) – per ICAI guidance (secondary)</t>
  </si>
  <si>
    <t xml:space="preserve">1. Build population. 2. Classify each voucher by vendor status on date and supply type. 3. Sum columns. 4. Check internal arithmetic of reported table. 5. Compare with reported.</t>
  </si>
  <si>
    <t xml:space="preserve">MATCHED: matched; COLUMN_DIFF: column diff; ARITHMETIC_ERROR: col2 ≠ col6 + col7 in reported table; POPULATION_DIFF: total differs from P&amp;L+capex bridge; VENDOR_STATUS_MISSING: vendor status missing</t>
  </si>
  <si>
    <t xml:space="preserve">MATCHED=Low; COLUMN_DIFF=Medium; ARITHMETIC_ERROR=High; POPULATION_DIFF=Medium; VENDOR_STATUS_MISSING=Medium</t>
  </si>
  <si>
    <t xml:space="preserve">tolerance_pct=0.5</t>
  </si>
  <si>
    <t xml:space="preserve">Vendor master has GSTIN/status for vendors above materiality.</t>
  </si>
  <si>
    <t xml:space="preserve">column, reported, computed, diff, category, severity</t>
  </si>
  <si>
    <t xml:space="preserve">Population 5,00,00,000: registered others 4,20,00,000; composition 10,00,000; exempt from registered 20,00,000; unregistered 50,00,000 → col6 4,50,00,000; col2 5,00,00,000. Reported unregistered 30,00,000 → COLUMN_DIFF 20,00,000.</t>
  </si>
  <si>
    <t xml:space="preserve">Reported equals computed → MATCHED.</t>
  </si>
  <si>
    <t xml:space="preserve">Reported col2 5,00,00,000 but col6+col7 4,90,00,000 → ARITHMETIC_ERROR.</t>
  </si>
  <si>
    <t xml:space="preserve">Vendor status changes mid-year; imports; RCM purchases; expenses with no vendor (bank charges, government fees).</t>
  </si>
  <si>
    <t xml:space="preserve">Produce draft cl.44 with drill-down.</t>
  </si>
  <si>
    <t xml:space="preserve">def rc_it_010(f3cd, gl, pm):
    cols = defaultdict(int)
    for v in population(gl): cols[classify_vendor(v, pm)] += v.amount
    yield from compare_cols(f3cd.cl44, cols)</t>
  </si>
  <si>
    <t xml:space="preserve">Taxmann – analysis of clause 44 of tax audit report | https://taxmann.com/post/blog/analysis-clause-44-of-tax-audit-report-along-with-illustrations | cl.44 columns
TaxGuru – Tax audit FY 2025-26 guide, Form 3CD | https://taxguru.in/income-tax/tax-audit-fy-2025-26-guide-form-3cd.html | </t>
  </si>
  <si>
    <t xml:space="preserve">Form 26 equivalent clause not verified.</t>
  </si>
  <si>
    <t xml:space="preserve">RC-IT-011</t>
  </si>
  <si>
    <t xml:space="preserve">Tax audit – MSME</t>
  </si>
  <si>
    <t xml:space="preserve">Form 3CD clause 22 (MSMED s.23 interest &amp; s.43B(h) amounts) vs computed MSME interest and disallowance</t>
  </si>
  <si>
    <t xml:space="preserve">Compare clause 22 amounts (interest inadmissible u/s 23 MSMED; amounts payable to micro/small enterprises, paid within / beyond s.15 period) with the tool's computation (RC-IT-013, RC-ACC-008).</t>
  </si>
  <si>
    <t xml:space="preserve">CREDITORS_AGEING</t>
  </si>
  <si>
    <t xml:space="preserve">MSME_VENDOR_MASTER</t>
  </si>
  <si>
    <t xml:space="preserve">MSMED Act 2006 s.15, s.16, s.23; IT Act 1961 s.43B(h); Form 3CD cl.22 as amended by Notification 27/2024 (corrigendum 34/2024); IT Act 2025 s.37(2)(g).</t>
  </si>
  <si>
    <t xml:space="preserve">Tax-audit assessees with micro/small suppliers.</t>
  </si>
  <si>
    <t xml:space="preserve">RC-IT-013 output (43B(h) disallowance); RC-ACC-008 output (s.16 interest); 3CD cl.22 values.</t>
  </si>
  <si>
    <t xml:space="preserve">F3CD.cl22_item_key = computed.item</t>
  </si>
  <si>
    <t xml:space="preserve">Item codes: INT_S23, TOTAL_PAYABLE_S15, PAID_WITHIN_S15, NOT_PAID_WITHIN_S15.</t>
  </si>
  <si>
    <t xml:space="preserve">clause item.</t>
  </si>
  <si>
    <t xml:space="preserve">F3CD.cl22_msme_43bh_amount vs computed_s16_interest_for_year; F3CD.cl22_amount_payable vs computed; F3CD.cl22_paid_within_limit vs computed; F3CD.cl22_not_paid_within_limit vs computed_43Bh_disallowance</t>
  </si>
  <si>
    <t xml:space="preserve">₹100 per item.</t>
  </si>
  <si>
    <t xml:space="preserve">diff_item = reported − computed</t>
  </si>
  <si>
    <t xml:space="preserve">1. Pull computed values. 2. Compare. 3. Validate arithmetic: payable = paid_within + not_paid_within. 4. Cross-check with FS MSMED s.22 disclosure (RC-ACC-008).</t>
  </si>
  <si>
    <t xml:space="preserve">MATCHED: matched; ITEM_DIFF: item diff; ARITHMETIC_ERROR: arithmetic error; NOT_REPORTED: cl.22 nil while computed &gt; 0</t>
  </si>
  <si>
    <t xml:space="preserve">MATCHED=Low; ITEM_DIFF=High; ARITHMETIC_ERROR=High; NOT_REPORTED=Critical</t>
  </si>
  <si>
    <t xml:space="preserve">MSME master classification as on transaction date available.</t>
  </si>
  <si>
    <t xml:space="preserve">item, reported, computed, diff, category, severity</t>
  </si>
  <si>
    <t xml:space="preserve">Computed 43B(h) disallowance 3,40,000 and s.16 interest 12,500; 3CD cl.22 reports nil → NOT_REPORTED (both).</t>
  </si>
  <si>
    <t xml:space="preserve">Reported payable 50,00,000; paid within 45,00,000; not paid within 4,00,000 → ARITHMETIC_ERROR (1,00,000).</t>
  </si>
  <si>
    <t xml:space="preserve">Vendors' Udyam status unknown; traders excluded/included inconsistently; acceptance dates missing.</t>
  </si>
  <si>
    <t xml:space="preserve">Draft cl.22 values with invoice-level annexure.</t>
  </si>
  <si>
    <t xml:space="preserve">def rc_it_011(f3cd, comp):
    for item in ITEMS: yield cmp(f3cd.cl22[item], comp[item], 100)</t>
  </si>
  <si>
    <t xml:space="preserve">MSMED Act 2006 (PRS India copy) | https://PRSINDIA.org/files/bills_acts/acts_parliament/2006/the-micro-small-and-medium-enterprises-development-act-2006.pdf | s.2(b), 15, 16, 22, 23
Taxmann – CBDT corrigendum: 43B(h) disallowance under clause 22 of Form 3CD | https://www.taxmann.com/post/blog/cbdt-issues-corrigendum-to-include-sec-43bh-disallowance-under-clause-22-of-form-3cd/ | Notification 27/2024, corrigendum 34/2024
India Briefing – MSME tax audit Form 3CD clauses 22 &amp; 26 FY 2025-26 | https://www.india-briefing.com/news/msme-tax-audit-form-3cd-clauses-22-26-fy-2025-26-47290.html/ | cl.22 / cl.26
Income-tax Act 2025 – section 37 (deduction on actual payment) | https://www.incometaxindia.gov.in/w/section-37-169 | s.37(2)(g), s.37(3)</t>
  </si>
  <si>
    <t xml:space="preserve">MSMED ss.15/16/22/23 verified from PRS copy this session; clause 22 layout from secondary sources.</t>
  </si>
  <si>
    <t xml:space="preserve">RC-IT-012</t>
  </si>
  <si>
    <t xml:space="preserve">Tax audit – Disallowances</t>
  </si>
  <si>
    <t xml:space="preserve">Form 3CD clause 21 disallowances vs GL (40(a)(ia), 40A(3), penalties, CSR, personal)</t>
  </si>
  <si>
    <t xml:space="preserve">Recompute key clause 21 items from GL – (b) s.40(a) TDS defaults (RC-TDS-002), (d) s.40A(3)/(3A) cash payments &gt; ₹10,000 per person per day (₹35,000 transporters), (a) penalties/fines and personal expenses by ledger keywords – and compare with reported amounts.</t>
  </si>
  <si>
    <t xml:space="preserve">IT Act 1961 s.37(1) Explanation, s.40(a)(i)/(ia), s.40A(3)/(3A) with Rule 6DD (round-1 IT-018/IT-022); IT Act 2025 s.35, s.36(4)-(6) (mapping partly inferred); Form 3CD cl.21.</t>
  </si>
  <si>
    <t xml:space="preserve">GL with payment mode (cash/bank), party, date; RC-TDS-002 output; keyword list for penalties/fines/donations/CSR (CA-maintained).</t>
  </si>
  <si>
    <t xml:space="preserve">F3CD.cl21_item_key = computed.item</t>
  </si>
  <si>
    <t xml:space="preserve">Payment mode from voucher type/contra ledger (cash ledger); party normalised; date.</t>
  </si>
  <si>
    <t xml:space="preserve">party + date for 40A(3); section for 40(a)(ia); ledger for others.</t>
  </si>
  <si>
    <t xml:space="preserve">F3CD.cl21b_tds_default_amount vs RC-TDS-002.potential_disallowance; F3CD.cl21d_cash_payment_40a3 vs computed_40A3; F3CD.cl21a_penalty_amount vs GL penalty ledgers</t>
  </si>
  <si>
    <t xml:space="preserve">40A(3): for each party-day Σcash payments for expenditure &gt; 10,000 (35,000 goods carriage) and not covered by Rule 6DD → disallow 100% of those payments</t>
  </si>
  <si>
    <t xml:space="preserve">1. Compute 40A(3) by party-day (exclude Rule 6DD exceptions flagged by user). 2. Pull 40(a)(ia)/(i) from RC-TDS-002 (excluding amounts paid by ITR due date). 3. Keyword scan for penalties/interest on delayed taxes (non-compensatory), CSR, donations. 4. Compare with clause 21 values.</t>
  </si>
  <si>
    <t xml:space="preserve">MATCHED: matched; UNDER_REPORTED: under reported; OVER_REPORTED: over reported; NOT_REPORTED: not reported</t>
  </si>
  <si>
    <t xml:space="preserve">MATCHED=Low; UNDER_REPORTED=High; OVER_REPORTED=Medium; NOT_REPORTED=High</t>
  </si>
  <si>
    <t xml:space="preserve">cash_limit_inr=10000; cash_limit_transport_inr=35000; keywords=penalty,fine,late fee,interest on tds,donation,csr</t>
  </si>
  <si>
    <t xml:space="preserve">Cash vouchers identified; Rule 6DD exception flags present.</t>
  </si>
  <si>
    <t xml:space="preserve">item, party/ledger, date, computed, reported, diff, category, severity</t>
  </si>
  <si>
    <t xml:space="preserve">Party P cash payments on 12-07-2025: 6,000 + 7,000 = 13,000 &gt; 10,000 → disallow 13,000; 3CD cl.21(d) reports 0 → NOT_REPORTED. Interest on late TDS 300 debited to P&amp;L, not reported as disallowance → flag (CA to judge).</t>
  </si>
  <si>
    <t xml:space="preserve">No cash payment above limits; cl.21(d) nil → MATCHED.</t>
  </si>
  <si>
    <t xml:space="preserve">Transporter cash 30,000 in a day (≤35,000) → not disallowed; tool must not flag.</t>
  </si>
  <si>
    <t xml:space="preserve">Splitting bills; cash payments for capital assets (s.43(1) proviso – depreciation base, not 40A(3)); Rule 6DD exceptions.</t>
  </si>
  <si>
    <t xml:space="preserve">Draft cl.21 schedule with voucher list.</t>
  </si>
  <si>
    <t xml:space="preserve">def rc_it_012(f3cd, gl, tds_out, p):
    c = cash_by_party_day(gl)
    dis = [x for x in c if x.total &gt; limit(x, p) and not x.rule6dd]
    yield cmp(f3cd.cl21d, sum(x.total for x in dis))
    yield cmp(f3cd.cl21b, tds_out.disallowance())</t>
  </si>
  <si>
    <t xml:space="preserve">TaxGuru – Tax audit FY 2025-26 guide, Form 3CD | https://taxguru.in/income-tax/tax-audit-fy-2025-26-guide-form-3cd.html | 
eztax – Income-tax Act 2025 section 35 | https://eztax.in/income-tax-act-2025/section-35 | 30% disallowance (secondary)
TheTaxTalk – checklist for clause 34 of tax audit report | https://thetaxtalk.com/2025/07/a-simple-checklist-for-clause-34-of-tax-audit-report-to-be-considered-by-auditors/ | cl.34(a)/(b)/(c)</t>
  </si>
  <si>
    <t xml:space="preserve">40A(3) limits verified in round-1 IT-018 (official). Whether interest on late TDS is disallowable is judicial – CA decides.</t>
  </si>
  <si>
    <t xml:space="preserve">RC-IT-013</t>
  </si>
  <si>
    <t xml:space="preserve">Income tax – MSME payables</t>
  </si>
  <si>
    <t xml:space="preserve">s.43B(h) – micro/small enterprise payables outstanding at year end beyond 15/45 days</t>
  </si>
  <si>
    <t xml:space="preserve">From creditors ageing and MSME vendor master compute, invoice-wise, the amount outstanding at year end to micro/small suppliers that is not paid within the MSMED s.15 period and is therefore disallowed under s.43B(h) / s.37(2)(g).</t>
  </si>
  <si>
    <t xml:space="preserve">financial year (as at 31 March) with post-year-end payments</t>
  </si>
  <si>
    <t xml:space="preserve">IT Act 1961 s.43B(h) (from AY 2024-25); IT Act 2025 s.37(2)(g) with s.37(3) (no return-due-date relaxation); MSMED Act s.2(b) appointed day = day after 15 days from acceptance, s.15 (≤45 days if agreed in writing).</t>
  </si>
  <si>
    <t xml:space="preserve">Buyers (other than those under presumptive schemes) with micro/small suppliers registered under MSMED (Udyam); medium enterprises excluded; traders – CA judgement.</t>
  </si>
  <si>
    <t xml:space="preserve">2023-04-01</t>
  </si>
  <si>
    <t xml:space="preserve">Invoice-wise creditors ageing at year end (invoice no., date, acceptance/receipt date, amount, agreed credit days, written agreement Y/N); MSME_VENDOR_MASTER (Udyam no., category, registration date, activity – manufacturing/services/trader); payments after year end (BANK_BOOK) allocated to invoices.</t>
  </si>
  <si>
    <t xml:space="preserve">CREDITORS_AGEING.party_pan = MSME_VENDOR_MASTER.vendor_pan; CREDITORS_AGEING.bill_ref = BANK_BOOK.bill_ref</t>
  </si>
  <si>
    <t xml:space="preserve">Udyam number upper-case 'UDYAM-XX-00-0000000'; vendor ids; invoice numbers normalised (strip spaces/'/', '-', leading zeros, case).</t>
  </si>
  <si>
    <t xml:space="preserve">invoice; summarised per vendor.</t>
  </si>
  <si>
    <t xml:space="preserve">CREDITORS_AGEING.pending_amount vs BANK_BOOK.paid_by_s15_due_date</t>
  </si>
  <si>
    <t xml:space="preserve">₹1 per invoice.</t>
  </si>
  <si>
    <t xml:space="preserve">allowed_days = min(agreed_days, 45) if written_agreement else 15; s15_due = acceptance_date + allowed_days; disallow_invoice = outstanding_at_31Mar − Σ payments dated ≤ s15_due (payments after 31 March but on/before s15_due allowed)</t>
  </si>
  <si>
    <t xml:space="preserve">1. Filter vendors classified Micro/Small on invoice date (registration date ≤ invoice date – CA choice). 2. Exclude traders if CA parameter says so. 3. For each invoice outstanding at 31 March compute s15_due. 4. Allocate post-year payments to invoices (bill-wise else FIFO). 5. Disallowance = unpaid by s15_due. 6. Summarise per vendor; feed RC-IT-011 and next-year allowance register.</t>
  </si>
  <si>
    <t xml:space="preserve">ALLOWED_PAID_IN_TIME: paid within s.15 period; DISALLOWED_43BH: not paid within s.15 period; NOT_YET_DUE_PAID_LATE: due after 31 March but paid after due date (still disallowed); STATUS_UNKNOWN: vendor MSME status missing; ACCEPTANCE_DATE_MISSING: using invoice/GRN date fallback</t>
  </si>
  <si>
    <t xml:space="preserve">ALLOWED_PAID_IN_TIME=Low; DISALLOWED_43BH=High; NOT_YET_DUE_PAID_LATE=High; STATUS_UNKNOWN=Medium; ACCEPTANCE_DATE_MISSING=Low</t>
  </si>
  <si>
    <t xml:space="preserve">default_days_no_agreement=15; max_days_with_agreement=45; exclude_traders=true; status_basis=invoice_date</t>
  </si>
  <si>
    <t xml:space="preserve">Ageing total = creditors control in TB (RC-ACC-004); every vendor has MSME status field (Y/N/unknown).</t>
  </si>
  <si>
    <t xml:space="preserve">vendor, udyam_no, category, invoice_no, invoice_date, acceptance_date, agreed_days, s15_due_date, outstanding_31mar, paid_by_due, disallowance, category_code, severity</t>
  </si>
  <si>
    <t xml:space="preserve">Micro vendor M1 (no agreement): inv 1 dated 20-03-2026 ₹2,00,000 → due 04-04-2026; paid 02-04-2026 → ALLOWED. inv 2 dated 01-02-2026 ₹1,50,000 → due 16-02-2026; unpaid at 31-03 → DISALLOWED 1,50,000. Small vendor S1 (agreement 45 days): inv dated 10-03-2026 ₹3,00,000 → due 24-04-2026; paid 30-04-2026 → NOT_YET_DUE_PAID_LATE 3,00,000. Total disallowance 4,50,000.</t>
  </si>
  <si>
    <t xml:space="preserve">Medium enterprise invoice unpaid 120 days → not in scope (ignored).</t>
  </si>
  <si>
    <t xml:space="preserve">Micro vendor with written agreement of 60 days → allowed_days capped at 45.</t>
  </si>
  <si>
    <t xml:space="preserve">Vendor registered after invoice; traders; disputed invoices; advances to vendor; debit notes; acceptance date not recorded.</t>
  </si>
  <si>
    <t xml:space="preserve">Report in 3CD cl.22/26 (RC-IT-011/008); create next-year allowance tracker; compute s.16 interest (RC-ACC-008).</t>
  </si>
  <si>
    <t xml:space="preserve">def rc_it_013(ageing, msme, bank, p):
    for inv in ageing.open_invoices():
        v = msme.get(inv.vendor)
        if not v or v.category not in ('Micro','Small'): continue
        days = min(inv.agreed_days, p.max_days_with_agreement) if inv.written_agreement else p.default_days_no_agreement
        due = (inv.acceptance_date or inv.invoice_date) + timedelta(days=days)
        paid = bank.paid_against(inv, upto=due)
        yield classify(inv, due, inv.outstanding - paid)</t>
  </si>
  <si>
    <t xml:space="preserve">MSMED Act 2006 (PRS India copy) | https://PRSINDIA.org/files/bills_acts/acts_parliament/2006/the-micro-small-and-medium-enterprises-development-act-2006.pdf | s.2(b), 15, 16, 22, 23
Income-tax Act 2025 – section 37 (deduction on actual payment) | https://www.incometaxindia.gov.in/w/section-37-169 | s.37(2)(g), s.37(3)
TaxGuru – Finance Ministry clarifies 43B(h) 45-day rule | https://taxguru.in/income-tax/finance-ministry-clarifies-section-43bh-45-day-msme-payment-rule.html | 
Taxmann – CBDT corrigendum: 43B(h) disallowance under clause 22 of Form 3CD | https://www.taxmann.com/post/blog/cbdt-issues-corrigendum-to-include-sec-43bh-disallowance-under-clause-22-of-form-3cd/ | Notification 27/2024, corrigendum 34/2024</t>
  </si>
  <si>
    <t xml:space="preserve">s.2(b)/s.15 verified on PRS copy of Act (this session). Traders exclusion based on MSME Ministry OM (not verified) – parameter. Day counting (acceptance day excluded) is implementation reading.</t>
  </si>
  <si>
    <t xml:space="preserve">Payroll register vs ECR vs EPF challan; ESIC; Professional Tax; payroll GL; s.36(1)(va); wage-definition, gratuity and bonus checks.  Row 5 holds the YAML key for each column. Research date 13 October 2026. Every rule needs CA validation before use.</t>
  </si>
  <si>
    <t xml:space="preserve">RC-PAY-001</t>
  </si>
  <si>
    <t xml:space="preserve">Payroll – EPF</t>
  </si>
  <si>
    <t xml:space="preserve">Payroll register vs ECR – UAN-wise wages and EE/ER/EPS contributions (with recomputation)</t>
  </si>
  <si>
    <t xml:space="preserve">Match each employee's PF wages and contributions in the payroll register with the ECR filed (UAN-wise), and recompute contributions on ceiling rules to detect under-remittance, wrong EPS split, missing members and wage under-reporting.</t>
  </si>
  <si>
    <t xml:space="preserve">ECR</t>
  </si>
  <si>
    <t xml:space="preserve">wage month</t>
  </si>
  <si>
    <t xml:space="preserve">Pre-Code: EPF&amp;MP Act 1952 s.6; EPF Scheme 1952 paras 26, 29, 38; EPS 1995 para 3. From 21-11-2025: Code on Social Security 2020 s.16 (S.O. 3582(E) – 12%), EPF Scheme 2026 &amp; EPS 2026 (round-1 PAY-004). Wage ceiling ₹15,000 up to 16-09-2026; ₹25,000 from 17-09-2026 (S.O. 5109(E), EPF Scheme 2026 para 18(4) – round-1 PAY-005, secondary).</t>
  </si>
  <si>
    <t xml:space="preserve">Establishments covered under EPF (20 or more employees or voluntary).</t>
  </si>
  <si>
    <t xml:space="preserve">PAYROLL_REG with employee code, UAN, gross, PF wage components (basic + DA + retaining allowance; Code wages per 50% rule – RC-PAY-007), EE PF, ER EPF, EPS, NCP days, EPS eligibility (age &lt; 58, EPS member), 'restrict to ceiling' flag; ECR (ECR 2.0 text: UAN, name, gross wages, EPF wages, EPS wages, EDLI wages, EE share, EPS contribution, ER share, NCP days, refunds).</t>
  </si>
  <si>
    <t xml:space="preserve">PAYROLL_REG.uan = ECR.uan; PAYROLL_REG.wage_month = ECR.wage_month</t>
  </si>
  <si>
    <t xml:space="preserve">UAN 12-digit numeric string, strip spaces; employees without UAN matched by name (fuzzy) and flagged; amounts whole rupees (ECR accepts no decimals).</t>
  </si>
  <si>
    <t xml:space="preserve">UAN + wage month; establishment totals per month.</t>
  </si>
  <si>
    <t xml:space="preserve">PAYROLL_REG.gross_earnings vs ECR.gross_wages; PAYROLL_REG.pf_wages vs ECR.epf_wages; PAYROLL_REG.eps_wages vs ECR.eps_wages; PAYROLL_REG.edli_wages vs ECR.edli_wages; PAYROLL_REG.ee_pf vs ECR.ee_share_remitted; PAYROLL_REG.er_eps vs ECR.eps_contribution_remitted; PAYROLL_REG.er_epf_diff vs ECR.er_share_remitted; PAYROLL_REG.lop_days vs ECR.ncp_days</t>
  </si>
  <si>
    <t xml:space="preserve">₹1 per employee per field (rounding; EPF rounding not specified in law – round-1 PAY-037).</t>
  </si>
  <si>
    <t xml:space="preserve">epf_wage = pf_wages if not restricted else min(pf_wages, ceiling); eps_wage = min(pf_wages, ceiling) if eps_member else 0; ee = round(rate × epf_wage); eps = round(8.33% × eps_wage); er_epf = round(rate_er × epf_wage_er) − eps; edli_wage = min(pf_wages, ceiling); ceiling = 15000 (≤16-09-2026) / 25000 (≥17-09-2026), Sep-2026 day-wise split per EPFO FAQ (configurable)</t>
  </si>
  <si>
    <t xml:space="preserve">1. Recompute expected values from payroll components using parameters. 2. Compare payroll stored contributions vs recomputed (payroll calc errors). 3. Match payroll to ECR by UAN. 4. Compare each field. 5. Members in payroll with PF deduction but missing in ECR → MISSING_IN_ECR; ECR members not in payroll → MISSING_IN_PAYROLL. 6. EPS wages &gt; 0 for member aged ≥ 58 → EPS_AGE_ERROR. 7. ECR EPS &gt; 8.33% of EPS wages (except higher-pension cases) → EPS_SPLIT_ERROR. 8. Monthly totals.</t>
  </si>
  <si>
    <t xml:space="preserve">MATCHED: matched; CALC_ERROR: payroll contribution ≠ recomputed; WAGE_DIFF: PF/EPS/EDLI wages differ payroll vs ECR; CONTRIB_DIFF: EE/ER/EPS differ; MISSING_IN_ECR: missing in ecr; MISSING_IN_PAYROLL: missing in payroll; NO_UAN: employee deducted PF but no UAN; EPS_AGE_ERROR: eps age error; EPS_SPLIT_ERROR: eps split error; NCP_DIFF: ncp diff</t>
  </si>
  <si>
    <t xml:space="preserve">MATCHED=Low; CALC_ERROR=High; WAGE_DIFF=High; CONTRIB_DIFF=High; MISSING_IN_ECR=Critical; MISSING_IN_PAYROLL=High; NO_UAN=High; EPS_AGE_ERROR=Medium; EPS_SPLIT_ERROR=Medium; NCP_DIFF=Low</t>
  </si>
  <si>
    <t xml:space="preserve">ee_rate_pct=12; er_rate_pct=12; eps_rate_pct=8.33; ceiling_upto_2026_09_16=15000; ceiling_from_2026_09_17=25000; sep2026_method=EPFO_split; rounding=nearest_rupee; tolerance_inr=1</t>
  </si>
  <si>
    <t xml:space="preserve">UAN 12 digits; ECR wage month = payroll month; EPF wages ≤ gross; EPS wages ≤ EPF wages; whole-rupee values in ECR; due ≥ remitted (old ECR rule).</t>
  </si>
  <si>
    <t xml:space="preserve">uan, emp_code, name, wage_month, field, payroll_value, recomputed_value, ecr_value, diff, category, severity</t>
  </si>
  <si>
    <t xml:space="preserve">June 2025, ceiling 15,000. E1 PF wages 12,000: EE 1,440; EPS 1,000 (8.33% × 12,000 = 999.6 → 1,000); ER EPF 440. ECR E1: EE 1,440, EPS 1,000, ER 440 → MATCHED. E2 PF wages 40,000, restricted: EE 1,800; EPS 1,250; ER 550. Payroll EE 4,800 (12% of 40,000 – not restricted) but ECR EE 1,800 → CONTRIB_DIFF 3,000 (employee deducted more than remitted). E3 PF 9,000 deducted in payroll, not in ECR → MISSING_IN_ECR (EE 1,080).</t>
  </si>
  <si>
    <t xml:space="preserve">E4 aged 59, EPF wages 15,000, EPS 0, ER 1,800 in ECR → MATCHED (no EPS for ≥58).</t>
  </si>
  <si>
    <t xml:space="preserve">E5 EPS wages 15,000 and age 60 → EPS_AGE_ERROR.</t>
  </si>
  <si>
    <t xml:space="preserve">Arrears paid separately (arrear ECR); new joiners without UAN; mid-month joiners; LOP/NCP days; restricting to ceiling for some employees only; Code wage add-back (50%) not applied; September 2026 ceiling split.</t>
  </si>
  <si>
    <t xml:space="preserve">File supplementary/arrear ECR for differences with s.7Q interest and damages (RC-PAY-002); fix payroll configuration; generate UAN for new joiners.</t>
  </si>
  <si>
    <t xml:space="preserve">def rc_pay_001(payroll, ecr, p):
    E = {(r.uan, r.month): r for r in ecr}
    for e in payroll:
        exp = recompute(e, p)
        if diff(e.contrib, exp) &gt; p.tolerance_inr: yield cat('CALC_ERROR', e, exp)
        r = E.pop((e.uan, e.month), None)
        if not r: yield cat('MISSING_IN_ECR' if e.ee_pf&gt;0 else 'MATCHED', e); continue
        yield from compare_fields(e, r, p)
    for r in E.values(): yield cat('MISSING_IN_PAYROLL', None, r)</t>
  </si>
  <si>
    <t xml:space="preserve">EPFO – Introduction to ECR 2.0 | https://www.epfindia.gov.in:443/site_docs/PDFs/EPFOUnifiedPortal/Introduction_ECR2.0.pdf | UAN-wise gross/EPF/EPS/EDLI wages, NCP days, validations
EPFO – ECR file structure for employers | https://epfindia.gov.in/site_docs/PDFs/OnlineECR_PDFs/ECR_ForEmployers_FileStructure.pdf | field list, whole rupees, due ≥ remitted
SGCMS – FAQs by EPFO: wage ceiling raised to ₹25,000 | https://www.sgcms.com/regulatory-updates/faqs-by-epfo-wage-ceiling-raised-to-25000/ | ceiling ₹25,000 from 17-09-2026; Sep-2026 split
KPMG Flash News – New Social Security Schemes 2026 | https://assets.kpmg.com/content/dam/kpmgsites/in/pdf/2026/07/KPMG-Flash-News-New-Social-Security-Schemes-2026.pdf | EPF Scheme 2026 – ECR within 15 days</t>
  </si>
  <si>
    <t xml:space="preserve">ECR field list verified on EPFO PDFs (old ECR and ECR 2.0 intro). Contribution rates per round-1 PAY-004 (EPFO ContributionRate.pdf could not be fetched – partially verified). ₹25,000 ceiling from secondary sources (round-1 PAY-005) – verify gazette. Higher-pension (EPS on actual wages) cases need separate handling.</t>
  </si>
  <si>
    <t xml:space="preserve">RC-PAY-002</t>
  </si>
  <si>
    <t xml:space="preserve">Payroll – EPF deposit</t>
  </si>
  <si>
    <t xml:space="preserve">ECR vs EPF challan (TRRN) – amount, payment date vs 15th, interest s.7Q and damages</t>
  </si>
  <si>
    <t xml:space="preserve">Ensure the challan paid for each ECR equals the ECR totals by account head, was paid by the 15th of the following month, and compute interest (12% p.a.) and damages for delay; feeds s.36(1)(va) test.</t>
  </si>
  <si>
    <t xml:space="preserve">EPF_CHALLAN</t>
  </si>
  <si>
    <t xml:space="preserve">BANK_STMT</t>
  </si>
  <si>
    <t xml:space="preserve">EPF Scheme 1952 para 38 (within 15 days of close of month) / EPF Scheme 2026 (monthly ECR and payment within 15 days – KPMG); interest EPF&amp;MP Act s.7Q (12% p.a. simple); damages s.14B with para 32A (1% of arrears per month post 15-06-2024; slabs under EPF Scheme 2026/VISHWAS conflicting – round-1 PAY-008/009).</t>
  </si>
  <si>
    <t xml:space="preserve">EPF-covered establishments.</t>
  </si>
  <si>
    <t xml:space="preserve">ECR totals; challan (TRRN, wage month, A/c 1 EE+ER EPF, A/c 2 admin, A/c 10 EPS, A/c 21 EDLI, A/c 22 EDLI admin, total, payment date/CRN); bank debit for payment date confirmation.</t>
  </si>
  <si>
    <t xml:space="preserve">ECR.trrn = EPF_CHALLAN.trrn; ECR.wage_month = EPF_CHALLAN.wage_month; EPF_CHALLAN.crn = BANK_STMT.reference</t>
  </si>
  <si>
    <t xml:space="preserve">TRRN as string; wage month 'YYYY-MM'.</t>
  </si>
  <si>
    <t xml:space="preserve">wage month (and TRRN).</t>
  </si>
  <si>
    <t xml:space="preserve">Σ ECR.ee_share_remitted + Σ ECR.er_share_remitted vs EPF_CHALLAN.ac01_total; Σ ECR.eps_contribution_remitted vs EPF_CHALLAN.ac10_employer; 0.5% × Σ ECR.edli_wages vs EPF_CHALLAN.ac21_employer; admin 0.50% × Σ ECR.epf_wages (min ₹500) vs EPF_CHALLAN.ac02_admin; EPF_CHALLAN.payment_date vs due_date (15th of next month); EPF_CHALLAN.payment_date vs BANK_STMT.value_date</t>
  </si>
  <si>
    <t xml:space="preserve">₹1 per account head; 0 days for due date (holiday roll-over not verified – parameter).</t>
  </si>
  <si>
    <t xml:space="preserve">due = 15th of month following wage month; delay_days = max(0, payment_date − due); interest_7Q = arrears × 12% × delay_days / 365; damages = arrears × damages_rate_pm × delay_days × 12/365 (per parameter)</t>
  </si>
  <si>
    <t xml:space="preserve">1. Sum ECR by heads. 2. Match to challan; compare heads. 3. Confirm payment date from bank statement debit (realisation). 4. Compute delay, interest and damages. 5. Flag employee-share portion paid late for RC-PAY-006. 6. Unpaid challans (ECR filed, challan not paid) → UNPAID.</t>
  </si>
  <si>
    <t xml:space="preserve">MATCHED: matched; HEAD_DIFF: challan head ≠ ECR total; PAID_LATE: paid after due date; UNPAID: challan generated but not paid; BANK_DATE_DIFF: bank debit date differs from challan date; ADMIN_CALC_DIFF: admin calc diff</t>
  </si>
  <si>
    <t xml:space="preserve">MATCHED=Low; HEAD_DIFF=High; PAID_LATE=High; UNPAID=Critical; BANK_DATE_DIFF=Medium; ADMIN_CALC_DIFF=Low</t>
  </si>
  <si>
    <t xml:space="preserve">due_day=15; interest_rate_pa_pct=12; damages_method=1pct_per_month; holiday_rollover=false; admin_rate_pct=0.5; admin_min_inr=500; edli_rate_pct=0.5</t>
  </si>
  <si>
    <t xml:space="preserve">Every ECR month has challan; TRRN unique; payment date present.</t>
  </si>
  <si>
    <t xml:space="preserve">wage_month, trrn, head, ecr_amount, challan_amount, diff, due_date, payment_date, delay_days, interest_7q, damages, category, severity</t>
  </si>
  <si>
    <t xml:space="preserve">May-2025 ECR: EE 1,20,000, ER EPF 40,000, EPS 80,000, EDLI wages 9,50,000, EPF wages 10,00,000 → A/c1 1,60,000; A/c10 80,000; A/c21 4,750; A/c2 5,000. Challan paid 25-06-2025 (due 15-06-2025): delay 10 days; arrears 2,49,750 → interest 2,49,750 × 12% × 10/365 = 821.10; damages at 1%/month: 2,49,750 × 0.01 × 10 × 12/365 = 821.10.</t>
  </si>
  <si>
    <t xml:space="preserve">Challan paid 14-07-2025 for June → MATCHED, no interest.</t>
  </si>
  <si>
    <t xml:space="preserve">A/c1 in challan 1,59,000 vs ECR 1,60,000 → HEAD_DIFF 1,000.</t>
  </si>
  <si>
    <t xml:space="preserve">Payment initiated before due date but realised later; bank holidays; split payments; EDLI exemption; admin minimum charge.</t>
  </si>
  <si>
    <t xml:space="preserve">Compute 7Q interest and damages provision; pay through EPFO portal; disclose in CARO 3(vii) if outstanding &gt; 6 months.</t>
  </si>
  <si>
    <t xml:space="preserve">def rc_pay_002(ecr, challans, bank, p):
    for m, rows in group(ecr, 'month'):
        ch = challans.get(m)
        if not ch: yield cat('UNPAID', m); continue
        yield from compare_heads(totals(rows, p), ch)
        pdate = bank.debit_date(ch) or ch.date
        d = max(0, (pdate - due(m, p)).days)
        if d: yield cat('PAID_LATE', m, interest=ch.total*0.12*d/365)</t>
  </si>
  <si>
    <t xml:space="preserve">EPFO – Introduction to ECR 2.0 | https://www.epfindia.gov.in:443/site_docs/PDFs/EPFOUnifiedPortal/Introduction_ECR2.0.pdf | UAN-wise gross/EPF/EPS/EDLI wages, NCP days, validations
KPMG Flash News – New Social Security Schemes 2026 | https://assets.kpmg.com/content/dam/kpmgsites/in/pdf/2026/07/KPMG-Flash-News-New-Social-Security-Schemes-2026.pdf | EPF Scheme 2026 – ECR within 15 days
Khaitan &amp; Co – Big move in the EPF regime | https://khaitanco.com/thought-leadership/Big-Move-in-the-EPF-Regime | interest 12% p.a. separately; damages</t>
  </si>
  <si>
    <t xml:space="preserve">Damages rate under EPF Scheme 2026 conflicting (round-1 PAY-009 – CA review). Account head numbers per established EPFO practice. Possible extension of Sep-2026 ECR due date unverified (round-1 open question). Damages: use EPF Scheme 2026 para 23 slabs 0.25%/0.50%/1% per month (see PAY-009 as corrected 13-10-2026).</t>
  </si>
  <si>
    <t xml:space="preserve">RC-PAY-003</t>
  </si>
  <si>
    <t xml:space="preserve">Payroll – ESI</t>
  </si>
  <si>
    <t xml:space="preserve">Payroll register vs ESIC monthly contribution vs ESIC challan</t>
  </si>
  <si>
    <t xml:space="preserve">Match IP-wise wages, days and contributions between payroll and ESIC monthly contribution file; recompute 0.75%/3.25% (round up); verify challan amount and payment by 15th.</t>
  </si>
  <si>
    <t xml:space="preserve">ESIC_RET</t>
  </si>
  <si>
    <t xml:space="preserve">ESIC_CHALLAN</t>
  </si>
  <si>
    <t xml:space="preserve">wage month (contribution periods Apr–Sep / Oct–Mar for continuation of coverage)</t>
  </si>
  <si>
    <t xml:space="preserve">ESI Act 1948 s.39-40, ESI (Central) Rules r.51; Social Security (Central) Rules 2026 r.19 (rates, rounding up); ESI (General) Regulations reg.31 (due 15 days after month), reg.31A interest 12% p.a. (round-1 PAY-013/014/016/017).</t>
  </si>
  <si>
    <t xml:space="preserve">ESI-covered establishments; employees with wages ≤ ₹21,000 (₹25,000 PwD).</t>
  </si>
  <si>
    <t xml:space="preserve">Payroll with IP number, ESI wages, days worked, EE/ER ESI; ESIC monthly contribution file (IP number, IP name, no. of days, total monthly wages, reason code for zero wages, last working day); challan with amount and date.</t>
  </si>
  <si>
    <t xml:space="preserve">PAYROLL_REG.esic_ip_no = ESIC_RET.ip_number; PAYROLL_REG.wage_month = ESIC_RET.contribution_month; ESIC_RET.contribution_month = ESIC_CHALLAN.contribution_period</t>
  </si>
  <si>
    <t xml:space="preserve">IP number 10-digit string; month 'YYYY-MM'.</t>
  </si>
  <si>
    <t xml:space="preserve">IP + month; establishment month total.</t>
  </si>
  <si>
    <t xml:space="preserve">PAYROLL_REG.esi_wages vs ESIC_RET.total_monthly_wages; PAYROLL_REG.paid_days vs ESIC_RET.no_of_days; PAYROLL_REG.ee_esi vs recomputed; Σ (EE+ER) vs ESIC_CHALLAN.amount; ESIC_CHALLAN.payment_date vs due (15th)</t>
  </si>
  <si>
    <t xml:space="preserve">₹1 per IP (round-up rule); ₹0 days.</t>
  </si>
  <si>
    <t xml:space="preserve">ee = ceil(0.75% × wages) (0 if average daily wage ≤ ₹176); er = ceil(3.25% × wages); total_due = Σ(ee+er); delay_interest = total × 12% × delay_days/365</t>
  </si>
  <si>
    <t xml:space="preserve">1. Recompute contributions. 2. Match IPs. 3. Compare wages/days/contribution. 4. Employees crossing ₹21,000 mid contribution period remain covered till period end (continuation rule – round-1 PAY-015) – do not flag as excess. 5. Employees ≤ ceiling in payroll without IP → NOT_REGISTERED. 6. Challan vs total; date vs 15th; interest.</t>
  </si>
  <si>
    <t xml:space="preserve">MATCHED: matched; WAGE_DIFF: wage diff; DAYS_DIFF: days diff; CONTRIB_CALC_ERROR: contrib calc error; MISSING_IN_ESIC: missing in esic; MISSING_IN_PAYROLL: missing in payroll; NOT_REGISTERED: not registered; CHALLAN_DIFF: challan diff; PAID_LATE: paid late</t>
  </si>
  <si>
    <t xml:space="preserve">MATCHED=Low; WAGE_DIFF=High; DAYS_DIFF=Low; CONTRIB_CALC_ERROR=Medium; MISSING_IN_ESIC=Critical; MISSING_IN_PAYROLL=High; NOT_REGISTERED=Critical; CHALLAN_DIFF=High; PAID_LATE=High</t>
  </si>
  <si>
    <t xml:space="preserve">ee_rate_pct=0.75; er_rate_pct=3.25; wage_ceiling=21000; pwd_ceiling=25000; low_wage_daily=176; due_day=15; interest_pa_pct=12; wage_basis=CODE_s2_88_or_ESI_Act (CA decides)</t>
  </si>
  <si>
    <t xml:space="preserve">IP number 10 digits; days ≤ days in month; zero wages need reason code.</t>
  </si>
  <si>
    <t xml:space="preserve">ip_no, name, month, payroll_wages, esic_wages, payroll_ee, recomputed_ee, payroll_er, recomputed_er, diff, category, severity</t>
  </si>
  <si>
    <t xml:space="preserve">Emp A wages 18,500: EE ceil(138.75) = 139; ER ceil(601.25) = 602. ESIC file 18,500 → MATCHED. Emp B wages 20,000 payroll, ESIC file 15,000 → WAGE_DIFF 5,000 (contribution short 200). Challan month total due 1,02,350, paid 1,00,000 → CHALLAN_DIFF 2,350.</t>
  </si>
  <si>
    <t xml:space="preserve">Emp daily average 150 (≤176) → EE 0, ER 3.25% → MATCHED if file shows same.</t>
  </si>
  <si>
    <t xml:space="preserve">Emp wages 19,000 not in ESIC file → MISSING_IN_ESIC.</t>
  </si>
  <si>
    <t xml:space="preserve">Code wages (50% add-back) vs ESI Act wages – disputed; overtime inclusion; continuation period; contract labour via contractors.</t>
  </si>
  <si>
    <t xml:space="preserve">File/revise monthly contribution; pay difference with interest; register employees.</t>
  </si>
  <si>
    <t xml:space="preserve">def rc_pay_003(payroll, esic, challan, p):
    for e in payroll:
        exp_ee = 0 if e.wages/e.days &lt;= p.low_wage_daily else ceil2(e.wages*p.ee_rate_pct/100)
        exp_er = ceil2(e.wages*p.er_rate_pct/100)
        yield compare(e, esic.get((e.ip, e.month)), exp_ee, exp_er)
    yield from challan_check(esic, challan, p)</t>
  </si>
  <si>
    <t xml:space="preserve">ESIC – Contribution (rates, due date) | https://web.esic.gov.in/web/esic/contribution | 0.75% / 3.25%; due 15th; ₹176 exemption
TaxClue – Rule 19/20 Social Security (Central) Rules 2026 | https://taxclue.in/blog/rule-19-20-social-security-central-rules-2026-rate-of-contributions-and-administrative-expenses/ | ESI round-up</t>
  </si>
  <si>
    <t xml:space="preserve">Rates, ₹176 exemption, due date verified on ESIC site; round-up per secondary commentary on r.19. ESIC upload columns from secondary (PocketHRMS). Wage basis under Code disputed (round-1 open question).</t>
  </si>
  <si>
    <t xml:space="preserve">RC-PAY-004</t>
  </si>
  <si>
    <t xml:space="preserve">Payroll – Professional tax</t>
  </si>
  <si>
    <t xml:space="preserve">Professional tax – deducted in payroll vs PT return/challan vs state slab</t>
  </si>
  <si>
    <t xml:space="preserve">Recompute PT per employee per month from the state slab master; compare to payroll deduction, PT return totals and challan payment.</t>
  </si>
  <si>
    <t xml:space="preserve">PT_RET</t>
  </si>
  <si>
    <t xml:space="preserve">PT_CHALLAN</t>
  </si>
  <si>
    <t xml:space="preserve">month (or return period per state)</t>
  </si>
  <si>
    <t xml:space="preserve">Constitution Art. 276(2) (cap ₹2,500 p.a.); State PT Acts (e.g., Maharashtra 1975 Schedule Entry 1; Karnataka 1976 as amended 2025; WB 1979 with revision from 01-10-2026; Telangana 1987; Gujarat 1976) – round-1 PAY-018..024.</t>
  </si>
  <si>
    <t xml:space="preserve">Employers in states levying PT.</t>
  </si>
  <si>
    <t xml:space="preserve">Payroll with work-location state, gender, monthly salary for PT; state slab master (date-effective, special February amounts); PT return (slab-wise employee counts and tax); challan.</t>
  </si>
  <si>
    <t xml:space="preserve">PAYROLL_REG.state_of_work = PT_RET.state; PAYROLL_REG.pt_registration_no = PT_RET.registration_no; PAYROLL_REG.wage_month = PT_RET.period</t>
  </si>
  <si>
    <t xml:space="preserve">State codes; registration numbers upper-case.</t>
  </si>
  <si>
    <t xml:space="preserve">state + registration + month + slab.</t>
  </si>
  <si>
    <t xml:space="preserve">PAYROLL_REG.pt vs slab_pt; Σ PAYROLL_REG.pt by slab vs PT_RET.tax_amount; PT_RET.total_tax_payable vs PT_CHALLAN.total_amount; PT_CHALLAN.payment_date vs state due date</t>
  </si>
  <si>
    <t xml:space="preserve">₹0 (fixed amounts).</t>
  </si>
  <si>
    <t xml:space="preserve">expected_pt = slab(state, month, gender, salary); annual_check = Σ12 expected_pt ≤ 2,500</t>
  </si>
  <si>
    <t xml:space="preserve">1. Recompute per employee-month. 2. Compare to payroll. 3. Aggregate by slab; compare to return. 4. Compare return to challan; due date per state master. 5. Annual cap test.</t>
  </si>
  <si>
    <t xml:space="preserve">MATCHED: matched; DEDUCTION_DIFF: deduction diff; RETURN_DIFF: return diff; CHALLAN_DIFF: challan diff; PAID_LATE: paid late; CAP_EXCEEDED: cap exceeded; STATE_MISSING: state missing</t>
  </si>
  <si>
    <t xml:space="preserve">MATCHED=Low; DEDUCTION_DIFF=Medium; RETURN_DIFF=Medium; CHALLAN_DIFF=High; PAID_LATE=Medium; CAP_EXCEEDED=High; STATE_MISSING=Medium</t>
  </si>
  <si>
    <t xml:space="preserve">annual_cap_inr=2500; slab_master_version=2026-10</t>
  </si>
  <si>
    <t xml:space="preserve">State per employee present; slab master effective dates cover period.</t>
  </si>
  <si>
    <t xml:space="preserve">state, emp_code, month, salary, expected_pt, deducted_pt, return_pt, diff, category, severity</t>
  </si>
  <si>
    <t xml:space="preserve">Maharashtra male salary 30,000 (Feb): expected 300 (Feb) per secondary slab; payroll 200 → DEDUCTION_DIFF 100. Return March total 52,000 vs challan 50,000 → CHALLAN_DIFF 2,000.</t>
  </si>
  <si>
    <t xml:space="preserve">MH female salary 20,000 (non-Feb) → 200 deducted → MATCHED.</t>
  </si>
  <si>
    <t xml:space="preserve">Employee with 13 deductions in year totalling 2,700 → CAP_EXCEEDED.</t>
  </si>
  <si>
    <t xml:space="preserve">Work-location vs registered office state; mid-year state transfers; February higher deduction; WB revision from 01-10-2026.</t>
  </si>
  <si>
    <t xml:space="preserve">Correct payroll master; pay difference with state interest/penalty (state-specific – not researched).</t>
  </si>
  <si>
    <t xml:space="preserve">def rc_pay_004(payroll, ret, ch, master):
    for e in payroll: yield cmp(e.pt, master.pt(e.state, e.month, e.gender, e.salary))
    yield from slab_totals_vs_return(payroll, ret); yield from return_vs_challan(ret, ch, master)</t>
  </si>
  <si>
    <t xml:space="preserve">BankBazaar – Maharashtra PT slab | https://bankbazaar.com/tax/maharashtra-professional-tax-slab-rate.html | MH slab (secondary)</t>
  </si>
  <si>
    <t xml:space="preserve">State slabs from secondary sources (round-1). State due dates and interest not verified – maintain in master.</t>
  </si>
  <si>
    <t xml:space="preserve">RC-PAY-005</t>
  </si>
  <si>
    <t xml:space="preserve">Payroll – Books</t>
  </si>
  <si>
    <t xml:space="preserve">Payroll GL (salary expense, PF/ESI/PT/TDS payables) vs payroll register</t>
  </si>
  <si>
    <t xml:space="preserve">Ensure monthly payroll journal in GL equals payroll register totals (gross, deductions, net pay, employer contributions) and payable ledgers clear on statutory payment.</t>
  </si>
  <si>
    <t xml:space="preserve">month</t>
  </si>
  <si>
    <t xml:space="preserve">Accounting practice (Companies Act 2013 s.128 proper books); statutory dues reporting CARO 3(vii) (round-1 AUD-002).</t>
  </si>
  <si>
    <t xml:space="preserve">All employers.</t>
  </si>
  <si>
    <t xml:space="preserve">Mapping of GL ledgers to payroll components (salary &amp; wages, PF employer, ESI employer, admin charges, PF payable, ESI payable, PT payable, TDS on salary payable, salary payable).</t>
  </si>
  <si>
    <t xml:space="preserve">GL.ledger_name → payroll_component; GL.yyyy-mm of voucher_date (vs PAYROLL_REG.wage_month) = PAYROLL_REG.wage_month</t>
  </si>
  <si>
    <t xml:space="preserve">Ledger map maintained by CA.</t>
  </si>
  <si>
    <t xml:space="preserve">component + month.</t>
  </si>
  <si>
    <t xml:space="preserve">GL.salary_expense vs Σ PAYROLL_REG.gross_earnings; GL.pf_payable_credit vs Σ (EE+ER PF + admin/EDLI); GL.esi_payable_credit vs Σ (EE+ER ESI); GL.pt_payable vs Σ PT; GL.tds_salary_payable vs Σ TDS; GL.net_salary_payable vs Σ net pay; GL payable debits (payments) vs BANK_BOOK payments</t>
  </si>
  <si>
    <t xml:space="preserve">₹10 per component per month (implementation).</t>
  </si>
  <si>
    <t xml:space="preserve">diff_c = GL_c − payroll_c; payable_closing = opening + credits − payments → should be ≈ current month dues only</t>
  </si>
  <si>
    <t xml:space="preserve">1. Map ledgers. 2. Compare components. 3. Roll-forward payables; closing balance should equal unpaid current-month dues; older balances → OLD_BALANCE (possible non-payment, CARO 3(vii)). 4. Net pay vs bank salary transfers.</t>
  </si>
  <si>
    <t xml:space="preserve">MATCHED: matched; COMPONENT_DIFF: component diff; PAYABLE_NOT_CLEARED: payable not cleared; OLD_BALANCE: &gt;6 months; NET_PAY_DIFF: net pay diff</t>
  </si>
  <si>
    <t xml:space="preserve">MATCHED=Low; COMPONENT_DIFF=Medium; PAYABLE_NOT_CLEARED=High; OLD_BALANCE=Critical; NET_PAY_DIFF=High</t>
  </si>
  <si>
    <t xml:space="preserve">tolerance_inr=10; old_balance_months=6</t>
  </si>
  <si>
    <t xml:space="preserve">Ledger map complete; payroll months complete.</t>
  </si>
  <si>
    <t xml:space="preserve">month, component, gl_amount, payroll_amount, diff, payable_closing, age, category, severity</t>
  </si>
  <si>
    <t xml:space="preserve">June: payroll gross 25,00,000; GL salary 24,50,000 → COMPONENT_DIFF 50,000 (bonus posted to separate ledger not mapped). PF payable closing 31-03 includes Sept balance 12,000 → OLD_BALANCE.</t>
  </si>
  <si>
    <t xml:space="preserve">All components equal → MATCHED.</t>
  </si>
  <si>
    <t xml:space="preserve">Net pay 18,00,000 vs bank salary payments 17,40,000 → NET_PAY_DIFF 60,000 (unpaid salaries/hold).</t>
  </si>
  <si>
    <t xml:space="preserve">Provisions vs actual; reimbursements; off-cycle payments; contractor wages; admin charges booked separately.</t>
  </si>
  <si>
    <t xml:space="preserve">Map ledgers; pass rectification; list old statutory dues for CARO 3(vii)(a).</t>
  </si>
  <si>
    <t xml:space="preserve">def rc_pay_005(gl, payroll, bank, lmap):
    for m in months: 
        for c in COMPONENTS: yield cmp(gl.sum(lmap[c], m), payroll.sum(c, m))
    yield from rollforward_payables(gl, lmap)</t>
  </si>
  <si>
    <t xml:space="preserve">TaxGuru – summary of CARO 2020 clauses &amp; Schedule III amendments | https://taxguru.in/company-law/summary-clauses-caro-2020-consequential-amendments-schedule-iii-companies-act-2013.html | 3(ii)(b)</t>
  </si>
  <si>
    <t xml:space="preserve">Professional practice; no statutory format.</t>
  </si>
  <si>
    <t xml:space="preserve">RC-PAY-006</t>
  </si>
  <si>
    <t xml:space="preserve">Payroll – Income tax</t>
  </si>
  <si>
    <t xml:space="preserve">Employee PF/ESI contribution deposit date vs statutory due date – s.36(1)(va) disallowance</t>
  </si>
  <si>
    <t xml:space="preserve">Identify employees' contributions (PF EE share, ESI EE share) deducted from salary but deposited after the due date under the respective Act/Scheme, which are taxable income (s.2(24)(x)) and not deductible (s.36(1)(va)) even if paid before ITR due date.</t>
  </si>
  <si>
    <t xml:space="preserve">wage month; financial year aggregate</t>
  </si>
  <si>
    <t xml:space="preserve">IT Act 1961 s.2(24)(x), s.36(1)(va) Explanation 2, s.43B Explanation 5 (Finance Act 2021); Checkmate Services (P) Ltd v CIT (SC, 2022). IT Act 2025: s.29(1)(e) per secondary mapping (round-1 PAY-035). Form 3CD cl.20(b).</t>
  </si>
  <si>
    <t xml:space="preserve">Employers deducting employee PF/ESI contributions.</t>
  </si>
  <si>
    <t xml:space="preserve">Outputs of RC-PAY-002/003 (payment dates); payroll EE share by month.</t>
  </si>
  <si>
    <t xml:space="preserve">PAYROLL_REG.wage_month = EPF_CHALLAN.wage_month; PAYROLL_REG.wage_month = ESIC_CHALLAN.contribution_period</t>
  </si>
  <si>
    <t xml:space="preserve">Month 'YYYY-MM'.</t>
  </si>
  <si>
    <t xml:space="preserve">month and fund.</t>
  </si>
  <si>
    <t xml:space="preserve">EPF_CHALLAN.payment_date vs due_date; ESIC_CHALLAN.payment_date vs due_date; Σ EE share received vs Σ EE deposited by due date</t>
  </si>
  <si>
    <t xml:space="preserve">0 days (strict per SC); ₹1 amount.</t>
  </si>
  <si>
    <t xml:space="preserve">disallow = Σ EE_share(month) where deposit_date &gt; due_date(month) (+ EE share never deposited)</t>
  </si>
  <si>
    <t xml:space="preserve">1. For each month and fund, get EE share and deposit date (bank realisation). 2. Due date: 15th of next month (PF &amp; ESI). 3. If late or partly paid, disallow late/unpaid EE portion. 4. Sum for FY; compare with 3CD cl.20(b) reported values.</t>
  </si>
  <si>
    <t xml:space="preserve">ON_TIME: on time; LATE_DISALLOW: late disallow; UNPAID_DISALLOW: unpaid disallow; REPORTED_DIFF: 3CD cl.20(b) differs from computed</t>
  </si>
  <si>
    <t xml:space="preserve">ON_TIME=Low; LATE_DISALLOW=High; UNPAID_DISALLOW=Critical; REPORTED_DIFF=High</t>
  </si>
  <si>
    <t xml:space="preserve">due_day=15; grace_days=0</t>
  </si>
  <si>
    <t xml:space="preserve">Payment date from bank statement where available.</t>
  </si>
  <si>
    <t xml:space="preserve">fund, wage_month, ee_share, due_date, deposit_date, days_late, disallowed, category, severity</t>
  </si>
  <si>
    <t xml:space="preserve">PF May-2025 EE 1,20,000 paid 25-06-2025 (due 15-06) → LATE_DISALLOW 1,20,000. ESI June EE 9,000 paid 12-07 → ON_TIME. FY disallowance 1,20,000.</t>
  </si>
  <si>
    <t xml:space="preserve">All months paid by 15th → nil.</t>
  </si>
  <si>
    <t xml:space="preserve">PF paid 16th (holiday on 15th) → LATE_DISALLOW unless CA sets grace_days (no statutory holiday rule verified).</t>
  </si>
  <si>
    <t xml:space="preserve">Grace period (5 days) earlier allowed by EPFO – withdrawn (established practice, not verified); payment initiated vs realised; arrear contributions.</t>
  </si>
  <si>
    <t xml:space="preserve">Report in 3CD cl.20(b); add back in computation.</t>
  </si>
  <si>
    <t xml:space="preserve">def rc_pay_006(payroll, epf, esi, p):
    for fund, ch in (('PF', epf), ('ESI', esi)):
        for m, ee in payroll.ee_share_by_month(fund):
            d = ch.deposit_date(m)
            if not d: yield cat('UNPAID_DISALLOW', fund, m, ee)
            elif d &gt; due(m, p): yield cat('LATE_DISALLOW', fund, m, ee)</t>
  </si>
  <si>
    <t xml:space="preserve">CaseMine – SC affirms disallowance of late employee contributions u/s 36(1)(va) | https://www.casemine.com/commentary/in/supreme-court-affirmation-on-disallowance-of-late-employee-contributions-under-section-36(1)(va)/view | Checkmate Services (SC 2022)
TaxGuru – PF/ESI deduction denied where employees' contribution deposited after statutory due date | https://taxguru.in/income-tax/pf-esi-deduction-denied-employees-contribution-deposited-statutory-due-date.html | 
eztax – Income-tax Act 2025 section 29 | https://eztax.in/income-tax-act-2025/section-29 | employee contribution (secondary)</t>
  </si>
  <si>
    <t xml:space="preserve">SC judgment via secondary commentary; 2025 Act mapping secondary.</t>
  </si>
  <si>
    <t xml:space="preserve">RC-PAY-007</t>
  </si>
  <si>
    <t xml:space="preserve">Payroll – Labour Codes</t>
  </si>
  <si>
    <t xml:space="preserve">Code on Wages 50% wage-definition check – payroll wage components vs statutory 'wages' used for PF/ESI/gratuity</t>
  </si>
  <si>
    <t xml:space="preserve">For each employee-month, compute statutory wages = included components + excess of excluded components over 50% of total remuneration, and compare with the PF/ESI wage base used in payroll/ECR.</t>
  </si>
  <si>
    <t xml:space="preserve">Code on Wages 2019 s.2(y) and proviso; Code on Social Security 2020 s.2(88) and proviso (in force 21-11-2025 per S.O. 5319(E)/5322(E)); MoLE FAQs 16-03-2026 (clarification) – round-1 PAY-001/002.</t>
  </si>
  <si>
    <t xml:space="preserve">All employers from 21-11-2025.</t>
  </si>
  <si>
    <t xml:space="preserve">2025-11-21</t>
  </si>
  <si>
    <t xml:space="preserve">Payroll component master tagging each pay head as INCLUDED (basic, DA, retaining allowance) or EXCLUDED (HRA, conveyance, overtime, commission, bonus, employer PF etc.) – CA-maintained from the bare Act.</t>
  </si>
  <si>
    <t xml:space="preserve">As RC-PAY-001.</t>
  </si>
  <si>
    <t xml:space="preserve">employee + month.</t>
  </si>
  <si>
    <t xml:space="preserve">computed_code_wages vs PAYROLL_REG.pf_wages; computed_code_wages vs ECR.epf_wages (before ceiling)</t>
  </si>
  <si>
    <t xml:space="preserve">₹1.</t>
  </si>
  <si>
    <t xml:space="preserve">total = W_inc + W_exc; code_wages = W_inc + max(0, W_exc − 0.5 × total)</t>
  </si>
  <si>
    <t xml:space="preserve">1. Sum included and excluded components. 2. Compute add-back. 3. Compare with PF wage base (pre-ceiling) and ESI wage base. 4. Flag under-statement; note if employer restricts to ceiling the add-back may have no contribution effect.</t>
  </si>
  <si>
    <t xml:space="preserve">COMPLIANT: compliant; WAGES_UNDERSTATED: base below code wages; NO_EFFECT_CEILING: understated but contribution capped at ceiling anyway; COMPONENT_UNMAPPED: component unmapped</t>
  </si>
  <si>
    <t xml:space="preserve">COMPLIANT=Low; WAGES_UNDERSTATED=High; NO_EFFECT_CEILING=Low; COMPONENT_UNMAPPED=Medium</t>
  </si>
  <si>
    <t xml:space="preserve">exclusion_cap_pct=50; apply_from=2025-11-21</t>
  </si>
  <si>
    <t xml:space="preserve">Every pay head tagged.</t>
  </si>
  <si>
    <t xml:space="preserve">emp, month, w_inc, w_exc, total, code_wages, payroll_pf_wages, diff, contribution_effect, category, severity</t>
  </si>
  <si>
    <t xml:space="preserve">CTC components: basic 20,000; HRA 15,000; special allowance 15,000 → total 50,000; excluded 30,000; 50% = 25,000; add-back 5,000 → code wages 25,000. Payroll PF wages 20,000 → WAGES_UNDERSTATED 5,000; if restricted to ₹15,000 ceiling (pre 17-09-2026) → NO_EFFECT_CEILING.</t>
  </si>
  <si>
    <t xml:space="preserve">Basic 30,000, HRA 10,000 → excluded 10,000 ≤ 20,000 → code wages 30,000 = PF wages → COMPLIANT.</t>
  </si>
  <si>
    <t xml:space="preserve">Unmapped 'Flexi pay' head → COMPONENT_UNMAPPED.</t>
  </si>
  <si>
    <t xml:space="preserve">Special allowance treated as excluded; in-kind remuneration; gratuity base.</t>
  </si>
  <si>
    <t xml:space="preserve">Restructure wage base; compute arrears from 21-11-2025 if required (CA judgement).</t>
  </si>
  <si>
    <t xml:space="preserve">def rc_pay_007(payroll, cmap):
    for e in payroll:
        inc = sum(v for k,v in e.heads.items() if cmap[k]=='INC'); exc = sum(v for k,v in e.heads.items() if cmap[k]=='EXC')
        cw = inc + max(0, exc - 0.5*(inc+exc))
        yield cmp(cw, e.pf_wages_pre_ceiling)</t>
  </si>
  <si>
    <t xml:space="preserve">KS&amp;K – 50% wage rule under Labour Codes | https://ksandk.com/labour-employment/50-wage-rule-labour-codes-salary-pf-gratuity/ | 50% wage definition
SGCMS – FAQs by EPFO: wage ceiling raised to ₹25,000 | https://www.sgcms.com/regulatory-updates/faqs-by-epfo-wage-ceiling-raised-to-25000/ | ceiling ₹25,000 from 17-09-2026; Sep-2026 split</t>
  </si>
  <si>
    <t xml:space="preserve">Section text not opened on official site (round-1 PAY-002). Inclusion list must be confirmed from bare Act.</t>
  </si>
  <si>
    <t xml:space="preserve">RC-PAY-008</t>
  </si>
  <si>
    <t xml:space="preserve">Payroll – Provisions</t>
  </si>
  <si>
    <t xml:space="preserve">Gratuity and bonus provisions in TB vs computed liability</t>
  </si>
  <si>
    <t xml:space="preserve">Compare gratuity provision (or actuarial valuation figure) and statutory bonus provision in books with an independent computation from payroll data, and check payments within statutory time.</t>
  </si>
  <si>
    <t xml:space="preserve">financial year (balance sheet date)</t>
  </si>
  <si>
    <t xml:space="preserve">Gratuity: Payment of Gratuity Act 1972 s.4 / SS Code s.53 (15 days per year; 15/26; ceiling ₹20 lakh – round-1 PAY-026/027). Bonus: Payment of Bonus Act 1965 / Code on Wages Chapter IV (eligibility ₹21,000; calculation ceiling ₹7,000 or minimum wage; 8.33%-20% – round-1 PAY-030). AS 15 / Ind AS 19 for valuation (actuarial).</t>
  </si>
  <si>
    <t xml:space="preserve">Employers covered by gratuity/bonus provisions.</t>
  </si>
  <si>
    <t xml:space="preserve">Employee master (DOJ, last drawn wages per s.2(88)/PG Act, status, fixed-term flag); payroll monthly wages for bonus; TB provision ledgers; actuarial report figure (optional).</t>
  </si>
  <si>
    <t xml:space="preserve">TB.ledger_name = 'Provision for gratuity' / 'Provision for bonus' (mapped)</t>
  </si>
  <si>
    <t xml:space="preserve">Ledger mapping.</t>
  </si>
  <si>
    <t xml:space="preserve">company total; employee-level computation.</t>
  </si>
  <si>
    <t xml:space="preserve">TB.gratuity_provision vs computed_gratuity_obligation (or actuarial DBO); TB.bonus_provision vs computed_bonus</t>
  </si>
  <si>
    <t xml:space="preserve">5% (gratuity – actuarial vs arithmetic differs; implementation choice); ₹100 bonus.</t>
  </si>
  <si>
    <t xml:space="preserve">gratuity_i = min(last_wages_i × 15/26 × completed_years_i (6+ months rounded up), ceiling) for eligible employees (5 years; fixed-term 1 year under Code); bonus_i = Σ_m min(W_m, max(7000, MW_m)) × rate (min 8.33%) for eligible (wages ≤ 21,000)</t>
  </si>
  <si>
    <t xml:space="preserve">1. Compute arithmetic gratuity (undiscounted) per employee. 2. Compare with provision / actuarial DBO; large gap → flag. 3. Compute minimum bonus; compare provision. 4. Check payments of gratuity within 30 days of becoming payable and bonus within statutory time (8 months – PB Act).</t>
  </si>
  <si>
    <t xml:space="preserve">REASONABLE: reasonable; UNDER_PROVIDED: under provided; OVER_PROVIDED: over provided; NO_PROVISION: no provision; ACTUARIAL_REQUIRED: Ind AS/AS 15 entity using arithmetic method</t>
  </si>
  <si>
    <t xml:space="preserve">REASONABLE=Low; UNDER_PROVIDED=High; OVER_PROVIDED=Low; NO_PROVISION=Critical; ACTUARIAL_REQUIRED=Medium</t>
  </si>
  <si>
    <t xml:space="preserve">gratuity_ceiling_inr=2000000; bonus_min_pct=8.33; bonus_eligibility_inr=21000; bonus_calc_floor_inr=7000; gratuity_tolerance_pct=5</t>
  </si>
  <si>
    <t xml:space="preserve">DOJ present; wage basis defined.</t>
  </si>
  <si>
    <t xml:space="preserve">item, provision_tb, computed, actuarial, diff, category, severity</t>
  </si>
  <si>
    <t xml:space="preserve">Emp G: wages 52,000, service 7 years 8 months → 8 years → 52,000 × 15/26 × 8 = 2,40,000. Total computed 48,00,000; TB provision 30,00,000; actuarial DBO 42,00,000 → UNDER_PROVIDED vs actuarial 12,00,000. Bonus: eligible staff base 7,000 × 12 × 40 employees × 8.33% = 2,79,888; provision 2,00,000 → UNDER_PROVIDED 79,888.</t>
  </si>
  <si>
    <t xml:space="preserve">Provision within 5% of actuarial → REASONABLE.</t>
  </si>
  <si>
    <t xml:space="preserve">No bonus provision with eligible employees → NO_PROVISION.</t>
  </si>
  <si>
    <t xml:space="preserve">Using arithmetic not actuarial; 50% wage rule raising gratuity base from 21-11-2025; fixed-term employees; set-on/set-off for bonus.</t>
  </si>
  <si>
    <t xml:space="preserve">Recommend actuarial valuation update; disclose past-service cost from Code change (CA judgement).</t>
  </si>
  <si>
    <t xml:space="preserve">def rc_pay_008(tb, emp, payroll, p):
    g = sum(min(e.wages*15/26*years(e), p.gratuity_ceiling_inr) for e in emp if eligible(e))
    b = sum(bonus(e, payroll, p) for e in emp if e.wages&lt;=p.bonus_eligibility_inr)
    yield cmp_pct(tb.gratuity, g); yield cmp(tb.bonus, b)</t>
  </si>
  <si>
    <t xml:space="preserve">LKS – Gratuity guide 2025 | https://employmentlaw.lkslaw.com/gratuity-guide-2025 | 15/26 formula; ceiling
SCC Online – Bonus rules under Code on Wages | https://www.scconline.com/blog/post/2026/08/26/bonus-rules-under-code-on-wages-eligibility-calculation/ | eligibility ₹21,000; calc ceiling ₹7,000/min wage</t>
  </si>
  <si>
    <t xml:space="preserve">Gratuity ceiling under Code and bonus notification numbers not verified (round-1 open questions).</t>
  </si>
  <si>
    <t xml:space="preserve">Bank statement vs bank book (BRS), TB vs GL vs FS, ageing vs control accounts, FAR, stock statements, MSME, related parties, duplicates.  Row 5 holds the YAML key for each column. Research date 13 October 2026. Every rule needs CA validation before use.</t>
  </si>
  <si>
    <t xml:space="preserve">RC-BNK-001</t>
  </si>
  <si>
    <t xml:space="preserve">Bank – BRS</t>
  </si>
  <si>
    <t xml:space="preserve">Bank statement vs bank book – auto-matching (UTR/cheque/amount/date window, many-to-one) and BRS</t>
  </si>
  <si>
    <t xml:space="preserve">Match every bank statement line with bank-book entries using reference keys and date windows, support one-to-many/many-to-one matches, and produce the bank reconciliation statement with categorised unreconciled items.</t>
  </si>
  <si>
    <t xml:space="preserve">month (BRS date = month end) with carry-forward of open items</t>
  </si>
  <si>
    <t xml:space="preserve">Professional practice (ICAI Standards on Auditing; Companies Act 2013 s.128 books of account) – no statutory format; RBI cheque validity 3 months (RBI/2011-12/251) for stale cheques (round-1 BRS-001..005).</t>
  </si>
  <si>
    <t xml:space="preserve">All entities with bank accounts.</t>
  </si>
  <si>
    <t xml:space="preserve">BANK_STMT (txn date, value date, narration, cheque no., ref no./UTR, debit, credit, balance); BANK_BOOK (voucher date, voucher no., party, instrument no., instrument date, UTR, receipt/payment amount); opening BRS open items.</t>
  </si>
  <si>
    <t xml:space="preserve">BANK_STMT.utr = BANK_BOOK.utr; BANK_STMT.cheque_ref_no = BANK_BOOK.instrument_no; BANK_STMT.amount = BANK_BOOK.amount; BANK_STMT.txn_date ≈ BANK_BOOK.voucher_date</t>
  </si>
  <si>
    <t xml:space="preserve">Amount to paise integers with sign convention (bank credit ↔ book receipt). Cheque no.: last 6 digits, strip leading zeros (implementation). UTR/RRN extracted from narration by regex (NEFT 16 char, RTGS 22 char, IMPS/UPI 12-digit – industry conventions, configurable). Narration: upper-case, collapse spaces. Dates: value date preferred for electronic; txn date for cheques.</t>
  </si>
  <si>
    <t xml:space="preserve">Transaction; groups for many-to-one (sum of book entries = one bank line within window, e.g. bulk salary/vendor payments; or several bank lines = one book entry).</t>
  </si>
  <si>
    <t xml:space="preserve">BANK_STMT.amount vs BANK_BOOK.amount; BANK_STMT.txn_date vs BANK_BOOK.voucher_date; BANK_STMT.closing_balance vs BANK_BOOK.closing_balance (adjusted)</t>
  </si>
  <si>
    <t xml:space="preserve">Amount ₹0 for 1:1; ₹0 for group sums (implementation); date windows: electronic 0-3 days, cheques deposited 0-7 days, cheques issued 0-90 days (implementation choice; validity 3 months RBI).</t>
  </si>
  <si>
    <t xml:space="preserve">BRS: balance_per_book + cheques_issued_not_presented − cheques_deposited_not_credited + credits_in_bank_not_in_book − debits_in_bank_not_in_book = balance_per_bank (sign per Dr/Cr convention); unexplained = computed_bank − actual_bank</t>
  </si>
  <si>
    <t xml:space="preserve">1. Normalise. 2. Pass 1: exact UTR/cheque + amount → match (confidence 100). 3. Pass 2: amount + date window unique candidate → match (80); multiple → nearest date, flag AMBIGUOUS. 4. Pass 3: many-to-one subset-sum within window, limited to N ≤ 10 items per group (implementation) → suggest. 5. Pass 4: fuzzy party name in narration + amount (60) → suggest only. 6. Classify open items into BRS categories. 7. Compute BRS; unexplained must be 0. 8. Ageing of open items; stale cheques (&gt; 3 months from instrument date).</t>
  </si>
  <si>
    <t xml:space="preserve">MATCHED: matched; MATCHED_GROUP: many-to-one; AMBIGUOUS: multiple candidates; CHQ_ISSUED_NOT_PRESENTED: chq issued not presented; CHQ_DEPOSITED_NOT_CLEARED: chq deposited not cleared; BANK_CREDIT_NOT_IN_BOOKS: e.g. interest, direct receipts; BANK_DEBIT_NOT_IN_BOOKS: charges, ECS, TDS 194N; AMOUNT_DIFF: same reference different amount; STALE_CHEQUE: stale cheque; BRS_UNEXPLAINED: brs unexplained</t>
  </si>
  <si>
    <t xml:space="preserve">MATCHED=Low; MATCHED_GROUP=Low; AMBIGUOUS=Medium; CHQ_ISSUED_NOT_PRESENTED=Low; CHQ_DEPOSITED_NOT_CLEARED=Medium; BANK_CREDIT_NOT_IN_BOOKS=High; BANK_DEBIT_NOT_IN_BOOKS=High; AMOUNT_DIFF=High; STALE_CHEQUE=Medium; BRS_UNEXPLAINED=Critical</t>
  </si>
  <si>
    <t xml:space="preserve">window_electronic_days=3; window_chq_deposit_days=7; window_chq_issue_days=90; group_max_items=10; fuzzy_threshold=0.8; stale_months=3</t>
  </si>
  <si>
    <t xml:space="preserve">Statement running balance continuity (opening + Σcr − Σdr = closing each line); statement account number = book bank ledger account; no duplicate statement lines (same date/amount/ref/balance).</t>
  </si>
  <si>
    <t xml:space="preserve">brs_date, account, match_id, stmt_line_ids, book_voucher_ids, amount, confidence, category, age_days, severity, brs_summary (book balance, adjustments by category, bank balance, unexplained)</t>
  </si>
  <si>
    <t xml:space="preserve">Book: V1 pay vendor NEFT UTR N123 ₹50,000 (30-06); V2 cheque 000452 ₹20,000 issued 28-06; V3 receipt cheque 778899 ₹35,000 deposited 30-06; V4 salary 10 entries totalling ₹3,00,000. Bank: NEFT N123 ₹50,000 30-06 → MATCHED; bulk debit 'SALARY JUNE' ₹3,00,000 01-07 → MATCHED_GROUP; interest credit ₹1,250 30-06 → BANK_CREDIT_NOT_IN_BOOKS; charges ₹590 → BANK_DEBIT_NOT_IN_BOOKS. Book balance 5,00,000 (Dr). BRS: 5,00,000 + 20,000 (V2 not presented) − 35,000 (V3 not cleared) + 1,250 − 590 = 4,85,660 = bank balance → unexplained 0.</t>
  </si>
  <si>
    <t xml:space="preserve">Cheque 000452 ₹20,000 presented 05-07 → matched next month; removed from open items.</t>
  </si>
  <si>
    <t xml:space="preserve">UTR N999 ₹10,000 in book, bank shows N999 ₹10,100 → AMOUNT_DIFF.</t>
  </si>
  <si>
    <t xml:space="preserve">Bulk payments; bank charges/GST; interest; returned cheques; duplicate entries; wrong bank ledger; post-dated cheques; UPI settlement net of MDR.</t>
  </si>
  <si>
    <t xml:space="preserve">Propose journal entries for bank-only items (interest → RC-BNK-003, charges → RC-BNK-002); reverse stale cheques; investigate unexplained.</t>
  </si>
  <si>
    <t xml:space="preserve">def rc_bnk_001(stmt, book, p):
    S, B = norm(stmt), norm(book)
    m = exact_ref_match(S, B) + window_match(S, B, p) + group_match(S, B, p) + fuzzy_suggest(S, B, p)
    open_items = classify_open(S, B, m, p)
    return m, open_items, brs(book.closing, open_items, stmt.closing)</t>
  </si>
  <si>
    <t xml:space="preserve">RBI notification – validity of cheques reduced to 3 months | https://www.rbi.org.in/commonman/English/scripts/Notification.aspx?Id=961 | RBI/2011-12/251</t>
  </si>
  <si>
    <t xml:space="preserve">Only the 3-month cheque validity is regulatory; algorithm/windows/regex are implementation choices (round-1 BRS-001).</t>
  </si>
  <si>
    <t xml:space="preserve">RC-BNK-002</t>
  </si>
  <si>
    <t xml:space="preserve">Bank – Charges</t>
  </si>
  <si>
    <t xml:space="preserve">Bank charges and GST on bank charges – bank statement vs GL vs GSTR-2B</t>
  </si>
  <si>
    <t xml:space="preserve">Ensure all bank charges debited by the bank are booked, GST component separated (input tax credit claimable only if reflected in GSTR-2B against the bank's GSTIN invoice), and rates are consistent.</t>
  </si>
  <si>
    <t xml:space="preserve">CGST Act s.16(2)(aa) (ITC subject to GSTR-2B) – round-1 GST module; GST rate on bank services 18% per secondary source (notification not verified).</t>
  </si>
  <si>
    <t xml:space="preserve">All entities registered under GST with bank accounts.</t>
  </si>
  <si>
    <t xml:space="preserve">Bank statement lines identified as charges (narration keywords: CHGS, CHARGES, COMMISSION, SMS, AMC, GST, IGST, CGST, SGST, DEBIT CARD FEE …); GL bank charges and GST input ledgers; GSTR-2B B2B entries where supplier GSTIN = bank's GSTIN.</t>
  </si>
  <si>
    <t xml:space="preserve">BANK_STMT.txn_date ≈ GL.voucher_date; BANK_STMT.amount = GL.debit on bank-charges ledger line; GSTR2B.supplier_gstin = PARTY_MASTER.gstin</t>
  </si>
  <si>
    <t xml:space="preserve">Keyword dictionary (implementation, configurable); bank GSTIN from party master.</t>
  </si>
  <si>
    <t xml:space="preserve">month + bank account.</t>
  </si>
  <si>
    <t xml:space="preserve">Σ BANK_STMT.charges vs Σ GL.bank_charges + Σ GL.gst_input_on_charges; Σ GL.gst_input_on_charges vs Σ GSTR2B.total_tax (bank GSTIN, month)</t>
  </si>
  <si>
    <t xml:space="preserve">₹1 per month (implementation).</t>
  </si>
  <si>
    <t xml:space="preserve">implied_gst = charge_base × 18% (rate parameter); unbooked = Σ stmt charges − Σ GL booked; itc_gap = GL GST input − GSTR-2B tax</t>
  </si>
  <si>
    <t xml:space="preserve">1. Extract charge lines (and their GST lines – banks often debit GST separately). 2. Match to GL (RC-BNK-001 pass results). 3. Check GST split: GST lines ≈ 18% of base. 4. Compare GST input booked with GSTR-2B from bank. 5. Flag ITC claimed without 2B.</t>
  </si>
  <si>
    <t xml:space="preserve">MATCHED: matched; CHARGES_NOT_BOOKED: charges not booked; GST_NOT_SEPARATED: GST booked as expense; ITC_NOT_IN_2B: itc not in 2b; RATE_ANOMALY: GST ≠ 18% of base</t>
  </si>
  <si>
    <t xml:space="preserve">MATCHED=Low; CHARGES_NOT_BOOKED=Medium; GST_NOT_SEPARATED=Low; ITC_NOT_IN_2B=Medium; RATE_ANOMALY=Low</t>
  </si>
  <si>
    <t xml:space="preserve">gst_rate_pct=18; keywords=CHGS,CHARGES,COMM,SMS,AMC,FEE,GST,IGST,CGST,SGST</t>
  </si>
  <si>
    <t xml:space="preserve">Bank GSTIN known; 2B months loaded.</t>
  </si>
  <si>
    <t xml:space="preserve">month, account, stmt_charges, stmt_gst, gl_charges, gl_gst, gstr2b_gst, diff, category, severity</t>
  </si>
  <si>
    <t xml:space="preserve">July: stmt charges 500 + IGST 90 = 590; GL bank charges 590 (no GST split) → GST_NOT_SEPARATED (ITC 90 foregone). GSTR-2B from bank shows IGST 90.</t>
  </si>
  <si>
    <t xml:space="preserve">GL charges 500, GST input 90, 2B 90 → MATCHED.</t>
  </si>
  <si>
    <t xml:space="preserve">GL GST input 180 but 2B shows 90 → ITC_NOT_IN_2B 90.</t>
  </si>
  <si>
    <t xml:space="preserve">Bank GSTIN in another state; banks issuing consolidated invoices; charges reversed.</t>
  </si>
  <si>
    <t xml:space="preserve">Book charges; reclassify GST to input; restrict ITC to 2B (GST module).</t>
  </si>
  <si>
    <t xml:space="preserve">def rc_bnk_002(stmt, gl, g2b, p):
    for m in months:
        ch = [l for l in stmt.lines(m) if is_charge(l, p.keywords)]
        yield cmp(sum(ch), gl.charges(m)+gl.gst_on_charges(m)); yield cmp(gl.gst_on_charges(m), g2b.tax(bank_gstin, m))</t>
  </si>
  <si>
    <t xml:space="preserve">Bajaj Finserv – GST on bank account services | https://www.bajajfinserv.in/gst-on-bank-account | 18% on bank service charges (secondary, no notification cited)</t>
  </si>
  <si>
    <t xml:space="preserve">18% GST rate from secondary source; GST notification entry not verified – keep as parameter.</t>
  </si>
  <si>
    <t xml:space="preserve">RC-BNK-003</t>
  </si>
  <si>
    <t xml:space="preserve">Bank – Interest</t>
  </si>
  <si>
    <t xml:space="preserve">Interest credited by bank vs books vs 26AS s.194A</t>
  </si>
  <si>
    <t xml:space="preserve">Reconcile interest credited in bank statements (savings, FD, sweep) with interest income booked (including accrued interest on FDs) and with 26AS 194A amounts/TDS by bank TAN.</t>
  </si>
  <si>
    <t xml:space="preserve">financial year (quarter for 26AS)</t>
  </si>
  <si>
    <t xml:space="preserve">IT Act 1961 s.194A (bank thresholds ₹50,000 / ₹1,00,000 senior citizen from 01-04-2025) / IT Act 2025 s.393(1) Table Sl.5(ii) (round-1 TDS-007); credit Rule 37BA.</t>
  </si>
  <si>
    <t xml:space="preserve">All entities with interest-bearing bank deposits.</t>
  </si>
  <si>
    <t xml:space="preserve">Bank statement interest lines (keywords INT, INTEREST, INT.PD, CR INT); FD statements/interest certificates; GL interest income &amp; accrued interest ledgers; 26AS rows for bank TAN section 194A.</t>
  </si>
  <si>
    <t xml:space="preserve">BANK_STMT.bank_tan = F26AS.deductor_tan; BANK_STMT.interest_month = GL.voucher_month</t>
  </si>
  <si>
    <t xml:space="preserve">Map each bank account to bank TAN (CA-maintained); keywords configurable.</t>
  </si>
  <si>
    <t xml:space="preserve">bank (TAN) + FY.</t>
  </si>
  <si>
    <t xml:space="preserve">Σ BANK_STMT.interest_credit + TDS debited vs GL.interest_income (cash component); GL.interest_income (incl. accrued) vs F26AS.amount_paid_credited (bank TAN); F26AS.tax_deducted where deductor_tan = bank TAN and section_code = '194A' vs BANK_STMT.tds_debits</t>
  </si>
  <si>
    <t xml:space="preserve">₹100 per bank per FY (implementation).</t>
  </si>
  <si>
    <t xml:space="preserve">gross_interest_bank = net_credited + tds_debited (if bank credits net); diff_books = GL.interest − gross_interest_bank − accrual_adjustment; diff_26as = F26AS.amount − GL.interest</t>
  </si>
  <si>
    <t xml:space="preserve">1. Extract interest and TDS lines. 2. Gross-up. 3. Compare with GL (cash) and (accrual – FD accrued interest reported by bank in 26AS on accrual basis per bank practice). 4. Compare with 26AS amount and TDS. 5. Flag interest in 26AS for accounts not in books (unknown FD/account).</t>
  </si>
  <si>
    <t xml:space="preserve">MATCHED: matched; INTEREST_NOT_BOOKED: interest not booked; ACCRUAL_TIMING: accrual timing; DIFF_26AS: diff 26as; UNKNOWN_ACCOUNT_INTEREST: unknown account interest; TDS_NOT_BOOKED: tds not booked</t>
  </si>
  <si>
    <t xml:space="preserve">MATCHED=Low; INTEREST_NOT_BOOKED=High; ACCRUAL_TIMING=Low; DIFF_26AS=Medium; UNKNOWN_ACCOUNT_INTEREST=Critical; TDS_NOT_BOOKED=Medium</t>
  </si>
  <si>
    <t xml:space="preserve">tolerance_inr=100; keywords=INT,INTEREST,INT.PD,CR INT</t>
  </si>
  <si>
    <t xml:space="preserve">All bank accounts mapped to TAN; FD register loaded.</t>
  </si>
  <si>
    <t xml:space="preserve">bank, tan, stmt_interest_gross, gl_interest, f26as_amount, f26as_tds, books_tds, diff, category, severity</t>
  </si>
  <si>
    <t xml:space="preserve">Bank X: SB interest 12,000 + FD interest credited 90,000 (TDS 9,000 debited) → gross 1,11,000; GL interest 1,02,000 → INTEREST_NOT_BOOKED 9,000 (TDS not grossed up → also TDS_NOT_BOOKED). 26AS shows 1,25,000 (includes FD accrual 14,000 not yet credited) → ACCRUAL_TIMING.</t>
  </si>
  <si>
    <t xml:space="preserve">Gross 50,000 = GL 50,000 = 26AS 50,000 → MATCHED.</t>
  </si>
  <si>
    <t xml:space="preserve">26AS shows bank TAN Y interest 20,000; no account with bank Y → UNKNOWN_ACCOUNT_INTEREST.</t>
  </si>
  <si>
    <t xml:space="preserve">Banks report accrued FD interest; sweep deposits; joint accounts; interest on tax refunds (separate in 26AS).</t>
  </si>
  <si>
    <t xml:space="preserve">Book interest/accrual and TDS receivable; follow-up unknown accounts (possible undisclosed accounts).</t>
  </si>
  <si>
    <t xml:space="preserve">def rc_bnk_003(stmt, gl, f26as, tanmap):
    for tan, accts in tanmap.items():
        gross = sum(interest(stmt, a)) + sum(tds_debits(stmt, a))
        yield classify(gross, gl.interest(accts), f26as.sum(tan, '194A'))</t>
  </si>
  <si>
    <t xml:space="preserve">Income-tax Act 2025 – section 393 (TDS table) | https://www.incometaxindia.gov.in/w/section-393-6 | s.393(1)-(4)
Income-tax Rules 1962 – Rule 37BA (credit for TDS) | https://www.incometaxindia.gov.in/w/rule-37ba | Rule 37BA(1)-(3)
TDSMAN – FAQ on Form 26AS (booking status F/O/U/P) | https://blog.tdsman.com/2018/09/faq-on-form-26as-2/ | booking status codes; Parts A/A1/B/C/D/E</t>
  </si>
  <si>
    <t xml:space="preserve">Bank accrual reporting practice is established practice, not verified.</t>
  </si>
  <si>
    <t xml:space="preserve">RC-BNK-004</t>
  </si>
  <si>
    <t xml:space="preserve">Bank – Cash withdrawal TDS</t>
  </si>
  <si>
    <t xml:space="preserve">Cash withdrawals vs s.194N thresholds and 26AS 194N TDS</t>
  </si>
  <si>
    <t xml:space="preserve">Aggregate cash withdrawals per bank (all accounts with the same bank) for the FY, detect crossing of ₹1 crore (₹3 crore co-operative society; lower for non-filers for FY 2025-26) and verify TDS debited/reported in 26AS and booked as TDS receivable.</t>
  </si>
  <si>
    <t xml:space="preserve">financial year / tax year (cumulative per bank)</t>
  </si>
  <si>
    <t xml:space="preserve">IT Act 1961 s.194N incl. non-filer proviso (FY 2025-26); IT Act 2025 s.393(3) Table Sl.5 (non-filer proviso not seen – round-1 TDS-025).</t>
  </si>
  <si>
    <t xml:space="preserve">Account holders withdrawing cash (bank is deductor).</t>
  </si>
  <si>
    <t xml:space="preserve">Bank statements of all accounts; mapping accounts → bank/TAN; withdrawal keywords (CASH, CSH WDL, ATM, SELF); client filer status (3 preceding years for FY 2025-26 proviso); co-operative society flag.</t>
  </si>
  <si>
    <t xml:space="preserve">BANK_STMT.bank_tan = F26AS.deductor_tan; F26AS.section_code = '194N'</t>
  </si>
  <si>
    <t xml:space="preserve">Cash-withdrawal classification by keywords/channel (implementation).</t>
  </si>
  <si>
    <t xml:space="preserve">bank (all accounts) + FY cumulative by date.</t>
  </si>
  <si>
    <t xml:space="preserve">computed_194N_tds vs F26AS.tax_deducted where section_code = '194N' (194N); F26AS.tax_deducted where section_code = '194N' vs GL.tds_receivable_194N</t>
  </si>
  <si>
    <t xml:space="preserve">excess = max(0, cum_withdrawal − threshold); tds = 2% × excess (non-filer FY 2025-26: 2% on amount &gt; ₹20 lakh up to ₹1 crore, 5% above ₹1 crore)</t>
  </si>
  <si>
    <t xml:space="preserve">1. Sum cash withdrawals cumulatively per bank. 2. Identify crossing date. 3. Compute expected TDS. 4. Compare with bank debits and 26AS. 5. Ensure books record TDS receivable (claimable as credit) rather than expense.</t>
  </si>
  <si>
    <t xml:space="preserve">BELOW_THRESHOLD: below threshold; MATCHED: matched; TDS_NOT_IN_26AS: tds not in 26as; TDS_EXPENSED: TDS booked as bank charges; TDS_DIFF: tds diff</t>
  </si>
  <si>
    <t xml:space="preserve">BELOW_THRESHOLD=Low; MATCHED=Low; TDS_NOT_IN_26AS=Medium; TDS_EXPENSED=Medium; TDS_DIFF=Medium</t>
  </si>
  <si>
    <t xml:space="preserve">threshold_inr=10000000; threshold_coop_inr=30000000; nonfiler_lower_threshold_inr=2000000; rate_pct=2; nonfiler_rate_above_pct=5; nonfiler_applies_fy=2025-26</t>
  </si>
  <si>
    <t xml:space="preserve">All accounts with same bank included; filer status provided.</t>
  </si>
  <si>
    <t xml:space="preserve">bank, tan, cum_withdrawals, threshold, excess, expected_tds, bank_debited_tds, f26as_tds, books_tds, category, severity</t>
  </si>
  <si>
    <t xml:space="preserve">Bank A cash withdrawals FY 2025-26 total 1,30,00,000 (filer) → excess 30,00,000 → TDS 60,000; 26AS 194N 60,000; GL debit 'bank charges 60,000' → TDS_EXPENSED (reclass to TDS receivable).</t>
  </si>
  <si>
    <t xml:space="preserve">Withdrawals 80,00,000 → BELOW_THRESHOLD.</t>
  </si>
  <si>
    <t xml:space="preserve">Non-filer, withdrawals 50,00,000 FY 2025-26 → TDS 2% × 30,00,000 = 60,000 expected.</t>
  </si>
  <si>
    <t xml:space="preserve">Multiple accounts with same bank; ATM vs counter; tax year 2026-27 non-filer proviso uncertain.</t>
  </si>
  <si>
    <t xml:space="preserve">Reclassify TDS; claim credit; advise to use banking channels.</t>
  </si>
  <si>
    <t xml:space="preserve">def rc_bnk_004(stmts, f26as, gl, p):
    for bank, lines in group(cash_withdrawals(stmts), 'bank'):
        cum = sum(l.amount for l in lines)
        exp = tds_194n(cum, p)
        yield classify(exp, f26as.sum(bank.tan,'194N'), gl.tds_194n(bank))</t>
  </si>
  <si>
    <t xml:space="preserve">IDFC FIRST Bank – FAQs on cash withdrawal TDS (194N) | https://www.idfcfirst.bank.in/content/dam/IDFCFirstBank/PDF/TDS/FAQs_on_cash_withdrawal_TDS.pdf | aggregation across accounts with one bank; TDS on excess; shown in 26AS
Income Tax Dept tutorial – Section 194N | https://incometaxindia.gov.in/Tutorials/52.Section-194N.pdf | 194N
Income-tax Act 2025 – section 393 (TDS table) | https://www.incometaxindia.gov.in/w/section-393-6 | s.393(1)-(4)</t>
  </si>
  <si>
    <t xml:space="preserve">Aggregation across accounts with one bank and TDS on excess per bank FAQ (secondary) and ITD tutorial (round-1). Non-filer proviso under 2025 Act not seen – CA confirm.</t>
  </si>
  <si>
    <t xml:space="preserve">RC-BNK-005</t>
  </si>
  <si>
    <t xml:space="preserve">Bank – Cash deposits</t>
  </si>
  <si>
    <t xml:space="preserve">Large cash deposits in bank vs AIS SFT (SFT-003/004) and cash book</t>
  </si>
  <si>
    <t xml:space="preserve">Aggregate cash deposits per bank account for the FY, compare with AIS SFT cash-deposit entries and with cash-book withdrawals to the bank (contra), and flag deposits not supported by cash balance (possible unexplained credits).</t>
  </si>
  <si>
    <t xml:space="preserve">IT Act 1961 s.285BA / Rule 114E SFT (cash deposits ≥ ₹10 lakh in non-current accounts, ≥ ₹50 lakh in current accounts per secondary SFT list); ss.68/69 (unexplained credits – established law, not re-verified). 2025 Act equivalents not verified.</t>
  </si>
  <si>
    <t xml:space="preserve">All assessees depositing cash.</t>
  </si>
  <si>
    <t xml:space="preserve">Bank statements; AIS SFT-003/SFT-004 items with account reference; cash book.</t>
  </si>
  <si>
    <t xml:space="preserve">BANK_STMT.account_no(last digits) = AIS.account_number; BANK_STMT.cash_deposit_date = GL.cash_contra_date</t>
  </si>
  <si>
    <t xml:space="preserve">Masked account numbers – compare last 4 digits + bank name (implementation).</t>
  </si>
  <si>
    <t xml:space="preserve">account + FY; day for cash-book support.</t>
  </si>
  <si>
    <t xml:space="preserve">Σ BANK_STMT.cash_deposits vs AIS.reported_value; BANK_STMT.cash_deposit vs GL.cash_book_contra_credit (same day); GL.cash_balance_before_deposit ≥ deposit</t>
  </si>
  <si>
    <t xml:space="preserve">₹1,000 (AIS aggregation); ₹0 for cash sufficiency.</t>
  </si>
  <si>
    <t xml:space="preserve">aggregate = Σ cash deposits in FY; support_gap(day) = deposit − cash_balance_available(day−1 closing + same-day receipts)</t>
  </si>
  <si>
    <t xml:space="preserve">1. Identify cash deposits (keywords: CASH DEP, BY CASH, CDM). 2. Aggregate and compare with AIS. 3. For each deposit check cash book contra and available balance. 4. Flag unsupported deposits.</t>
  </si>
  <si>
    <t xml:space="preserve">MATCHED: matched; AIS_DIFF: ais diff; DEPOSIT_NOT_IN_CASHBOOK: deposit not in cashbook; CASH_INSUFFICIENT: cash insufficient; NOT_IN_AIS: informational – below threshold</t>
  </si>
  <si>
    <t xml:space="preserve">MATCHED=Low; AIS_DIFF=Medium; DEPOSIT_NOT_IN_CASHBOOK=High; CASH_INSUFFICIENT=Critical; NOT_IN_AIS=Low</t>
  </si>
  <si>
    <t xml:space="preserve">tolerance_inr=1000; keywords=CASH DEP,BY CASH,CDM,CASH DEPOSIT</t>
  </si>
  <si>
    <t xml:space="preserve">Cash book continuous; AIS FY matches.</t>
  </si>
  <si>
    <t xml:space="preserve">account, fy, stmt_cash_deposits, ais_amount, unsupported_amount, dates, category, severity</t>
  </si>
  <si>
    <t xml:space="preserve">SB account ****4321 cash deposits 14,50,000; AIS SFT-004 14,50,000 → MATCHED. Deposit 3,00,000 on 10-11-2025; cash book balance 09-11 1,20,000, no receipts → CASH_INSUFFICIENT 1,80,000.</t>
  </si>
  <si>
    <t xml:space="preserve">Deposit 50,000 with cash balance 2,00,000 → supported.</t>
  </si>
  <si>
    <t xml:space="preserve">Deposit 2,00,000 not recorded in cash book → DEPOSIT_NOT_IN_CASHBOOK.</t>
  </si>
  <si>
    <t xml:space="preserve">Cash receipts from sales booked late; deposits by customers directly; s.269ST cash receipts ≥ ₹2 lakh.</t>
  </si>
  <si>
    <t xml:space="preserve">Obtain explanation and evidence; check s.269ST (round-1 IT-019).</t>
  </si>
  <si>
    <t xml:space="preserve">def rc_bnk_005(stmt, ais, gl, p):
    for acct, deps in group(cash_deposits(stmt, p), 'account'):
        yield cmp(sum(deps), ais.sft(acct, ('SFT-003','SFT-004')))
        for d in deps: yield cash_support(d, gl.cash_book)</t>
  </si>
  <si>
    <t xml:space="preserve">TaxAJ – SFT codes in AIS | https://www.taxaj.com/learn/?p=304 | SFT-001..018 and thresholds (secondary)
Income Tax Department – Annual Information Statement | https://www.incometaxindia.gov.in/annual-information-statement | AIS Part A/B, TIS derived value, feedback options
Income Tax Department – Understanding Statement of Financial Transaction (SFT) | https://www.incometaxindia.gov.in/w/understanding-statement-of-financial-transaction-sft- | seen in search results only</t>
  </si>
  <si>
    <t xml:space="preserve">SFT thresholds from secondary source; ss.68/69 not re-verified.</t>
  </si>
  <si>
    <t xml:space="preserve">RC-BNK-006</t>
  </si>
  <si>
    <t xml:space="preserve">Bank – Year end</t>
  </si>
  <si>
    <t xml:space="preserve">Bank balance per books (TB) vs bank statement/confirmation at year end</t>
  </si>
  <si>
    <t xml:space="preserve">Ensure each bank ledger in the TB equals the adjusted BRS book balance and the bank statement/confirmation balance at the reporting date; negative book balances must be classified as borrowings (OD/CC) with limits.</t>
  </si>
  <si>
    <t xml:space="preserve">reporting date</t>
  </si>
  <si>
    <t xml:space="preserve">Schedule III (cash and cash equivalents; short-term borrowings incl. bank overdraft) – round-1 BRS-005; SA 505 external confirmations (professional practice).</t>
  </si>
  <si>
    <t xml:space="preserve">All entities.</t>
  </si>
  <si>
    <t xml:space="preserve">RC-BNK-001 BRS at year end; bank balance confirmations (if obtained).</t>
  </si>
  <si>
    <t xml:space="preserve">TB.ledger_name = BANK_BOOK.bank_ledger; BANK_BOOK.account_no = BANK_STMT.account_no</t>
  </si>
  <si>
    <t xml:space="preserve">Account number full; ledger-account mapping.</t>
  </si>
  <si>
    <t xml:space="preserve">bank account.</t>
  </si>
  <si>
    <t xml:space="preserve">TB.closing_balance vs BANK_BOOK.closing_balance; BRS.computed_bank_balance vs BANK_STMT.closing_balance; BANK_STMT.closing_balance vs confirmation_balance</t>
  </si>
  <si>
    <t xml:space="preserve">diff1 = TB − bank book; diff2 = BRS bank − statement; diff3 = statement − confirmation</t>
  </si>
  <si>
    <t xml:space="preserve">1. Compare TB vs bank book. 2. BRS unexplained (RC-BNK-001). 3. Statement vs confirmation. 4. Negative balances: check sanction/limit; classify as borrowing. 5. Accounts in statements/AIS not in TB → UNRECORDED_ACCOUNT.</t>
  </si>
  <si>
    <t xml:space="preserve">MATCHED: matched; TB_NE_BOOK: tb ne book; BRS_UNEXPLAINED: brs unexplained; CONFIRMATION_DIFF: confirmation diff; NEGATIVE_NO_LIMIT: negative no limit; UNRECORDED_ACCOUNT: unrecorded account</t>
  </si>
  <si>
    <t xml:space="preserve">MATCHED=Low; TB_NE_BOOK=High; BRS_UNEXPLAINED=Critical; CONFIRMATION_DIFF=High; NEGATIVE_NO_LIMIT=High; UNRECORDED_ACCOUNT=Critical</t>
  </si>
  <si>
    <t xml:space="preserve">Statement date = reporting date.</t>
  </si>
  <si>
    <t xml:space="preserve">account, tb_balance, book_balance, brs_bank, statement_balance, confirmation, diff, category, severity</t>
  </si>
  <si>
    <t xml:space="preserve">HDFC CA: TB 5,00,000 Dr; BRS gives 4,85,660 = statement → MATCHED. SBI CC: TB (−) 12,00,000 → classify as short-term borrowing; limit 15,00,000 → OK.</t>
  </si>
  <si>
    <t xml:space="preserve">All equal → MATCHED.</t>
  </si>
  <si>
    <t xml:space="preserve">Bank account seen in AIS interest/statement, absent in TB → UNRECORDED_ACCOUNT.</t>
  </si>
  <si>
    <t xml:space="preserve">Dormant accounts; FD sweep; closed accounts with charges.</t>
  </si>
  <si>
    <t xml:space="preserve">Adjust; reclassify; investigate unrecorded accounts.</t>
  </si>
  <si>
    <t xml:space="preserve">def rc_bnk_006(tb, book, stmt, brs, conf):
    for a in accounts: yield checks(tb[a], book[a], brs[a], stmt[a], conf.get(a))</t>
  </si>
  <si>
    <t xml:space="preserve">DPNC – Amendment in Schedule III (w.e.f. 01-04-2021) | https://www.dpncindia.com/amendment-in-schedule-iii-of-the-companies-act-2013-applicable-w-e-f-01-04-2021 | ageing schedules; ARI</t>
  </si>
  <si>
    <t xml:space="preserve">Professional practice.</t>
  </si>
  <si>
    <t xml:space="preserve">RC-ACC-001</t>
  </si>
  <si>
    <t xml:space="preserve">Accounting – TB integrity</t>
  </si>
  <si>
    <t xml:space="preserve">Trial balance vs general ledger totals (ledger-wise roll-forward)</t>
  </si>
  <si>
    <t xml:space="preserve">Prove that every TB ledger closing balance equals opening + Σ GL debits − Σ GL credits for the period, that TB debits = credits, and no GL ledger is missing from the TB.</t>
  </si>
  <si>
    <t xml:space="preserve">reporting period (month/quarter/year)</t>
  </si>
  <si>
    <t xml:space="preserve">Professional practice (ICAI Standards on Auditing; Companies Act 2013 s.128 – proper books of account) – no statutory reconciliation format. (round-1 TB-001/TB-004).</t>
  </si>
  <si>
    <t xml:space="preserve">TB with ledger id/name, group, opening, debit, credit, closing; GL voucher lines with ledger id, date, Dr/Cr.</t>
  </si>
  <si>
    <t xml:space="preserve">TB.ledger_name = GL.ledger_name</t>
  </si>
  <si>
    <t xml:space="preserve">Ledger id preferred; else name upper-case, collapse spaces, strip punctuation (implementation). Sign convention Dr positive.</t>
  </si>
  <si>
    <t xml:space="preserve">ledger.</t>
  </si>
  <si>
    <t xml:space="preserve">TB.debit_total vs Σ GL.debit; TB.credit_total vs Σ GL.credit; TB.closing_balance vs TB.opening_balance + Σ GL.debit − Σ GL.credit</t>
  </si>
  <si>
    <t xml:space="preserve">₹0 (₹1 for rounding where software exports rounded figures – parameter).</t>
  </si>
  <si>
    <t xml:space="preserve">roll_diff = TB.closing − (TB.opening + ΣDr − ΣCr); tb_balance = ΣTB.Dr closing − ΣTB.Cr closing (must be 0)</t>
  </si>
  <si>
    <t xml:space="preserve">1. Check TB arithmetic (Dr = Cr). 2. Aggregate GL per ledger. 3. Compare movements and roll-forward. 4. GL ledgers absent in TB → MISSING_IN_TB; TB ledgers with movement but no GL lines → NO_GL_SUPPORT. 5. Vouchers where Dr ≠ Cr → UNBALANCED_VOUCHER. 6. Vouchers dated outside period.</t>
  </si>
  <si>
    <t xml:space="preserve">MATCHED: matched; MOVEMENT_DIFF: movement diff; ROLLFORWARD_DIFF: rollforward diff; TB_NOT_BALANCED: tb not balanced; MISSING_IN_TB: missing in tb; NO_GL_SUPPORT: no gl support; UNBALANCED_VOUCHER: unbalanced voucher; OUT_OF_PERIOD: out of period</t>
  </si>
  <si>
    <t xml:space="preserve">MATCHED=Low; MOVEMENT_DIFF=High; ROLLFORWARD_DIFF=High; TB_NOT_BALANCED=Critical; MISSING_IN_TB=High; NO_GL_SUPPORT=High; UNBALANCED_VOUCHER=Critical; OUT_OF_PERIOD=Medium</t>
  </si>
  <si>
    <t xml:space="preserve">Same company/period; currency; GL complete (voucher number sequence continuity – informational).</t>
  </si>
  <si>
    <t xml:space="preserve">ledger, group, tb_opening, tb_dr, tb_cr, tb_closing, gl_dr, gl_cr, computed_closing, diff, category, severity</t>
  </si>
  <si>
    <t xml:space="preserve">Ledger 'Rent': TB opening 0, Dr 6,00,000, closing 6,00,000; GL Dr 5,50,000 → MOVEMENT_DIFF 50,000 (missing voucher in GL export). TB total Dr 10,00,00,000 vs Cr 10,00,00,000 → balanced.</t>
  </si>
  <si>
    <t xml:space="preserve">All ledgers roll forward → MATCHED.</t>
  </si>
  <si>
    <t xml:space="preserve">Voucher J-45 Dr 10,000 Cr 9,000 → UNBALANCED_VOUCHER.</t>
  </si>
  <si>
    <t xml:space="preserve">Partial GL export; ledgers merged/renamed; opening balance differences; rounding in export.</t>
  </si>
  <si>
    <t xml:space="preserve">Re-export data; investigate missing vouchers.</t>
  </si>
  <si>
    <t xml:space="preserve">def rc_acc_001(tb, gl):
    G = group_sum(gl, 'ledger', ['dr','cr'])
    for t in tb: yield rollforward_check(t, G.pop(t.ledger, None))
    for l in G: yield cat('MISSING_IN_TB', l)</t>
  </si>
  <si>
    <t xml:space="preserve">Practice-based.</t>
  </si>
  <si>
    <t xml:space="preserve">RC-ACC-002</t>
  </si>
  <si>
    <t xml:space="preserve">Accounting – Opening balances</t>
  </si>
  <si>
    <t xml:space="preserve">TB opening balances vs previous year closing TB / audited FS</t>
  </si>
  <si>
    <t xml:space="preserve">Ensure current-year opening balances equal prior-year audited closing balances ledger-wise (balance sheet items) and that P&amp;L balances were transferred to reserves.</t>
  </si>
  <si>
    <t xml:space="preserve">financial year start</t>
  </si>
  <si>
    <t xml:space="preserve">SA 510 Initial Audit Engagements – Opening Balances (ICAI) – professional knowledge (round-1 TB-003).</t>
  </si>
  <si>
    <t xml:space="preserve">Current TB openings; prior-year final TB (post audit adjustments) or audited FS with ledger-to-line mapping.</t>
  </si>
  <si>
    <t xml:space="preserve">TB.ledger_name = prior_TB.ledger_id; TB.fs_head = FS.line_item_code</t>
  </si>
  <si>
    <t xml:space="preserve">Ledger id; renamed ledger map (implementation).</t>
  </si>
  <si>
    <t xml:space="preserve">ledger; FS line.</t>
  </si>
  <si>
    <t xml:space="preserve">TB.opening_balance vs prior_TB.closing; Σ TB.opening_balance by FS line vs FS.previous_year; TB.opening_balance(P&amp;L ledgers) vs 0</t>
  </si>
  <si>
    <t xml:space="preserve">diff = opening − prior_closing; pl_transfer_check = Σ prior P&amp;L closing − (opening retained earnings − prior retained earnings)</t>
  </si>
  <si>
    <t xml:space="preserve">1. Map. 2. Compare BS ledgers. 3. P&amp;L ledgers must open at 0. 4. Retained earnings movement = prior year profit. 5. FS-line level comparison with audited comparatives.</t>
  </si>
  <si>
    <t xml:space="preserve">MATCHED: matched; OPENING_DIFF: opening diff; PL_NOT_CLOSED: pl not closed; NEW_LEDGER_WITH_OPENING: new ledger with opening; AUDIT_ADJ_NOT_POSTED: audit adj not posted</t>
  </si>
  <si>
    <t xml:space="preserve">MATCHED=Low; OPENING_DIFF=High; PL_NOT_CLOSED=High; NEW_LEDGER_WITH_OPENING=Medium; AUDIT_ADJ_NOT_POSTED=Critical</t>
  </si>
  <si>
    <t xml:space="preserve">Prior-year file is final/audited version.</t>
  </si>
  <si>
    <t xml:space="preserve">ledger, fs_line, opening, prior_closing, diff, category, severity</t>
  </si>
  <si>
    <t xml:space="preserve">Trade payables opening 42,10,000 vs audited 42,60,000 → AUDIT_ADJ_NOT_POSTED 50,000 (provision for expenses).</t>
  </si>
  <si>
    <t xml:space="preserve">Sales ledger opening 5,000 → PL_NOT_CLOSED.</t>
  </si>
  <si>
    <t xml:space="preserve">Audit adjustments not posted; ledger reorganisation; reopening books after finalisation.</t>
  </si>
  <si>
    <t xml:space="preserve">Post adjustments; lock prior period.</t>
  </si>
  <si>
    <t xml:space="preserve">def rc_acc_002(tb, prior):
    for l in tb: yield cmp(l.opening, 0 if l.is_pl else prior.closing(l.id))</t>
  </si>
  <si>
    <t xml:space="preserve">SA 510 not opened (round-1).</t>
  </si>
  <si>
    <t xml:space="preserve">RC-ACC-003</t>
  </si>
  <si>
    <t xml:space="preserve">Accounting – FS mapping</t>
  </si>
  <si>
    <t xml:space="preserve">TB vs financial statements – Schedule III mapping and totals</t>
  </si>
  <si>
    <t xml:space="preserve">Ensure every TB ledger is mapped to one Schedule III line item, that FS line amounts equal Σ mapped ledgers (with reclassifications – e.g., debit balances in creditors to advances), and FS totals/sub-totals are arithmetically correct.</t>
  </si>
  <si>
    <t xml:space="preserve">Companies Act 2013 s.129 &amp; Schedule III (Division I/II, amended G.S.R. 207(E) 24-03-2021) – round-1 FS-001..006.</t>
  </si>
  <si>
    <t xml:space="preserve">Companies (Schedule III); other entities – ICAI formats (implementation).</t>
  </si>
  <si>
    <t xml:space="preserve">Ledger-to-FS mapping table; FS (balance sheet, P&amp;L, notes) in structured form; reclassification entries list; rounding unit (Schedule III rounding based on total income – round-1 FS-005).</t>
  </si>
  <si>
    <t xml:space="preserve">TB.fs_head = FS.line_item_code</t>
  </si>
  <si>
    <t xml:space="preserve">Line codes canonical (e.g., 'BS.CL.TP.MSME', 'PL.REV.OPS'); rounding to FS unit (lakhs/crores).</t>
  </si>
  <si>
    <t xml:space="preserve">FS line / note.</t>
  </si>
  <si>
    <t xml:space="preserve">Σ TB.closing_balance (mapped, after reclass) vs FS.current_year; FS.subtotals vs Σ child lines; FS.balance_sheet_total_assets vs total_equity_liabilities</t>
  </si>
  <si>
    <t xml:space="preserve">Rounding unit of FS (e.g., ₹0.01 lakh) × number of lines (implementation).</t>
  </si>
  <si>
    <t xml:space="preserve">diff_line = round(Σ ledgers + reclass, unit) − FS.line</t>
  </si>
  <si>
    <t xml:space="preserve">1. Check every ledger mapped exactly once. 2. Apply party-wise reclass (debit creditors → other current assets/advances; credit debtors → other current liabilities) – needs party balances (RC-ACC-004). 3. Aggregate and round. 4. Compare line-wise. 5. Arithmetic checks. 6. P&amp;L profit = BS retained earnings movement.</t>
  </si>
  <si>
    <t xml:space="preserve">MATCHED: matched; UNMAPPED_LEDGER: unmapped ledger; LINE_DIFF: line diff; ARITHMETIC_ERROR: arithmetic error; BS_NOT_BALANCED: bs not balanced; RECLASS_MISSING: reclass missing</t>
  </si>
  <si>
    <t xml:space="preserve">MATCHED=Low; UNMAPPED_LEDGER=High; LINE_DIFF=High; ARITHMETIC_ERROR=High; BS_NOT_BALANCED=Critical; RECLASS_MISSING=Medium</t>
  </si>
  <si>
    <t xml:space="preserve">rounding_unit=lakhs; decimals=2</t>
  </si>
  <si>
    <t xml:space="preserve">Mapping covers all ledgers; FS period = TB period.</t>
  </si>
  <si>
    <t xml:space="preserve">fs_line, tb_amount, reclass, fs_amount, diff, category, severity</t>
  </si>
  <si>
    <t xml:space="preserve">Trade payables ledger total 48,00,000 incl. debit balances 1,50,000 → FS should show 49,50,000 payables and 1,50,000 advances; FS shows 48,00,000 → RECLASS_MISSING.</t>
  </si>
  <si>
    <t xml:space="preserve">All lines equal after rounding → MATCHED.</t>
  </si>
  <si>
    <t xml:space="preserve">Ledger 'Misc suspense' unmapped → UNMAPPED_LEDGER.</t>
  </si>
  <si>
    <t xml:space="preserve">Netting; rounding differences; current/non-current split (round-1 FS-001).</t>
  </si>
  <si>
    <t xml:space="preserve">Generate mapping exceptions; suggest reclass entries.</t>
  </si>
  <si>
    <t xml:space="preserve">def rc_acc_003(tb, fs, mapping):
    agg = aggregate(tb, mapping, reclass(tb))
    for line in fs.lines: yield cmp(round(agg[line.code], fs.unit), line.amount)</t>
  </si>
  <si>
    <t xml:space="preserve">Schedule III requirements from secondary summary.</t>
  </si>
  <si>
    <t xml:space="preserve">RC-ACC-004</t>
  </si>
  <si>
    <t xml:space="preserve">Accounting – Sub-ledger control</t>
  </si>
  <si>
    <t xml:space="preserve">Debtors/creditors ageing vs TB control accounts (and Schedule III ageing)</t>
  </si>
  <si>
    <t xml:space="preserve">Ensure Σ party balances in debtors/creditors ageing equals the TB control/group total, ageing buckets sum to balance, and Schedule III ageing schedules (receivables &lt;6m … &gt;3y; payables &lt;1y … &gt;3y, MSME/others/disputed) are consistent.</t>
  </si>
  <si>
    <t xml:space="preserve">DEBTORS_AGEING</t>
  </si>
  <si>
    <t xml:space="preserve">Schedule III (G.S.R. 207(E) 24-03-2021) ageing schedules – round-1 LED-011, FS-002, FS-003.</t>
  </si>
  <si>
    <t xml:space="preserve">All entities with trade receivables/payables.</t>
  </si>
  <si>
    <t xml:space="preserve">Party-wise ageing (invoice-wise preferred) with due date, disputed flag, MSME flag; TB group totals for Sundry Debtors / Sundry Creditors.</t>
  </si>
  <si>
    <t xml:space="preserve">DEBTORS_AGEING.party_name = TB.ledger_name; CREDITORS_AGEING.party_name = TB.ledger_name</t>
  </si>
  <si>
    <t xml:space="preserve">Ledger id; party name normalisation for fallback.</t>
  </si>
  <si>
    <t xml:space="preserve">party; group total; bucket.</t>
  </si>
  <si>
    <t xml:space="preserve">Σ DEBTORS_AGEING.pending_amount vs TB.sundry_debtors_total; Σ CREDITORS_AGEING.pending_amount vs TB.sundry_creditors_total; Σ buckets vs party balance; party balance vs TB party ledger</t>
  </si>
  <si>
    <t xml:space="preserve">₹1 per party; ₹0 for totals.</t>
  </si>
  <si>
    <t xml:space="preserve">diff_total = Σ ageing − TB group; diff_party = ageing.balance − TB.ledger; bucket_check = Σ buckets − balance</t>
  </si>
  <si>
    <t xml:space="preserve">1. Party-level comparison. 2. Group total comparison. 3. Bucket arithmetic. 4. Re-age using FIFO where invoice-wise not available (round-1 LED-011). 5. Produce Schedule III tables and compare to FS notes.</t>
  </si>
  <si>
    <t xml:space="preserve">MATCHED: matched; PARTY_DIFF: party diff; TOTAL_DIFF: total diff; BUCKET_ERROR: bucket error; PARTY_NOT_IN_AGEING: party not in ageing; FS_AGEING_DIFF: fs ageing diff</t>
  </si>
  <si>
    <t xml:space="preserve">MATCHED=Low; PARTY_DIFF=High; TOTAL_DIFF=High; BUCKET_ERROR=Medium; PARTY_NOT_IN_AGEING=Medium; FS_AGEING_DIFF=High</t>
  </si>
  <si>
    <t xml:space="preserve">tolerance_inr=1; age_basis=due_date_else_invoice_date</t>
  </si>
  <si>
    <t xml:space="preserve">Ageing as-at date = TB date.</t>
  </si>
  <si>
    <t xml:space="preserve">party, ageing_balance, tb_balance, diff, buckets, category, severity</t>
  </si>
  <si>
    <t xml:space="preserve">Debtors ageing total 1,20,00,000; TB 1,22,00,000 → TOTAL_DIFF 2,00,000 (on-account receipts excluded from ageing).</t>
  </si>
  <si>
    <t xml:space="preserve">Totals equal; buckets sum → MATCHED.</t>
  </si>
  <si>
    <t xml:space="preserve">Party P ageing 5,00,000 vs ledger 4,80,000 → PARTY_DIFF.</t>
  </si>
  <si>
    <t xml:space="preserve">On-account receipts; unadjusted credit notes; foreign currency revaluation; parties in wrong group.</t>
  </si>
  <si>
    <t xml:space="preserve">Investigate; allocate on-account amounts; correct FS ageing.</t>
  </si>
  <si>
    <t xml:space="preserve">def rc_acc_004(dage, cage, tb):
    for age, grp in ((dage,'DEBTORS'),(cage,'CREDITORS')):
        yield cmp(sum(a.balance for a in age), tb.group_total(grp))
        for a in age: yield cmp(a.balance, tb.ledger(a.party)); yield bucket_check(a)</t>
  </si>
  <si>
    <t xml:space="preserve">Ageing basis 'from due date' not re-verified (round-1 LED-011).</t>
  </si>
  <si>
    <t xml:space="preserve">RC-ACC-005</t>
  </si>
  <si>
    <t xml:space="preserve">Accounting – External confirmation</t>
  </si>
  <si>
    <t xml:space="preserve">Party balance confirmations vs books</t>
  </si>
  <si>
    <t xml:space="preserve">Reconcile balances confirmed by debtors/creditors/lenders with book balances; classify differences (in-transit payments, unbooked invoices/credit notes, TDS, disputes).</t>
  </si>
  <si>
    <t xml:space="preserve">confirmation cut-off date</t>
  </si>
  <si>
    <t xml:space="preserve">SA 505 External Confirmations (ICAI) – professional practice (round-1 LED-012).</t>
  </si>
  <si>
    <t xml:space="preserve">Audits / periodic reconciliations.</t>
  </si>
  <si>
    <t xml:space="preserve">Confirmation responses captured as a dataset (party, as-at date, confirmed balance, Dr/Cr, statement of account lines if provided) – stored as PARTY_MASTER.confirmation fields (implementation choice; no separate document code); GL party ledger.</t>
  </si>
  <si>
    <t xml:space="preserve">PARTY_MASTER.party_name = GL.party_id; confirmation_statement.invoice_no = GL.bill_ref</t>
  </si>
  <si>
    <t xml:space="preserve">Invoice numbers normalised; sign as per party perspective reversed (their receivable = our payable).</t>
  </si>
  <si>
    <t xml:space="preserve">party; then line-level if statement of account provided.</t>
  </si>
  <si>
    <t xml:space="preserve">PARTY_MASTER.confirmed_balance vs GL.party_balance_at_date</t>
  </si>
  <si>
    <t xml:space="preserve">₹1 (implementation).</t>
  </si>
  <si>
    <t xml:space="preserve">diff = book_balance − (−confirmed_balance_from_party_perspective)</t>
  </si>
  <si>
    <t xml:space="preserve">1. Normalise signs. 2. Compare. 3. If statement lines available, line-match (invoice no./amount/date) to categorise: PAYMENT_IN_TRANSIT, INVOICE_NOT_BOOKED_BY_US, INVOICE_NOT_BOOKED_BY_PARTY, TDS_DIFFERENCE (party books gross vs net), CREDIT_NOTE_DIFF, DISPUTE. 4. Non-responses list for alternative procedures.</t>
  </si>
  <si>
    <t xml:space="preserve">AGREED: agreed; PAYMENT_IN_TRANSIT: payment in transit; INVOICE_NOT_BOOKED_BY_US: invoice not booked by us; INVOICE_NOT_BOOKED_BY_PARTY: invoice not booked by party; TDS_DIFFERENCE: tds difference; CREDIT_NOTE_DIFF: credit note diff; UNEXPLAINED_DIFF: unexplained diff; NO_RESPONSE: no response</t>
  </si>
  <si>
    <t xml:space="preserve">AGREED=Low; PAYMENT_IN_TRANSIT=Low; INVOICE_NOT_BOOKED_BY_US=High; INVOICE_NOT_BOOKED_BY_PARTY=Medium; TDS_DIFFERENCE=Low; CREDIT_NOTE_DIFF=Medium; UNEXPLAINED_DIFF=High; NO_RESPONSE=Medium</t>
  </si>
  <si>
    <t xml:space="preserve">tolerance_inr=1; materiality_inr=CA_defined</t>
  </si>
  <si>
    <t xml:space="preserve">Same as-at date; confirmations from independent source (audit evidence – CA).</t>
  </si>
  <si>
    <t xml:space="preserve">party, as_at, book_balance, confirmed_balance, diff, reconciling_items, category, severity</t>
  </si>
  <si>
    <t xml:space="preserve">Creditor C: our book 4,50,000 Cr; C confirms 5,10,000 Dr (receivable). Statement shows invoice 60,000 dated 30-03-2026 not booked by us → INVOICE_NOT_BOOKED_BY_US 60,000 (cut-off error).</t>
  </si>
  <si>
    <t xml:space="preserve">Book 1,00,000 Cr; party confirms 1,00,000 Dr → AGREED.</t>
  </si>
  <si>
    <t xml:space="preserve">Debtor confirms 90,000 vs book 1,00,000; difference = TDS 10,000 deducted by customer and booked by us at year-end only in 26AS → TDS_DIFFERENCE.</t>
  </si>
  <si>
    <t xml:space="preserve">Cut-off; TDS; GST credit notes; foreign exchange; disputes.</t>
  </si>
  <si>
    <t xml:space="preserve">Propose adjustments; record non-responses.</t>
  </si>
  <si>
    <t xml:space="preserve">def rc_acc_005(conf, gl):
    for c in conf: yield classify(gl.balance(c.party, c.as_at), -c.balance, line_match(c.lines, gl.lines(c.party)))</t>
  </si>
  <si>
    <t xml:space="preserve">Confirmation dataset has no fixed document code in the catalogue – proposed: keep under PARTY_MASTER fields or add code 'BAL_CONF' (new code suggestion – not added).</t>
  </si>
  <si>
    <t xml:space="preserve">RC-ACC-006</t>
  </si>
  <si>
    <t xml:space="preserve">Accounting – Fixed assets</t>
  </si>
  <si>
    <t xml:space="preserve">Fixed asset register vs GL fixed assets &amp; depreciation (Schedule II book vs income-tax WDV)</t>
  </si>
  <si>
    <t xml:space="preserve">Ensure FAR asset-class gross block, accumulated depreciation, additions, disposals and depreciation charge agree with GL/TB; recompute book depreciation per Schedule II useful lives and tax depreciation per IT block rates (WDV, half-rate for &lt; 180 days), and reconcile timing differences.</t>
  </si>
  <si>
    <t xml:space="preserve">FAR</t>
  </si>
  <si>
    <t xml:space="preserve">Companies Act 2013 s.123 &amp; Schedule II (useful lives; residual ≤ 5%); IT Act 1961 s.32 + Rule 5 Appendix I (FY 2025-26); IT Act 2025 s.33 + Rules 2026 (rule number per draft – round-1 AUD-004). Form 3CD cl.18 (depreciation – established knowledge).</t>
  </si>
  <si>
    <t xml:space="preserve">Entities with PPE/intangibles.</t>
  </si>
  <si>
    <t xml:space="preserve">FAR (asset id, class, put-to-use date, cost, additions, disposals, sale proceeds, useful life, residual, method, accumulated depreciation, IT block); GL/TB asset &amp; depreciation ledgers mapped to classes; master table class → {Schedule II life, IT block rate}.</t>
  </si>
  <si>
    <t xml:space="preserve">FAR.asset_class = mapped_class(GL.ledger_name); FAR.asset_class = mapped_class(TB.ledger_name)</t>
  </si>
  <si>
    <t xml:space="preserve">Class codes canonical.</t>
  </si>
  <si>
    <t xml:space="preserve">asset class (book); IT block (tax).</t>
  </si>
  <si>
    <t xml:space="preserve">FAR.gross_block_closing vs TB.asset_ledger_closing; FAR.accum_dep_closing vs TB.accum_dep_ledger; FAR.depreciation_book vs GL.depreciation_expense; FAR.additions vs GL.capex_debits; FAR.disposals vs GL.asset_credits; recomputed_book_dep vs FAR.depreciation_book; recomputed_tax_dep vs F3CD/computation</t>
  </si>
  <si>
    <t xml:space="preserve">₹1 per class for book totals; 1% for recomputed depreciation (method/day-count – implementation).</t>
  </si>
  <si>
    <t xml:space="preserve">book_SLM = (cost − residual) / useful_life × days_used/365 (extra shift +50%/+100% where applicable); tax_WDV = (opening WDV + additions_≥180d − sale_proceeds) × rate + additions_&lt;180d × rate/2</t>
  </si>
  <si>
    <t xml:space="preserve">1. Class-level FAR vs TB/GL. 2. Recompute book depreciation per asset. 3. Check useful life vs Schedule II (deviation needs disclosure/technical justification). 4. Residual &gt; 5% → flag. 5. Recompute IT block depreciation. 6. Book vs tax difference → deferred tax input. 7. Additions in GL not in FAR (and vice versa); capex in revenue heads (keywords) suggestion.</t>
  </si>
  <si>
    <t xml:space="preserve">MATCHED: matched; GROSS_BLOCK_DIFF: gross block diff; ACC_DEP_DIFF: acc dep diff; DEP_CHARGE_DIFF: dep charge diff; ADDITION_NOT_IN_FAR: addition not in far; DISPOSAL_NOT_IN_FAR: disposal not in far; LIFE_DEVIATION: life deviation; RESIDUAL_GT_5PCT: residual gt 5pct; TAX_DEP_DIFF: tax dep diff</t>
  </si>
  <si>
    <t xml:space="preserve">MATCHED=Low; GROSS_BLOCK_DIFF=High; ACC_DEP_DIFF=High; DEP_CHARGE_DIFF=Medium; ADDITION_NOT_IN_FAR=High; DISPOSAL_NOT_IN_FAR=High; LIFE_DEVIATION=Medium; RESIDUAL_GT_5PCT=Medium; TAX_DEP_DIFF=Medium</t>
  </si>
  <si>
    <t xml:space="preserve">residual_max_pct=5; half_rate_days=180; dep_tolerance_pct=1; schedule_ii_master=AUD-004; it_rate_master=AUD-004</t>
  </si>
  <si>
    <t xml:space="preserve">Put-to-use dates; class mapping; no negative WDV in FAR.</t>
  </si>
  <si>
    <t xml:space="preserve">class, far_value, gl_value, recomputed, diff, category, severity</t>
  </si>
  <si>
    <t xml:space="preserve">Computers: FAR additions 6,00,000 (put to use 01-10-2025); GL capex 6,00,000. Book SLM life 3y residual 5%: 5,70,000/3 × 182/365 = 94,739. FAR charge 1,00,000 → DEP_CHARGE_DIFF 5,261 (5.6% &gt; 1%). Tax: 40% block rate, used &lt; 180 days → 6,00,000 × 20% = 1,20,000.</t>
  </si>
  <si>
    <t xml:space="preserve">Furniture: FAR = TB, recomputed within 1% → MATCHED.</t>
  </si>
  <si>
    <t xml:space="preserve">Laptop 80,000 debited to 'Office expenses' → suggestion ADDITION_NOT_IN_FAR (keyword-based).</t>
  </si>
  <si>
    <t xml:space="preserve">Assets capitalised late; disposals not removed; component accounting; IT rates (40% computers) vs book lives.</t>
  </si>
  <si>
    <t xml:space="preserve">Correct FAR/GL; compute deferred tax; prepare 3CD depreciation schedule.</t>
  </si>
  <si>
    <t xml:space="preserve">def rc_acc_006(far, gl, tb, master):
    for cls in classes: yield class_checks(far, gl, tb, cls)
    for a in far.assets: yield cmp_pct(book_dep(a, master), a.dep)
    for blk in blocks: yield tax_block(far, blk, master)</t>
  </si>
  <si>
    <t xml:space="preserve">ca2013.com – Schedule II Companies Act 2013 | https://ca2013.com/schedule-ii/ | useful lives; residual ≤5%</t>
  </si>
  <si>
    <t xml:space="preserve">IT Appendix I rates not re-verified officially (round-1 AUD-004).</t>
  </si>
  <si>
    <t xml:space="preserve">RC-ACC-007</t>
  </si>
  <si>
    <t xml:space="preserve">Accounting – Inventory</t>
  </si>
  <si>
    <t xml:space="preserve">Stock register vs GL inventory vs stock statements to bank (drawing power; CARO 3(ii)(b))</t>
  </si>
  <si>
    <t xml:space="preserve">Compare inventory per stock register (quantity × rate), GL/TB inventory, and figures in quarterly stock statements submitted to banks (also receivables/payables), quantify differences per quarter, and support CARO 3(ii)(b) and Schedule III disclosure.</t>
  </si>
  <si>
    <t xml:space="preserve">STOCK_REG</t>
  </si>
  <si>
    <t xml:space="preserve">STOCK_STMT_BANK</t>
  </si>
  <si>
    <t xml:space="preserve">quarter end (and year end)</t>
  </si>
  <si>
    <t xml:space="preserve">CARO 2020 cl.3(ii)(a) and 3(ii)(b) (working capital limits &gt; ₹5 crore secured by current assets – quarterly returns/statements in agreement with books; if not, give details) – round-1 FS-007/AUD-002; AS 2 / Ind AS 2 valuation.</t>
  </si>
  <si>
    <t xml:space="preserve">Companies with sanctioned working-capital limits &gt; ₹5 crore (aggregate) for 3(ii)(b); all entities for register vs GL.</t>
  </si>
  <si>
    <t xml:space="preserve">Stock register closing qty/value by item/class per quarter end; GL inventory ledger balances (closing stock entries) per quarter; stock statements (bank, quarter, inventory by class, receivables, payables, drawing power); sanction letters (limits).</t>
  </si>
  <si>
    <t xml:space="preserve">STOCK_REG.period_to = STOCK_STMT_BANK.statement_date; STOCK_REG.stock_group = STOCK_STMT_BANK.inventory_class; GL.quarter_end = STOCK_STMT_BANK.statement_date</t>
  </si>
  <si>
    <t xml:space="preserve">Class map (RM, WIP, FG, stores, stock-in-trade); quarter end dates.</t>
  </si>
  <si>
    <t xml:space="preserve">class + quarter; total current assets per quarter.</t>
  </si>
  <si>
    <t xml:space="preserve">STOCK_REG.closing_value vs GL.inventory_value; GL.inventory_value vs STOCK_STMT_BANK.inventory_value; GL.debtors vs STOCK_STMT_BANK.debtors_total; GL.creditors vs STOCK_STMT_BANK.creditors_total</t>
  </si>
  <si>
    <t xml:space="preserve">0.5% per class or ₹10,000 (implementation choice; CARO requires reporting of any non-agreement – CA judgement on materiality).</t>
  </si>
  <si>
    <t xml:space="preserve">diff = books − statement; diff_pct = diff / books; dp_recomputed = (eligible inventory + eligible receivables − creditors) × (1 − margin) (bank-specific)</t>
  </si>
  <si>
    <t xml:space="preserve">1. Applicability check: Σ sanctioned WC limits &gt; ₹5 crore at any time in year (fund-based/non-fund – CA choice). 2. Register vs GL per quarter. 3. GL vs bank statement per quarter per item (inventory, receivables, payables). 4. Classify reasons (provisional unaudited figures, valuation basis, ageing exclusions). 5. Produce CARO/Schedule III table: quarter, bank, particulars, per books, per statement, difference, reason.</t>
  </si>
  <si>
    <t xml:space="preserve">AGREED: agreed; REGISTER_GL_DIFF: register gl diff; STATEMENT_DIFF_INVENTORY: statement diff inventory; STATEMENT_DIFF_RECEIVABLES: statement diff receivables; STATEMENT_DIFF_PAYABLES: statement diff payables; STATEMENT_MISSING: statement missing; DP_OVERSTATED: dp overstated</t>
  </si>
  <si>
    <t xml:space="preserve">AGREED=Low; REGISTER_GL_DIFF=High; STATEMENT_DIFF_INVENTORY=High; STATEMENT_DIFF_RECEIVABLES=High; STATEMENT_DIFF_PAYABLES=Medium; STATEMENT_MISSING=High; DP_OVERSTATED=Critical</t>
  </si>
  <si>
    <t xml:space="preserve">wc_limit_threshold_inr=50000000; include_non_fund_limits=CA_to_decide; tolerance_pct=0.5; tolerance_inr=10000</t>
  </si>
  <si>
    <t xml:space="preserve">Quarter-end statements for all 4 quarters for each lender; sanction data.</t>
  </si>
  <si>
    <t xml:space="preserve">quarter, bank, particulars, per_books, per_statement, difference, diff_pct, reason, category, severity</t>
  </si>
  <si>
    <t xml:space="preserve">Q2 (30-09-2025): books inventory 4,20,00,000; statement 4,65,00,000 → diff −45,00,000 (−10.7%) → STATEMENT_DIFF_INVENTORY; receivables books 3,10,00,000 vs statement 3,10,00,000 → AGREED. DP per bank margin 25%: (4,65 + 3,10 − 1,50 cr) × 0.75 = 4.6875 cr vs on books (4.20 + 3.10 − 1.50) × 0.75 = 4.35 cr → DP_OVERSTATED 0.3375 cr.</t>
  </si>
  <si>
    <t xml:space="preserve">All items within 0.5% → AGREED.</t>
  </si>
  <si>
    <t xml:space="preserve">Q3 statement not submitted → STATEMENT_MISSING.</t>
  </si>
  <si>
    <t xml:space="preserve">Provisional figures; valuation at selling price; inclusion of goods in transit; stale debtors exclusions; post-audit adjustments.</t>
  </si>
  <si>
    <t xml:space="preserve">Generate CARO 3(ii)(b) disclosure table; recommend revised statements to bank.</t>
  </si>
  <si>
    <t xml:space="preserve">def rc_acc_007(reg, gl, stmts, p):
    for q in quarters:
        yield cmp(reg.value(q), gl.inventory(q))
        for s in stmts.for_quarter(q): yield from cmp_items(gl, s, p)</t>
  </si>
  <si>
    <t xml:space="preserve">TheTaxTalk – CARO 2020 quarterly returns with bankers | https://thetaxtalk.com/2022/05/caro-2020-auditor-now-required-to-check-the-quarterly-return-filed-by-the-company-with-the-banker/ | CARO 3(ii)(b)
TaxGuru – summary of CARO 2020 clauses &amp; Schedule III amendments | https://taxguru.in/company-law/summary-clauses-caro-2020-consequential-amendments-schedule-iii-companies-act-2013.html | 3(ii)(b)
DPNC – Amendment in Schedule III (w.e.f. 01-04-2021) | https://www.dpncindia.com/amendment-in-schedule-iii-of-the-companies-act-2013-applicable-w-e-f-01-04-2021 | ageing schedules; ARI</t>
  </si>
  <si>
    <t xml:space="preserve">CARO 3(ii)(b) wording verified via secondary sources; ₹5 crore threshold from round-1 (secondary). Drawing-power formula is bank-specific.</t>
  </si>
  <si>
    <t xml:space="preserve">RC-ACC-008</t>
  </si>
  <si>
    <t xml:space="preserve">Accounting – MSME</t>
  </si>
  <si>
    <t xml:space="preserve">MSME vendor master vs creditors ageing – MSMED s.15/16 interest, s.22 disclosure, MSME Form 1</t>
  </si>
  <si>
    <t xml:space="preserve">Using MSME vendor master and invoice-wise payables/payments, compute delays beyond s.15, s.16 compound interest (3 × RBI bank rate, monthly rests), the five s.22 FS disclosures, and the MSME Form 1 half-yearly data (dues &gt; 45 days).</t>
  </si>
  <si>
    <t xml:space="preserve">financial year (s.22); half-year Apr–Sep / Oct–Mar (Form 1)</t>
  </si>
  <si>
    <t xml:space="preserve">MSMED Act 2006 s.2(b), 15, 16, 22, 23 (verified PRS copy); Specified Companies (Furnishing of information about payment to micro and small enterprise suppliers) Order 2019 as amended by S.O. 2751(E) 15-07-2024 (MSME Form 1 – round-1 MSME-003); Schedule III MSME disclosures.</t>
  </si>
  <si>
    <t xml:space="preserve">Buyers (companies for Form 1; audited entities for s.22) with micro/small suppliers.</t>
  </si>
  <si>
    <t xml:space="preserve">As RC-IT-013 plus all payments during year (not only year-end outstanding); RBI Bank Rate history (rate 5.75% on 13-10-2026 per RBI home page – round-1 MSME-002); FS MSME note values.</t>
  </si>
  <si>
    <t xml:space="preserve">As RC-IT-013.</t>
  </si>
  <si>
    <t xml:space="preserve">invoice → vendor → year/half-year.</t>
  </si>
  <si>
    <t xml:space="preserve">computed_s22_items vs FS.msme_note_items; computed_form1_dues vs MSME_Form1_filed_values; MSME flag in CREDITORS_AGEING vs MSME_VENDOR_MASTER</t>
  </si>
  <si>
    <t xml:space="preserve">due = acceptance + (min(agreed,45) if agreement else 15); delay_days = payment_date − due; interest = principal × ((1 + 3×bank_rate/12)^(months) − 1) with monthly rests (day-count for broken period – implementation choice); s.22: (i) principal &amp; interest unpaid at year end; (ii) interest paid u/s 16 and amounts paid beyond appointed day; (iii) interest due &amp; payable for delay (paid late, interest not paid); (iv) interest accrued &amp; unpaid at year end; (v) further interest remaining due in succeeding years</t>
  </si>
  <si>
    <t xml:space="preserve">1. Reconcile MSME flags (ageing vs master). 2. Compute due dates and delays for all invoices settled during year and open at year end. 3. Compute s.16 interest. 4. Build s.22 items. 5. Compare with FS note. 6. For each half-year list invoices outstanding &gt; 45 days from acceptance (Form 1 – filing required only if such dues exist); compare with filed Form 1. 7. Feed RC-IT-011/013.</t>
  </si>
  <si>
    <t xml:space="preserve">MATCHED: matched; MSME_FLAG_MISMATCH: msme flag mismatch; FS_DISCLOSURE_DIFF: fs disclosure diff; INTEREST_NOT_PROVIDED: interest not provided; FORM1_REQUIRED_NOT_FILED: form1 required not filed; FORM1_VALUE_DIFF: form1 value diff; STATUS_UNKNOWN: status unknown</t>
  </si>
  <si>
    <t xml:space="preserve">MATCHED=Low; MSME_FLAG_MISMATCH=Medium; FS_DISCLOSURE_DIFF=High; INTEREST_NOT_PROVIDED=Medium; FORM1_REQUIRED_NOT_FILED=High; FORM1_VALUE_DIFF=Medium; STATUS_UNKNOWN=Medium</t>
  </si>
  <si>
    <t xml:space="preserve">bank_rate_pct=5.75 (date-wise history preferred); multiplier=3; compounding=monthly; form1_days=45; include_medium=false</t>
  </si>
  <si>
    <t xml:space="preserve">Udyam registration and category date; acceptance dates.</t>
  </si>
  <si>
    <t xml:space="preserve">vendor, invoice, due_date, payment_date, delay_days, principal, s16_interest, s22_item, form1_half, category, severity</t>
  </si>
  <si>
    <t xml:space="preserve">Micro vendor, invoice 1,00,000 accepted 01-11-2025, no agreement → due 16-11-2025; paid 16-01-2026 (2 months late). Rate 3 × 5.75% = 17.25% p.a. → monthly 1.4375%; interest = 1,00,000 × ((1.014375)^2 − 1) = 2,895.66. s.22(ii): paid beyond appointed day 1,00,000, interest paid 0; (iii) interest due &amp; payable 2,895.66; (iv) accrued unpaid 2,895.66. FS note shows nil → FS_DISCLOSURE_DIFF. H2 (Oct–Mar) Form 1: invoice outstanding &gt; 45 days during half → Form 1 required.</t>
  </si>
  <si>
    <t xml:space="preserve">All micro/small paid within 15/45 days → s.22 items nil; FS nil → MATCHED.</t>
  </si>
  <si>
    <t xml:space="preserve">Vendor flagged MSME in ageing but master says 'Medium' → MSME_FLAG_MISMATCH.</t>
  </si>
  <si>
    <t xml:space="preserve">Vendors not asked for Udyam; trader status; bank rate changes; disputes.</t>
  </si>
  <si>
    <t xml:space="preserve">Draft FS MSME note, Form 1 annexure, 3CD cl.22 values; s.23: interest not deductible.</t>
  </si>
  <si>
    <t xml:space="preserve">def rc_acc_008(msme, ageing, bank, ratehist, p):
    rows = [compute_delay_interest(inv, bank, ratehist, p) for inv in ageing.all_invoices() if is_ms(msme, inv)]
    s22 = build_s22(rows); yield from cmp_fs(s22)
    for h in halves: yield form1_check(rows, h, p.form1_days)</t>
  </si>
  <si>
    <t xml:space="preserve">MSMED Act 2006 (PRS India copy) | https://PRSINDIA.org/files/bills_acts/acts_parliament/2006/the-micro-small-and-medium-enterprises-development-act-2006.pdf | s.2(b), 15, 16, 22, 23
Taxmann – MSMED Act disclosure under Schedule III | https://taxmann.com/post/blog/a-study-of-provisions-of-the-msmed-act-related-disclosure-under-schedule-iii-of-companies-act | s.22 disclosures
Taxmann – MCA revises MSME Form 1 | https://www.taxmann.com/post/blog/mca-revises-msme-form-1-with-enhanced-disclosures-for-reporting-payments-pending-over-45-days-to-micro-small-enterprises/ | S.O. 2751(E) 15-07-2024
Reserve Bank of India – home (Bank Rate) | https://rbi.org.in/ | Bank Rate as displayed</t>
  </si>
  <si>
    <t xml:space="preserve">s.22 items verified from PRS copy (this session). Bank Rate 5.75% as read on RBI site in round-1 – keep rate history. Form 1 penalty not verified.</t>
  </si>
  <si>
    <t xml:space="preserve">RC-ACC-009</t>
  </si>
  <si>
    <t xml:space="preserve">Accounting – Related parties</t>
  </si>
  <si>
    <t xml:space="preserve">Related-party transactions in GL vs related-party disclosures (AS 18 / Ind AS 24) and 3CD cl.23</t>
  </si>
  <si>
    <t xml:space="preserve">Identify GL transactions with parties in the related-party master (and hidden matches via PAN/GSTIN/bank account/address), aggregate by nature, and compare with FS related-party note and Form 3CD cl.23 (s.40A(2)(b)).</t>
  </si>
  <si>
    <t xml:space="preserve">Companies Act 2013 s.2(76), s.188; AS 18 / Ind AS 24; IT Act 1961 s.40A(2)(b) (Form 3CD cl.23) / IT Act 2025 s.36(2) (mapping per round-1 IT-001) – round-1 LED-009.</t>
  </si>
  <si>
    <t xml:space="preserve">Companies and tax-audit assessees.</t>
  </si>
  <si>
    <t xml:space="preserve">Related-party master (name, PAN, relationship, period); PARTY_MASTER with PAN/GSTIN/bank/address; FS RPT note (party, nature, amount, closing balance).</t>
  </si>
  <si>
    <t xml:space="preserve">GL.party_id = PARTY_MASTER.party_name; PARTY_MASTER.pan = RP_master.pan; GL.party_id → FS.rpt_party_name</t>
  </si>
  <si>
    <t xml:space="preserve">PAN; GSTIN→PAN; bank account; normalised name and address tokens (implementation).</t>
  </si>
  <si>
    <t xml:space="preserve">related party + nature (sales, purchases, rent, loans given/taken, interest, remuneration, reimbursements, guarantees).</t>
  </si>
  <si>
    <t xml:space="preserve">Σ GL by party-nature vs FS.rpt_txn_amount; GL closing balance vs FS.rpt_outstanding</t>
  </si>
  <si>
    <t xml:space="preserve">₹1,000 or rounding unit of FS.</t>
  </si>
  <si>
    <t xml:space="preserve">diff = GL_aggregate − FS_disclosed</t>
  </si>
  <si>
    <t xml:space="preserve">1. Identify RP vendors/customers (direct and hidden matches). 2. Classify GL vouchers by nature (ledger map). 3. Aggregate. 4. Compare with FS note and 3CD cl.23. 5. Flag undisclosed parties and amounts; check approvals for s.188 (board/shareholder – thresholds not verified).</t>
  </si>
  <si>
    <t xml:space="preserve">MATCHED: matched; AMOUNT_DIFF: amount diff; UNDISCLOSED_PARTY: undisclosed party; UNDISCLOSED_NATURE: undisclosed nature; HIDDEN_RELATIONSHIP: shared PAN/bank/address; BALANCE_DIFF: balance diff</t>
  </si>
  <si>
    <t xml:space="preserve">MATCHED=Low; AMOUNT_DIFF=Medium; UNDISCLOSED_PARTY=High; UNDISCLOSED_NATURE=High; HIDDEN_RELATIONSHIP=Critical; BALANCE_DIFF=Medium</t>
  </si>
  <si>
    <t xml:space="preserve">tolerance_inr=1000; name_fuzzy_threshold=0.85</t>
  </si>
  <si>
    <t xml:space="preserve">RP master complete and dated.</t>
  </si>
  <si>
    <t xml:space="preserve">party, relationship, nature, gl_amount, fs_amount, diff, closing_gl, closing_fs, category, severity</t>
  </si>
  <si>
    <t xml:space="preserve">Director's relative firm (PAN match) received rent 12,00,000; FS note shows rent 10,00,000 → AMOUNT_DIFF 2,00,000. Vendor V shares bank account with director → HIDDEN_RELATIONSHIP.</t>
  </si>
  <si>
    <t xml:space="preserve">All RP aggregates equal FS → MATCHED.</t>
  </si>
  <si>
    <t xml:space="preserve">Reimbursements to KMP not disclosed → UNDISCLOSED_NATURE.</t>
  </si>
  <si>
    <t xml:space="preserve">Reimbursements; KMP remuneration split; guarantees; group companies under different names.</t>
  </si>
  <si>
    <t xml:space="preserve">Draft RPT note and 3CD cl.23 schedule; refer approvals to CA.</t>
  </si>
  <si>
    <t xml:space="preserve">def rc_acc_009(gl, fs, pm, rp):
    rel = identify_related(pm, rp)
    agg = group_sum([v for v in gl if v.party in rel], ('party','nature'))
    yield from compare(agg, fs.rpt_note)</t>
  </si>
  <si>
    <t xml:space="preserve">Statutory references from professional knowledge (round-1 LED-009, no official page opened); s.188 thresholds not verified.</t>
  </si>
  <si>
    <t xml:space="preserve">RC-ACC-010</t>
  </si>
  <si>
    <t xml:space="preserve">Accounting – Cash</t>
  </si>
  <si>
    <t xml:space="preserve">Cash book – negative balance on any day and cash vs bank contra consistency</t>
  </si>
  <si>
    <t xml:space="preserve">Recompute daily cash balances from GL cash ledger to detect negative balances (payments recorded before receipts / unrecorded receipts), large round-sum cash entries, and contra entries without matching bank line.</t>
  </si>
  <si>
    <t xml:space="preserve">day</t>
  </si>
  <si>
    <t xml:space="preserve">Professional practice; SA 240 fraud risk; IT Act ss.68/69 (unexplained credits) and s.269ST/40A(3) linkages – round-1 LED-001..003.</t>
  </si>
  <si>
    <t xml:space="preserve">Entities with cash ledgers.</t>
  </si>
  <si>
    <t xml:space="preserve">GL cash ledger vouchers with date/time ordering; bank statement for contra matching.</t>
  </si>
  <si>
    <t xml:space="preserve">GL.voucher_date = BANK_STMT.txn_date; GL.amount = BANK_STMT.amount</t>
  </si>
  <si>
    <t xml:space="preserve">Date; amount paise.</t>
  </si>
  <si>
    <t xml:space="preserve">day (closing balance).</t>
  </si>
  <si>
    <t xml:space="preserve">GL.cash_closing_balance(day) vs 0; GL.contra_withdrawal vs BANK_STMT.cash_withdrawal; GL.contra_deposit vs BANK_STMT.cash_deposit</t>
  </si>
  <si>
    <t xml:space="preserve">closing(d) = closing(d−1) + receipts(d) − payments(d); flag if closing(d) &lt; 0 (day-end) – intra-day ordering optional</t>
  </si>
  <si>
    <t xml:space="preserve">1. Roll daily balances. 2. Flag negative days with min balance. 3. Match contra entries with bank cash lines (window ±1 day – implementation). 4. Flag cash balance unusually high (&gt; parameter) at month ends (informational).</t>
  </si>
  <si>
    <t xml:space="preserve">OK: ok; NEGATIVE_BALANCE: negative balance; CONTRA_NOT_IN_BANK: contra not in bank; BANK_CASH_NOT_IN_BOOKS: bank cash not in books; HIGH_CASH_BALANCE: high cash balance</t>
  </si>
  <si>
    <t xml:space="preserve">OK=Low; NEGATIVE_BALANCE=Critical; CONTRA_NOT_IN_BANK=High; BANK_CASH_NOT_IN_BOOKS=High; HIGH_CASH_BALANCE=Low</t>
  </si>
  <si>
    <t xml:space="preserve">contra_window_days=1; high_cash_threshold_inr=CA_defined; intraday=false</t>
  </si>
  <si>
    <t xml:space="preserve">Single cash ledger or combined; opening balance known.</t>
  </si>
  <si>
    <t xml:space="preserve">date, opening, receipts, payments, closing, category, severity, vouchers</t>
  </si>
  <si>
    <t xml:space="preserve">Opening 10-08: 5,000; payments 12,000; receipts 2,000 → closing −5,000 → NEGATIVE_BALANCE. Bank cash withdrawal 50,000 on 11-08 with no cash-book receipt → BANK_CASH_NOT_IN_BOOKS.</t>
  </si>
  <si>
    <t xml:space="preserve">Balances ≥ 0 throughout → OK.</t>
  </si>
  <si>
    <t xml:space="preserve">Contra 'cash deposited' 20,000 on 15-08 without bank credit → CONTRA_NOT_IN_BANK.</t>
  </si>
  <si>
    <t xml:space="preserve">Back-dated vouchers; cash sales booked late; petty cash imprest.</t>
  </si>
  <si>
    <t xml:space="preserve">Investigate; obtain explanations; consider s.68 exposure.</t>
  </si>
  <si>
    <t xml:space="preserve">def rc_acc_010(gl, stmt, p):
    bal = gl.cash_opening
    for d, vs in group(gl.cash_vouchers, 'date'):
        bal += sum(v.dr for v in vs) - sum(v.cr for v in vs)
        if bal &lt; 0: yield cat('NEGATIVE_BALANCE', d, bal)
    yield from contra_match(gl, stmt, p)</t>
  </si>
  <si>
    <t xml:space="preserve">Practice-based (round-1 LED-001).</t>
  </si>
  <si>
    <t xml:space="preserve">RC-ACC-011</t>
  </si>
  <si>
    <t xml:space="preserve">Accounting – Duplicates</t>
  </si>
  <si>
    <t xml:space="preserve">Duplicate invoice detection across purchase register and GL</t>
  </si>
  <si>
    <t xml:space="preserve">Detect the same supplier invoice booked more than once (in purchase register, in GL expense vouchers, or both), including near-duplicates with normalised invoice numbers, and duplicate payments against the same invoice.</t>
  </si>
  <si>
    <t xml:space="preserve">CLIENT_INVOICE</t>
  </si>
  <si>
    <t xml:space="preserve">financial year (look back to previous year for cross-year duplicates)</t>
  </si>
  <si>
    <t xml:space="preserve">Professional practice (ICAI Standards on Auditing; Companies Act 2013 s.128 – proper books of account) – no statutory reconciliation format. Also relevant to GST ITC (double claim) and SA 240 – round-1 LED-006.</t>
  </si>
  <si>
    <t xml:space="preserve">Purchase register (supplier GSTIN/id, invoice no., date, taxable value, tax); GL expense vouchers with supplier reference/narration; payments with invoice allocation; optional client invoice copies (OCR'd invoice no./amount).</t>
  </si>
  <si>
    <t xml:space="preserve">PURCH_REG.party_name = GL.party_id; norm(PURCH_REG.supplier_invoice_no (normalised for duplicate detection)) = norm(GL.bill_ref); PURCH_REG.invoice_value = GL.abs(credit) on the party ledger line of the purchase voucher</t>
  </si>
  <si>
    <t xml:space="preserve">Invoice no.: upper-case, remove spaces, '/', '-', '\\', '.', leading zeros, fiscal-year prefixes/suffixes like '25-26', '2025-26', 'FY26' (implementation choice – configurable regex); supplier by GSTIN→PAN then id then name.</t>
  </si>
  <si>
    <t xml:space="preserve">supplier + normalised invoice no.</t>
  </si>
  <si>
    <t xml:space="preserve">PURCH_REG.invoice_value vs GL.abs(credit) on the party ledger line of the purchase voucher; PURCH_REG.supplier_invoice_date vs GL.voucher_date</t>
  </si>
  <si>
    <t xml:space="preserve">Exact for duplicates; near-duplicate: same supplier, same amount within 30 days, different invoice no. (implementation).</t>
  </si>
  <si>
    <t xml:space="preserve">dup_group = vouchers sharing (supplier, norm_invoice_no) with count &gt; 1 (excluding linked reversal/credit note pairs)</t>
  </si>
  <si>
    <t xml:space="preserve">1. Union purchase register and GL expense vouchers (tag source). 2. Normalise. 3. Group; exclude pairs where one is a reversal/cancelled. 4. Same invoice in PR and in a separate GL expense voucher (booked twice via different routes) → CROSS_SOURCE_DUP. 5. Near duplicates. 6. Duplicate payments: same invoice allocated in two payments or same UTR used twice. 7. Cross-year duplicates.</t>
  </si>
  <si>
    <t xml:space="preserve">UNIQUE: unique; EXACT_DUP: exact dup; CROSS_SOURCE_DUP: cross source dup; NEAR_DUP: near dup; DUP_PAYMENT: dup payment; CROSS_YEAR_DUP: cross year dup; SAME_INV_DIFF_SUPPLIER: same inv diff supplier</t>
  </si>
  <si>
    <t xml:space="preserve">UNIQUE=Low; EXACT_DUP=High; CROSS_SOURCE_DUP=High; NEAR_DUP=Medium; DUP_PAYMENT=Critical; CROSS_YEAR_DUP=High; SAME_INV_DIFF_SUPPLIER=Medium</t>
  </si>
  <si>
    <t xml:space="preserve">near_dup_window_days=30; normalise_fy_tokens=true; lookback_years=1</t>
  </si>
  <si>
    <t xml:space="preserve">Supplier ids present; invoice numbers not blank (blank → separate list).</t>
  </si>
  <si>
    <t xml:space="preserve">dup_group_id, supplier, norm_invoice_no, voucher_ids, sources, dates, amounts, category, severity</t>
  </si>
  <si>
    <t xml:space="preserve">Supplier S: PR 'INV/0045/25-26' 1,18,000 on 05-06-2025; GL journal 'Inv 45' 1,18,000 on 20-06-2025 → norm '45' both → CROSS_SOURCE_DUP. Supplier T: 'T-778' 50,000 and 'T-779' 50,000 within 3 days → NEAR_DUP (review).</t>
  </si>
  <si>
    <t xml:space="preserve">Invoice booked once and paid once → UNIQUE.</t>
  </si>
  <si>
    <t xml:space="preserve">Invoice booked and reversed by credit-note link → excluded (not flagged).</t>
  </si>
  <si>
    <t xml:space="preserve">Proforma and tax invoice both booked; GRN-based and invoice-based posting; import of same file twice; ITC claimed twice.</t>
  </si>
  <si>
    <t xml:space="preserve">Reverse duplicate; recover duplicate payments; reverse excess ITC (GST module).</t>
  </si>
  <si>
    <t xml:space="preserve">def rc_acc_011(pr, gl, p):
    rows = [tag(r,'PR') for r in pr] + [tag(v,'GL') for v in gl.expense_vouchers()]
    for (sup, inv), grp in groupby(sorted(rows, key=lambda r:(r.sup, norm(r.inv, p))), key=lambda r:(r.sup, norm(r.inv, p))):
        grp = drop_reversals(list(grp))
        if len(grp) &gt; 1: yield cat('CROSS_SOURCE_DUP' if len({g.src for g in grp})&gt;1 else 'EXACT_DUP', grp)
    yield from near_dups(rows, p); yield from dup_payments(gl)</t>
  </si>
  <si>
    <t xml:space="preserve">Practice-based (round-1 LED-006); normalisation regex is implementation choice.</t>
  </si>
  <si>
    <t xml:space="preserve">Document pair matrix – which documents each reconciliation rule compares</t>
  </si>
  <si>
    <t xml:space="preserve">Use this to decide which documents a client must upload for a given reconciliation run.</t>
  </si>
  <si>
    <t xml:space="preserve">Rule names</t>
  </si>
  <si>
    <t xml:space="preserve">RC-IT-005: Advance tax / self-assessment tax challans vs ITR Schedule IT vs 26AS Part C</t>
  </si>
  <si>
    <t xml:space="preserve">RC-IT-003: AIS SFT entries vs books / ITR (cash deposits, property, securities, interest, dividend, time deposits)</t>
  </si>
  <si>
    <t xml:space="preserve">RC-BNK-005: Large cash deposits in bank vs AIS SFT (SFT-003/004) and cash book</t>
  </si>
  <si>
    <t xml:space="preserve">RC-BNK-001: Bank statement vs bank book – auto-matching (UTR/cheque/amount/date window, many-to-one) and BRS</t>
  </si>
  <si>
    <t xml:space="preserve">RC-BNK-004: Cash withdrawals vs s.194N thresholds and 26AS 194N TDS</t>
  </si>
  <si>
    <t xml:space="preserve">RC-BNK-003: Interest credited by bank vs books vs 26AS s.194A</t>
  </si>
  <si>
    <t xml:space="preserve">RC-BNK-002: Bank charges and GST on bank charges – bank statement vs GL vs GSTR-2B</t>
  </si>
  <si>
    <t xml:space="preserve">RC-GST-040: Composition: CMP-08 quarterly and GSTR-4 annual turnover/tax vs books</t>
  </si>
  <si>
    <t xml:space="preserve">RC-IT-013: s.43B(h) – micro/small enterprise payables outstanding at year end beyond 15/45 days</t>
  </si>
  <si>
    <t xml:space="preserve">RC-ACC-004: Debtors/creditors ageing vs TB control accounts (and Schedule III ageing)</t>
  </si>
  <si>
    <t xml:space="preserve">RC-PAY-002: ECR vs EPF challan (TRRN) – amount, payment date vs 15th, interest s.7Q and damages</t>
  </si>
  <si>
    <t xml:space="preserve">RC-GST-008: E-invoice (IRN) data vs GSTR-1 and sales register; e-invoice applicability</t>
  </si>
  <si>
    <t xml:space="preserve">RC-TDS-009: Form 16A / Form 131 issued vs statement data</t>
  </si>
  <si>
    <t xml:space="preserve">RC-IT-001: Form 26AS / AIS TDS entries vs income booked – deductor (TAN) and section-wise</t>
  </si>
  <si>
    <t xml:space="preserve">RC-IT-006: 26AS Part B TCS vs books TCS receivable vs ITR Schedule TCS</t>
  </si>
  <si>
    <t xml:space="preserve">RC-IT-002: TDS credit claimable – books TDS receivable vs 26AS vs ITR Schedule TDS (Rule 37BA timing, booking status)</t>
  </si>
  <si>
    <t xml:space="preserve">RC-IT-011: Form 3CD clause 22 (MSMED s.23 interest &amp; s.43B(h) amounts) vs computed MSME interest and disallowance</t>
  </si>
  <si>
    <t xml:space="preserve">RC-IT-010: Form 3CD clause 44 GST break-up of expenditure vs GL / purchase register / vendor GST status</t>
  </si>
  <si>
    <t xml:space="preserve">RC-IT-012: Form 3CD clause 21 disallowances vs GL (40(a)(ia), 40A(3), penalties, CSR, personal)</t>
  </si>
  <si>
    <t xml:space="preserve">RC-IT-008: Form 3CD clause 26 (s.43B) figures vs TB/GL statutory dues and payment dates</t>
  </si>
  <si>
    <t xml:space="preserve">RC-IT-009: Form 3CD clause 34(a)/(b)/(c) vs TDS statements and tool computations</t>
  </si>
  <si>
    <t xml:space="preserve">RC-ACC-006: Fixed asset register vs GL fixed assets &amp; depreciation (Schedule II book vs income-tax WDV)</t>
  </si>
  <si>
    <t xml:space="preserve">RC-GST-026: GSTR-9C turnover reconciliation: financial statements / trial balance vs GSTR-9 (Table 5–7)</t>
  </si>
  <si>
    <t xml:space="preserve">RC-ACC-010: Cash book – negative balance on any day and cash vs bank contra consistency</t>
  </si>
  <si>
    <t xml:space="preserve">RC-ACC-009: Related-party transactions in GL vs related-party disclosures (AS 18 / Ind AS 24) and 3CD cl.23</t>
  </si>
  <si>
    <t xml:space="preserve">RC-GST-039: Advances received/adjusted (GSTR-1 Table 11) vs books (services)</t>
  </si>
  <si>
    <t xml:space="preserve">RC-GST-019: RCM: GL expense heads vs GSTR-3B 3.1(d) liability and 4A(2)/4A(3) ITC</t>
  </si>
  <si>
    <t xml:space="preserve">RC-PAY-005: Payroll GL (salary expense, PF/ESI/PT/TDS payables) vs payroll register</t>
  </si>
  <si>
    <t xml:space="preserve">RC-TDS-002: Expense GL heads vs TDS ledger – payments liable to TDS but not deducted / short deducted</t>
  </si>
  <si>
    <t xml:space="preserve">RC-GST-007: GSTR-1 + GSTR-1A/IFF vs GSTR-3B Table 3.1 liability by tax head and month (Rule 88C / hard-lock)</t>
  </si>
  <si>
    <t xml:space="preserve">RC-GST-030: Credit notes: supplier CN in books/GSTR-1 vs recipient ITC reversal (s.34(2) proviso from 01.10.2025) and recipient-side CN in GSTR-2B vs purchase books</t>
  </si>
  <si>
    <t xml:space="preserve">RC-GST-006, RC-GST-011</t>
  </si>
  <si>
    <t xml:space="preserve">RC-GST-006: GSTR-1 amendments (B2BA/B2CLA/EXPA/CDNRA/B2CSA) vs books revisions and s.37(3) time limit
RC-GST-011: GSTR-1 Table 12 HSN summary vs invoice-level totals (B2B/B2C split, HSN digits)</t>
  </si>
  <si>
    <t xml:space="preserve">RC-GST-016: GSTR-2A vs GSTR-2B – late-filed supplier documents and period shift</t>
  </si>
  <si>
    <t xml:space="preserve">RC-GST-014: GSTR-2B ITC available vs GSTR-3B Table 4A ITC claimed (Rule 88D / DRC-01C)</t>
  </si>
  <si>
    <t xml:space="preserve">RC-GST-037: ISD distribution (GSTR-6 / ISD invoices) vs recipient GSTR-2B ISD section and books</t>
  </si>
  <si>
    <t xml:space="preserve">RC-GST-021: GSTR-3B tax paid (Table 6.1) vs ECL/ECRL/ELL – cash vs credit utilisation and order (s.49, Rule 88A)</t>
  </si>
  <si>
    <t xml:space="preserve">RC-GST-023: Late fee u/s 47 computed vs paid (GSTR-3B, GSTR-1, GSTR-9)</t>
  </si>
  <si>
    <t xml:space="preserve">RC-GST-018: GSTR-3B Table 4B(2)/4D(1) reversals and re-claims vs ECRRS (incl. opening balance)</t>
  </si>
  <si>
    <t xml:space="preserve">RC-GST-022: Interest u/s 50 – computed (late 3B cash portion, short payment, wrong ITC utilised) vs paid (ELL/DRC-03)</t>
  </si>
  <si>
    <t xml:space="preserve">RC-GST-032: Return filing and amendment time bars: s.37(5)/39(11)/44(2)/52(14) 3-year bar and s.37(3)/39(9) rectification limits</t>
  </si>
  <si>
    <t xml:space="preserve">RC-GST-020: RCM liability/ITC statement: 3B 3.1(d) paid vs 4A(2)+4A(3) ITC claimed (ledger validation)</t>
  </si>
  <si>
    <t xml:space="preserve">RC-GST-035: GST TDS (GSTR-7) credit vs books receivable and TDS/TCS Credit Received acceptance</t>
  </si>
  <si>
    <t xml:space="preserve">RC-GST-036: GST TCS by e-commerce operator (GSTR-8) vs books ECO sales and acceptance</t>
  </si>
  <si>
    <t xml:space="preserve">RC-GST-024: GSTR-9 Tables 4, 5, 9, 10, 11 vs sum of GSTR-1/1A and GSTR-3B for the FY</t>
  </si>
  <si>
    <t xml:space="preserve">RC-GST-025: GSTR-9 ITC tables (6, 7, 8A–8K, 13) vs GSTR-2B, GSTR-3B and books</t>
  </si>
  <si>
    <t xml:space="preserve">RC-GST-015: IMS actions (accept/reject/pending) vs purchase register</t>
  </si>
  <si>
    <t xml:space="preserve">RC-ACC-008: MSME vendor master vs creditors ageing – MSMED s.15/16 interest, s.22 disclosure, MSME Form 1</t>
  </si>
  <si>
    <t xml:space="preserve">RC-ACC-005: Party balance confirmations vs books</t>
  </si>
  <si>
    <t xml:space="preserve">RC-PAY-001, RC-PAY-007</t>
  </si>
  <si>
    <t xml:space="preserve">RC-PAY-001: Payroll register vs ECR – UAN-wise wages and EE/ER/EPS contributions (with recomputation)
RC-PAY-007: Code on Wages 50% wage-definition check – payroll wage components vs statutory 'wages' used for PF/ESI/gratuity</t>
  </si>
  <si>
    <t xml:space="preserve">RC-PAY-006: Employee PF/ESI contribution deposit date vs statutory due date – s.36(1)(va) disallowance</t>
  </si>
  <si>
    <t xml:space="preserve">RC-PAY-003: Payroll register vs ESIC monthly contribution vs ESIC challan</t>
  </si>
  <si>
    <t xml:space="preserve">RC-PAY-004: Professional tax – deducted in payroll vs PT return/challan vs state slab</t>
  </si>
  <si>
    <t xml:space="preserve">RC-TDS-010: 24Q salary TDS vs payroll register (monthly) and taxable salary</t>
  </si>
  <si>
    <t xml:space="preserve">RC-GST-017: Purchase register payment dates vs 180-day rule (Rule 37) – reversal, interest, re-claim</t>
  </si>
  <si>
    <t xml:space="preserve">RC-ACC-011: Duplicate invoice detection across purchase register and GL</t>
  </si>
  <si>
    <t xml:space="preserve">RC-GST-038: Imports: ICEGATE Bill of Entry vs GSTR-2B IMPG/IMPGSEZ vs books and GSTR-3B 4A(1)</t>
  </si>
  <si>
    <t xml:space="preserve">RC-GST-013: Purchase register vs GSTR-2B – invoice-level ITC matching</t>
  </si>
  <si>
    <t xml:space="preserve">RC-GST-031: ITC time limit u/s 16(4): ITC claimed in GSTR-3B after the deadline (purchase register / 2B vs 3B claim period)</t>
  </si>
  <si>
    <t xml:space="preserve">RC-GST-009: E-invoice reporting time limit (30 days for AATO &gt;= Rs 10 crore) and invoices without IRN</t>
  </si>
  <si>
    <t xml:space="preserve">RC-GST-010: E-invoice / sales register vs e-way bill (consignment value &gt; Rs 50,000)</t>
  </si>
  <si>
    <t xml:space="preserve">RC-GST-002, RC-GST-003, RC-GST-012</t>
  </si>
  <si>
    <t xml:space="preserve">RC-GST-002: Sales register vs GSTR-1 – B2C Large invoices (Table 5)
RC-GST-003: Sales register vs GSTR-1 – B2C Small summary (Table 7) by POS and rate
RC-GST-012: GSTR-1 Table 13 documents issued vs sales register document series (gaps, cancelled)</t>
  </si>
  <si>
    <t xml:space="preserve">RC-GST-001, RC-GST-005</t>
  </si>
  <si>
    <t xml:space="preserve">RC-GST-001: Sales register vs GSTR-1/IFF/GSTR-1A – B2B invoices (Table 4A/4B/4C, 6B, 6C)
RC-GST-005: Books credit/debit notes vs GSTR-1 CDNR/CDNUR (Table 9B)</t>
  </si>
  <si>
    <t xml:space="preserve">RC-GST-004, RC-GST-029</t>
  </si>
  <si>
    <t xml:space="preserve">RC-GST-004: Sales register / shipping bills vs GSTR-1 – exports (Table 6A) and SEZ/deemed exports (6B/6C)
RC-GST-029: Exempt / nil-rated / non-GST turnover in books vs GSTR-1 Table 8 and GSTR-3B 3.1(c)/(e); Rule 42 inputs</t>
  </si>
  <si>
    <t xml:space="preserve">RC-GST-034: Place of supply check: supplier state vs POS vs IGST or CGST+SGST charged</t>
  </si>
  <si>
    <t xml:space="preserve">RC-GST-033: Rate check: sales register item HSN + rate vs rate master (GST 2.0 from 22.09.2025; tobacco 01.02.2026)</t>
  </si>
  <si>
    <t xml:space="preserve">RC-TDS-012: TCS (collector side) – books vs 27EQ/143 vs challans</t>
  </si>
  <si>
    <t xml:space="preserve">RC-ACC-007: Stock register vs GL inventory vs stock statements to bank (drawing power; CARO 3(ii)(b))</t>
  </si>
  <si>
    <t xml:space="preserve">RC-BNK-006: Bank balance per books (TB) vs bank statement/confirmation at year end</t>
  </si>
  <si>
    <t xml:space="preserve">RC-ACC-002, RC-ACC-003</t>
  </si>
  <si>
    <t xml:space="preserve">RC-ACC-002: TB opening balances vs previous year closing TB / audited FS
RC-ACC-003: TB vs financial statements – Schedule III mapping and totals</t>
  </si>
  <si>
    <t xml:space="preserve">RC-ACC-001: Trial balance vs general ledger totals (ledger-wise roll-forward)</t>
  </si>
  <si>
    <t xml:space="preserve">RC-GST-028: Trial balance GST ledgers (output, input, RCM payable, cash ledger) vs GSTR-3B</t>
  </si>
  <si>
    <t xml:space="preserve">RC-IT-007: Turnover reconciliation – books vs GST returns (GSTR-3B/GSTR-1) vs ITR vs Form 3CD</t>
  </si>
  <si>
    <t xml:space="preserve">RC-GST-027: GSTR-9C ITC reconciliation: books ITC (GL) vs GSTR-9 Table 7J (Table 12) and expense-wise (Table 14)</t>
  </si>
  <si>
    <t xml:space="preserve">RC-PAY-008: Gratuity and bonus provisions in TB vs computed liability</t>
  </si>
  <si>
    <t xml:space="preserve">RC-TDS-001: TDS ledger (books) vs quarterly TDS statement – deductee-wise</t>
  </si>
  <si>
    <t xml:space="preserve">RC-TDS-011: 24Q Q4 Annexure II (salary details) vs Form 16 Part B vs payroll annual computation</t>
  </si>
  <si>
    <t xml:space="preserve">RC-TDS-005: Date of payment/credit vs date of deduction – interest for late deduction (s.201(1A)(i) / s.398(3))</t>
  </si>
  <si>
    <t xml:space="preserve">RC-TDS-006: Rate check – statement rate vs expected rate (206AA no-PAN, lower/nil certificate, 15G/15H, threshold codes)</t>
  </si>
  <si>
    <t xml:space="preserve">RC-TDS-003, RC-TDS-004</t>
  </si>
  <si>
    <t xml:space="preserve">RC-TDS-003: TDS statement vs challans – challan utilisation, short payment, unconsumed challans, CIN mapping
RC-TDS-004: Challan deposit date vs due date – interest for late payment (s.201(1A)(ii) / s.398(3))</t>
  </si>
  <si>
    <t xml:space="preserve">RC-TDS-007: Statement filing date vs due date – late fee s.234E / s.427</t>
  </si>
  <si>
    <t xml:space="preserve">RC-IT-004: TIS (derived values) vs ITR schedules</t>
  </si>
  <si>
    <t xml:space="preserve">RC-TDS-008: TRACES justification report vs tool's own computed defaults</t>
  </si>
  <si>
    <t xml:space="preserve">Document catalogue – every document the tool ingests</t>
  </si>
  <si>
    <t xml:space="preserve">Statutory forms carry official table / JSON references; books documents (registers, GL, TB, bank book) are a recommended design based on Tally exports – not law.</t>
  </si>
  <si>
    <t xml:space="preserve">Doc code</t>
  </si>
  <si>
    <t xml:space="preserve">Document name</t>
  </si>
  <si>
    <t xml:space="preserve">Issuer / system</t>
  </si>
  <si>
    <t xml:space="preserve">Legal basis</t>
  </si>
  <si>
    <t xml:space="preserve">New form no. (2025 Act)</t>
  </si>
  <si>
    <t xml:space="preserve">Frequency</t>
  </si>
  <si>
    <t xml:space="preserve">Formats available</t>
  </si>
  <si>
    <t xml:space="preserve">How obtained</t>
  </si>
  <si>
    <t xml:space="preserve">Due date</t>
  </si>
  <si>
    <t xml:space="preserve">Tables / parts used</t>
  </si>
  <si>
    <t xml:space="preserve">Fields</t>
  </si>
  <si>
    <t xml:space="preserve">Used by rules</t>
  </si>
  <si>
    <t xml:space="preserve">Notes</t>
  </si>
  <si>
    <t xml:space="preserve">Sources (title | URL | ref)</t>
  </si>
  <si>
    <t xml:space="preserve">FORM GSTR-1 – Details of outward supplies of goods or services</t>
  </si>
  <si>
    <t xml:space="preserve">GST portal (gst.gov.in) – filed by supplier; downloadable JSON/Excel from Returns Dashboard / offline tool</t>
  </si>
  <si>
    <t xml:space="preserve">s.37 CGST Act; Rule 59(1), CGST Rules 2017; Notification 78/2020-CT (HSN digits); Notification 26/2022-CT (Tables 14 &amp; 15); HSN Phase-III &amp; Table 13 mandatory per GSTN advisory dt 01.05.2025</t>
  </si>
  <si>
    <t xml:space="preserve">monthly (or quarterly under QRMP, AATO up to Rs 5 crore)</t>
  </si>
  <si>
    <t xml:space="preserve">JSON (portal download / GST Offline Tool import), Excel (offline tool template), PDF (filed return summary)</t>
  </si>
  <si>
    <t xml:space="preserve">GST portal &gt; Returns Dashboard &gt; period &gt; GSTR-1/IFF &gt; Prepare Online/Offline &gt; Download (JSON via offline tool 'Download filed GSTR-1'); or ERP/GSP export</t>
  </si>
  <si>
    <t xml:space="preserve">11th of following month (monthly); 13th of month following quarter (QRMP) – Rule 59; extensions by notification</t>
  </si>
  <si>
    <t xml:space="preserve">4A/4B/6B/6C (b2b: regular, RCM, SEZ WP/WOP, deemed export); 5 (b2cl); 6A (exp: WPAY/WOPAY); 7 (b2cs); 8 (nil: nil/exempt/non-GST); 9A (b2ba/b2cla/expa amendments); 9B (cdnr, cdnur); 9C (cdnra, cdnura); 10 (b2csa); 11A/11B (at, txpd + amendments); 12 (hsn – hsn_b2b/hsn_b2c from May-2025); 13 (doc_issue); 14 (supeco clttx/paytx) &amp; 14A; 15 &amp; 15A (ECO u/s 9(5))</t>
  </si>
  <si>
    <t xml:space="preserve">RC-GST-001, RC-GST-002, RC-GST-003, RC-GST-004, RC-GST-005, RC-GST-006, RC-GST-007, RC-GST-008, RC-GST-011, RC-GST-012, RC-GST-024, RC-GST-029, RC-GST-030, RC-GST-032, RC-GST-034, RC-GST-039</t>
  </si>
  <si>
    <t xml:space="preserve">JSON keys taken from GSTN payload sample (Vayana b2b example) and the open-source india-compliance field map, which reads/writes the GSTN schema; GSTN's own developer-portal schema pages could not be opened. Keys for amendment sections (b2ba, b2cla, expa, cdnra, cdnura, b2csa, ata, txpda), Table 15 keys and b2cs/at sply_ty are UNVERIFIED. Date format dd-mm-yyyy is the GSTN convention but was not seen in a live file in this session. Credit notes stored unsigned with ntty – engine must apply sign. B2CL threshold Rs 1 lakh applies from 01.08.2024 (earlier Rs 2.5 lakh) per india-compliance constant; confirm against Notification 12/2024-CT. Table 12 validations vs other tables are warning-only (advisory 01.05.2025). Amendments: s.37(3) – by 30 Nov following FY or annual return, whichever earlier. Three-year bar on filing (s.37(5)).</t>
  </si>
  <si>
    <t xml:space="preserve">Vayana GSP docs – GSTR-1 download (GSTN payload sample, b2b) | https://docs.enriched-api.vayana.com/routes/basic/gstn/apis/returns/Gstr-Download-Lite-Api/gstr-1/ | 
india-compliance (ERPNext GST app) – GSTR-1 field map (gst_returns/fields/gstr1.py, RawField = portal JSON keys) | https://github.com/resilient-tech/india-compliance | india_compliance/gst_returns/fields/gstr1.py; utils/gstr_1/sections/*.py (develop branch, cloned 13-10-2026)
GST Developer Portal – Taxpayer API (returns/ledger lists) | https://developer.gst.gov.in/apiportal/taxpayer/returns/apilist | Index only; schema pages not readable in this session
GSTN advisory 01.05.2025 – HSN Table 12 and Table 13 (TaxO reproduction) | https://taxo.online/latest-news/02-05-2025-gstn-issued-advisory-relating-to-reporting-of-hsn-codes-in-table-12-and-list-of-documents-in-table-13-of-gstr-1-1a/ | 
GSTN advisory 15.01.2024 – new Tables 14 &amp; 15 in GSTR-1 (TaxO reproduction) | https://taxo.online/latest-news/16-01-2024-gstn-issued-advisory-on-introduction-of-new-tables-14-15-in-gstr-1/ | N.26/2022-CT
GST portal contextual help – GSTR-1 Table 14 | https://tutorial.gst.gov.in/contextualhelp/Einv/SUPECO_14.htm | </t>
  </si>
  <si>
    <t xml:space="preserve">FORM GSTR-1A – Amendment / addition of outward supply details for the current tax period</t>
  </si>
  <si>
    <t xml:space="preserve">GST portal</t>
  </si>
  <si>
    <t xml:space="preserve">s.37 CGST Act; Rule 59(1) proviso (inserted by Notification 12/2024-CT dt 10.07.2024)</t>
  </si>
  <si>
    <t xml:space="preserve">monthly / quarterly (optional, once per tax period)</t>
  </si>
  <si>
    <t xml:space="preserve">Online / JSON download (same schema as GSTR-1 sections) / PDF</t>
  </si>
  <si>
    <t xml:space="preserve">GST portal &gt; Returns Dashboard &gt; period &gt; GSTR-1A (available after GSTR-1 due date or filing, whichever later, until GSTR-3B of that period is filed)</t>
  </si>
  <si>
    <t xml:space="preserve">Optional; must be filed before GSTR-3B of the same period</t>
  </si>
  <si>
    <t xml:space="preserve">Same table numbering as GSTR-1 (4A/4B/6B/6C, 5, 6A, 7, 8, 9A, 9B, 9C, 10, 11, 12, 13, 14/14A, 15/15A) – additions/amendments of the same tax period; net impact auto-populates GSTR-3B of same period; recipient sees in next period GSTR-2B</t>
  </si>
  <si>
    <t xml:space="preserve">RC-GST-001, RC-GST-005, RC-GST-007</t>
  </si>
  <si>
    <t xml:space="preserve">Reconciliation: GSTR-1 + GSTR-1A (net) of a period = GSTR-3B Table 3.1/3.1.1/3.2 auto-population. JSON layout assumed identical to GSTR-1 – NOT verified. Field list kept generic; reuse GSTR1 field definitions per section.</t>
  </si>
  <si>
    <t xml:space="preserve">GSTN advisory 26.07.2024 on GSTR-1A (TaxO reproduction) | https://taxo.online/latest-news/27-07-2024-advisory-issued-relating-to-form-gstr-1a/ | N.12/2024-CT dt 10.07.2024</t>
  </si>
  <si>
    <t xml:space="preserve">IFF</t>
  </si>
  <si>
    <t xml:space="preserve">Invoice Furnishing Facility (QRMP taxpayers, months M1 and M2)</t>
  </si>
  <si>
    <t xml:space="preserve">s.37 CGST Act; Rule 59(2) CGST Rules (QRMP scheme, Notification 84/2020-CT and 82/2020-CT)</t>
  </si>
  <si>
    <t xml:space="preserve">monthly (optional) for first two months of quarter</t>
  </si>
  <si>
    <t xml:space="preserve">Online / Offline tool JSON / Excel; same schema as GSTR-1 b2b/cdnr/b2ba/cdnra sections</t>
  </si>
  <si>
    <t xml:space="preserve">GST portal &gt; Returns Dashboard &gt; month M1/M2 &gt; IFF; download as for GSTR-1</t>
  </si>
  <si>
    <t xml:space="preserve">1st to 13th of month following M1 / M2</t>
  </si>
  <si>
    <t xml:space="preserve">4A/4B/6B/6C (b2b), 9A (b2ba), 9B (cdnr), 9C (cdnra), 14/14A(b) and 15/15A B2B &amp; URP2B (ECO) – no B2C, HSN or documents-issued tables; value limit Rs 50 lakh per month (per Rule 59(2) – not re-verified)</t>
  </si>
  <si>
    <t xml:space="preserve">Records in IFF flow to recipient GSTR-2A/2B/IMS of that month. No separate amendment of IFF in M1/M2; amend via quarterly GSTR-1/GSTR-1A. JSON keys as GSTR-1 (Partially verified). Rs 50 lakh cap not re-verified this session.</t>
  </si>
  <si>
    <t xml:space="preserve">india-compliance (ERPNext GST app) – GSTR-1 field map (gst_returns/fields/gstr1.py, RawField = portal JSON keys) | https://github.com/resilient-tech/india-compliance | india_compliance/gst_returns/fields/gstr1.py; utils/gstr_1/sections/*.py (develop branch, cloned 13-10-2026)
Vayana GSP docs – GSTR-1 download (GSTN payload sample, b2b) | https://docs.enriched-api.vayana.com/routes/basic/gstn/apis/returns/Gstr-Download-Lite-Api/gstr-1/ | 
GSTN advisory 26.07.2024 on GSTR-1A (IFF relationship) | https://taxo.online/latest-news/27-07-2024-advisory-issued-relating-to-form-gstr-1a/ | 
GSTN advisory 15.01.2024 – Tables 14 &amp; 15 available in IFF (B2B, URP2B) | https://taxo.online/latest-news/16-01-2024-gstn-issued-advisory-on-introduction-of-new-tables-14-15-in-gstr-1/ | </t>
  </si>
  <si>
    <t xml:space="preserve">FORM GSTR-3B – Monthly/quarterly summary return and tax payment</t>
  </si>
  <si>
    <t xml:space="preserve">s.39 CGST Act; Rule 61, CGST Rules (form amended by Notification 14/2022-CT dt 05.07.2022: Table 3.1.1, revised Table 4); Rule 88D (ITC difference vs 2B); Rule 88C (liability difference vs GSTR-1)</t>
  </si>
  <si>
    <t xml:space="preserve">monthly; quarterly under QRMP</t>
  </si>
  <si>
    <t xml:space="preserve">Online; JSON (save/get API, offline Excel utility v5.x), PDF (filed return / system-generated 3B)</t>
  </si>
  <si>
    <t xml:space="preserve">GST portal &gt; Returns Dashboard &gt; GSTR-3B &gt; Download filed PDF; system-generated 3B summary PDF; JSON via GSP/API</t>
  </si>
  <si>
    <t xml:space="preserve">20th of following month (monthly); 22nd/24th of month after quarter by State group (QRMP, Notification 82/2020-CT)</t>
  </si>
  <si>
    <t xml:space="preserve">3.1(a)-(e); 3.1.1(i),(ii); 3.2 (unregistered/composition/UIN by POS); 4A(1)-(5); 4B(1),(2); 4C; 4D(1),(2); 5 (exempt/nil/non-GST inward); 5.1 interest &amp; late fee; 6.1 payment of tax (Part A other than RCM, Part B RCM)</t>
  </si>
  <si>
    <t xml:space="preserve">RC-GST-004, RC-GST-007, RC-GST-014, RC-GST-017, RC-GST-018, RC-GST-019, RC-GST-020, RC-GST-021, RC-GST-022, RC-GST-023, RC-GST-024, RC-GST-025, RC-GST-028, RC-GST-029, RC-GST-031, RC-GST-032, RC-GST-037, RC-GST-038, RC-IT-007</t>
  </si>
  <si>
    <t xml:space="preserve">JSON keys verified from two independent copies of the GSTR-3B payload (Masters India save-3B doc and india-compliance template): sup_details{osup_det, osup_zero, osup_nil_exmp, isup_rev, osup_nongst}, eco_dtls{eco_sup, eco_reg_sup}, inter_sup{unreg_details, comp_details, uin_details}, itc_elg{itc_avl[IMPG,IMPS,ISRC,ISD,OTH], itc_rev[RUL,OTH], itc_net, itc_inelg[RUL,OTH]}, inward_sup.isup_details[GST,NONGST], intr_ltfee.intr_details. ltfee_details and the Table 6.1 payment JSON keys were NOT seen – unverified. Form text checked from a reproduction of the original form (pre-2022 labels for 4B/4D); amended labels per Notification 14/2022-CT from secondary source. Hard-lock of Table 3 auto-populated values from July-2025 and 3.2 non-editable from Nov-2025 – taken from existing gst.json rule GST-008 (secondary).</t>
  </si>
  <si>
    <t xml:space="preserve">Masters India API docs – Save GSTR-3B data (payload keys) | https://docs.mastersindia.co/goods-and-services-tax-gst-api/save_3b_data | 
india-compliance – GSTR-3B JSON template | https://github.com/resilient-tech/india-compliance | india_compliance/gst_india/doctype/gstr_3b_report/gstr_3b_report_template.json
Form GSTR-3B (reproduction, Rule 61(5)) | https://www.gstgyaan.com/pdf/form-gstr-3b.pdf | 
Changes in GSTR-3B w.e.f. 01.09.2022 (VJM Global) | https://www.vjmglobal.com/blog/changes-in-gstr-3b-with-effect-from-01-09-2022 | N.14/2022-CT; 4B(1), 4B(2), 4D(1), 4D(2)
Table 3.1.1 of GSTR-3B (ClearTax) | https://cleartax.in/s/table-3-1-1-of-gstr-3b-for-e-commerce-transactions-under-95 | 
Circular 170/02/2022-GST (gstcouncil.gov.in) | https://www.gstcouncil.gov.in/sites/default/files/2024-06/cir-170-02-2022-cgst.pdf | Table 4 reporting manner</t>
  </si>
  <si>
    <t xml:space="preserve">FORM GSTR-2A – Auto-drafted details of inward supplies (dynamic)</t>
  </si>
  <si>
    <t xml:space="preserve">GST portal (auto-drafted from suppliers' GSTR-1/IFF/1A, GSTR-5, GSTR-6, GSTR-7, GSTR-8, ICEGATE)</t>
  </si>
  <si>
    <t xml:space="preserve">s.38 CGST Act (as substituted) / Rule 60 CGST Rules</t>
  </si>
  <si>
    <t xml:space="preserve">monthly (dynamic, updates as suppliers file)</t>
  </si>
  <si>
    <t xml:space="preserve">Online view; Excel and JSON download (section-wise), via API</t>
  </si>
  <si>
    <t xml:space="preserve">GST portal &gt; Returns Dashboard &gt; period &gt; GSTR-2A &gt; Download (Excel / JSON)</t>
  </si>
  <si>
    <t xml:space="preserve">Not applicable (statement)</t>
  </si>
  <si>
    <t xml:space="preserve">Part A: B2B, B2BA, CDN, CDNA (CDNR), ECO documents; Part B: ISD, ISDA; Part C: TDS, TDSA, TCS; Part D: IMPG, IMPGSEZ (ICEGATE). GSTR-9 Table 8A was based on 2A up to FY 2022-23</t>
  </si>
  <si>
    <t xml:space="preserve">Keys from india-compliance RawField2a (OSS implementation of GSTN download API) – secondary; not seen in GSTN's own schema. Section key names (b2b, b2ba, cdn, cdna, isd, isda, impg, impgsez, tds, tcs) inferred from that code. GSTR-2A is dynamic: always store download timestamp. Do not use 2A for ITC eligibility after 01.01.2022 (s.16(2)(aa) – 2B is the reference) except for GSTR-9 8A history up to FY 2022-23.</t>
  </si>
  <si>
    <t xml:space="preserve">india-compliance – GSTR-2A/2B/IMS portal JSON keys (gst_returns/fields/gstr2.py, ims.py) | https://github.com/resilient-tech/india-compliance | RawField2a, RawField2b, ims.RawField
Manual &gt; GSTR-9 (8A source change 2A -&gt; 2B) | https://tutorial.gst.gov.in/userguide/returns/Manual_gstr9.htm | </t>
  </si>
  <si>
    <t xml:space="preserve">FORM GSTR-2B – Auto-drafted ITC statement (static)</t>
  </si>
  <si>
    <t xml:space="preserve">GST portal (generated from GSTR-1/IFF/1A, GSTR-5, GSTR-6, ICEGATE; filtered by IMS actions)</t>
  </si>
  <si>
    <t xml:space="preserve">s.38 CGST Act; Rule 60(7)-(9) CGST Rules; s.16(2)(aa); Rule 36(4); Rule 88D</t>
  </si>
  <si>
    <t xml:space="preserve">monthly (GSTR-2BQ quarterly for QRMP)</t>
  </si>
  <si>
    <t xml:space="preserve">Online, Excel, JSON (download); PDF summary</t>
  </si>
  <si>
    <t xml:space="preserve">GST portal &gt; Returns Dashboard &gt; period &gt; GSTR-2B &gt; Download Excel / JSON; recompute after IMS actions</t>
  </si>
  <si>
    <t xml:space="preserve">Draft generated on 14th of following month; recomputable until GSTR-3B filed</t>
  </si>
  <si>
    <t xml:space="preserve">Summary sheets: ITC Available (Part A I: B2B invoices/DN/ECO (IMS) -&gt; 4(A)(5); II ISD -&gt; 4(A)(4); III RCM -&gt; 3.1(d)/4(A)(3); IV Imports IMPG/IMPGSEZ -&gt; 4(A)(1); Part B credit notes), ITC Not Available (-&gt; 4(D)(2)), ITC Reversal (Rule 37A -&gt; 4(B)(2)), ITC Rejected (IMS). Detail sheets: B2B, B2BA, B2B-CDNR, B2B-CDNRA, ECO, ECOA, ISD, ISDA, IMPG, IMPGA, IMPGSEZ, IMPGSEZA, B2B/B2BA/B2B-DNR/B2B-DNRA (ITC Reversal), and *(Rejected) sheets</t>
  </si>
  <si>
    <t xml:space="preserve">RC-BNK-002, RC-GST-013, RC-GST-014, RC-GST-015, RC-GST-016, RC-GST-025, RC-GST-031, RC-GST-037, RC-GST-038</t>
  </si>
  <si>
    <t xml:space="preserve">JSON keys verified from two independent sources (Vayana GSP copy of GSTN payload, and india-compliance RawField2b); Excel labels from the GSTR-2B Excel template v1.1 bundled with india-compliance (copy of portal layout). itcavl 'T' and rsn code values are unverified. Note key differences vs GSTR-1/2A: dt (not idt), typ (not inv_typ), rev (not rchrg), items[] with igst/cgst/sgst/cess (not itms/itm_det with iamt...), ntnum (not nt_num), suptyp in CDNR. Draft 2B not generated if previous period GSTR-3B unfiled.</t>
  </si>
  <si>
    <t xml:space="preserve">Vayana GSP docs – GSTR-2B download (GSTN payload sample) | https://docs.enriched-api.vayana.com/routes/basic/gstn/apis/returns/Gstr-Download-Lite-Api/gstr-2b/ | 
india-compliance – GSTR-2A/2B/IMS portal JSON keys (gst_returns/fields/gstr2.py, ims.py) | https://github.com/resilient-tech/india-compliance | RawField2a, RawField2b, ims.RawField
india-compliance – GSTR-2B Excel template v1.1 (copy of portal download layout) | https://github.com/resilient-tech/india-compliance | india_compliance/gst_india/data/gstr2b_excel_template_v1.1.xlsx
GSTN FAQs on IMS (gstgyaan copy) | https://www.gstgyaan.com/pdf/faqs-on-invoice-management-system.pdf | 2B generation 14th, recompute</t>
  </si>
  <si>
    <t xml:space="preserve">Invoice Management System – recipient action dashboard (Accept / Reject / Pending)</t>
  </si>
  <si>
    <t xml:space="preserve">GST portal (IMS dashboard; records from suppliers' saved/filed GSTR-1/1A/IFF)</t>
  </si>
  <si>
    <t xml:space="preserve">s.38 CGST Act and Rule 60 (as amended); GSTN IMS FAQs; IMS live from 01.10.2024 (actions from 14.10.2024)</t>
  </si>
  <si>
    <t xml:space="preserve">continuous; actions frozen on GSTR-3B filing of the period</t>
  </si>
  <si>
    <t xml:space="preserve">Online; Excel/JSON download (via API)</t>
  </si>
  <si>
    <t xml:space="preserve">GST portal &gt; Services &gt; Returns &gt; Invoice Management System &gt; Inward supplies &gt; Download</t>
  </si>
  <si>
    <t xml:space="preserve">Actions any time before GSTR-3B of the relevant period is filed; pending records drop off after s.16(4) time limit</t>
  </si>
  <si>
    <t xml:space="preserve">Inward: B2B, B2BA, B2BCN, B2BCNA, B2BDN, B2BDNA, ECOM, ECOMA. Excluded (go straight to 2B): RCM, ITC ineligible due to POS/s.16(4), Rule 37A, GSTR-5/6, ICEGATE</t>
  </si>
  <si>
    <t xml:space="preserve">RC-GST-013, RC-GST-015, RC-GST-030</t>
  </si>
  <si>
    <t xml:space="preserve">Field keys from india-compliance ims.RawField (secondary). Behaviour from GSTN IMS FAQs. Action rules: may change any number of times until 3B filed; latest action prevails; original and amendment in different 2B periods – act on original first. Rejected CN after 3B filed -&gt; supplier's liability increased in later period. IMS action API codes not verified.</t>
  </si>
  <si>
    <t xml:space="preserve">india-compliance – GSTR-2A/2B/IMS portal JSON keys (gst_returns/fields/gstr2.py, ims.py) | https://github.com/resilient-tech/india-compliance | RawField2a, RawField2b, ims.RawField
GSTN FAQs on Invoice Management System (gstgyaan copy) | https://www.gstgyaan.com/pdf/faqs-on-invoice-management-system.pdf | 
FAQs on Invoice Management System (ClearTax) | https://cleartax.in/s/faqs-on-invoice-management-system-ims-gst | </t>
  </si>
  <si>
    <t xml:space="preserve">FORM GSTR-9 – Annual return (regular taxpayer)</t>
  </si>
  <si>
    <t xml:space="preserve">s.44 CGST Act; Rule 80 CGST Rules; Notification 15/2025-CT (exemption AATO up to Rs 2 crore, FY 2024-25 onwards); CGST (Third Amendment) Rules 2025 – Notification 13/2025-CT dt 17.09.2025 (form changes; per secondary source)</t>
  </si>
  <si>
    <t xml:space="preserve">annual</t>
  </si>
  <si>
    <t xml:space="preserve">Online; JSON (offline tool); Excel (offline tool); PDF (system computed summary, draft, filed); 8A invoice-wise Excel; Table 12 HSN download</t>
  </si>
  <si>
    <t xml:space="preserve">GST portal &gt; Annual Return &gt; FY &gt; GSTR-9 &gt; Download (system-computed PDF / 8A Excel / filed PDF)</t>
  </si>
  <si>
    <t xml:space="preserve">31 December following the FY</t>
  </si>
  <si>
    <t xml:space="preserve">Part II: 4A-4N, 5A-5N; Part III: 6A-6O (6A1, 6A2 from FY 2024-25), 7A-7J (7A1, 7A2), 8A-8K (8H1); Part IV: 9; Part V: 10-14; Part VI: 15-19</t>
  </si>
  <si>
    <t xml:space="preserve">RC-GST-023, RC-GST-024, RC-GST-025, RC-GST-026, RC-GST-027, RC-GST-032</t>
  </si>
  <si>
    <t xml:space="preserve">Row labels verified against a reproduction of the original form (gstgyaan) and GSTN user manual tiles (tutorial.gst.gov.in). New FY 2024-25 rows (6A1, 6A2, 7A1, 7A2, 8H1) and the new Table 9/14 columns are confirmed by the GSTN manual to exist, but their exact labels are from secondary sources. 4G1/5C1 exist from FY 2023-24 per manual; labels unverified. Offline-tool JSON key names NOT verified – use table codes as field keys.</t>
  </si>
  <si>
    <t xml:space="preserve">Manual &gt; GSTR-9 (GST portal user guide) | https://tutorial.gst.gov.in/userguide/returns/Manual_gstr9.htm | 
Form GSTR-9 (reproduction) | https://www.gstgyaan.com/pdf/form-gstr-9.pdf | 
FAQs on GSTR-9 &amp; 9C changes FY 2024-25 (GSTZen) | https://gstzen.in/a/faqs-on-gstr-9-9c-changes-fy-2024-25.html | 
GSTR-9 FY 2024-25 changes (TaxGuru) | https://taxguru.in/?p=1004189 | N.13/2025-CT dt 17.09.2025
Notification No. 15/2025-Central Tax (TaxHeal) | https://www.taxheal.com/?p=105269 | </t>
  </si>
  <si>
    <t xml:space="preserve">GSTR9C</t>
  </si>
  <si>
    <t xml:space="preserve">FORM GSTR-9C – Reconciliation statement (self-certified)</t>
  </si>
  <si>
    <t xml:space="preserve">s.44 CGST Act (as amended by Finance Act 2021, self-certification); Rule 80(3) CGST Rules; Notification 30/2021-CT (self-certified 9C, AATO &gt; Rs 5 crore)</t>
  </si>
  <si>
    <t xml:space="preserve">Offline tool JSON upload; PDF</t>
  </si>
  <si>
    <t xml:space="preserve">GST portal &gt; Annual Return &gt; FY &gt; GSTR-9C (offline tool) &gt; Download filed PDF</t>
  </si>
  <si>
    <t xml:space="preserve">31 December following the FY (with GSTR-9)</t>
  </si>
  <si>
    <t xml:space="preserve">Part II: 5A-5R, 6, 7A-7G, 8; Part III: 9A-9R, 10, 11; Part IV: 12A-12F, 13, 14A-14T, 15, 16; Part V (additional liability)</t>
  </si>
  <si>
    <t xml:space="preserve">Labels from a reproduction of the 9C form (pre-2021 version with auditor Part B; Part A tables unchanged structurally). Since FY 2020-21 the form is self-certified and Table 14 (expense-wise ITC) became optional per Notification 30/2021-CT (from memory – verify). Offline tool JSON keys NOT verified. Rate rows in Table 9 reflect pre-GST-2.0 rates; FY 2025-26 involves 5%/18%/40% from 22.09.2025 – check portal tool.</t>
  </si>
  <si>
    <t xml:space="preserve">Form GSTR-9C (reproduction) | https://www.gstgyaan.com/pdf/form-gstr-9c.pdf | 
FAQs on GSTR-9 &amp; 9C changes FY 2024-25 (GSTZen) | https://gstzen.in/a/faqs-on-gstr-9-9c-changes-fy-2024-25.html | 
GSTR-9C reconciliation statement (ClearTax) | https://cleartax.in/s/gst-reconciliation-statement-gstr-9c | </t>
  </si>
  <si>
    <t xml:space="preserve">FORM GSTR-4 – Annual return for composition taxpayers</t>
  </si>
  <si>
    <t xml:space="preserve">s.39(2) CGST Act; Rule 62 CGST Rules; Notification 12/2024-CT (due date 30 June from FY 2024-25 – secondary)</t>
  </si>
  <si>
    <t xml:space="preserve">Online; offline tool JSON; PDF</t>
  </si>
  <si>
    <t xml:space="preserve">GST portal &gt; Returns Dashboard &gt; FY &gt; GSTR-4 (Annual) &gt; Download</t>
  </si>
  <si>
    <t xml:space="preserve">30 June following the FY (from FY 2024-25; earlier 30 April)</t>
  </si>
  <si>
    <t xml:space="preserve">3 (AATO, ARN); 4A-4D inward supplies; 5 summary of self-assessed liability as per CMP-08; 6 rate-wise outward &amp; RCM inward; 7 TDS/TCS credit; 8 tax, interest, late fee payable and paid; 9 refund</t>
  </si>
  <si>
    <t xml:space="preserve">Table structure from a reproduction of the form (gstgyaan). JSON keys unverified. Due-date change to 30 June per secondary source (IndiaFilings) cited in gst.json.</t>
  </si>
  <si>
    <t xml:space="preserve">Form GSTR-4 (reproduction) | https://www.gstgyaan.com/pdf/form-gstr-4.pdf | 
GSTR-4 filing (IndiaFilings) | https://www.indiafilings.com/learn/gstr-4-filing/ | </t>
  </si>
  <si>
    <t xml:space="preserve">FORM GST CMP-08 – Statement for payment of self-assessed tax (composition)</t>
  </si>
  <si>
    <t xml:space="preserve">s.10 &amp; s.39(2) CGST Act; Rule 62(1)(i) CGST Rules; also Notification 02/2019-CT(Rate) service-provider scheme</t>
  </si>
  <si>
    <t xml:space="preserve">quarterly</t>
  </si>
  <si>
    <t xml:space="preserve">Online; PDF</t>
  </si>
  <si>
    <t xml:space="preserve">GST portal &gt; Services &gt; Returns &gt; Statement for Payment of Self-Assessed Tax (CMP-08) &gt; View/Download</t>
  </si>
  <si>
    <t xml:space="preserve">18th of the month following the quarter</t>
  </si>
  <si>
    <t xml:space="preserve">3 Summary of self-assessed liability (rows 1 outward incl. exempt, 2 inward RCM incl. import of services, 3 tax payable, 4 interest payable, 5 tax and interest paid); verification</t>
  </si>
  <si>
    <t xml:space="preserve">Sum of 4 quarterly CMP-08 = GSTR-4 Table 5. Values net of advances/CN/DN; negative carried forward. JSON keys unverified.</t>
  </si>
  <si>
    <t xml:space="preserve">FORM GST CMP-08 (Chhattisgarh GST copy) | https://www.cggst.com/uploads/document/1748517231-form-gst-cmp-08.pdf | </t>
  </si>
  <si>
    <t xml:space="preserve">FORM GSTR-7 – Return for tax deducted at source (GST TDS u/s 51)</t>
  </si>
  <si>
    <t xml:space="preserve">GST portal (filed by deductor); deductee sees in GSTR-2A TDS &amp; TDS/TCS credit received</t>
  </si>
  <si>
    <t xml:space="preserve">s.51 &amp; s.39(3) CGST Act; Rule 66 CGST Rules; Notification 09/2025-CT dt 11.02.2025 (invoice-wise details, effective 01.04.2025 – portal functionality deferred per GSTN advisory 07.05.2025)</t>
  </si>
  <si>
    <t xml:space="preserve">GSTR-7A = TDS certificate</t>
  </si>
  <si>
    <t xml:space="preserve">monthly</t>
  </si>
  <si>
    <t xml:space="preserve">Online; offline tool JSON/CSV; PDF; GSTR-7A certificate PDF</t>
  </si>
  <si>
    <t xml:space="preserve">Deductor: GST portal &gt; Returns &gt; GSTR-7; Deductee: Returns &gt; TDS and TCS credit received / GSTR-2A TDS</t>
  </si>
  <si>
    <t xml:space="preserve">10th of following month</t>
  </si>
  <si>
    <t xml:space="preserve">3 Details of tax deducted at source; 4 Amendments; 5 Tax deduction at source and paid; 6 Interest, late fee payable and paid; 7 Refund claimed; 8 Debit entries in cash ledger</t>
  </si>
  <si>
    <t xml:space="preserve">Deductee recon: GSTR-7 (via 2A TDS / TDS credit received) vs deductee SALES_REG receipts from government deductors and vs 26AS-type ledger. Invoice-wise reporting amended in law from 01.04.2025 but portal deferred (status as of Oct 2026 not re-checked).</t>
  </si>
  <si>
    <t xml:space="preserve">FORM GSTR-7 (Chhattisgarh GST copy) | https://www.cggst.com/uploads/document/1745416157-r-07.pdf | 
GSTN advisory 07.05.2025 – deferment of invoice-wise reporting in GSTR-7 (TaxO) | https://taxo.online/latest-news/07-05-2025-gstn-issued-advisory-on-deferment-invoice-wise-reporting-functionality-in-form-gstr-7/ | N.09/2025-CT
FAQs &gt; Form GSTR-7 (GST portal) | https://tutorial.gst.gov.in/userguide/returns/GSTR7_FAQ.htm | seen in search results only</t>
  </si>
  <si>
    <t xml:space="preserve">FORM GSTR-8 – Statement for tax collection at source by e-commerce operator (u/s 52)</t>
  </si>
  <si>
    <t xml:space="preserve">GST portal (filed by ECO); supplier sees in GSTR-2A TCS &amp; TDS/TCS credit received</t>
  </si>
  <si>
    <t xml:space="preserve">s.52 CGST Act; Rule 67(1) CGST Rules; TCS rate 0.5% (0.25% CGST + 0.25% SGST / 0.5% IGST) from 10.07.2024 per Notification 15/2024-CT</t>
  </si>
  <si>
    <t xml:space="preserve">monthly (annual statement GSTR-9B)</t>
  </si>
  <si>
    <t xml:space="preserve">ECO: GST portal &gt; Returns &gt; GSTR-8; Supplier: TDS and TCS credit received / GSTR-2A TCS</t>
  </si>
  <si>
    <t xml:space="preserve">3A supplies to registered persons; 3B supplies to unregistered persons; 4A/4B amendments; 5 interest; 6 tax payable and paid; 7 interest payable and paid; 8 refund; 9 debit entries</t>
  </si>
  <si>
    <t xml:space="preserve">Supplier-side recon: GSTR-2A TCS (etin, sup_val, tx_val) vs GSTR-1 Table 14(a) (supeco.clttx) vs sales register marketplace sales. JSON keys of GSTR-8 itself unverified.</t>
  </si>
  <si>
    <t xml:space="preserve">Form GSTR-8 (reproduction) | https://www.gstgyaan.com/pdf/form-gstr-8.pdf | 
Changes in GSTR-8 from July 2024 – Notification 15/2024-CT TCS 0.5% (TaxHeal) | https://www.taxheal.com/?p=96048 | </t>
  </si>
  <si>
    <t xml:space="preserve">E-invoice (IRN) data – FORM GST INV-01 schema as registered on the Invoice Registration Portal</t>
  </si>
  <si>
    <t xml:space="preserve">IRP (einvoice1.gst.gov.in / NIC and other IRPs); auto-populated to GSTR-1</t>
  </si>
  <si>
    <t xml:space="preserve">Rule 48(4) CGST Rules; FORM GST INV-01 (Notification 60/2020-CT); applicability by AATO (Rs 5 crore from 01.08.2023, Notification 10/2023-CT); 30-day reporting limit for AATO &gt;= Rs 10 crore (GSTN advisory)</t>
  </si>
  <si>
    <t xml:space="preserve">per document (ad hoc)</t>
  </si>
  <si>
    <t xml:space="preserve">JSON (IRP API / bulk download), Excel (IRP reports), signed QR; GST portal 'e-Invoice' download in GSTR-1</t>
  </si>
  <si>
    <t xml:space="preserve">einvoice1.gst.gov.in &gt; Search / Bulk download of IRNs; ERP/GSP JSON; GST portal &gt; Returns &gt; e-Invoice &gt; download auto-populated e-invoice details</t>
  </si>
  <si>
    <t xml:space="preserve">Before issuing invoice; IRN must be obtained within 30 days of document date for AATO &gt;= Rs 10 crore (advisory)</t>
  </si>
  <si>
    <t xml:space="preserve">Version, TranDtls, DocDtls, SellerDtls, BuyerDtls, DispDtls, ShipDtls, ItemList (BchDtls, AttribDtls), ValDtls, PayDtls, RefDtls (DocPerdDtls, PrecDocDtls, ContrDtls), AddlDocDtls, ExpDtls, EwbDtls; response Data (AckNo, AckDt, Irn, SignedInvoice, SignedQRCode, Status, EwbNo, EwbDt, EwbValidTill)</t>
  </si>
  <si>
    <t xml:space="preserve">RC-GST-008, RC-GST-009, RC-GST-010</t>
  </si>
  <si>
    <t xml:space="preserve">Field names, patterns and lengths verified on NIC e-invoice API sandbox (official) – schema v1.1. Date formats differ: request dd/mm/yyyy, response yyyy-mm-dd hh:mm:ss. IRN cancellation within 24 hours (not re-verified this session). B2C supplies are outside IRN (dynamic QR). Status ACT/CNL from Get-IRN-details convention – CNL not seen this session.</t>
  </si>
  <si>
    <t xml:space="preserve">NIC e-Invoice API sandbox – Generate IRN (schema v1.1) | https://einv-apisandbox.nic.in/version1.03/generate-irn.html | 
Logitax – Standard Create E-invoice (field list) | https://docs.logitax.in/Docs/Standard_Create_E_invoice | 
Schema (Version 1.1) – e-invoice field table (ICAI branch reproduction) | https://mspa.in/detail/38865.aspx | 
EY – e-invoicing threshold Rs 5 crore w.e.f. 01.08.2023 | https://www.ey.com/en_in/alerts-hub/2023/05/cbic-lowers-turnover-threshold-for-e-invoicing-to-inr5-crores-with-effect-from-1-august-2023 | 
Time limit of 30 days for reporting e-invoice for AATO &gt;= Rs 10 crore (Taxmann) | https://www.taxmann.com/post/blog/time-limit-of-30-days-for-reporting-e-invoice-on-irp-portal-for-taxpayers-with-aato-of-10-crores-and-above-gstn-update/ | </t>
  </si>
  <si>
    <t xml:space="preserve">E-way bill (FORM GST EWB-01 Part A &amp; Part B)</t>
  </si>
  <si>
    <t xml:space="preserve">E-way bill portal (ewaybillgst.gov.in / NIC)</t>
  </si>
  <si>
    <t xml:space="preserve">s.68 CGST Act; Rule 138, 138A-138E CGST Rules; validity Rule 138(10) (1 day per 200 km; ODC 1 day per 20 km); cancellation Rule 138(9) within 24 hours; recipient acceptance Rule 138(12) 72 hours</t>
  </si>
  <si>
    <t xml:space="preserve">per consignment (ad hoc)</t>
  </si>
  <si>
    <t xml:space="preserve">JSON (API / bulk), Excel/CSV report downloads from EWB portal, PDF print</t>
  </si>
  <si>
    <t xml:space="preserve">ewaybillgst.gov.in &gt; Reports &gt; My EWB reports / EWB generated by me / by other parties &gt; Excel; API GetEwayBill / GetEwayBillsByDate</t>
  </si>
  <si>
    <t xml:space="preserve">Before commencement of movement of goods (consignment value &gt; Rs 50,000 – threshold not re-verified this session)</t>
  </si>
  <si>
    <t xml:space="preserve">Part A (supply, document, parties, items, values), Part B (vehicle/transport document), validity, status; VehiclListDetails history</t>
  </si>
  <si>
    <t xml:space="preserve">Request field lengths/enums from the official EWB API documentation (docs.ewaybillgst.gov.in, Generate EWB v1.03); GetEwayBill response keys (ewayBillDate, genMode, status, validUpto, noValidDays, extendedTimes, rejectStatus, VehiclListDetails) from a GSP sample (Logitax) and cross-checked with india-compliance constants (sub-supply types, doc types, transport modes, vehicle types). Portal Excel report column headers not verified. Rule 138 thresholds/limits from secondary source (Taxmann) – 2025 changes (e.g. base-document age limit, max extension) not verified.</t>
  </si>
  <si>
    <t xml:space="preserve">NIC E-Way Bill API docs – Generate E-Way Bill (v1.03) | https://docs.ewaybillgst.gov.in/apidocs/version1.03/generate-eway-bill.html | 
Logitax – Get E-Way Bill by EWB No (response sample) | https://docs.logitax.in/Docs/Standard_Get_E_Way_Bill_By_EWB_No | 
india-compliance – e-way bill constants | https://github.com/resilient-tech/india-compliance | india_compliance/gst_india/constants/e_waybill.py
Process of generating e-way bill and validity (Taxmann) | https://www.taxmann.com/post/blog/process-of-generating-e-way-bill/ | Rule 138(9),(10),(12)
New time limit for e-way bill generation and extension (ClearTax) | https://cleartax.in/s/time-limit-for-e-way-bill-generation | </t>
  </si>
  <si>
    <t xml:space="preserve">Electronic Cash Ledger (FORM GST PMT-05)</t>
  </si>
  <si>
    <t xml:space="preserve">s.49(1) CGST Act; Rule 87 CGST Rules (PMT-05; challan PMT-06; CPIN/CIN/BRN)</t>
  </si>
  <si>
    <t xml:space="preserve">continuous (transaction ledger)</t>
  </si>
  <si>
    <t xml:space="preserve">Online; PDF/Excel download from portal; JSON via ledger API</t>
  </si>
  <si>
    <t xml:space="preserve">GST portal &gt; Services &gt; Ledgers &gt; Electronic Cash Ledger &gt; select period &gt; Download</t>
  </si>
  <si>
    <t xml:space="preserve">Not applicable</t>
  </si>
  <si>
    <t xml:space="preserve">Opening balance; transactions (deposit via challan, debit for returns/DRC-03/CMP-08, refund, transfer PMT-09); closing balance – each by tax head x component (Tax, Interest, Penalty, Fee, Others)</t>
  </si>
  <si>
    <t xml:space="preserve">RC-GST-021, RC-GST-023, RC-GST-035, RC-GST-036</t>
  </si>
  <si>
    <t xml:space="preserve">Columns from PMT-05 as reproduced in Goa State Tax form set (rule numbers blank in that copy). API keys op_bal, cl_bal, igstbal/cgstbal/sgstbal/cessbal with tx/intr/pen/fee/oth/tot, tot_rng_bal, fr_dt, to_dt, tr[] from a GSP sandbox sample; per-transaction keys inside tr[] (dt, ref_no, tr_typ, ret_period) NOT seen – unverified.</t>
  </si>
  <si>
    <t xml:space="preserve">GST payment forms PMT-01 to PMT-06 (Goa State Tax) | https://statetax.goa.gov.in/PDF/gst_forms/Payment.pdf | 
Get Cash Ledger – GST API sandbox sample (Qodex) | https://developers.qodex.ai/sandbox-api/gst-compliance/taxpayer-ledgers/get-cash-ledger | 
GST Developer Portal – Ledger API index | https://developer.gst.gov.in/apiportal/taxpayer/ledger | </t>
  </si>
  <si>
    <t xml:space="preserve">Electronic Credit Ledger (FORM GST PMT-02)</t>
  </si>
  <si>
    <t xml:space="preserve">s.49(2) CGST Act; Rule 86 CGST Rules (PMT-02); Rule 86A (blocking); Rule 86B (1% cash); utilisation s.49(5), 49A, 49B, Rule 88A</t>
  </si>
  <si>
    <t xml:space="preserve">continuous</t>
  </si>
  <si>
    <t xml:space="preserve">Online; PDF/Excel download; JSON via ledger API</t>
  </si>
  <si>
    <t xml:space="preserve">GST portal &gt; Services &gt; Ledgers &gt; Electronic Credit Ledger &gt; period &gt; Download; also Blocked Credit statement, Negative liability statement</t>
  </si>
  <si>
    <t xml:space="preserve">Credit ledger (credits via GSTR-3B 4C, ITC-01/02/03, TRAN; debits for utilisation via GSTR-3B 6.1, DRC-03, reversal); balance of provisional credit; mismatch credit; blocked credit (Rule 86A)</t>
  </si>
  <si>
    <t xml:space="preserve">PMT-02 columns from Goa State Tax form reproduction. API JSON keys for credit ledger unverified (likely parallel to cash ledger: op_bal/cl_bal with igstTaxBal etc. – NOT confirmed).</t>
  </si>
  <si>
    <t xml:space="preserve">GST payment forms PMT-01 to PMT-06 (Goa State Tax) | https://statetax.goa.gov.in/PDF/gst_forms/Payment.pdf | 
Rule 88B – CBIC tax information portal | https://taxinformation.cbic.gov.in/content/html/tax_repository/gst/rules/cgst_rules/active/chapter9/rule88b_v1.00.html | </t>
  </si>
  <si>
    <t xml:space="preserve">Electronic Liability Register (FORM GST PMT-01) – Part I return-related, Part II other than return</t>
  </si>
  <si>
    <t xml:space="preserve">s.49(7) CGST Act; Rule 85 CGST Rules (PMT-01)</t>
  </si>
  <si>
    <t xml:space="preserve">Online; PDF/Excel download</t>
  </si>
  <si>
    <t xml:space="preserve">GST portal &gt; Services &gt; Ledgers &gt; Electronic Liability Register &gt; Part I (return related) / Part II (demands)</t>
  </si>
  <si>
    <t xml:space="preserve">Part I: return-related liabilities (GSTR-3B, CMP-08, GSTR-7/8 etc.) debit/payable and credit/paid; Part II: other liabilities (demands, DRC orders) with Demand ID, stay status</t>
  </si>
  <si>
    <t xml:space="preserve">Columns from PMT-01 reproduction. Recon: closing payable for a return period should be nil after GSTR-3B; Part II outstanding vs DRC-03 payments. JSON keys unverified.</t>
  </si>
  <si>
    <t xml:space="preserve">GST payment forms PMT-01 to PMT-06 (Goa State Tax) | https://statetax.goa.gov.in/PDF/gst_forms/Payment.pdf | </t>
  </si>
  <si>
    <t xml:space="preserve">Electronic Credit Reversal and Re-claimed Statement (and RCM liability/ITC statement)</t>
  </si>
  <si>
    <t xml:space="preserve">Circular 170/02/2022-GST (Table 4 reporting); GSTR-3B as amended by Notification 14/2022-CT; GSTN advisory (statement from August-2023 return period; opening balance by 30.11.2023, amendable thrice till 31.12.2023)</t>
  </si>
  <si>
    <t xml:space="preserve">monthly/quarterly (updated on each GSTR-3B)</t>
  </si>
  <si>
    <t xml:space="preserve">Online view; download (format unverified)</t>
  </si>
  <si>
    <t xml:space="preserve">GST portal &gt; Services &gt; Ledgers &gt; Electronic Credit Reversal and Re-claimed Statement</t>
  </si>
  <si>
    <t xml:space="preserve">Updated on GSTR-3B filing</t>
  </si>
  <si>
    <t xml:space="preserve">Opening balance (one-time declaration of accumulated 4B(2) reversals); per period: ITC reversed in 4B(2) (credit to statement), ITC reclaimed in 4D(1) (debit), closing balance – by IGST/CGST/SGST/Cess</t>
  </si>
  <si>
    <t xml:space="preserve">RC-GST-014, RC-GST-018</t>
  </si>
  <si>
    <t xml:space="preserve">Exact column headers of the portal statement were NOT verified; fields are derived from the described mechanics (opening + 4B(2) - 4D(1)). The 29.12.2025 GSTN advisory on blocking negative ECRRS/RCM balances (from gst.json) is unverified as to implementation. A parallel 'RCM Liability/ITC Statement' exists on the portal (3.1(d) vs 4A(2)/(3)); not catalogued separately – could be added as new code ECRL_RCM if needed.</t>
  </si>
  <si>
    <t xml:space="preserve">Electronic Credit Reversal and Reclaimed Statement (GSTHero) | https://gsthero.com/blog/electronic-credit-reversal-and-reclaimed-statement/ | 
Understanding ECRS (Cygnet) | https://www.cygnet.one/blog/understanding-electronic-credit-reversal-and-re-claimed-statement-ecrs | 
Circular 170/02/2022-GST (gstcouncil.gov.in) | https://www.gstcouncil.gov.in/sites/default/files/2024-06/cir-170-02-2022-cgst.pdf | </t>
  </si>
  <si>
    <t xml:space="preserve">FORM GST DRC-03 – Intimation of payment made voluntarily or against SCN/statement/order</t>
  </si>
  <si>
    <t xml:space="preserve">Rule 142(2) &amp; 142(3) CGST Rules; s.73(5)/74(5)/74A(8)-(9)/122A etc.; DRC-04 acknowledgement; DRC-03A to link DRC-03 to demand (advisory 05.06.2024)</t>
  </si>
  <si>
    <t xml:space="preserve">ad hoc</t>
  </si>
  <si>
    <t xml:space="preserve">Online; PDF (filed form, DRC-04 acknowledgement)</t>
  </si>
  <si>
    <t xml:space="preserve">GST portal &gt; Services &gt; User Services &gt; My Applications &gt; Intimation of Voluntary Payment – DRC-03 &gt; Search / Download</t>
  </si>
  <si>
    <t xml:space="preserve">Ad hoc (before SCN for s.73(5)/74(5) benefit; interest u/s 50 to date of payment)</t>
  </si>
  <si>
    <t xml:space="preserve">Cause of payment; section; financial year &amp; period; reference (SCN/ASMT-10/ADT/DRC-01A/Demand ID); amounts by head (Tax/Cess, Interest, Penalty, Fee, Others) x (IGST/CGST/SGST/Cess); payment from cash/credit ledger; ARN</t>
  </si>
  <si>
    <t xml:space="preserve">Fields and cause list verified from GST portal user manual (tutorial.gst.gov.in). Per-head amount breakdown labels and DRC-04/03A fields not verified.</t>
  </si>
  <si>
    <t xml:space="preserve">Manual – GST FORM DRC-03 (GST portal user guide) | https://tutorial.gst.gov.in/userguide/demandsandrecovery/Manual_GST_FORM_DRC-03.htm | 
Advisory for Form GST DRC-03A dated 05.06.2024 (gstgyaan) | https://www.gstgyaan.com/advisory-for-form-gst-drc-03a-dated-05-06-2024 | seen in search results only</t>
  </si>
  <si>
    <t xml:space="preserve">Form 26AS – Annual Tax Credit Statement (TRACES)</t>
  </si>
  <si>
    <t xml:space="preserve">TRACES (via e-Filing portal &gt; e-File &gt; Income Tax Returns &gt; View Form 26AS)</t>
  </si>
  <si>
    <t xml:space="preserve">IT Act 1961 s.203AA / s.285BB read with Rule 31AB / Rule 114-I (IT Rules 1962); from 01-04-2026 the Annual Information Statement is Form 168 under s.510 ITA 2025 read with Rule 245 IT Rules 2026</t>
  </si>
  <si>
    <t xml:space="preserve">Form 168 (Annual Information Statement, 'earlier Form No. 26AS') – ITD Form 168 FAQ; TRACES-format 26AS continues to be published for FY 2025-26 data</t>
  </si>
  <si>
    <t xml:space="preserve">Annual statement per PAN per FY / tax year; refreshed continuously as deductors file / correct statements</t>
  </si>
  <si>
    <t xml:space="preserve">PDF (password = DOB ddmmyyyy), Text (.txt, delimited by '^'), HTML view; TRACES text can be converted to Excel/CSV</t>
  </si>
  <si>
    <t xml:space="preserve">Taxpayer / CA logs in to incometax.gov.in &gt; e-File &gt; Income Tax Returns &gt; View Form 26AS &gt; redirected to TRACES &gt; select AY and format (HTML/Text/PDF) &gt; download</t>
  </si>
  <si>
    <t xml:space="preserve">No due date – download before ITR / tax audit and after each deductor quarterly due date (31 Jul/31 Oct/31 Jan/31 May) + processing time</t>
  </si>
  <si>
    <t xml:space="preserve">PART-I Details of TDS; PART-II TDS for 15G/15H; PART-III Transactions under proviso to s.194B / first proviso to s.194R(1) / s.194S(1); PART-IV TDS u/s 194IA/194IB/194M/194S (for Seller/Landlord/Payee); PART-V proviso to s.194S(1) as per Form 26QE (VDA seller); PART-VI Details of TCS; PART-VII Paid refund (CPC-TDS source); PART-VIII TDS u/s 194IA/194IB/194M/194S (for Buyer/Tenant/Payer); PART-IX Transactions/demand payments under proviso to s.194S(1) as per 26QE (VDA buyer); PART X TDS/TCS Defaults (processing of statements)</t>
  </si>
  <si>
    <t xml:space="preserve">RC-BNK-003, RC-BNK-004, RC-IT-001, RC-IT-002, RC-IT-005, RC-IT-006</t>
  </si>
  <si>
    <t xml:space="preserve">Part headings, Part I/II/VI column headers and both legends were read from a published 2026 TRACES 26AS (official layout, third-party copy). Part X column labels are as commonly printed on TRACES 26AS and were NOT seen in the opened copy – treat as implementation mapping (Partially verified). Parts IV/VIII column names other than PAN/acknowledgement/amount are implementation choices. Form 168 (AIS) is now the statutory statement; the legacy 26AS continues on TRACES for credit verification – confirm with CA which is evidence for TY 2026-27. Text download is '^'-delimited (common practice; not verified on an official page this session). Forms 26QB/26QC/26QD/26QE are replaced by Form 141 under Rule 218(3)/219 from 01-10-2026 (per prior tds_tcs.json round) – Part IV/VIII acknowledgement nomenclature may change.</t>
  </si>
  <si>
    <t xml:space="preserve">Form 26AS (published sample, TRACES format, 2026) | https://www.neist.res.in/assets/pdf/CAZPT3636C-2026.pdf | Part headings, Part I/II/VI columns, Status of Booking and Remarks legends
ClearTax – View Form 26AS | https://cleartax.in/s/view-form-26as-tax-credit-statement | Parts I–X description
TDSMAN – FAQ on Form 26AS | https://blog.tdsman.com/2014/06/faq-on-form-26as | Booking status F/O/U/P
TDSMAN – Different matching statuses in Form 16/16A (2026) | https://blog.tdsman.com/2026/02/different-matching-statuses-form-16-form-16a/ | U/P/F/O
Income Tax Department – Form 168 FAQs | https://www.incometaxindia.gov.in/documents/d/guest/form-168-faqs | Form 168 (earlier 26AS/AIS); Rule 245 IT Rules 2026 / s.510 ITA 2025; Rule 114-I / s.285BB 1961</t>
  </si>
  <si>
    <t xml:space="preserve">Annual Information Statement (AIS)</t>
  </si>
  <si>
    <t xml:space="preserve">Income-tax e-Filing portal – AIS module (Compliance Portal)</t>
  </si>
  <si>
    <t xml:space="preserve">IT Act 1961 s.285BB read with Rule 114-I (IT Rules 1962); ITA 2025 s.510 read with Rule 245 IT Rules 2026 (Form 168). SFT reported u/s 285BA / Rule 114E (1961)</t>
  </si>
  <si>
    <t xml:space="preserve">Form 168</t>
  </si>
  <si>
    <t xml:space="preserve">Annual per PAN per FY / tax year; updated as sources report</t>
  </si>
  <si>
    <t xml:space="preserve">PDF, JSON, CSV (portal); AIS consolidated feedback PDF</t>
  </si>
  <si>
    <t xml:space="preserve">e-Filing portal &gt; Annual Information Statement (AIS) &gt; select FY &gt; AIS tab &gt; Download PDF/JSON/CSV</t>
  </si>
  <si>
    <t xml:space="preserve">No due date; review and give feedback before ITR filing</t>
  </si>
  <si>
    <t xml:space="preserve">Part A General Information; Part B: TDS/TCS Information, SFT Information, Payment of Taxes, Demand and Refund, Other Information (e.g. salary, interest on refund, dividends, securities/MF transactions, foreign remittance, GST turnover EXC-GSTR3B)</t>
  </si>
  <si>
    <t xml:space="preserve">RC-BNK-005, RC-IT-001, RC-IT-003</t>
  </si>
  <si>
    <t xml:space="preserve">Official pages confirm Part structure, info code/description/value, PDF/JSON/CSV and EXC-GSTR3B. SFT code list from a secondary source (TaxAJ). TDS information code pattern (e.g. 'TDS-194A') and transaction-detail column labels were NOT verified – map from the actual JSON/CSV keys at import (implementation choice). Feedback options from TaxGuru (secondary).</t>
  </si>
  <si>
    <t xml:space="preserve">e-Filing portal – AIS help | https://www.incometax.gov.in/iec/foportal/help/all-topics/e-filing-services/ais-annual-information-statement | Part A/Part B, info code/description/value, PDF/JSON/CSV, EXC-GSTR3B
e-Filing portal – AIS FAQs | https://www.incometax.gov.in/iec/foportal/help/all-topics/e-filing-services/ais%20-%20annual%20information%20statement-faqs | TIS processed vs accepted value; feedback; downloads
Income Tax Department – Form 168 FAQs | https://www.incometaxindia.gov.in/documents/d/guest/form-168-faqs | Form 168 (earlier 26AS/AIS); Rule 245 IT Rules 2026 / s.510 ITA 2025; Rule 114-I / s.285BB 1961
TaxGuru – View AIS | https://taxguru.in/income-tax/view-ais-annual-information-statement.html | Six feedback options
TaxAJ – SFT codes in AIS (2026) | https://www.taxaj.com/learn/?p=304 | SFT-001 to SFT-018 and sub-codes</t>
  </si>
  <si>
    <t xml:space="preserve">Taxpayer Information Summary (TIS)</t>
  </si>
  <si>
    <t xml:space="preserve">Income-tax e-Filing portal – AIS module</t>
  </si>
  <si>
    <t xml:space="preserve">Derived summary of AIS (s.285BB / Rule 114-I; s.510 / Rule 245) – administrative summary, not a separate statutory form</t>
  </si>
  <si>
    <t xml:space="preserve">Annual per PAN per FY; updates after feedback processing</t>
  </si>
  <si>
    <t xml:space="preserve">PDF, JSON (portal)</t>
  </si>
  <si>
    <t xml:space="preserve">e-Filing portal &gt; AIS &gt; TIS tab &gt; Download</t>
  </si>
  <si>
    <t xml:space="preserve">No due date; used to pre-fill ITR</t>
  </si>
  <si>
    <t xml:space="preserve">Category-wise summary (e.g. Salary, Interest from savings bank, Interest from deposits, Dividend, Sale of securities, Rent received, Business receipts, Purchase of time deposits ...) with processed and accepted/derived values</t>
  </si>
  <si>
    <t xml:space="preserve">Field labels per AIS FAQ (official). Category list is not enumerated officially – load categories dynamically.</t>
  </si>
  <si>
    <t xml:space="preserve">e-Filing portal – AIS FAQs | https://www.incometax.gov.in/iec/foportal/help/all-topics/e-filing-services/ais%20-%20annual%20information%20statement-faqs | TIS processed vs accepted value; feedback; downloads
e-Filing portal – AIS help | https://www.incometax.gov.in/iec/foportal/help/all-topics/e-filing-services/ais-annual-information-statement | Part A/Part B, info code/description/value, PDF/JSON/CSV, EXC-GSTR3B
Income Tax Department – Form 168 FAQs | https://www.incometaxindia.gov.in/documents/d/guest/form-168-faqs | Form 168 (earlier 26AS/AIS); Rule 245 IT Rules 2026 / s.510 ITA 2025; Rule 114-I / s.285BB 1961</t>
  </si>
  <si>
    <t xml:space="preserve">Income-tax Return (ITR-1 to ITR-7) – filed JSON / acknowledgement</t>
  </si>
  <si>
    <t xml:space="preserve">Income-tax e-Filing portal (offline utility / online); JSON schema published per AY</t>
  </si>
  <si>
    <t xml:space="preserve">IT Act 1961 s.139 read with Rule 12 (AY 2026-27); ITA 2025 s.263 read with corresponding IT Rules 2026 (tax year 2026-27 onwards; rule no. not verified)</t>
  </si>
  <si>
    <t xml:space="preserve">ITR forms renotified under IT Rules 2026 for tax year 2026-27 (numbers not verified)</t>
  </si>
  <si>
    <t xml:space="preserve">Annual</t>
  </si>
  <si>
    <t xml:space="preserve">JSON (filed return / pre-filled JSON), PDF (ITR-V / acknowledgement), XML (older AYs)</t>
  </si>
  <si>
    <t xml:space="preserve">e-Filing portal &gt; e-File &gt; Income Tax Returns &gt; View Filed Returns &gt; Download JSON/PDF; pre-filled JSON from portal</t>
  </si>
  <si>
    <t xml:space="preserve">AY 2026-27: non-audit 31 Jul 2026 (as extended per prior round); audit cases 21 Nov 2026 (CBDT Circular 7/2026, prior round) – see ITR-001</t>
  </si>
  <si>
    <t xml:space="preserve">Part A-General; Schedule S (salary); Schedule HP; Schedule BP (business/profession income, incl. 44AD/44ADA); Schedule CG; Schedule OS; Schedule CYLA/BFLA; Schedule VI-A; Schedule SI; Schedule EI; Part B-TI (total income); Part B-TTI (tax liability, interest 234A/B/C, fee 234F, taxes paid, refund/payable); Schedule IT (advance &amp; self-assessment tax challans); Schedule TDS1 (salary – from Form 16); Schedule TDS2 (other than salary – Form 16A/16B/16C); Schedule TDS3 (Form 16B/16C/16D/16E as applicable); Schedule TCS; Schedule AL; Part A-BS / Part A-P&amp;L (ITR-3/5/6); Schedule GST turnover; Schedule 112A/115AD</t>
  </si>
  <si>
    <t xml:space="preserve">RC-IT-002, RC-IT-003, RC-IT-004, RC-IT-005, RC-IT-006, RC-IT-007</t>
  </si>
  <si>
    <t xml:space="preserve">Schedule names are the standard ITR structure; only the ITR-3 AY 2026-27 schema change document (v1.1, TDSSection enum change in TDS2/TDS3) was opened. JSON element paths are not given because the full schema was not opened – map from the published JSON schema of the relevant AY at implementation. Labels marked from professional knowledge need CA review. Tax-year 2026-27 ITR forms under IT Rules 2026 not verified.</t>
  </si>
  <si>
    <t xml:space="preserve">e-Filing – ITR-3 schema change document AY 2026-27 v1.1 | https://www.incometax.gov.in/iec/foportal/sites/default/files/2026-07/ITR%203_Schema%20change%20document_AY2026-27_V1.1_0.pdf | ScheduleTDS2/TDS3 TDSSection enum updated 30-06-2026
TaxHeal – Part B-TTI AY 2026-27 | https://www.taxheal.com/part-b-tti-computation-of-tax-liability-on-total-income-ay-2026-27.html | 
TaxHeal – Part B-TI AY 2026-27 | https://www.taxheal.com/part-b-ti-statement-of-income-for-the-period-ended-on-31st-march-ay-2026-27.html | 
CBDT Circular 7/2026 | https://incometaxindia.gov.in/documents/d/guest/circular-7-2026-pdf | Extended due dates AY 2026-27 (prior round)
Income Tax Department – Rule 37BA | https://www.incometaxindia.gov.in/w/rule-37ba | (prior round)</t>
  </si>
  <si>
    <t xml:space="preserve">F16</t>
  </si>
  <si>
    <t xml:space="preserve">Form 16 / Form 130 – TDS certificate on salary (Part A from TRACES)</t>
  </si>
  <si>
    <t xml:space="preserve">TRACES (Part A generated) + employer (Part B / Annexure)</t>
  </si>
  <si>
    <t xml:space="preserve">IT Act 1961 s.203 read with Rule 31 (Form 16); ITA 2025 s.395(4)(b) read with Rule 215(1) Table Sl.1 (Form 130)</t>
  </si>
  <si>
    <t xml:space="preserve">Form 130 (TY 2026-27 onwards)</t>
  </si>
  <si>
    <t xml:space="preserve">Annual per employee</t>
  </si>
  <si>
    <t xml:space="preserve">PDF (TRACES Part A; employer-generated Part B), digitally signed; bulk zip from TRACES</t>
  </si>
  <si>
    <t xml:space="preserve">Employer: TRACES &gt; Downloads &gt; Form 16 (Part A) after Q4 24Q/138 processed; employee receives from employer</t>
  </si>
  <si>
    <t xml:space="preserve">15 June following the FY / tax year (Form 130 FAQ)</t>
  </si>
  <si>
    <t xml:space="preserve">Form 16: Part A (employer/employee/TAN/PAN, quarter-wise summary of amount paid, tax deducted &amp; deposited, receipt nos.; challan/BIN details); Part B (salary computation – see F16_PARTB). Form 130: Part A (employer &amp; employee details), Part B (summary-level reconciliation of amount paid and TDS), Part C Annexure-I (salary) / Annexure-II (specified senior citizens)</t>
  </si>
  <si>
    <t xml:space="preserve">Form 130 legal basis, Parts and due date verified from ITD Form 130 FAQ. Form 16 Part A column labels are from professional knowledge of the TRACES layout (not re-opened this session). Part B / salary annexure is catalogued separately as F16_PARTB.</t>
  </si>
  <si>
    <t xml:space="preserve">Income Tax Department – Form 130 FAQs | https://www.incometaxindia.gov.in/documents/d/guest/form-130-faqs | s.395(4)(b); Rule 215(1); Part A/B/C; due 15 June
TDSMAN – Different matching statuses in Form 16/16A (2026) | https://blog.tdsman.com/2026/02/different-matching-statuses-form-16-form-16a/ | U/P/F/O
Income Tax Department – Form No. 138 note | https://www.incometaxindia.gov.in/documents/d/guest/fn-138 | s.397(3)(b) ITA 2025; Rule 219; Annexure I/II/III</t>
  </si>
  <si>
    <t xml:space="preserve">Form 16A / Form 131 – TDS certificate other than salary</t>
  </si>
  <si>
    <t xml:space="preserve">TRACES (generated) issued by deductor</t>
  </si>
  <si>
    <t xml:space="preserve">IT Act 1961 s.203 read with Rule 31 (Form 16A); ITA 2025 s.395(4) read with Rule 215(1) Table Sl.2 (Form 131)</t>
  </si>
  <si>
    <t xml:space="preserve">Form 131 (TY 2026-27 onwards)</t>
  </si>
  <si>
    <t xml:space="preserve">Quarterly per deductee</t>
  </si>
  <si>
    <t xml:space="preserve">PDF (TRACES-generated, digitally signed); bulk zip</t>
  </si>
  <si>
    <t xml:space="preserve">Deductor: TRACES &gt; Downloads &gt; Form 16A; deductee: received from deductor (client provides copies)</t>
  </si>
  <si>
    <t xml:space="preserve">Within 15 days from the due date of furnishing the quarterly statement (prior round TDS-040)</t>
  </si>
  <si>
    <t xml:space="preserve">Header (deductor, deductee, period); Summary of payment (amount, nature, section, date); Summary of tax deducted and deposited (book adjustment / challan with BSR, date, CSN, status of matching)</t>
  </si>
  <si>
    <t xml:space="preserve">Form 131 numbering from prior round (incometaxindia.gov.in Form 130/131 references; TaxGuru). Column labels are professional knowledge of TRACES Form 16A – not verified this session.</t>
  </si>
  <si>
    <t xml:space="preserve">TDSMAN – Different matching statuses in Form 16/16A (2026) | https://blog.tdsman.com/2026/02/different-matching-statuses-form-16-form-16a/ | U/P/F/O
Income Tax Department – Form 130 FAQs | https://www.incometaxindia.gov.in/documents/d/guest/form-130-faqs | s.395(4)(b); Rule 215(1); Part A/B/C; due 15 June
TaxGuru – Form 131 TDS certificate | https://taxguru.in/income-tax/income-tax-form-131-tds-certificate-u-s-395-4-non-salary-pension-senior-citizen-interest.html | (prior round)</t>
  </si>
  <si>
    <t xml:space="preserve">Quarterly TDS statement – salary (Form 24Q / Form 138)</t>
  </si>
  <si>
    <t xml:space="preserve">Prepared by deductor (RPU / Tally / TDS software) → validated by Protean FVU → filed on e-Filing portal / TIN-FC; processed by TRACES (CPC-TDS)</t>
  </si>
  <si>
    <t xml:space="preserve">IT Act 1961 s.200(3) read with Rule 31A (IT Rules 1962); TDS u/s 192. From TY 2026-27: ITA 2025 s.397(3)(b) read with Rule 219 (IT Rules 2026); TDS u/s 392 (other than 392(7)) and s.393(1) Table Sl. 8(iii)</t>
  </si>
  <si>
    <t xml:space="preserve">Form 138 (TY 2026-27 onwards)</t>
  </si>
  <si>
    <t xml:space="preserve">Quarterly</t>
  </si>
  <si>
    <t xml:space="preserve">Text file (.txt, '^'-delimited, FVU-validated .fvu), PDF Form 27A / statistics report; TRACES 'conso file' (.tds/.txt) for corrections; Excel from RPU/software</t>
  </si>
  <si>
    <t xml:space="preserve">From client's TDS software/RPU export, or TRACES &gt; Statements/Payments &gt; Request for Conso File (token no. + challan + PAN-amount KYC)</t>
  </si>
  <si>
    <t xml:space="preserve">FY 2025-26 (Rule 31A) and TY 2026-27 (Rule 219): Q1 31 Jul, Q2 31 Oct, Q3 31 Jan, Q4 31 May</t>
  </si>
  <si>
    <t xml:space="preserve">File Header (FH); Batch Header (BH) = Part A deductor details; Challan Detail (CD) = Part B / cols 401-411; Deductee Detail (DD) = Annexure / cols 412-425; Salary Detail (SD) records – Q4 Annexure II (whole-year salary computation per employee)</t>
  </si>
  <si>
    <t xml:space="preserve">RC-TDS-010, RC-TDS-011</t>
  </si>
  <si>
    <t xml:space="preserve">Record layout (FH/BH/CD/DD, '^'-delimited text, validated by Protean FVU) transcribed from an ERP vendor's documentation of the NSDL e-TDS file format and cross-checked with the Protean-hosted Form 26Q (cols 401-425). The official Protean file-format PDFs could not be opened (proxy blocked / JS site) – field numbers must be re-checked against the current file format before coding a parser. From TY 2026-27 (Q1 onwards) statements are filed in Forms 138/140/143/144 with RPU/FVU 1.x (FVU 1.2 released 19-08-2026): surcharge/cess/penalty-others removed from challan details, Interest Allocation and Others Allocation added, Date of Payment must fall within the quarter/tax year, BSR code and challan serial mapped to Form 137 columns G and I, certificate no. column moved (138: col N, 140: col O, 144: col AB, 143: col Q). Section codes change to ITA 2025 sections. Q4 24Q includes Annexure II salary detail (SD records) for the whole year; Form 138 Annexure II (salary) and Annexure III (specified senior citizens by specified banks, s.393(1) Table Sl. 8(iii)). SD field list is from professional knowledge of the 24Q Annexure II layout – NOT verified this session.</t>
  </si>
  <si>
    <t xml:space="preserve">Income Tax Department – Form No. 138 note | https://www.incometaxindia.gov.in/documents/d/guest/fn-138 | s.397(3)(b) ITA 2025; Rule 219; Annexure I/II/III
TDSMAN – Key features RPU/FVU 1.2 (Forms 138/140/143/144) | https://blog.tdsman.com/downloads/key_features_fvu_1_2.pdf | Interest/Others allocation, date validation, column changes
TDSMAN – New FVU 1.2 released 19 Aug 2026 | https://blog.tdsman.com/2026/08/new-file-validation-utility-fvu-version-1-2-released-on-19th-august-2026/ | FVU 1.2
Oracle JD Edwards – Text file fields output for Form 26Q | https://docs.oracle.com/cd/E16582_01/doc.91/e23355/txt_file_field_26q.htm | FH/BH/CD/DD record layout of NSDL e-TDS file (secondary transcription)
Protean – Form 26Q (as approved by ITD, 04-01-2018) | https://tinpan.proteantech.in/downloads/e-tds/download/26Q_04012018.pdf | Cols 401–425; remark codes; section codes
Income Tax Department – Rule 219 | https://www.incometaxindia.gov.in/w/rule-219-1 | Statement due dates
Income Tax Department – Form 130 FAQs | https://www.incometaxindia.gov.in/documents/d/guest/form-130-faqs | s.395(4)(b); Rule 215(1); Part A/B/C; due 15 June</t>
  </si>
  <si>
    <t xml:space="preserve">Quarterly TDS statement – non-salary, resident payees (Form 26Q / Form 140)</t>
  </si>
  <si>
    <t xml:space="preserve">IT Act 1961 s.200(3) read with Rule 31A (IT Rules 1962); ss.193-194T (other than 194-IA/IB/M/S via 26QB/QC/QD/QE). From TY 2026-27: ITA 2025 s.397(3)(b) read with Rule 219 (IT Rules 2026); s.393(1)/(3) resident payments</t>
  </si>
  <si>
    <t xml:space="preserve">Form 140 (TY 2026-27 onwards)</t>
  </si>
  <si>
    <t xml:space="preserve">File Header (FH); Batch Header (BH) = Part A deductor details; Challan Detail (CD) = Part B / cols 401-411; Deductee Detail (DD) = Annexure / cols 412-425</t>
  </si>
  <si>
    <t xml:space="preserve">RC-IT-009, RC-TDS-001, RC-TDS-003, RC-TDS-004, RC-TDS-005, RC-TDS-006, RC-TDS-007, RC-TDS-008, RC-TDS-009</t>
  </si>
  <si>
    <t xml:space="preserve">Record layout (FH/BH/CD/DD, '^'-delimited text, validated by Protean FVU) transcribed from an ERP vendor's documentation of the NSDL e-TDS file format and cross-checked with the Protean-hosted Form 26Q (cols 401-425). The official Protean file-format PDFs could not be opened (proxy blocked / JS site) – field numbers must be re-checked against the current file format before coding a parser. From TY 2026-27 (Q1 onwards) statements are filed in Forms 138/140/143/144 with RPU/FVU 1.x (FVU 1.2 released 19-08-2026): surcharge/cess/penalty-others removed from challan details, Interest Allocation and Others Allocation added, Date of Payment must fall within the quarter/tax year, BSR code and challan serial mapped to Form 137 columns G and I, certificate no. column moved (138: col N, 140: col O, 144: col AB, 143: col Q). Section codes change to ITA 2025 sections. Form 140 Annexure is a single annexure covering the quarters, with fields PAN, name, section code, amount paid/credited, date, tax deducted/deposited, date of deduction, rate, reason code, s.395 certificate no., UIN of Form 121 (official fn-140 note).</t>
  </si>
  <si>
    <t xml:space="preserve">Income Tax Department – Form No. 140 note | https://www.incometaxindia.gov.in/documents/d/guest/fn-140 | s.397(3)(b); Rule 219; Part A/B, Annexure fields
TDSMAN – Key features RPU/FVU 1.2 (Forms 138/140/143/144) | https://blog.tdsman.com/downloads/key_features_fvu_1_2.pdf | Interest/Others allocation, date validation, column changes
Oracle JD Edwards – Text file fields output for Form 26Q | https://docs.oracle.com/cd/E16582_01/doc.91/e23355/txt_file_field_26q.htm | FH/BH/CD/DD record layout of NSDL e-TDS file (secondary transcription)
Protean – Form 26Q (as approved by ITD, 04-01-2018) | https://tinpan.proteantech.in/downloads/e-tds/download/26Q_04012018.pdf | Cols 401–425; remark codes; section codes
Protean – Dos and Don'ts for deductors/collectors | https://tinpan.proteantech.in/downloads/e-tds/download/DosandDontsdeductorscollectors.pdf | CIN = BSR(7)+date+challan serial(5); challan matching
Income Tax Department – Rule 219 | https://www.incometaxindia.gov.in/w/rule-219-1 | Statement due dates</t>
  </si>
  <si>
    <t xml:space="preserve">TDS_RET_27Q</t>
  </si>
  <si>
    <t xml:space="preserve">Quarterly TDS statement – payments to non-residents (Form 27Q / Form 144)</t>
  </si>
  <si>
    <t xml:space="preserve">IT Act 1961 s.200(3) read with Rule 31A (IT Rules 1962); s.195 and other NR sections. From TY 2026-27: ITA 2025 s.397(3)(b) read with Rule 219 (IT Rules 2026); s.393(2)</t>
  </si>
  <si>
    <t xml:space="preserve">Form 144 (TY 2026-27 onwards; covers NR and RNOR deductees)</t>
  </si>
  <si>
    <t xml:space="preserve">File Header (FH); Batch Header (BH) = Part A deductor details; Challan Detail (CD) = Part B / cols 401-411; Deductee Detail (DD) = Annexure / cols 412-425; additional NR deductee fields</t>
  </si>
  <si>
    <t xml:space="preserve">Record layout (FH/BH/CD/DD, '^'-delimited text, validated by Protean FVU) transcribed from an ERP vendor's documentation of the NSDL e-TDS file format and cross-checked with the Protean-hosted Form 26Q (cols 401-425). The official Protean file-format PDFs could not be opened (proxy blocked / JS site) – field numbers must be re-checked against the current file format before coding a parser. From TY 2026-27 (Q1 onwards) statements are filed in Forms 138/140/143/144 with RPU/FVU 1.x (FVU 1.2 released 19-08-2026): surcharge/cess/penalty-others removed from challan details, Interest Allocation and Others Allocation added, Date of Payment must fall within the quarter/tax year, BSR code and challan serial mapped to Form 137 columns G and I, certificate no. column moved (138: col N, 140: col O, 144: col AB, 143: col Q). Section codes change to ITA 2025 sections. Additional NR fields (country, nature of remittance, DTAA rate basis, 15CA ack, TRC) are professional knowledge of 27Q layout – NOT verified this session; FVU 1.2 revised Form 144 'Nature of Remittance' master with tax-code mapping (Q1 TY 2026-27 statements may need correction).</t>
  </si>
  <si>
    <t xml:space="preserve">Income Tax Department – Form No. 144 note | https://www.incometaxindia.gov.in/documents/d/guest/fn-144 | NR TDS statement (seen in search results only)
TDSMAN – Key features RPU/FVU 1.2 (Forms 138/140/143/144) | https://blog.tdsman.com/downloads/key_features_fvu_1_2.pdf | Interest/Others allocation, date validation, column changes
TDSMAN – New FVU 1.2 released 19 Aug 2026 | https://blog.tdsman.com/2026/08/new-file-validation-utility-fvu-version-1-2-released-on-19th-august-2026/ | FVU 1.2
Oracle JD Edwards – Text file fields output for Form 26Q | https://docs.oracle.com/cd/E16582_01/doc.91/e23355/txt_file_field_26q.htm | FH/BH/CD/DD record layout of NSDL e-TDS file (secondary transcription)
Income Tax Department – Rule 219 | https://www.incometaxindia.gov.in/w/rule-219-1 | Statement due dates</t>
  </si>
  <si>
    <t xml:space="preserve">Quarterly TCS statement (Form 27EQ / Form 143)</t>
  </si>
  <si>
    <t xml:space="preserve">IT Act 1961 s.206C(3) read with Rule 31AA; ITA 2025 s.397(3)(b) read with Rule 219 (TCS u/s 394)</t>
  </si>
  <si>
    <t xml:space="preserve">Form 143 (TY 2026-27 onwards)</t>
  </si>
  <si>
    <t xml:space="preserve">FY 2025-26 (Rule 31AA): Q1 15 Jul, Q2 15 Oct, Q3 15 Jan, Q4 15 May. TY 2026-27 (Rule 219, Form 143): 31 Jul, 31 Oct, 31 Jan, 31 May</t>
  </si>
  <si>
    <t xml:space="preserve">File Header (FH); Batch Header (BH) = Part A deductor details; Challan Detail (CD) = Part B / cols 401-411; Deductee Detail (DD) = Annexure / cols 412-425; collectee-specific fields</t>
  </si>
  <si>
    <t xml:space="preserve">Record layout (FH/BH/CD/DD, '^'-delimited text, validated by Protean FVU) transcribed from an ERP vendor's documentation of the NSDL e-TDS file format and cross-checked with the Protean-hosted Form 26Q (cols 401-425). The official Protean file-format PDFs could not be opened (proxy blocked / JS site) – field numbers must be re-checked against the current file format before coding a parser. From TY 2026-27 (Q1 onwards) statements are filed in Forms 138/140/143/144 with RPU/FVU 1.x (FVU 1.2 released 19-08-2026): surcharge/cess/penalty-others removed from challan details, Interest Allocation and Others Allocation added, Date of Payment must fall within the quarter/tax year, BSR code and challan serial mapped to Form 137 columns G and I, certificate no. column moved (138: col N, 140: col O, 144: col AB, 143: col Q). Section codes change to ITA 2025 sections. For TCS the 'deductee' block is the collectee; columns are 'collected' instead of 'deducted'. Collectee-specific codes are NOT verified – load from FVU master.</t>
  </si>
  <si>
    <t xml:space="preserve">Income Tax Department – Form No. 143 note | https://www.incometaxindia.gov.in/documents/d/guest/fn-143 | TCS statement (seen in search results only)
TDSMAN – Key features RPU/FVU 1.2 (Forms 138/140/143/144) | https://blog.tdsman.com/downloads/key_features_fvu_1_2.pdf | Interest/Others allocation, date validation, column changes
Oracle JD Edwards – Text file fields output for Form 26Q | https://docs.oracle.com/cd/E16582_01/doc.91/e23355/txt_file_field_26q.htm | FH/BH/CD/DD record layout of NSDL e-TDS file (secondary transcription)
Income Tax Department – Rule 219 | https://www.incometaxindia.gov.in/w/rule-219-1 | Statement due dates
TaxGuru – Q1 tax year 2026-27 TDS/TCS forms &amp; due dates | https://taxguru.in/income-tax/q1-tax-year-2026-27-tds-tcs-return-filing-forms-due-dates.html | (prior round)</t>
  </si>
  <si>
    <t xml:space="preserve">TDS/TCS payment challan (ITNS 281 / e-Pay Tax challan receipt; CIN)</t>
  </si>
  <si>
    <t xml:space="preserve">e-Filing portal e-Pay Tax (authorised bank / payment gateway); OLTAS / TIN; challan status on TIN &amp; TRACES</t>
  </si>
  <si>
    <t xml:space="preserve">IT Act 1961 s.200(1)/s.206C(3) read with Rule 30 / Rule 37CA (deposit); ITA 2025 s.397 read with Rule 218 (IT Rules 2026). Book-adjustment: Form 24G → Form 137</t>
  </si>
  <si>
    <t xml:space="preserve">Challan ITNS 281 via e-Pay Tax continues (no renumbered challan identified); Form 137 replaces 24G for book adjustment</t>
  </si>
  <si>
    <t xml:space="preserve">Monthly (per deposit); ad hoc for demand (minor head 400)</t>
  </si>
  <si>
    <t xml:space="preserve">PDF challan receipt (e-Pay Tax); CSV/Excel from TIN challan status enquiry / TRACES challan status; client software export</t>
  </si>
  <si>
    <t xml:space="preserve">e-Filing portal &gt; e-File &gt; e-Pay Tax &gt; Payment History (download challan receipt); TIN-NSDL/Protean Challan Status Enquiry by TAN + period; TRACES &gt; Challan Status</t>
  </si>
  <si>
    <t xml:space="preserve">7th of next month; March deductions by 30 April (government: same day for book entry) – Rule 30 / Rule 218</t>
  </si>
  <si>
    <t xml:space="preserve">Challan header (TAN, name, AY/tax year, major head, minor head, nature of payment); Amount break-up (tax, surcharge, cess, interest, penalty, fee 234E/427, others); Bank details (BSR, date, CSN, CIN, bank reference)</t>
  </si>
  <si>
    <t xml:space="preserve">RC-TDS-003, RC-TDS-004, RC-TDS-007, RC-TDS-008, RC-TDS-012</t>
  </si>
  <si>
    <t xml:space="preserve">Minor heads 200/400 and major heads 0020/0021 from ClearTax (secondary); CIN composition (BSR + tender date + CSN) from Protean Dos &amp; Don'ts (official). Under e-Pay Tax the ITNS 281 paper form is no longer used, but the same data elements appear on the challan receipt. Challan 'nature of payment' codes are not reproduced here – load master.</t>
  </si>
  <si>
    <t xml:space="preserve">Protean – Dos and Don'ts for deductors/collectors | https://tinpan.proteantech.in/downloads/e-tds/download/DosandDontsdeductorscollectors.pdf | CIN = BSR(7)+date+challan serial(5); challan matching
ClearTax – TDS Challan ITNS 281 | https://cleartax.in/s/tds-challan-itns-281 | Minor head 200/400; major head 0020/0021
Income Tax Department – Rule 218 | https://www.incometaxindia.gov.in/w/rule-218-1 | Deposit due dates
Income Tax Department – Form No. 137 note | https://www.incometaxindia.gov.in/documents/d/guest/fn-137 | Book adjustment statement (ex-24G), Rule 218
TDSMAN – Key features RPU/FVU 1.2 (Forms 138/140/143/144) | https://blog.tdsman.com/downloads/key_features_fvu_1_2.pdf | Interest/Others allocation, date validation, column changes</t>
  </si>
  <si>
    <t xml:space="preserve">TRACES Justification Report (default details for a TDS/TCS statement)</t>
  </si>
  <si>
    <t xml:space="preserve">TRACES (CPC-TDS)</t>
  </si>
  <si>
    <t xml:space="preserve">Processing of statements u/s 200A (1961) / corresponding processing provision of ITA 2025 (not verified); intimation of defaults; s.201(1A), s.206C(7), s.234E, s.220(2) (1961) → s.398, s.427 (2025)</t>
  </si>
  <si>
    <t xml:space="preserve">Per statement (TAN + form + quarter + FY) after processing</t>
  </si>
  <si>
    <t xml:space="preserve">Zip (password JR_&lt;TAN&gt;_&lt;Form&gt;_&lt;Quarter&gt;_&lt;FY&gt;) containing text file; converted to Excel by TRACES Justification Report Utility (macro)</t>
  </si>
  <si>
    <t xml:space="preserve">TRACES &gt; Downloads &gt; Requested Downloads / Request for Justification Report (FY, quarter, form; KYC with token no., challan, PAN-amount pairs) &gt; HTTP download</t>
  </si>
  <si>
    <t xml:space="preserve">Default summary; Short payment; Short deduction; Interest on payment default u/s 201(1A) (late payment / short payment / additional); Interest on deduction default (late deduction / short deduction / additional); Short payment on account of late filing fee (234E); Additional late filing levy; Interest u/s 220(2); PAN errors</t>
  </si>
  <si>
    <t xml:space="preserve">RC-TDS-007, RC-TDS-008</t>
  </si>
  <si>
    <t xml:space="preserve">Default-type list from ClearTax and TDSMAN (secondary); download mechanics from Quicko (secondary). Exact sheet names and column headers of the Excel produced by the JR utility could not be verified – column labels above are implementation mapping; adjust importer to actual file. 2025-Act processing section not verified.</t>
  </si>
  <si>
    <t xml:space="preserve">ClearTax – Download justification report | https://cleartax.in/s/download-justification-report-to-reply-to-tds-demand-notice | Default types list
Quicko – TRACES download justification report | https://learn.quicko.com/traces-download-justification-report-24q-26q-27q | Request inputs; zip/text; JR utility
TDSMAN – Evaluate TDS defaults using justification report | https://blog.tdsman.com/2013/07/evaluate-your-tds-defaults-using-justification-report-downloaded-from-traces/ | PAN errors, late payment, short deduction
Income Tax Department – Section 397 ITA 2025 | https://www.incometaxindia.gov.in/w/section-397-6 | </t>
  </si>
  <si>
    <t xml:space="preserve">TDS/TCS payable &amp; receivable ledgers in books (with deductee-wise detail)</t>
  </si>
  <si>
    <t xml:space="preserve">Client accounting software (Tally Prime / ERP) – export</t>
  </si>
  <si>
    <t xml:space="preserve">Implementation design, not law. Books maintained u/s 44AA (1961) / corresponding ITA 2025 provision; Companies Act 2013 s.128</t>
  </si>
  <si>
    <t xml:space="preserve">Monthly / quarterly extract</t>
  </si>
  <si>
    <t xml:space="preserve">Excel / XML / JSON from Tally (Ledger Vouchers, TDS Outstandings, Form 26Q/27Q computation reports); ERP CSV</t>
  </si>
  <si>
    <t xml:space="preserve">Tally Prime: Display &gt; Statutory Reports &gt; TDS Reports (Outstandings / Return) or ledger vouchers of 'TDS Payable – &lt;section&gt;' ledgers, export Excel (Ctrl+E)</t>
  </si>
  <si>
    <t xml:space="preserve">Deduction entries (expense voucher with TDS), Payment entries (challan voucher), Opening/closing TDS payable by section; TDS receivable (income side) ledger for 26AS matching</t>
  </si>
  <si>
    <t xml:space="preserve">RC-IT-002, RC-IT-009, RC-IT-012, RC-TDS-001, RC-TDS-002, RC-TDS-003, RC-TDS-004, RC-TDS-005, RC-TDS-010</t>
  </si>
  <si>
    <t xml:space="preserve">Recommended standard field set – implementation design, not law. Field names mirror Tally Prime TDS masters (Nature of Payment, Deductee Type) by convention; exact Tally export column names vary by report and release.</t>
  </si>
  <si>
    <t xml:space="preserve">Tally – Export data in TallyPrime | https://help.tallysolutions.com/tally-prime/export-data-in-tally | Formats: ASCII, Excel, HTML, JPEG, PDF, XML, JSON; Bills receivable ageing export
Tally – Sample Excel files for import (field names &amp; aliases) | https://help.tallysolutions.com/tally-prime/import-data/download-sample-excel-files-with-data-for-import | Voucher Date, Voucher Number, Party Name, Buyer/Supplier GSTIN/UIN, Item, Rate, Quantity, Ledger Group</t>
  </si>
  <si>
    <t xml:space="preserve">Tax audit report – Form 3CA/3CB with Form 3CD (AY 2026-27); Form 26 from tax year 2026-27</t>
  </si>
  <si>
    <t xml:space="preserve">Prepared by tax auditor (CA) and uploaded on e-Filing portal; accepted by assessee</t>
  </si>
  <si>
    <t xml:space="preserve">IT Act 1961 s.44AB read with Rule 6G (Form 3CA/3CB/3CD); ITA 2025 s.63 read with IT Rules 2026 Rule 47, Form 26 (secondary sources)</t>
  </si>
  <si>
    <t xml:space="preserve">Form 26 (tax year 2026-27 onwards; clause renumbering not verified)</t>
  </si>
  <si>
    <t xml:space="preserve">JSON (offline utility) / XML (older), PDF acknowledgement; Excel working</t>
  </si>
  <si>
    <t xml:space="preserve">e-Filing portal &gt; View Filed Forms &gt; Form 3CA-3CD / 3CB-3CD &gt; download JSON/PDF; or CA's working file</t>
  </si>
  <si>
    <t xml:space="preserve">AY 2026-27: extended to 21-10-2026 (CBDT Circular 7/2026, per prior round AUD-003)</t>
  </si>
  <si>
    <t xml:space="preserve">Part A (cl.1-8: assessee details); Part B: cl.18 depreciation; cl.20(b) employees' contribution (PF/ESI) – due date vs actual payment; cl.21(a)-(i) inadmissible amounts incl. 21(b) s.40(a) TDS defaults, 21(d) s.40A(3)/(3A); cl.22 MSMED interest and s.43B(h); cl.23 s.40A(2)(b) specified persons; cl.26 s.43B; cl.31 s.269SS/269T/269ST; cl.34(a) TDS/TCS compliance, 34(b) statements not furnished/incorrect, 34(c) interest u/s 201(1A)/206C(7); cl.35 quantitative details; cl.44 GST break-up of expenditure</t>
  </si>
  <si>
    <t xml:space="preserve">RC-IT-008, RC-IT-009, RC-IT-010, RC-IT-011, RC-IT-012</t>
  </si>
  <si>
    <t xml:space="preserve">Clause subjects for 21, 22, 26, 31, 34, 44 seen in PKC and CalcGuru (secondary). Column labels of cl.20(b), 31 and 34(a)/(b)/(c) are from professional knowledge of the Form 3CD layout – NOT verified this session (Unverified sub-items). Form 26 clause numbering for TY 2026-27 not verified – build a clause-mapping table when official Form 26 is opened.</t>
  </si>
  <si>
    <t xml:space="preserve">PKC – Form 3CD AY 2026-27 clause-wise changes | https://www.pkcindia.com/blog/form-3cd-reporting-for-ay-2026-27-clause-wise-changes-every-business-should-check-before-the-tax-audit/ | Cl. 21, 22, 26, 34, 36B, 44
CalcGuru – Form 3CD checklist AY 2026-27 | https://calcguru.in/?p=8211 | Cl. 21, 22, 26, 31, 34, 44 incl. clause 44 columns
TaxGuru – Tax audit FY 2025-26 guide Form 3CD | https://taxguru.in/income-tax/tax-audit-fy-2025-26-guide-form-3cd.html | (prior round)
ClearTax – Form 26 tax audit (IT Rules 2026) | https://cleartax.in/s/form-26-tax-audit | (prior round, secondary)
CBDT Circular 7/2026 | https://incometaxindia.gov.in/documents/d/guest/circular-7-2026-pdf | Extended due dates AY 2026-27 (prior round)</t>
  </si>
  <si>
    <t xml:space="preserve">Advance tax / self-assessment tax challan (ITNS 280 via e-Pay Tax)</t>
  </si>
  <si>
    <t xml:space="preserve">e-Filing portal e-Pay Tax / authorised bank; OLTAS; reflected in AIS 'Payment of Taxes' and 26AS</t>
  </si>
  <si>
    <t xml:space="preserve">IT Act 1961 ss.207-211 (advance tax), s.140A (self-assessment); ITA 2025 advance tax provisions (ss.403-408 per prior round) </t>
  </si>
  <si>
    <t xml:space="preserve">Instalments 15 Jun / 15 Sep / 15 Dec / 15 Mar (single instalment by 15 Mar for presumptive) – ADV-002/003</t>
  </si>
  <si>
    <t xml:space="preserve">PDF challan receipt; payment history CSV; AIS JSON</t>
  </si>
  <si>
    <t xml:space="preserve">e-Filing portal &gt; e-File &gt; e-Pay Tax &gt; Payment History; AIS &gt; Payment of Taxes</t>
  </si>
  <si>
    <t xml:space="preserve">15 Jun (15%), 15 Sep (45%), 15 Dec (75%), 15 Mar (100%)</t>
  </si>
  <si>
    <t xml:space="preserve">Challan header; amount break-up; bank details/CIN</t>
  </si>
  <si>
    <t xml:space="preserve">Minor heads 100/300 confirmed in Protean Dos &amp; Don'ts (official). Major head labels and 400 code from secondary/professional knowledge.</t>
  </si>
  <si>
    <t xml:space="preserve">Protean – Dos and Don'ts for deductors/collectors | https://tinpan.proteantech.in/downloads/e-tds/download/DosandDontsdeductorscollectors.pdf | CIN = BSR(7)+date+challan serial(5); challan matching
ClearTax – TDS Challan ITNS 281 | https://cleartax.in/s/tds-challan-itns-281 | Minor head 200/400; major head 0020/0021
Income Tax Department – Section 234C | https://www.incometaxindia.gov.in/w/section-234c-37 | (prior round)
Income Tax Department – Section 425 ITA 2025 | https://www.incometaxindia.gov.in/w/section-425-5 | (prior round)
e-Filing portal – AIS help | https://www.incometax.gov.in/iec/foportal/help/all-topics/e-filing-services/ais-annual-information-statement | Part A/Part B, info code/description/value, PDF/JSON/CSV, EXC-GSTR3B</t>
  </si>
  <si>
    <t xml:space="preserve">Payroll register / salary sheet (monthly, employee-wise)</t>
  </si>
  <si>
    <t xml:space="preserve">Client payroll software (Tally Payroll, greytHR, Zoho, Keka, ERP) – export</t>
  </si>
  <si>
    <t xml:space="preserve">Implementation design, not law. Registers of wages required under Code on Wages 2019 / state rules (form not specified here)</t>
  </si>
  <si>
    <t xml:space="preserve">Monthly</t>
  </si>
  <si>
    <t xml:space="preserve">Excel / CSV / JSON export</t>
  </si>
  <si>
    <t xml:space="preserve">Client exports monthly salary register (all earnings and deductions columns) from payroll software</t>
  </si>
  <si>
    <t xml:space="preserve">Employee identity; attendance; earnings heads; statutory wage bases; deductions (PF, ESI, PT, LWF, TDS); employer contributions; net pay</t>
  </si>
  <si>
    <t xml:space="preserve">RC-PAY-001, RC-PAY-003, RC-PAY-004, RC-PAY-005, RC-PAY-006, RC-PAY-007, RC-PAY-008, RC-TDS-010, RC-TDS-011</t>
  </si>
  <si>
    <t xml:space="preserve">Recommended standard field set – implementation design, not law. Field naming convention internal to the tool; map client columns at import.</t>
  </si>
  <si>
    <t xml:space="preserve">EPFO – Contribution rates | https://www.epfindia.gov.in:443/site_docs/PDFs/MiscPDFs/ContributionRate.pdf | Account heads (from prior round)
ESIC – Contribution | https://web.esic.gov.in/web/esic/contribution | Rates, due date (prior round)</t>
  </si>
  <si>
    <t xml:space="preserve">Electronic Challan-cum-Return (EPFO ECR text file / ECR 2.0)</t>
  </si>
  <si>
    <t xml:space="preserve">EPFO Unified Portal (employer) – ECR upload; revamped ECR from wage month Sep 2025 (return and payment segregated)</t>
  </si>
  <si>
    <t xml:space="preserve">EPF Scheme 1952 paras 36/38 (monthly return/remittance) / EPF Scheme 2026 under Code on Social Security 2020 (per prior round PAY-008/010); EPF Act 1952 s.6</t>
  </si>
  <si>
    <t xml:space="preserve">Monthly (per wage month)</t>
  </si>
  <si>
    <t xml:space="preserve">Text file (.txt), fields separated by '#~#', one member per line; portal-generated ECR statement PDF/Excel after upload</t>
  </si>
  <si>
    <t xml:space="preserve">Prepared by payroll software; uploaded at unifiedportal-emp.epfindia.gov.in &gt; Payments &gt; ECR Upload; client provides uploaded .txt and ECR statement</t>
  </si>
  <si>
    <t xml:space="preserve">15th of the following month (prior round PAY-008)</t>
  </si>
  <si>
    <t xml:space="preserve">ECR 2.0 (UAN-based) 11 fields per member line; legacy ECR (member-ID based) 25 fields incl. arrears, new-joiner and exit fields</t>
  </si>
  <si>
    <t xml:space="preserve">RC-PAY-001, RC-PAY-002, RC-PAY-007</t>
  </si>
  <si>
    <t xml:space="preserve">ECR 2.0 field order and validations from EPFO 'Introduction to ECR 2.0' (official); '#~#' separator and legacy 25-field structure from EPFO ECR File Structure (official; legacy member-ID format – separator assumed to continue for ECR 2.0, consistent with EPFO revamped-ECR page stating 'no change in the existing format of the ECR'). Wage ceiling change to Rs 25,000 from 17-09-2026 is from prior payroll round (secondary). ECR due date and revamped-ECR return/payment segregation: EPFO page.</t>
  </si>
  <si>
    <t xml:space="preserve">EPFO – Introduction to ECR 2.0 | https://www.epfindia.gov.in:443/site_docs/PDFs/EPFOUnifiedPortal/Introduction_ECR2.0.pdf | 11-field UAN-based ECR validations
EPFO – ECR for Employers File Structure | https://epfindia.gov.in/site_docs/PDFs/OnlineECR_PDFs/ECR_ForEmployers_FileStructure.pdf | Legacy 25-field ECR (#~# separator)
EPFO – Revamped ECR | https://www.epfindia.gov.in/site_en/revamped_ecr.php | From wage month Sep 2025; no change in ECR format; return and payment segregated</t>
  </si>
  <si>
    <t xml:space="preserve">EPFO combined challan (A/c 01, 02, 10, 21 &amp; 22) and payment receipt</t>
  </si>
  <si>
    <t xml:space="preserve">EPFO Unified Portal (TRRN generated after ECR); payment via internet banking (CRN / bank reference)</t>
  </si>
  <si>
    <t xml:space="preserve">EPF Scheme 1952 para 38 / EPF Scheme 2026; EPS 1995; EDLI 1976 (account heads)</t>
  </si>
  <si>
    <t xml:space="preserve">PDF challan &amp; payment receipt; ECR statement PDF/Excel</t>
  </si>
  <si>
    <t xml:space="preserve">Unified Portal &gt; Payments &gt; Payment (ECR) &gt; View/print challan and payment receipt; client provides PDF</t>
  </si>
  <si>
    <t xml:space="preserve">15th of following month</t>
  </si>
  <si>
    <t xml:space="preserve">Header (TRRN, establishment code &amp; name, wage month, ECR Id, LIN); Subscriber summary (total subscribers, total wages EPF/EPS/EDLI); Account head table (A/C 01, 02, 10, 21, 22 × Administration charges / Employer's share / Employee's share / Total); Summary totals; Government-remitted amounts (PMRPY/ABRY, as applicable)</t>
  </si>
  <si>
    <t xml:space="preserve">RC-PAY-002, RC-PAY-006</t>
  </si>
  <si>
    <t xml:space="preserve">Header/account-head labels read from a publicly posted EPFO combined challan (official layout). CRN / payment-date labels are on the separate payment receipt (not seen this session). Account formulas cross-refer to payroll.json PAY-004/005.</t>
  </si>
  <si>
    <t xml:space="preserve">EPFO combined challan sample (public vendor portal) | https://vcportal.endurancegroup.com/data/contractor/2303_13__section1_.pdf | Combined challan labels A/C 01,02,10,21,22; TRRN
EPFO – Revamped ECR | https://www.epfindia.gov.in/site_en/revamped_ecr.php | From wage month Sep 2025; no change in ECR format; return and payment segregated
EPFO – Contribution rates | https://www.epfindia.gov.in:443/site_docs/PDFs/MiscPDFs/ContributionRate.pdf | Account heads (from prior round)</t>
  </si>
  <si>
    <t xml:space="preserve">ESIC monthly contribution (MC) upload / contribution history</t>
  </si>
  <si>
    <t xml:space="preserve">ESIC employer portal (esic.gov.in) – Monthly Contribution upload (Excel) / online entry</t>
  </si>
  <si>
    <t xml:space="preserve">ESI Act 1948 ss.39-40 &amp; ESI (General) Regulations (contribution periods, Reg. 31 for payment); Code on Social Security 2020 Chapter IV (per prior round PAY-013/017)</t>
  </si>
  <si>
    <t xml:space="preserve">Monthly (contribution periods Apr–Sep, Oct–Mar)</t>
  </si>
  <si>
    <t xml:space="preserve">Excel 97-2003 (.xls) upload template, all columns as Text; contribution history PDF/Excel download</t>
  </si>
  <si>
    <t xml:space="preserve">ESIC portal &gt; Monthly Contributions &gt; Upload / File Monthly Contribution; Contribution History download</t>
  </si>
  <si>
    <t xml:space="preserve">15th of following month (prior round PAY-016)</t>
  </si>
  <si>
    <t xml:space="preserve">Employee-wise rows: IP number, IP name, no. of days, total monthly wages, reason code for zero working days, last working day; totals (wages, IP contribution, employer contribution, total contribution, government contribution)</t>
  </si>
  <si>
    <t xml:space="preserve">Columns from PocketHRMS help (secondary) and an ESIC contribution-history printout (official layout via a Delhi Govt site). Numeric reason codes: only 2/3/5/10 confirmed (Paybooks, secondary); full code list not verified – Ambiguous; load from current ESIC template. Excel .xls 97-2003 format per PocketHRMS.</t>
  </si>
  <si>
    <t xml:space="preserve">PocketHRMS – ESI return file | https://docs.pockethrms.com/report-generation/esi-return-file | MC upload columns; last-working-day rules; .xls
ESIC contribution history sample (Delhi Govt hospital) | https://shmch.delhi.gov.in/sites/default/files/inline-files/esic_2.pdf | IP Number, IP Name, No. of Days, Total Wages, Contribution, Reason
Paybooks – ESI remarks values | https://support.paybooks.in/support/solutions/articles/4000092794-why-values-need-be-selected-in-esi-remarks-field- | Codes 2 Left service, 3 Retired, 5 Expired, 10 Retrenchment
ESIC – Contribution | https://web.esic.gov.in/web/esic/contribution | Rates, due date (prior round)</t>
  </si>
  <si>
    <t xml:space="preserve">ESIC contribution challan / payment receipt</t>
  </si>
  <si>
    <t xml:space="preserve">ESIC employer portal (challan generated after MC filing; paid via authorised bank / SBI e-pay)</t>
  </si>
  <si>
    <t xml:space="preserve">ESI Act 1948 s.39-40; ESI (General) Regulations (payment of contributions); Code on Social Security 2020</t>
  </si>
  <si>
    <t xml:space="preserve">PDF challan / e-receipt</t>
  </si>
  <si>
    <t xml:space="preserve">ESIC portal &gt; Generate Challan &gt; Print challan / receipt (client provides PDF)</t>
  </si>
  <si>
    <t xml:space="preserve">Challan header; contribution amount; payment details</t>
  </si>
  <si>
    <t xml:space="preserve">RC-PAY-003, RC-PAY-006</t>
  </si>
  <si>
    <t xml:space="preserve">Field labels are implementation choices based on common ESIC e-challan printouts – not verified on an official page this session.</t>
  </si>
  <si>
    <t xml:space="preserve">ESIC – Contribution | https://web.esic.gov.in/web/esic/contribution | Rates, due date (prior round)</t>
  </si>
  <si>
    <t xml:space="preserve">Professional Tax return (state-specific; employer)</t>
  </si>
  <si>
    <t xml:space="preserve">State commercial tax / PT portals (e.g. Maharashtra MahaGST PTRC, Karnataka, West Bengal, Tamil Nadu local bodies)</t>
  </si>
  <si>
    <t xml:space="preserve">Article 276 of the Constitution (cap Rs 2,500 p.a.) and respective State PT Acts/Rules (e.g. Maharashtra State Tax on Professions, Trades, Callings and Employments Act, 1975) – see payroll.json PAY-018..024</t>
  </si>
  <si>
    <t xml:space="preserve">State-specific (e.g. Maharashtra Form III – not verified)</t>
  </si>
  <si>
    <t xml:space="preserve">Monthly / annual / half-yearly depending on state and liability slab</t>
  </si>
  <si>
    <t xml:space="preserve">State portal acknowledgement PDF; Excel/CSV upload (state-specific)</t>
  </si>
  <si>
    <t xml:space="preserve">State PT portal &gt; return filing history (client provides acknowledgement &amp; return copy)</t>
  </si>
  <si>
    <t xml:space="preserve">State-specific – maintain in state master</t>
  </si>
  <si>
    <t xml:space="preserve">Slab-wise employee count and tax (salary slabs), total tax payable, tax paid, interest/penalty</t>
  </si>
  <si>
    <t xml:space="preserve">Generic recommended structure across states – implementation design; each state's form varies. CA to confirm per state.</t>
  </si>
  <si>
    <t xml:space="preserve">BankBazaar – Maharashtra PT slab | https://bankbazaar.com/tax/maharashtra-professional-tax-slab-rate.html | (prior round)
WBXpress – PT schedule 2026 | https://wbxpress.com/schedule-rates-tax-professions-trades-callings-employments-2026/ | (prior round)</t>
  </si>
  <si>
    <t xml:space="preserve">Professional Tax payment challan (state)</t>
  </si>
  <si>
    <t xml:space="preserve">State PT / GRAS / e-payment portals</t>
  </si>
  <si>
    <t xml:space="preserve">State PT Acts/Rules</t>
  </si>
  <si>
    <t xml:space="preserve">As per state (monthly/annual)</t>
  </si>
  <si>
    <t xml:space="preserve">State payment portal history; client provides PDF</t>
  </si>
  <si>
    <t xml:space="preserve">State-specific</t>
  </si>
  <si>
    <t xml:space="preserve">Header, period, amount, bank reference</t>
  </si>
  <si>
    <t xml:space="preserve">Generic structure – implementation design, not law; state formats vary.</t>
  </si>
  <si>
    <t xml:space="preserve">BankBazaar – Maharashtra PT slab | https://bankbazaar.com/tax/maharashtra-professional-tax-slab-rate.html | (prior round)</t>
  </si>
  <si>
    <t xml:space="preserve">Form 16 Part B / Form 130 Part C Annexure-I – salary and tax computation</t>
  </si>
  <si>
    <t xml:space="preserve">Employer payroll software (generated); certified by employer</t>
  </si>
  <si>
    <t xml:space="preserve">IT Act 1961 s.203 / Rule 31 (Form 16 Part B, Annexure); ITA 2025 s.395(4)(b) / Rule 215(1) (Form 130 Part C Annexure-I)</t>
  </si>
  <si>
    <t xml:space="preserve">Form 130 Part C Annexure-I</t>
  </si>
  <si>
    <t xml:space="preserve">PDF; payroll software Excel</t>
  </si>
  <si>
    <t xml:space="preserve">From employer/payroll software (not generated by TRACES)</t>
  </si>
  <si>
    <t xml:space="preserve">15 June following the FY / tax year</t>
  </si>
  <si>
    <t xml:space="preserve">Gross salary (s.17(1), 17(2), 17(3)); exemptions u/s 10; standard deduction and professional tax (s.16); income from salary; other income reported; Chapter VI-A deductions; total taxable income; tax, rebate, surcharge, cess; relief (s.89/s.157); TDS; net payable</t>
  </si>
  <si>
    <t xml:space="preserve">Same data elements as 24Q Q4 Annexure II (SD records) so it can be matched 1:1 by PAN. Form 130 structure (Part C Annexure-I: gross salary breakup, exemptions, deductions, taxable income, tax, relief u/s 157, TDS, net payable) verified from ITD FAQ; individual line labels from professional knowledge.</t>
  </si>
  <si>
    <t xml:space="preserve">Income Tax Department – Form 130 FAQs | https://www.incometaxindia.gov.in/documents/d/guest/form-130-faqs | s.395(4)(b); Rule 215(1); Part A/B/C; due 15 June
Income Tax Department – Form No. 138 note | https://www.incometaxindia.gov.in/documents/d/guest/fn-138 | s.397(3)(b) ITA 2025; Rule 219; Annexure I/II/III</t>
  </si>
  <si>
    <t xml:space="preserve">Sales register (sales day book, invoice/line level)</t>
  </si>
  <si>
    <t xml:space="preserve">Client accounting software (Tally Prime / ERP) or client-prepared register</t>
  </si>
  <si>
    <t xml:space="preserve">Implementation design, not law. Supports CGST Act s.35 / Rule 56 accounts, GSTR-1 reconciliation</t>
  </si>
  <si>
    <t xml:space="preserve">Excel (.xlsx), XML, JSON, PDF, ASCII text (Tally Prime export formats); CSV from ERPs</t>
  </si>
  <si>
    <t xml:space="preserve">Tally Prime: Display More Reports &gt; Account Books &gt; Sales Register &gt; month &gt; Alt+E Export (Excel) / or GSTR-1 export; ERP sales register export</t>
  </si>
  <si>
    <t xml:space="preserve">Invoice header + line (item) + tax ledgers; credit/debit notes</t>
  </si>
  <si>
    <t xml:space="preserve">RC-GST-001, RC-GST-002, RC-GST-003, RC-GST-004, RC-GST-005, RC-GST-006, RC-GST-008, RC-GST-009, RC-GST-010, RC-GST-011, RC-GST-012, RC-GST-029, RC-GST-033, RC-GST-034, RC-GST-036, RC-GST-040, RC-TDS-012</t>
  </si>
  <si>
    <t xml:space="preserve">Recommended standard field set – implementation design, not law. Column names follow Tally Prime field names/aliases where available (Voucher Date, Voucher Number, Party Name, Buyer/Supplier – GSTIN/UIN, Item Name, Quantity, Rate); exact export headers vary by report, configuration (F12) and release – map at import.</t>
  </si>
  <si>
    <t xml:space="preserve">Tally – Export data in TallyPrime | https://help.tallysolutions.com/tally-prime/export-data-in-tally | Formats: ASCII, Excel, HTML, JPEG, PDF, XML, JSON; Bills receivable ageing export
Tally – Sample Excel files for import (field names &amp; aliases) | https://help.tallysolutions.com/tally-prime/import-data/download-sample-excel-files-with-data-for-import | Voucher Date, Voucher Number, Party Name, Buyer/Supplier GSTIN/UIN, Item, Rate, Quantity, Ledger Group
Tally – Sales Register (Sales Day Book) | https://help.tallysolutions.com/docs/te9rel66/Reports/Display_Registers_Ledgers/Sales_Register_Sales_Day_Book.htm | Monthly summary → voucher list; Excel/Pivot export</t>
  </si>
  <si>
    <t xml:space="preserve">Purchase register (purchase day book, invoice/line level)</t>
  </si>
  <si>
    <t xml:space="preserve">Implementation design, not law. Supports CGST Act s.16 ITC conditions, GSTR-2B reconciliation, TDS (194C/194J/194Q) and clause 44</t>
  </si>
  <si>
    <t xml:space="preserve">Tally Prime: Purchase Register &gt; Export; or GSTR-2 / ITC reconciliation export</t>
  </si>
  <si>
    <t xml:space="preserve">Invoice header + line + tax ledgers + TDS deducted + ITC eligibility</t>
  </si>
  <si>
    <t xml:space="preserve">RC-ACC-011, RC-GST-013, RC-GST-015, RC-GST-016, RC-GST-017, RC-GST-018, RC-GST-019, RC-GST-030, RC-GST-031, RC-GST-034, RC-GST-037, RC-GST-038, RC-IT-010</t>
  </si>
  <si>
    <t xml:space="preserve">General ledger / Day book (voucher-line level journal)</t>
  </si>
  <si>
    <t xml:space="preserve">Implementation design, not law; Companies Act 2013 s.128 &amp; Rule 3 Accounts Rules (audit trail); s.44AA IT Act</t>
  </si>
  <si>
    <t xml:space="preserve">Monthly / annual</t>
  </si>
  <si>
    <t xml:space="preserve">Tally Prime: Day Book (Alt+F2 period) &gt; Export Excel/XML; or Ledger Vouchers per ledger</t>
  </si>
  <si>
    <t xml:space="preserve">One row per voucher ledger-line (double entry)</t>
  </si>
  <si>
    <t xml:space="preserve">RC-ACC-001, RC-ACC-005, RC-ACC-006, RC-ACC-007, RC-ACC-009, RC-ACC-010, RC-ACC-011, RC-BNK-002, RC-BNK-003, RC-BNK-004, RC-BNK-005, RC-GST-019, RC-GST-027, RC-GST-028, RC-GST-035, RC-GST-039, RC-IT-001, RC-IT-003, RC-IT-006, RC-IT-008, RC-IT-010, RC-IT-012, RC-PAY-005, RC-TDS-002, RC-TDS-005</t>
  </si>
  <si>
    <t xml:space="preserve">Trial balance (ledger-wise, opening / Dr / Cr / closing)</t>
  </si>
  <si>
    <t xml:space="preserve">Implementation design, not law</t>
  </si>
  <si>
    <t xml:space="preserve">Monthly / quarterly / annual</t>
  </si>
  <si>
    <t xml:space="preserve">Tally Prime: Trial Balance &gt; F12 show ledgers, opening, transactions &gt; Export Excel</t>
  </si>
  <si>
    <t xml:space="preserve">Ledger-wise balances with group hierarchy</t>
  </si>
  <si>
    <t xml:space="preserve">RC-ACC-001, RC-ACC-002, RC-ACC-003, RC-ACC-004, RC-ACC-006, RC-BNK-006, RC-GST-026, RC-GST-027, RC-GST-028, RC-IT-007, RC-IT-008, RC-PAY-008</t>
  </si>
  <si>
    <t xml:space="preserve">Bank book / bank ledger (cash book – bank column)</t>
  </si>
  <si>
    <t xml:space="preserve">Tally Prime: Ledger Vouchers of bank ledger / Bank Reconciliation screen &gt; Export</t>
  </si>
  <si>
    <t xml:space="preserve">Bank ledger lines incl. bank date</t>
  </si>
  <si>
    <t xml:space="preserve">RC-ACC-008, RC-BNK-001, RC-BNK-006, RC-GST-017, RC-IT-013, RC-PAY-005</t>
  </si>
  <si>
    <t xml:space="preserve">Tally – Export data in TallyPrime | https://help.tallysolutions.com/tally-prime/export-data-in-tally | Formats: ASCII, Excel, HTML, JPEG, PDF, XML, JSON; Bills receivable ageing export
Tally – Sample Excel files for import (field names &amp; aliases) | https://help.tallysolutions.com/tally-prime/import-data/download-sample-excel-files-with-data-for-import | Voucher Date, Voucher Number, Party Name, Buyer/Supplier GSTIN/UIN, Item, Rate, Quantity, Ledger Group
Tally – Sales Register (Sales Day Book) | https://help.tallysolutions.com/docs/te9rel66/Reports/Display_Registers_Ledgers/Sales_Register_Sales_Day_Book.htm | Monthly summary → voucher list; Excel/Pivot export
RBI – cheque validity 3 months | https://www.rbi.org.in/commonman/English/scripts/Notification.aspx?Id=961 | (prior round)</t>
  </si>
  <si>
    <t xml:space="preserve">Bank account statement (from bank)</t>
  </si>
  <si>
    <t xml:space="preserve">Bank (internet banking / branch) – statement download</t>
  </si>
  <si>
    <t xml:space="preserve">Implementation design, not law. No single RBI-prescribed statement layout located; fields follow common bank statement conventions (value date, txn date, cheque/ref no., description, debit, credit, balance). Cheque validity 3 months per RBI.</t>
  </si>
  <si>
    <t xml:space="preserve">Monthly / as required</t>
  </si>
  <si>
    <t xml:space="preserve">PDF, Excel/CSV, MT940 (corporate), JSON via account aggregator (where available)</t>
  </si>
  <si>
    <t xml:space="preserve">Client downloads from net banking or bank provides; corporate H2H MT940</t>
  </si>
  <si>
    <t xml:space="preserve">Header (account, IFSC, period, opening/closing balance); transaction lines</t>
  </si>
  <si>
    <t xml:space="preserve">RC-ACC-010, RC-BNK-001, RC-BNK-002, RC-BNK-003, RC-BNK-004, RC-BNK-005, RC-BNK-006, RC-PAY-002</t>
  </si>
  <si>
    <t xml:space="preserve">Recommended standard field set – implementation design, not law (see BRS-001 in accounting.json).</t>
  </si>
  <si>
    <t xml:space="preserve">RBI – cheque validity 3 months | https://www.rbi.org.in/commonman/English/scripts/Notification.aspx?Id=961 | (prior round)</t>
  </si>
  <si>
    <t xml:space="preserve">Fixed asset register</t>
  </si>
  <si>
    <t xml:space="preserve">Implementation design, not law. Supports Companies Act Sch. II depreciation, IT Act s.32 / block WDV (AUD-004), CARO 3(i), Form 3CD cl.18</t>
  </si>
  <si>
    <t xml:space="preserve">Annual / quarterly</t>
  </si>
  <si>
    <t xml:space="preserve">Client FAR (Excel/ERP module); Tally fixed asset ledgers export</t>
  </si>
  <si>
    <t xml:space="preserve">Asset-wise: identity, acquisition, depreciation (book &amp; tax), disposals</t>
  </si>
  <si>
    <t xml:space="preserve">Tally – Export data in TallyPrime | https://help.tallysolutions.com/tally-prime/export-data-in-tally | Formats: ASCII, Excel, HTML, JPEG, PDF, XML, JSON; Bills receivable ageing export
TaxGuru – CARO 2020 &amp; Schedule III summary | https://taxguru.in/company-law/summary-clauses-caro-2020-consequential-amendments-schedule-iii-companies-act-2013.html | Quarterly returns to banks vs books (prior round)</t>
  </si>
  <si>
    <t xml:space="preserve">Stock register / stock summary (item-wise movement)</t>
  </si>
  <si>
    <t xml:space="preserve">Implementation design, not law. Supports CARO 3(ii), Form 3CD cl.35 quantitative details, FS-007</t>
  </si>
  <si>
    <t xml:space="preserve">Tally Prime: Stock Summary / Stock Item vouchers &gt; Export; ERP inventory ledger</t>
  </si>
  <si>
    <t xml:space="preserve">Item × godown: opening, inward, outward, closing qty &amp; value</t>
  </si>
  <si>
    <t xml:space="preserve">Quarterly/monthly stock &amp; book-debt statement submitted to bank (drawing power statement)</t>
  </si>
  <si>
    <t xml:space="preserve">Implementation design, not law. Bank sanction terms; CARO 2020 cl.3(ii)(b) and Schedule III additional disclosure (quarterly returns vs books) – see FS-007</t>
  </si>
  <si>
    <t xml:space="preserve">Monthly / quarterly per sanction</t>
  </si>
  <si>
    <t xml:space="preserve">Client copy of statement submitted to bank (Excel/PDF)</t>
  </si>
  <si>
    <t xml:space="preserve">Inventory by category, receivables (ageing-wise eligible), creditors, drawing power</t>
  </si>
  <si>
    <t xml:space="preserve">TaxGuru – CARO 2020 &amp; Schedule III summary | https://taxguru.in/company-law/summary-clauses-caro-2020-consequential-amendments-schedule-iii-companies-act-2013.html | Quarterly returns to banks vs books (prior round)
DPNC – Schedule III amendments w.e.f. 01-04-2021 | https://www.dpncindia.com/amendment-in-schedule-iii-of-the-companies-act-2013-applicable-w-e-f-01-04-2021 | Ageing schedules (prior round)</t>
  </si>
  <si>
    <t xml:space="preserve">Debtors (trade receivables) ageing – bill-wise</t>
  </si>
  <si>
    <t xml:space="preserve">Implementation design, not law. Schedule III trade receivables ageing (Division I/II) – see FS-003/LED-011</t>
  </si>
  <si>
    <t xml:space="preserve">Quarterly / annual</t>
  </si>
  <si>
    <t xml:space="preserve">Tally Prime: Bills Receivable / Ageing Analysis (Alt+E &gt; Others &gt; Bills Receivable) &gt; Export</t>
  </si>
  <si>
    <t xml:space="preserve">Party × bill with ageing buckets; Schedule III classification (undisputed/disputed; considered good / significant increase in credit risk / credit impaired)</t>
  </si>
  <si>
    <t xml:space="preserve">Tally – Export data in TallyPrime | https://help.tallysolutions.com/tally-prime/export-data-in-tally | Formats: ASCII, Excel, HTML, JPEG, PDF, XML, JSON; Bills receivable ageing export
DPNC – Schedule III amendments w.e.f. 01-04-2021 | https://www.dpncindia.com/amendment-in-schedule-iii-of-the-companies-act-2013-applicable-w-e-f-01-04-2021 | Ageing schedules (prior round)</t>
  </si>
  <si>
    <t xml:space="preserve">Creditors (trade payables) ageing – bill-wise with MSME split</t>
  </si>
  <si>
    <t xml:space="preserve">Implementation design, not law. Schedule III trade payables ageing (MSME / others; disputed); MSMED s.15/16/22; s.43B(h) – see FS-002/MSME-002</t>
  </si>
  <si>
    <t xml:space="preserve">Quarterly / half-yearly / annual</t>
  </si>
  <si>
    <t xml:space="preserve">Tally Prime: Bills Payable / Ageing Analysis &gt; Export</t>
  </si>
  <si>
    <t xml:space="preserve">Party × bill with ageing buckets and MSME category</t>
  </si>
  <si>
    <t xml:space="preserve">RC-ACC-004, RC-ACC-008, RC-IT-011, RC-IT-013</t>
  </si>
  <si>
    <t xml:space="preserve">Tally – Export data in TallyPrime | https://help.tallysolutions.com/tally-prime/export-data-in-tally | Formats: ASCII, Excel, HTML, JPEG, PDF, XML, JSON; Bills receivable ageing export
DPNC – Schedule III amendments w.e.f. 01-04-2021 | https://www.dpncindia.com/amendment-in-schedule-iii-of-the-companies-act-2013-applicable-w-e-f-01-04-2021 | Ageing schedules (prior round)
Taxmann – MSME Form 1 revised | https://www.taxmann.com/post/blog/mca-revises-msme-form-1-with-enhanced-disclosures-for-reporting-payments-pending-over-45-days-to-micro-small-enterprises/ | (prior round)</t>
  </si>
  <si>
    <t xml:space="preserve">MSME vendor master (Udyam registration details)</t>
  </si>
  <si>
    <t xml:space="preserve">Implementation design, not law. MSMED Act 2006 s.2/s.7 classification (revised limits from 01-04-2025 – MSME-001), Udyam registration; MSME Form 1 (MCA)</t>
  </si>
  <si>
    <t xml:space="preserve">Maintained; refresh annually</t>
  </si>
  <si>
    <t xml:space="preserve">Client vendor master export + Udyam certificates / vendor declarations</t>
  </si>
  <si>
    <t xml:space="preserve">Vendor × Udyam details</t>
  </si>
  <si>
    <t xml:space="preserve">RC-ACC-008, RC-IT-011, RC-IT-013</t>
  </si>
  <si>
    <t xml:space="preserve">FoxMandal – MSME classification limits revised | https://foxmandal.in/news/monetary-limits-for-msme-classification-revised/ | (prior round)
Taxmann – MSME Form 1 revised | https://www.taxmann.com/post/blog/mca-revises-msme-form-1-with-enhanced-disclosures-for-reporting-payments-pending-over-45-days-to-micro-small-enterprises/ | (prior round)</t>
  </si>
  <si>
    <t xml:space="preserve">Party (customer/vendor/employee/deductee) master</t>
  </si>
  <si>
    <t xml:space="preserve">Maintained</t>
  </si>
  <si>
    <t xml:space="preserve">Tally Prime: List of Accounts (ledgers under Sundry Debtors/Creditors) &gt; Export with statutory details</t>
  </si>
  <si>
    <t xml:space="preserve">Ledger master with statutory identifiers (GST, PAN, TDS, MSME, bank)</t>
  </si>
  <si>
    <t xml:space="preserve">RC-ACC-005, RC-ACC-009, RC-TDS-002, RC-TDS-006</t>
  </si>
  <si>
    <t xml:space="preserve">Financial statements (Balance Sheet, P&amp;L, notes – Schedule III)</t>
  </si>
  <si>
    <t xml:space="preserve">Companies Act 2013 s.129 &amp; Schedule III (companies); ICAI formats for non-corporates; ITR Part A-BS/P&amp;L mapping. Field set is implementation design</t>
  </si>
  <si>
    <t xml:space="preserve">Annual (quarterly for listed)</t>
  </si>
  <si>
    <t xml:space="preserve">Final audited FS (PDF/Excel) or Tally Balance Sheet/P&amp;L export; XBRL/AOC-4 for companies</t>
  </si>
  <si>
    <t xml:space="preserve">Balance sheet line items; P&amp;L line items; notes (trade receivables/payables ageing, MSME dues, PPE)</t>
  </si>
  <si>
    <t xml:space="preserve">RC-ACC-002, RC-ACC-003, RC-ACC-009, RC-GST-026</t>
  </si>
  <si>
    <t xml:space="preserve">DPNC – Schedule III amendments w.e.f. 01-04-2021 | https://www.dpncindia.com/amendment-in-schedule-iii-of-the-companies-act-2013-applicable-w-e-f-01-04-2021 | Ageing schedules (prior round)
TaxGuru – CARO 2020 &amp; Schedule III summary | https://taxguru.in/company-law/summary-clauses-caro-2020-consequential-amendments-schedule-iii-companies-act-2013.html | Quarterly returns to banks vs books (prior round)</t>
  </si>
  <si>
    <t xml:space="preserve">Client-provided invoice copies (sales/purchase tax invoices, CN/DN)</t>
  </si>
  <si>
    <t xml:space="preserve">Client (scanned PDF / e-invoice PDF with QR) – OCR/extracted to structured data</t>
  </si>
  <si>
    <t xml:space="preserve">CGST Act s.31 read with CGST Rules 46 (tax invoice particulars), 53 (debit/credit note), 48 (e-invoice / IRN, QR code) – contents prescribed by law; extraction field set is implementation design</t>
  </si>
  <si>
    <t xml:space="preserve">Ad hoc (sample-based vouching)</t>
  </si>
  <si>
    <t xml:space="preserve">PDF / image (OCR), e-invoice JSON/QR</t>
  </si>
  <si>
    <t xml:space="preserve">Client uploads invoice copies; tool extracts fields (OCR / QR decode for signed e-invoice)</t>
  </si>
  <si>
    <t xml:space="preserve">Supplier &amp; recipient details; document details; line items; tax; totals; IRN/QR; signature</t>
  </si>
  <si>
    <t xml:space="preserve">Mandatory invoice particulars per CGST Rule 46 are from professional knowledge (not re-opened this session – see gst.json for verified sources). Extraction fields and OCR confidence are implementation design.</t>
  </si>
  <si>
    <t xml:space="preserve">Tally – Sample Excel files for import (field names &amp; aliases) | https://help.tallysolutions.com/tally-prime/import-data/download-sample-excel-files-with-data-for-import | Voucher Date, Voucher Number, Party Name, Buyer/Supplier GSTIN/UIN, Item, Rate, Quantity, Ledger Group</t>
  </si>
  <si>
    <t xml:space="preserve">RCM Liability/ITC Statement (GST portal)</t>
  </si>
  <si>
    <t xml:space="preserve">GST portal (GSTN) - Services &gt; Ledgers</t>
  </si>
  <si>
    <t xml:space="preserve">Design document (not a statutory form)</t>
  </si>
  <si>
    <t xml:space="preserve">Portal statement tracking reverse-charge liability paid in GSTR-3B Table 3.1(d) against RCM ITC claimed in Table 4A(2)/4A(3), with opening and closing balance per head. Exact portal column/JSON names not catalogued - confirm on first download. Added by field-model harmonisation – not in round-2 catalogue.</t>
  </si>
  <si>
    <t xml:space="preserve">RATE_MASTER</t>
  </si>
  <si>
    <t xml:space="preserve">GST rate master (HSN/SAC to rate)</t>
  </si>
  <si>
    <t xml:space="preserve">Tool-maintained master loaded from CBIC rate notifications</t>
  </si>
  <si>
    <t xml:space="preserve">Configurable HSN/SAC prefix to GST rate and compensation-cess rate table with effective-date ranges; one row per (hsn_prefix, condition, effective range). Content must be loaded from notifications and CA-reviewed. Added by field-model harmonisation – not in round-2 catalogue.</t>
  </si>
  <si>
    <t xml:space="preserve">RCM_MASTER</t>
  </si>
  <si>
    <t xml:space="preserve">RCM expense-head mapping master</t>
  </si>
  <si>
    <t xml:space="preserve">Tool-maintained master (CA-configured)</t>
  </si>
  <si>
    <t xml:space="preserve">Maps GL expense heads to reverse-charge categories so expected RCM tax/ITC can be computed from GL (RC-GST-019). Added by field-model harmonisation – not in round-2 catalogue.</t>
  </si>
  <si>
    <t xml:space="preserve">ISD_REG</t>
  </si>
  <si>
    <t xml:space="preserve">ISD distribution register (GSTR-6 / ISD invoices)</t>
  </si>
  <si>
    <t xml:space="preserve">Books of the Input Service Distributor / GSTR-6 filed data</t>
  </si>
  <si>
    <t xml:space="preserve">Document-wise register of ITC distributed by an ISD to recipient GSTINs, used to match the recipient GSTR-2B ISD section. Added by field-model harmonisation – not in round-2 catalogue.</t>
  </si>
  <si>
    <t xml:space="preserve">BRS</t>
  </si>
  <si>
    <t xml:space="preserve">Bank reconciliation statement</t>
  </si>
  <si>
    <t xml:space="preserve">Prepared by client accountant or generated by the tool from BANK_BOOK and BANK_STMT</t>
  </si>
  <si>
    <t xml:space="preserve">Statement reconciling book balance of a bank ledger to the bank statement balance at a date, listing reconciling items. Added by field-model harmonisation – not in round-2 catalogue.</t>
  </si>
  <si>
    <t xml:space="preserve">Document field dictionary – canonical field names used by every reconciliation rule</t>
  </si>
  <si>
    <t xml:space="preserve">"[JSON name unverified]" in a label or path means the key is inferred, not seen in an official or GSP payload. Origin "new (design)" = added so that a rule can run; confirm with real files.</t>
  </si>
  <si>
    <t xml:space="preserve">Field name (canonical)</t>
  </si>
  <si>
    <t xml:space="preserve">Official label</t>
  </si>
  <si>
    <t xml:space="preserve">Table / JSON path</t>
  </si>
  <si>
    <t xml:space="preserve">Data type</t>
  </si>
  <si>
    <t xml:space="preserve">Required</t>
  </si>
  <si>
    <t xml:space="preserve">Format validation</t>
  </si>
  <si>
    <t xml:space="preserve">Description</t>
  </si>
  <si>
    <t xml:space="preserve">Origin</t>
  </si>
  <si>
    <t xml:space="preserve">gstin</t>
  </si>
  <si>
    <t xml:space="preserve">GSTIN of supplier</t>
  </si>
  <si>
    <t xml:space="preserve">header.gstin</t>
  </si>
  <si>
    <t xml:space="preserve">string</t>
  </si>
  <si>
    <t xml:space="preserve">Y</t>
  </si>
  <si>
    <t xml:space="preserve">^[0-9]{2}[A-Z]{5}[0-9]{4}[A-Z][1-9A-Z]Z[0-9A-Z]$ (regular taxpayer; UIN/TDS/NRTP/OIDAR GSTINs differ – use generic ^[0-9]{2}[0-9A-Z]{13}$ as fallback) + mod-36 check digit</t>
  </si>
  <si>
    <t xml:space="preserve">Return filer GSTIN</t>
  </si>
  <si>
    <t xml:space="preserve">catalogue</t>
  </si>
  <si>
    <t xml:space="preserve">return_period</t>
  </si>
  <si>
    <t xml:space="preserve">Tax period</t>
  </si>
  <si>
    <t xml:space="preserve">header.fp</t>
  </si>
  <si>
    <t xml:space="preserve">MMYYYY e.g. '092026'</t>
  </si>
  <si>
    <t xml:space="preserve">Filing period (month; for QRMP quarterly GSTR-1 = last month of quarter)</t>
  </si>
  <si>
    <t xml:space="preserve">b2b_recipient_gstin</t>
  </si>
  <si>
    <t xml:space="preserve">GSTIN/UIN of Recipient</t>
  </si>
  <si>
    <t xml:space="preserve">Table 4A/4B/6B/6C; b2b[].ctin</t>
  </si>
  <si>
    <t xml:space="preserve">^[0-9]{2}[0-9A-Z]{13}$ (generic GSTIN/UIN pattern used in NIC e-invoice schema)</t>
  </si>
  <si>
    <t xml:space="preserve">Recipient GSTIN/UIN</t>
  </si>
  <si>
    <t xml:space="preserve">b2b_recipient_filing_status</t>
  </si>
  <si>
    <t xml:space="preserve">Counter-party filing status</t>
  </si>
  <si>
    <t xml:space="preserve">b2b[].cfs</t>
  </si>
  <si>
    <t xml:space="preserve">enum</t>
  </si>
  <si>
    <t xml:space="preserve">N</t>
  </si>
  <si>
    <t xml:space="preserve">Y/N</t>
  </si>
  <si>
    <t xml:space="preserve">Whether recipient has filed (download only)</t>
  </si>
  <si>
    <t xml:space="preserve">b2b_invoice_no</t>
  </si>
  <si>
    <t xml:space="preserve">Invoice Number</t>
  </si>
  <si>
    <t xml:space="preserve">b2b[].inv[].inum</t>
  </si>
  <si>
    <t xml:space="preserve">max 16 chars; ^[a-zA-Z0-9/-]{1,16}$ (Rule 46: unique per FY)</t>
  </si>
  <si>
    <t xml:space="preserve">Invoice number – primary match key with GSTR-2A/2B/IMS, e-invoice DocDtls.No</t>
  </si>
  <si>
    <t xml:space="preserve">b2b_invoice_date</t>
  </si>
  <si>
    <t xml:space="preserve">Invoice date</t>
  </si>
  <si>
    <t xml:space="preserve">b2b[].inv[].idt</t>
  </si>
  <si>
    <t xml:space="preserve">date</t>
  </si>
  <si>
    <t xml:space="preserve">dd-mm-yyyy (GSTN return-API convention; confirm on first real file)</t>
  </si>
  <si>
    <t xml:space="preserve">b2b_invoice_value</t>
  </si>
  <si>
    <t xml:space="preserve">Invoice Value</t>
  </si>
  <si>
    <t xml:space="preserve">b2b[].inv[].val</t>
  </si>
  <si>
    <t xml:space="preserve">decimal</t>
  </si>
  <si>
    <t xml:space="preserve">decimal(15,2); &gt;= 0 unless noted</t>
  </si>
  <si>
    <t xml:space="preserve">Total invoice value incl. tax</t>
  </si>
  <si>
    <t xml:space="preserve">b2b_pos</t>
  </si>
  <si>
    <t xml:space="preserve">Place Of Supply</t>
  </si>
  <si>
    <t xml:space="preserve">b2b[].inv[].pos</t>
  </si>
  <si>
    <t xml:space="preserve">2-digit state code 01-38 or 96/97 (other territory / outside India); zero-padded string e.g. '07'</t>
  </si>
  <si>
    <t xml:space="preserve">Place of supply state code; drives IGST vs CGST+SGST</t>
  </si>
  <si>
    <t xml:space="preserve">b2b_reverse_charge</t>
  </si>
  <si>
    <t xml:space="preserve">Reverse Charge</t>
  </si>
  <si>
    <t xml:space="preserve">b2b[].inv[].rchrg</t>
  </si>
  <si>
    <t xml:space="preserve">Y = Table 4B (tax payable by recipient)</t>
  </si>
  <si>
    <t xml:space="preserve">b2b_invoice_type</t>
  </si>
  <si>
    <t xml:space="preserve">Invoice Type</t>
  </si>
  <si>
    <t xml:space="preserve">b2b[].inv[].inv_typ</t>
  </si>
  <si>
    <t xml:space="preserve">R (Regular B2B) | SEWP (SEZ with payment) | SEWOP (SEZ without payment) | DE (Deemed export)</t>
  </si>
  <si>
    <t xml:space="preserve">R/DE -&gt; Table 4A/4B/6C; SEWP/SEWOP -&gt; Table 6B</t>
  </si>
  <si>
    <t xml:space="preserve">b2b_ecom_gstin</t>
  </si>
  <si>
    <t xml:space="preserve">E-Commerce GSTIN</t>
  </si>
  <si>
    <t xml:space="preserve">b2b[].inv[].etin</t>
  </si>
  <si>
    <t xml:space="preserve">ECO GSTIN where supply made through ECO</t>
  </si>
  <si>
    <t xml:space="preserve">b2b_diff_percent</t>
  </si>
  <si>
    <t xml:space="preserve">Applicable % of Tax Rate</t>
  </si>
  <si>
    <t xml:space="preserve">b2b[].inv[].diff_percent</t>
  </si>
  <si>
    <t xml:space="preserve">0.65 or blank/1</t>
  </si>
  <si>
    <t xml:space="preserve">65% concessional rate flag (legacy)</t>
  </si>
  <si>
    <t xml:space="preserve">b2b_irn</t>
  </si>
  <si>
    <t xml:space="preserve">IRN</t>
  </si>
  <si>
    <t xml:space="preserve">b2b[].inv[].irn</t>
  </si>
  <si>
    <t xml:space="preserve">64 hex chars</t>
  </si>
  <si>
    <t xml:space="preserve">IRN where auto-populated from e-invoice (download only)</t>
  </si>
  <si>
    <t xml:space="preserve">b2b_irn_date</t>
  </si>
  <si>
    <t xml:space="preserve">IRN generation date</t>
  </si>
  <si>
    <t xml:space="preserve">b2b[].inv[].irngendate</t>
  </si>
  <si>
    <t xml:space="preserve">IRN date (download only)</t>
  </si>
  <si>
    <t xml:space="preserve">b2b_source_type</t>
  </si>
  <si>
    <t xml:space="preserve">Source</t>
  </si>
  <si>
    <t xml:space="preserve">b2b[].inv[].srctyp</t>
  </si>
  <si>
    <t xml:space="preserve">e.g. 'e-Invoice' / blank</t>
  </si>
  <si>
    <t xml:space="preserve">Source of record (auto-populated from IRP or manual)</t>
  </si>
  <si>
    <t xml:space="preserve">b2b_item_no</t>
  </si>
  <si>
    <t xml:space="preserve">Item serial</t>
  </si>
  <si>
    <t xml:space="preserve">b2b[].inv[].itms[].num</t>
  </si>
  <si>
    <t xml:space="preserve">integer</t>
  </si>
  <si>
    <t xml:space="preserve">&gt;=1</t>
  </si>
  <si>
    <t xml:space="preserve">Rate-line serial number</t>
  </si>
  <si>
    <t xml:space="preserve">b2b_rate</t>
  </si>
  <si>
    <t xml:space="preserve">Rate</t>
  </si>
  <si>
    <t xml:space="preserve">b2b[].inv[].itms[].itm_det.rt</t>
  </si>
  <si>
    <t xml:space="preserve">decimal; notified GST rate (0, 0.1, 0.25, 1, 1.5, 3, 5, 6, 7.5, 12, 18, 28, 40 – validate against rate master)</t>
  </si>
  <si>
    <t xml:space="preserve">Tax rate of the rate line</t>
  </si>
  <si>
    <t xml:space="preserve">b2b_taxable_value</t>
  </si>
  <si>
    <t xml:space="preserve">Taxable Value</t>
  </si>
  <si>
    <t xml:space="preserve">b2b[].inv[].itms[].itm_det.txval</t>
  </si>
  <si>
    <t xml:space="preserve">Taxable value per rate</t>
  </si>
  <si>
    <t xml:space="preserve">b2b_igst</t>
  </si>
  <si>
    <t xml:space="preserve">Integrated Tax Amount</t>
  </si>
  <si>
    <t xml:space="preserve">b2b[].inv[].itms[].itm_det.iamt</t>
  </si>
  <si>
    <t xml:space="preserve">decimal(15,2); &gt;= 0 unless noted; only when inter-State (pos != supplier state) or SEZ/IgstOnIntra</t>
  </si>
  <si>
    <t xml:space="preserve">IGST</t>
  </si>
  <si>
    <t xml:space="preserve">b2b_cgst</t>
  </si>
  <si>
    <t xml:space="preserve">Central Tax Amount</t>
  </si>
  <si>
    <t xml:space="preserve">b2b[].inv[].itms[].itm_det.camt</t>
  </si>
  <si>
    <t xml:space="preserve">decimal(15,2); &gt;= 0 unless noted; must equal samt</t>
  </si>
  <si>
    <t xml:space="preserve">CGST</t>
  </si>
  <si>
    <t xml:space="preserve">b2b_sgst</t>
  </si>
  <si>
    <t xml:space="preserve">State/UT Tax Amount</t>
  </si>
  <si>
    <t xml:space="preserve">b2b[].inv[].itms[].itm_det.samt</t>
  </si>
  <si>
    <t xml:space="preserve">SGST/UTGST</t>
  </si>
  <si>
    <t xml:space="preserve">b2b_cess</t>
  </si>
  <si>
    <t xml:space="preserve">Cess Amount</t>
  </si>
  <si>
    <t xml:space="preserve">b2b[].inv[].itms[].itm_det.csamt</t>
  </si>
  <si>
    <t xml:space="preserve">Compensation cess</t>
  </si>
  <si>
    <t xml:space="preserve">record_flag</t>
  </si>
  <si>
    <t xml:space="preserve">Action flag</t>
  </si>
  <si>
    <t xml:space="preserve">*.flag / cflag</t>
  </si>
  <si>
    <t xml:space="preserve">e.g. U/A/D/N (upload/accept/delete etc.) – values unverified</t>
  </si>
  <si>
    <t xml:space="preserve">Record status flag in GSTN payloads</t>
  </si>
  <si>
    <t xml:space="preserve">b2cl_pos</t>
  </si>
  <si>
    <t xml:space="preserve">Table 5; b2cl[].pos</t>
  </si>
  <si>
    <t xml:space="preserve">B2C large: inter-State invoice to unregistered person with value &gt; Rs 1 lakh (from 01.08.2024; earlier Rs 2.5 lakh)</t>
  </si>
  <si>
    <t xml:space="preserve">b2cl_invoice_no</t>
  </si>
  <si>
    <t xml:space="preserve">b2cl[].inv[].inum</t>
  </si>
  <si>
    <t xml:space="preserve">max 16 chars</t>
  </si>
  <si>
    <t xml:space="preserve">Invoice number</t>
  </si>
  <si>
    <t xml:space="preserve">b2cl_invoice_date</t>
  </si>
  <si>
    <t xml:space="preserve">b2cl[].inv[].idt</t>
  </si>
  <si>
    <t xml:space="preserve">b2cl_invoice_value</t>
  </si>
  <si>
    <t xml:space="preserve">b2cl[].inv[].val</t>
  </si>
  <si>
    <t xml:space="preserve">&gt; B2CL threshold</t>
  </si>
  <si>
    <t xml:space="preserve">Invoice value</t>
  </si>
  <si>
    <t xml:space="preserve">b2cl_rate</t>
  </si>
  <si>
    <t xml:space="preserve">b2cl[].inv[].itms[].itm_det.rt</t>
  </si>
  <si>
    <t xml:space="preserve">b2cl_taxable_value</t>
  </si>
  <si>
    <t xml:space="preserve">b2cl[].inv[].itms[].itm_det.txval</t>
  </si>
  <si>
    <t xml:space="preserve">Taxable value</t>
  </si>
  <si>
    <t xml:space="preserve">b2cl_igst</t>
  </si>
  <si>
    <t xml:space="preserve">b2cl[].inv[].itms[].itm_det.iamt</t>
  </si>
  <si>
    <t xml:space="preserve">IGST (only IGST + cess in B2CL)</t>
  </si>
  <si>
    <t xml:space="preserve">b2cl_cess</t>
  </si>
  <si>
    <t xml:space="preserve">b2cl[].inv[].itms[].itm_det.csamt</t>
  </si>
  <si>
    <t xml:space="preserve">Cess</t>
  </si>
  <si>
    <t xml:space="preserve">b2cs_type</t>
  </si>
  <si>
    <t xml:space="preserve">Type</t>
  </si>
  <si>
    <t xml:space="preserve">Table 7; b2cs[].typ</t>
  </si>
  <si>
    <t xml:space="preserve">OE (other than e-commerce) – 'E' no longer reported separately</t>
  </si>
  <si>
    <t xml:space="preserve">B2C small type</t>
  </si>
  <si>
    <t xml:space="preserve">b2cs_pos</t>
  </si>
  <si>
    <t xml:space="preserve">b2cs[].pos</t>
  </si>
  <si>
    <t xml:space="preserve">State-wise summary key</t>
  </si>
  <si>
    <t xml:space="preserve">b2cs_supply_type</t>
  </si>
  <si>
    <t xml:space="preserve">Supply type</t>
  </si>
  <si>
    <t xml:space="preserve">b2cs[].sply_ty</t>
  </si>
  <si>
    <t xml:space="preserve">INTER/INTRA [JSON name unverified]</t>
  </si>
  <si>
    <t xml:space="preserve">Inter/intra-State</t>
  </si>
  <si>
    <t xml:space="preserve">b2cs_rate</t>
  </si>
  <si>
    <t xml:space="preserve">b2cs[].rt</t>
  </si>
  <si>
    <t xml:space="preserve">Rate (summary key POS+rate)</t>
  </si>
  <si>
    <t xml:space="preserve">b2cs_taxable_value</t>
  </si>
  <si>
    <t xml:space="preserve">b2cs[].txval</t>
  </si>
  <si>
    <t xml:space="preserve">decimal(15,2); may be negative after CN adjustment</t>
  </si>
  <si>
    <t xml:space="preserve">Net taxable value per POS+rate</t>
  </si>
  <si>
    <t xml:space="preserve">b2cs_igst</t>
  </si>
  <si>
    <t xml:space="preserve">b2cs[].iamt</t>
  </si>
  <si>
    <t xml:space="preserve">b2cs_cgst</t>
  </si>
  <si>
    <t xml:space="preserve">b2cs[].camt</t>
  </si>
  <si>
    <t xml:space="preserve">b2cs_sgst</t>
  </si>
  <si>
    <t xml:space="preserve">b2cs[].samt</t>
  </si>
  <si>
    <t xml:space="preserve">SGST</t>
  </si>
  <si>
    <t xml:space="preserve">b2cs_cess</t>
  </si>
  <si>
    <t xml:space="preserve">b2cs[].csamt</t>
  </si>
  <si>
    <t xml:space="preserve">exp_type</t>
  </si>
  <si>
    <t xml:space="preserve">Export type</t>
  </si>
  <si>
    <t xml:space="preserve">Table 6A; exp[].exp_typ</t>
  </si>
  <si>
    <t xml:space="preserve">WPAY | WOPAY</t>
  </si>
  <si>
    <t xml:space="preserve">Export with / without payment of IGST</t>
  </si>
  <si>
    <t xml:space="preserve">exp_invoice_no</t>
  </si>
  <si>
    <t xml:space="preserve">exp[].inv[].inum</t>
  </si>
  <si>
    <t xml:space="preserve">Export invoice number</t>
  </si>
  <si>
    <t xml:space="preserve">exp_invoice_date</t>
  </si>
  <si>
    <t xml:space="preserve">exp[].inv[].idt</t>
  </si>
  <si>
    <t xml:space="preserve">Export invoice date</t>
  </si>
  <si>
    <t xml:space="preserve">exp_invoice_value</t>
  </si>
  <si>
    <t xml:space="preserve">exp[].inv[].val</t>
  </si>
  <si>
    <t xml:space="preserve">exp_port_code</t>
  </si>
  <si>
    <t xml:space="preserve">Port Code</t>
  </si>
  <si>
    <t xml:space="preserve">exp[].inv[].sbpcode</t>
  </si>
  <si>
    <t xml:space="preserve">6-char ICEGATE port code</t>
  </si>
  <si>
    <t xml:space="preserve">Shipping bill port</t>
  </si>
  <si>
    <t xml:space="preserve">exp_shipping_bill_no</t>
  </si>
  <si>
    <t xml:space="preserve">Shipping Bill Number</t>
  </si>
  <si>
    <t xml:space="preserve">exp[].inv[].sbnum</t>
  </si>
  <si>
    <t xml:space="preserve">numeric, max 7 digits (unverified)</t>
  </si>
  <si>
    <t xml:space="preserve">Shipping bill/BoE number – match to ICEGATE/refund</t>
  </si>
  <si>
    <t xml:space="preserve">exp_shipping_bill_date</t>
  </si>
  <si>
    <t xml:space="preserve">Shipping Bill Date</t>
  </si>
  <si>
    <t xml:space="preserve">exp[].inv[].sbdt</t>
  </si>
  <si>
    <t xml:space="preserve">Shipping bill date</t>
  </si>
  <si>
    <t xml:space="preserve">exp_rate</t>
  </si>
  <si>
    <t xml:space="preserve">exp[].inv[].itms[].rt</t>
  </si>
  <si>
    <t xml:space="preserve">exp_taxable_value</t>
  </si>
  <si>
    <t xml:space="preserve">exp[].inv[].itms[].txval</t>
  </si>
  <si>
    <t xml:space="preserve">exp_igst</t>
  </si>
  <si>
    <t xml:space="preserve">exp[].inv[].itms[].iamt</t>
  </si>
  <si>
    <t xml:space="preserve">0 for WOPAY</t>
  </si>
  <si>
    <t xml:space="preserve">exp_cess</t>
  </si>
  <si>
    <t xml:space="preserve">exp[].inv[].itms[].csamt</t>
  </si>
  <si>
    <t xml:space="preserve">nil_supply_type</t>
  </si>
  <si>
    <t xml:space="preserve">Table 8; nil.inv[].sply_ty</t>
  </si>
  <si>
    <t xml:space="preserve">INTRB2B | INTRB2C | INTRAB2B | INTRAB2C</t>
  </si>
  <si>
    <t xml:space="preserve">Inter/intra-State to registered/unregistered</t>
  </si>
  <si>
    <t xml:space="preserve">nil_rated_amount</t>
  </si>
  <si>
    <t xml:space="preserve">Nil Rated Supplies</t>
  </si>
  <si>
    <t xml:space="preserve">nil.inv[].nil_amt</t>
  </si>
  <si>
    <t xml:space="preserve">Nil rated</t>
  </si>
  <si>
    <t xml:space="preserve">exempted_amount</t>
  </si>
  <si>
    <t xml:space="preserve">Exempted (other than nil rated/non GST supply)</t>
  </si>
  <si>
    <t xml:space="preserve">nil.inv[].expt_amt</t>
  </si>
  <si>
    <t xml:space="preserve">Exempt</t>
  </si>
  <si>
    <t xml:space="preserve">non_gst_amount</t>
  </si>
  <si>
    <t xml:space="preserve">Non-GST supplies</t>
  </si>
  <si>
    <t xml:space="preserve">nil.inv[].ngsup_amt</t>
  </si>
  <si>
    <t xml:space="preserve">Non-GST -&gt; GSTR-3B 3.1(e)</t>
  </si>
  <si>
    <t xml:space="preserve">cdnr_recipient_gstin</t>
  </si>
  <si>
    <t xml:space="preserve">Table 9B; cdnr[].ctin</t>
  </si>
  <si>
    <t xml:space="preserve">Recipient of note</t>
  </si>
  <si>
    <t xml:space="preserve">cdnr_note_type</t>
  </si>
  <si>
    <t xml:space="preserve">Note Type</t>
  </si>
  <si>
    <t xml:space="preserve">cdnr[].nt[].ntty</t>
  </si>
  <si>
    <t xml:space="preserve">C (credit) | D (debit)</t>
  </si>
  <si>
    <t xml:space="preserve">Sign: C reduces, D increases liability</t>
  </si>
  <si>
    <t xml:space="preserve">cdnr_note_no</t>
  </si>
  <si>
    <t xml:space="preserve">Note Number</t>
  </si>
  <si>
    <t xml:space="preserve">cdnr[].nt[].nt_num</t>
  </si>
  <si>
    <t xml:space="preserve">Credit/debit note number</t>
  </si>
  <si>
    <t xml:space="preserve">cdnr_note_date</t>
  </si>
  <si>
    <t xml:space="preserve">Note Date</t>
  </si>
  <si>
    <t xml:space="preserve">cdnr[].nt[].nt_dt</t>
  </si>
  <si>
    <t xml:space="preserve">Note date; CN time limit s.34(2): 30 Nov following FY</t>
  </si>
  <si>
    <t xml:space="preserve">cdnr_note_value</t>
  </si>
  <si>
    <t xml:space="preserve">Note Value</t>
  </si>
  <si>
    <t xml:space="preserve">cdnr[].nt[].val</t>
  </si>
  <si>
    <t xml:space="preserve">decimal(15,2); &gt;= 0 unless noted (unsigned; sign from ntty)</t>
  </si>
  <si>
    <t xml:space="preserve">Note value</t>
  </si>
  <si>
    <t xml:space="preserve">cdnr_pos</t>
  </si>
  <si>
    <t xml:space="preserve">cdnr[].nt[].pos</t>
  </si>
  <si>
    <t xml:space="preserve">POS</t>
  </si>
  <si>
    <t xml:space="preserve">cdnr_reverse_charge</t>
  </si>
  <si>
    <t xml:space="preserve">cdnr[].nt[].rchrg</t>
  </si>
  <si>
    <t xml:space="preserve">RCM note</t>
  </si>
  <si>
    <t xml:space="preserve">cdnr_note_supply_type</t>
  </si>
  <si>
    <t xml:space="preserve">Note Supply Type</t>
  </si>
  <si>
    <t xml:space="preserve">cdnr[].nt[].inv_typ</t>
  </si>
  <si>
    <t xml:space="preserve">R | SEWP | SEWOP | DE</t>
  </si>
  <si>
    <t xml:space="preserve">Supply type of note</t>
  </si>
  <si>
    <t xml:space="preserve">cdnr_rate</t>
  </si>
  <si>
    <t xml:space="preserve">cdnr[].nt[].itms[].itm_det.rt</t>
  </si>
  <si>
    <t xml:space="preserve">cdnr_taxable_value</t>
  </si>
  <si>
    <t xml:space="preserve">cdnr[].nt[].itms[].itm_det.txval</t>
  </si>
  <si>
    <t xml:space="preserve">cdnr_igst</t>
  </si>
  <si>
    <t xml:space="preserve">cdnr[].nt[].itms[].itm_det.iamt</t>
  </si>
  <si>
    <t xml:space="preserve">cdnr_cgst</t>
  </si>
  <si>
    <t xml:space="preserve">cdnr[].nt[].itms[].itm_det.camt</t>
  </si>
  <si>
    <t xml:space="preserve">cdnr_sgst</t>
  </si>
  <si>
    <t xml:space="preserve">cdnr[].nt[].itms[].itm_det.samt</t>
  </si>
  <si>
    <t xml:space="preserve">cdnr_cess</t>
  </si>
  <si>
    <t xml:space="preserve">cdnr[].nt[].itms[].itm_det.csamt</t>
  </si>
  <si>
    <t xml:space="preserve">cdnur_type</t>
  </si>
  <si>
    <t xml:space="preserve">UR Type</t>
  </si>
  <si>
    <t xml:space="preserve">Table 9B (unregistered); cdnur[].typ</t>
  </si>
  <si>
    <t xml:space="preserve">B2CL | EXPWP | EXPWOP</t>
  </si>
  <si>
    <t xml:space="preserve">Note against B2CL or export</t>
  </si>
  <si>
    <t xml:space="preserve">cdnur_note_type</t>
  </si>
  <si>
    <t xml:space="preserve">cdnur[].ntty</t>
  </si>
  <si>
    <t xml:space="preserve">C | D</t>
  </si>
  <si>
    <t xml:space="preserve">Credit/debit</t>
  </si>
  <si>
    <t xml:space="preserve">cdnur_note_no</t>
  </si>
  <si>
    <t xml:space="preserve">cdnur[].nt_num</t>
  </si>
  <si>
    <t xml:space="preserve">Note number</t>
  </si>
  <si>
    <t xml:space="preserve">cdnur_note_date</t>
  </si>
  <si>
    <t xml:space="preserve">cdnur[].nt_dt</t>
  </si>
  <si>
    <t xml:space="preserve">Note date</t>
  </si>
  <si>
    <t xml:space="preserve">cdnur_note_value</t>
  </si>
  <si>
    <t xml:space="preserve">cdnur[].val</t>
  </si>
  <si>
    <t xml:space="preserve">cdnur_pos</t>
  </si>
  <si>
    <t xml:space="preserve">cdnur[].pos</t>
  </si>
  <si>
    <t xml:space="preserve">POS (B2CL)</t>
  </si>
  <si>
    <t xml:space="preserve">cdnur_taxable_value</t>
  </si>
  <si>
    <t xml:space="preserve">cdnur[].itms[].itm_det.txval</t>
  </si>
  <si>
    <t xml:space="preserve">Taxable value (rt, iamt, csamt as in cdnr)</t>
  </si>
  <si>
    <t xml:space="preserve">amend_original_invoice_no</t>
  </si>
  <si>
    <t xml:space="preserve">Original Invoice Number</t>
  </si>
  <si>
    <t xml:space="preserve">Table 9A; b2ba/b2cla/expa[].inv[].oinum</t>
  </si>
  <si>
    <t xml:space="preserve">Original invoice being amended (b2ba/b2cla/expa section names per GSTN convention [JSON name unverified])</t>
  </si>
  <si>
    <t xml:space="preserve">amend_original_invoice_date</t>
  </si>
  <si>
    <t xml:space="preserve">Original Invoice date</t>
  </si>
  <si>
    <t xml:space="preserve">b2ba[].inv[].oidt</t>
  </si>
  <si>
    <t xml:space="preserve">Original invoice date</t>
  </si>
  <si>
    <t xml:space="preserve">amend_original_note_no</t>
  </si>
  <si>
    <t xml:space="preserve">Original Note Number</t>
  </si>
  <si>
    <t xml:space="preserve">Table 9C; cdnra[].nt[].ont_num</t>
  </si>
  <si>
    <t xml:space="preserve">Original note being amended [JSON name unverified]</t>
  </si>
  <si>
    <t xml:space="preserve">amend_original_note_date</t>
  </si>
  <si>
    <t xml:space="preserve">Original Note Date</t>
  </si>
  <si>
    <t xml:space="preserve">cdnra[].nt[].ont_dt</t>
  </si>
  <si>
    <t xml:space="preserve">Original note date [JSON name unverified]</t>
  </si>
  <si>
    <t xml:space="preserve">b2csa_original_period</t>
  </si>
  <si>
    <t xml:space="preserve">Original month (financial year/month)</t>
  </si>
  <si>
    <t xml:space="preserve">Table 10; b2csa[].omon</t>
  </si>
  <si>
    <t xml:space="preserve">MMYYYY e.g. '092026' [JSON name unverified]</t>
  </si>
  <si>
    <t xml:space="preserve">Period of original B2CS being amended</t>
  </si>
  <si>
    <t xml:space="preserve">at_pos</t>
  </si>
  <si>
    <t xml:space="preserve">Table 11A(1)/(2); at[].pos</t>
  </si>
  <si>
    <t xml:space="preserve">Advances received (tax paid, invoice not issued)</t>
  </si>
  <si>
    <t xml:space="preserve">at_supply_type</t>
  </si>
  <si>
    <t xml:space="preserve">at[].sply_ty</t>
  </si>
  <si>
    <t xml:space="preserve">Inter/intra</t>
  </si>
  <si>
    <t xml:space="preserve">at_rate</t>
  </si>
  <si>
    <t xml:space="preserve">at[].itms[].rt</t>
  </si>
  <si>
    <t xml:space="preserve">at_advance_amount</t>
  </si>
  <si>
    <t xml:space="preserve">Gross Advance Received</t>
  </si>
  <si>
    <t xml:space="preserve">at[].itms[].ad_amt</t>
  </si>
  <si>
    <t xml:space="preserve">Gross advance (taxable)</t>
  </si>
  <si>
    <t xml:space="preserve">at_igst</t>
  </si>
  <si>
    <t xml:space="preserve">Integrated Tax</t>
  </si>
  <si>
    <t xml:space="preserve">at[].itms[].iamt</t>
  </si>
  <si>
    <t xml:space="preserve">IGST on advance (camt/samt/csamt similarly)</t>
  </si>
  <si>
    <t xml:space="preserve">txpd_pos</t>
  </si>
  <si>
    <t xml:space="preserve">Table 11B(1)/(2); txpd[].pos</t>
  </si>
  <si>
    <t xml:space="preserve">Advances adjusted against invoices this period</t>
  </si>
  <si>
    <t xml:space="preserve">txpd_advance_adjusted</t>
  </si>
  <si>
    <t xml:space="preserve">Gross Advance Adjusted</t>
  </si>
  <si>
    <t xml:space="preserve">txpd[].itms[].ad_amt</t>
  </si>
  <si>
    <t xml:space="preserve">Advance adjusted (rt, iamt, camt, samt, csamt as in at)</t>
  </si>
  <si>
    <t xml:space="preserve">hsn_section</t>
  </si>
  <si>
    <t xml:space="preserve">HSN tab</t>
  </si>
  <si>
    <t xml:space="preserve">Table 12; hsn.hsn_b2b[] / hsn.hsn_b2c[] (legacy hsn.data[])</t>
  </si>
  <si>
    <t xml:space="preserve">hsn_b2b | hsn_b2c (B2B/B2C split from May-2025 period)</t>
  </si>
  <si>
    <t xml:space="preserve">Bifurcated HSN summary</t>
  </si>
  <si>
    <t xml:space="preserve">hsn_serial</t>
  </si>
  <si>
    <t xml:space="preserve">Sr. No.</t>
  </si>
  <si>
    <t xml:space="preserve">hsn.*[].num</t>
  </si>
  <si>
    <t xml:space="preserve">Row number</t>
  </si>
  <si>
    <t xml:space="preserve">hsn_code</t>
  </si>
  <si>
    <t xml:space="preserve">HSN</t>
  </si>
  <si>
    <t xml:space="preserve">hsn.*[].hsn_sc</t>
  </si>
  <si>
    <t xml:space="preserve">4/6/8 digits; min 4 digits AATO&lt;=5cr, 6 digits &gt;5cr (N.78/2020-CT); SAC starts 99</t>
  </si>
  <si>
    <t xml:space="preserve">HSN/SAC</t>
  </si>
  <si>
    <t xml:space="preserve">hsn_description</t>
  </si>
  <si>
    <t xml:space="preserve">hsn.*[].desc</t>
  </si>
  <si>
    <t xml:space="preserve">max 30 chars (portal truncation per india-compliance)</t>
  </si>
  <si>
    <t xml:space="preserve">hsn_uqc</t>
  </si>
  <si>
    <t xml:space="preserve">UQC</t>
  </si>
  <si>
    <t xml:space="preserve">hsn.*[].uqc</t>
  </si>
  <si>
    <t xml:space="preserve">GST UQC code list e.g. NOS, KGS, OTH; 'NA' for services</t>
  </si>
  <si>
    <t xml:space="preserve">Unit quantity code</t>
  </si>
  <si>
    <t xml:space="preserve">hsn_quantity</t>
  </si>
  <si>
    <t xml:space="preserve">Total Quantity</t>
  </si>
  <si>
    <t xml:space="preserve">hsn.*[].qty</t>
  </si>
  <si>
    <t xml:space="preserve">decimal(15,2)</t>
  </si>
  <si>
    <t xml:space="preserve">Quantity</t>
  </si>
  <si>
    <t xml:space="preserve">hsn_rate</t>
  </si>
  <si>
    <t xml:space="preserve">hsn.*[].rt</t>
  </si>
  <si>
    <t xml:space="preserve">Rate (row key HSN+UQC+rate)</t>
  </si>
  <si>
    <t xml:space="preserve">hsn_total_value</t>
  </si>
  <si>
    <t xml:space="preserve">Total Value</t>
  </si>
  <si>
    <t xml:space="preserve">hsn.*[].val</t>
  </si>
  <si>
    <t xml:space="preserve">Total value (legacy; dropped in newer schema – unverified)</t>
  </si>
  <si>
    <t xml:space="preserve">hsn_taxable_value</t>
  </si>
  <si>
    <t xml:space="preserve">hsn.*[].txval</t>
  </si>
  <si>
    <t xml:space="preserve">Taxable value; B2B tab vs tables 4A,4B,6B,6C,8,9A,9B,9C,15 (registered); B2C tab vs 5A,6A,7,8,9A,9B,9C,10,15 (unregistered) – warning-mode validation</t>
  </si>
  <si>
    <t xml:space="preserve">hsn_igst</t>
  </si>
  <si>
    <t xml:space="preserve">hsn.*[].iamt</t>
  </si>
  <si>
    <t xml:space="preserve">hsn_cgst</t>
  </si>
  <si>
    <t xml:space="preserve">hsn.*[].camt</t>
  </si>
  <si>
    <t xml:space="preserve">hsn_sgst</t>
  </si>
  <si>
    <t xml:space="preserve">hsn.*[].samt</t>
  </si>
  <si>
    <t xml:space="preserve">hsn_cess</t>
  </si>
  <si>
    <t xml:space="preserve">hsn.*[].csamt</t>
  </si>
  <si>
    <t xml:space="preserve">doc_nature_code</t>
  </si>
  <si>
    <t xml:space="preserve">Nature of Document</t>
  </si>
  <si>
    <t xml:space="preserve">Table 13; doc_issue.doc_det[].doc_num</t>
  </si>
  <si>
    <t xml:space="preserve">1 Invoices for outward supply | 2 Invoices for inward supply from unregistered person | 3 Revised Invoice | 4 Debit Note | 5 Credit Note | 6 Receipt voucher | 7 Payment Voucher | 8 Refund voucher | 9 Delivery Challan for job work | 10 Delivery Challan for supply on approval | 11 Delivery Challan in case of liquid gas | 12 Delivery Challan in other cases</t>
  </si>
  <si>
    <t xml:space="preserve">Document category; Table 13 mandatory from May-2025 period</t>
  </si>
  <si>
    <t xml:space="preserve">doc_from_serial</t>
  </si>
  <si>
    <t xml:space="preserve">Sr. No. From</t>
  </si>
  <si>
    <t xml:space="preserve">doc_issue.doc_det[].docs[].from</t>
  </si>
  <si>
    <t xml:space="preserve">First serial in series</t>
  </si>
  <si>
    <t xml:space="preserve">doc_to_serial</t>
  </si>
  <si>
    <t xml:space="preserve">Sr. No. To</t>
  </si>
  <si>
    <t xml:space="preserve">doc_issue.doc_det[].docs[].to</t>
  </si>
  <si>
    <t xml:space="preserve">Last serial in series</t>
  </si>
  <si>
    <t xml:space="preserve">doc_total_number</t>
  </si>
  <si>
    <t xml:space="preserve">Total Number</t>
  </si>
  <si>
    <t xml:space="preserve">doc_issue.doc_det[].docs[].totnum</t>
  </si>
  <si>
    <t xml:space="preserve">&gt;=0</t>
  </si>
  <si>
    <t xml:space="preserve">Total documents issued in series</t>
  </si>
  <si>
    <t xml:space="preserve">doc_cancelled</t>
  </si>
  <si>
    <t xml:space="preserve">Cancelled</t>
  </si>
  <si>
    <t xml:space="preserve">doc_issue.doc_det[].docs[].cancel</t>
  </si>
  <si>
    <t xml:space="preserve">&gt;=0, &lt;= totnum</t>
  </si>
  <si>
    <t xml:space="preserve">Cancelled documents</t>
  </si>
  <si>
    <t xml:space="preserve">doc_net_issued</t>
  </si>
  <si>
    <t xml:space="preserve">Net Issued</t>
  </si>
  <si>
    <t xml:space="preserve">doc_issue.doc_det[].docs[].net_issue</t>
  </si>
  <si>
    <t xml:space="preserve">= totnum - cancel</t>
  </si>
  <si>
    <t xml:space="preserve">Net issued (validate arithmetic)</t>
  </si>
  <si>
    <t xml:space="preserve">eco_section</t>
  </si>
  <si>
    <t xml:space="preserve">Table 14 tab</t>
  </si>
  <si>
    <t xml:space="preserve">Table 14(a)/(b); supeco.clttx[] / supeco.paytx[]</t>
  </si>
  <si>
    <t xml:space="preserve">clttx = 14(a) liable to collect TCS u/s 52; paytx = 14(b) liable to pay tax u/s 9(5)</t>
  </si>
  <si>
    <t xml:space="preserve">ECO-wise summary by supplier</t>
  </si>
  <si>
    <t xml:space="preserve">eco_gstin</t>
  </si>
  <si>
    <t xml:space="preserve">GSTIN of e-commerce operator</t>
  </si>
  <si>
    <t xml:space="preserve">supeco.*[].etin</t>
  </si>
  <si>
    <t xml:space="preserve">ECO GSTIN – match to GSTR-8 (ctin of supplier) and 2A TCS</t>
  </si>
  <si>
    <t xml:space="preserve">eco_net_value</t>
  </si>
  <si>
    <t xml:space="preserve">Net value of supplies</t>
  </si>
  <si>
    <t xml:space="preserve">supeco.*[].suppval</t>
  </si>
  <si>
    <t xml:space="preserve">decimal(15,2); may be negative</t>
  </si>
  <si>
    <t xml:space="preserve">Net supplies through ECO</t>
  </si>
  <si>
    <t xml:space="preserve">eco_igst</t>
  </si>
  <si>
    <t xml:space="preserve">Integrated tax</t>
  </si>
  <si>
    <t xml:space="preserve">supeco.*[].igst</t>
  </si>
  <si>
    <t xml:space="preserve">IGST (note key 'igst', not 'iamt')</t>
  </si>
  <si>
    <t xml:space="preserve">eco_cgst</t>
  </si>
  <si>
    <t xml:space="preserve">Central tax</t>
  </si>
  <si>
    <t xml:space="preserve">supeco.*[].cgst</t>
  </si>
  <si>
    <t xml:space="preserve">eco_sgst</t>
  </si>
  <si>
    <t xml:space="preserve">State/UT tax</t>
  </si>
  <si>
    <t xml:space="preserve">supeco.*[].sgst</t>
  </si>
  <si>
    <t xml:space="preserve">eco_cess</t>
  </si>
  <si>
    <t xml:space="preserve">supeco.*[].cess</t>
  </si>
  <si>
    <t xml:space="preserve">eco95_section</t>
  </si>
  <si>
    <t xml:space="preserve">Table 15 sub-table</t>
  </si>
  <si>
    <t xml:space="preserve">Table 15 (filed by ECO): B2B / B2C / URP2B / URP2C [JSON name unverified]</t>
  </si>
  <si>
    <t xml:space="preserve">B2B | B2C | URP2B | URP2C</t>
  </si>
  <si>
    <t xml:space="preserve">Supplies on which ECO pays tax u/s 9(5); B2B &amp; URP2B document-level; B2C &amp; URP2C POS+rate-wise; auto-populates GSTR-3B 3.1.1(i)</t>
  </si>
  <si>
    <t xml:space="preserve">eco95_supplier_gstin</t>
  </si>
  <si>
    <t xml:space="preserve">Table 15 B2B/B2C [JSON name unverified]</t>
  </si>
  <si>
    <t xml:space="preserve">Registered supplier on whose behalf ECO pays</t>
  </si>
  <si>
    <t xml:space="preserve">eco95_recipient_gstin</t>
  </si>
  <si>
    <t xml:space="preserve">GSTIN of recipient</t>
  </si>
  <si>
    <t xml:space="preserve">Table 15 B2B/URP2B [JSON name unverified]</t>
  </si>
  <si>
    <t xml:space="preserve">Recipient</t>
  </si>
  <si>
    <t xml:space="preserve">eco95_doc_no</t>
  </si>
  <si>
    <t xml:space="preserve">Document number</t>
  </si>
  <si>
    <t xml:space="preserve">eco95_doc_date</t>
  </si>
  <si>
    <t xml:space="preserve">Document date</t>
  </si>
  <si>
    <t xml:space="preserve">section_summary_name</t>
  </si>
  <si>
    <t xml:space="preserve">Section name</t>
  </si>
  <si>
    <t xml:space="preserve">sec_sum[].sec_nm</t>
  </si>
  <si>
    <t xml:space="preserve">e.g. B2B, B2CL ...</t>
  </si>
  <si>
    <t xml:space="preserve">Return summary (RETSUM) section</t>
  </si>
  <si>
    <t xml:space="preserve">section_total_records</t>
  </si>
  <si>
    <t xml:space="preserve">Total records</t>
  </si>
  <si>
    <t xml:space="preserve">sec_sum[].ttl_rec</t>
  </si>
  <si>
    <t xml:space="preserve">Record count</t>
  </si>
  <si>
    <t xml:space="preserve">section_total_value</t>
  </si>
  <si>
    <t xml:space="preserve">Total value</t>
  </si>
  <si>
    <t xml:space="preserve">sec_sum[].ttl_val</t>
  </si>
  <si>
    <t xml:space="preserve">section_total_tax</t>
  </si>
  <si>
    <t xml:space="preserve">Total tax</t>
  </si>
  <si>
    <t xml:space="preserve">sec_sum[].ttl_tax / ttl_igst / ttl_cgst / ttl_sgst / ttl_cess</t>
  </si>
  <si>
    <t xml:space="preserve">Tax totals per head – use to reconcile with GSTR-3B 3.1</t>
  </si>
  <si>
    <t xml:space="preserve">arn</t>
  </si>
  <si>
    <t xml:space="preserve">ARN</t>
  </si>
  <si>
    <t xml:space="preserve">Filed return acknowledgement</t>
  </si>
  <si>
    <t xml:space="preserve">15-char ARN (format AA + state code + MMYY + 7 digits + check, unverified)</t>
  </si>
  <si>
    <t xml:space="preserve">Filing acknowledgement</t>
  </si>
  <si>
    <t xml:space="preserve">filing_date</t>
  </si>
  <si>
    <t xml:space="preserve">Date of filing</t>
  </si>
  <si>
    <t xml:space="preserve">Return status</t>
  </si>
  <si>
    <t xml:space="preserve">Date GSTR-1 filed – drives 2B period cut-off and late fee</t>
  </si>
  <si>
    <t xml:space="preserve">GSTIN</t>
  </si>
  <si>
    <t xml:space="preserve">Supplier GSTIN</t>
  </si>
  <si>
    <t xml:space="preserve">Same period as the GSTR-1 being amended</t>
  </si>
  <si>
    <t xml:space="preserve">section</t>
  </si>
  <si>
    <t xml:space="preserve">Table / section</t>
  </si>
  <si>
    <t xml:space="preserve">b2b, b2cl, exp, b2cs, nil, cdnr, cdnur, hsn, doc_issue, supeco and amendment sections (assumed same keys as GSTR-1) [JSON name unverified]</t>
  </si>
  <si>
    <t xml:space="preserve">GSTR-1 section keys</t>
  </si>
  <si>
    <t xml:space="preserve">Section in which the record is added/amended</t>
  </si>
  <si>
    <t xml:space="preserve">document_no</t>
  </si>
  <si>
    <t xml:space="preserve">Invoice / Note Number</t>
  </si>
  <si>
    <t xml:space="preserve">*.inum / nt_num</t>
  </si>
  <si>
    <t xml:space="preserve">Document key</t>
  </si>
  <si>
    <t xml:space="preserve">document_date</t>
  </si>
  <si>
    <t xml:space="preserve">Invoice / Note date</t>
  </si>
  <si>
    <t xml:space="preserve">*.idt / nt_dt</t>
  </si>
  <si>
    <t xml:space="preserve">original_document_no</t>
  </si>
  <si>
    <t xml:space="preserve">Original invoice/note number</t>
  </si>
  <si>
    <t xml:space="preserve">*.oinum / ont_num</t>
  </si>
  <si>
    <t xml:space="preserve">Original document for amendment records</t>
  </si>
  <si>
    <t xml:space="preserve">recipient_gstin</t>
  </si>
  <si>
    <t xml:space="preserve">*.ctin</t>
  </si>
  <si>
    <t xml:space="preserve">Recipient (GSTIN correction NOT allowed in GSTR-1A; must use subsequent GSTR-1)</t>
  </si>
  <si>
    <t xml:space="preserve">invoice_value</t>
  </si>
  <si>
    <t xml:space="preserve">*.val</t>
  </si>
  <si>
    <t xml:space="preserve">Value</t>
  </si>
  <si>
    <t xml:space="preserve">pos</t>
  </si>
  <si>
    <t xml:space="preserve">*.pos</t>
  </si>
  <si>
    <t xml:space="preserve">rate</t>
  </si>
  <si>
    <t xml:space="preserve">*.itms[].itm_det.rt</t>
  </si>
  <si>
    <t xml:space="preserve">taxable_value</t>
  </si>
  <si>
    <t xml:space="preserve">*.itms[].itm_det.txval</t>
  </si>
  <si>
    <t xml:space="preserve">igst_amount</t>
  </si>
  <si>
    <t xml:space="preserve">*.iamt</t>
  </si>
  <si>
    <t xml:space="preserve">cgst_amount</t>
  </si>
  <si>
    <t xml:space="preserve">Central Tax</t>
  </si>
  <si>
    <t xml:space="preserve">*.camt</t>
  </si>
  <si>
    <t xml:space="preserve">sgst_amount</t>
  </si>
  <si>
    <t xml:space="preserve">State/UT Tax</t>
  </si>
  <si>
    <t xml:space="preserve">*.samt</t>
  </si>
  <si>
    <t xml:space="preserve">cess_amount</t>
  </si>
  <si>
    <t xml:space="preserve">*.csamt</t>
  </si>
  <si>
    <t xml:space="preserve">Filing</t>
  </si>
  <si>
    <t xml:space="preserve">Acknowledgement</t>
  </si>
  <si>
    <t xml:space="preserve">Must be before GSTR-3B filing date of same period</t>
  </si>
  <si>
    <t xml:space="preserve">Filer</t>
  </si>
  <si>
    <t xml:space="preserve">Period</t>
  </si>
  <si>
    <t xml:space="preserve">ret_period</t>
  </si>
  <si>
    <t xml:space="preserve">Tax period (quarter = last month for QRMP)</t>
  </si>
  <si>
    <t xml:space="preserve">t31a_txval</t>
  </si>
  <si>
    <t xml:space="preserve">Outward taxable supplies (other than zero rated, nil rated and exempted) – Total Taxable value</t>
  </si>
  <si>
    <t xml:space="preserve">Table 3.1(a); sup_details.osup_det.txval</t>
  </si>
  <si>
    <t xml:space="preserve">Auto-populated from GSTR-1/1A (Table 3 hard-locked from July-2025 period per GSTN advisory)</t>
  </si>
  <si>
    <t xml:space="preserve">t31a_iamt</t>
  </si>
  <si>
    <t xml:space="preserve">Outward taxable supplies (other than zero rated, nil rated and exempted) – Integrated Tax</t>
  </si>
  <si>
    <t xml:space="preserve">Table 3.1(a); sup_details.osup_det.iamt</t>
  </si>
  <si>
    <t xml:space="preserve">t31a_camt</t>
  </si>
  <si>
    <t xml:space="preserve">Outward taxable supplies (other than zero rated, nil rated and exempted) – Central Tax</t>
  </si>
  <si>
    <t xml:space="preserve">Table 3.1(a); sup_details.osup_det.camt</t>
  </si>
  <si>
    <t xml:space="preserve">t31a_samt</t>
  </si>
  <si>
    <t xml:space="preserve">Outward taxable supplies (other than zero rated, nil rated and exempted) – State/UT Tax</t>
  </si>
  <si>
    <t xml:space="preserve">Table 3.1(a); sup_details.osup_det.samt</t>
  </si>
  <si>
    <t xml:space="preserve">t31a_csamt</t>
  </si>
  <si>
    <t xml:space="preserve">Outward taxable supplies (other than zero rated, nil rated and exempted) – Cess</t>
  </si>
  <si>
    <t xml:space="preserve">Table 3.1(a); sup_details.osup_det.csamt</t>
  </si>
  <si>
    <t xml:space="preserve">t31b_txval</t>
  </si>
  <si>
    <t xml:space="preserve">Outward taxable supplies (zero rated) – Total Taxable value</t>
  </si>
  <si>
    <t xml:space="preserve">Table 3.1(b); sup_details.osup_zero.txval</t>
  </si>
  <si>
    <t xml:space="preserve">t31b_iamt</t>
  </si>
  <si>
    <t xml:space="preserve">Outward taxable supplies (zero rated) – Integrated Tax</t>
  </si>
  <si>
    <t xml:space="preserve">Table 3.1(b); sup_details.osup_zero.iamt</t>
  </si>
  <si>
    <t xml:space="preserve">t31b_csamt</t>
  </si>
  <si>
    <t xml:space="preserve">Outward taxable supplies (zero rated) – Cess</t>
  </si>
  <si>
    <t xml:space="preserve">Table 3.1(b); sup_details.osup_zero.csamt</t>
  </si>
  <si>
    <t xml:space="preserve">t31c_txval</t>
  </si>
  <si>
    <t xml:space="preserve">Other outward supplies (Nil rated, exempted) – Total Taxable value</t>
  </si>
  <si>
    <t xml:space="preserve">Table 3.1(c); sup_details.osup_nil_exmp.txval</t>
  </si>
  <si>
    <t xml:space="preserve">t31d_txval</t>
  </si>
  <si>
    <t xml:space="preserve">Inward supplies (liable to reverse charge) – Total Taxable value</t>
  </si>
  <si>
    <t xml:space="preserve">Table 3.1(d); sup_details.isup_rev.txval</t>
  </si>
  <si>
    <t xml:space="preserve">t31d_iamt</t>
  </si>
  <si>
    <t xml:space="preserve">Inward supplies (liable to reverse charge) – Integrated Tax</t>
  </si>
  <si>
    <t xml:space="preserve">Table 3.1(d); sup_details.isup_rev.iamt</t>
  </si>
  <si>
    <t xml:space="preserve">t31d_camt</t>
  </si>
  <si>
    <t xml:space="preserve">Inward supplies (liable to reverse charge) – Central Tax</t>
  </si>
  <si>
    <t xml:space="preserve">Table 3.1(d); sup_details.isup_rev.camt</t>
  </si>
  <si>
    <t xml:space="preserve">t31d_samt</t>
  </si>
  <si>
    <t xml:space="preserve">Inward supplies (liable to reverse charge) – State/UT Tax</t>
  </si>
  <si>
    <t xml:space="preserve">Table 3.1(d); sup_details.isup_rev.samt</t>
  </si>
  <si>
    <t xml:space="preserve">t31d_csamt</t>
  </si>
  <si>
    <t xml:space="preserve">Inward supplies (liable to reverse charge) – Cess</t>
  </si>
  <si>
    <t xml:space="preserve">Table 3.1(d); sup_details.isup_rev.csamt</t>
  </si>
  <si>
    <t xml:space="preserve">t31e_txval</t>
  </si>
  <si>
    <t xml:space="preserve">Non-GST outward supplies – Total Taxable value</t>
  </si>
  <si>
    <t xml:space="preserve">Table 3.1(e); sup_details.osup_nongst.txval</t>
  </si>
  <si>
    <t xml:space="preserve">t311_eco_sup_txval</t>
  </si>
  <si>
    <t xml:space="preserve">3.1.1(i) Taxable supplies on which electronic commerce operator pays tax u/s 9(5) [to be furnished by ECO] – txval</t>
  </si>
  <si>
    <t xml:space="preserve">Table 3.1.1; eco_dtls.eco_sup.txval</t>
  </si>
  <si>
    <t xml:space="preserve">Notification 14/2022-CT; auto-populated from GSTR-1 Table 15 (i) / Table 14(b) (ii)</t>
  </si>
  <si>
    <t xml:space="preserve">t311_eco_sup_iamt</t>
  </si>
  <si>
    <t xml:space="preserve">3.1.1(i) Taxable supplies on which electronic commerce operator pays tax u/s 9(5) [to be furnished by ECO] – iamt</t>
  </si>
  <si>
    <t xml:space="preserve">Table 3.1.1; eco_dtls.eco_sup.iamt</t>
  </si>
  <si>
    <t xml:space="preserve">t311_eco_sup_camt</t>
  </si>
  <si>
    <t xml:space="preserve">3.1.1(i) Taxable supplies on which electronic commerce operator pays tax u/s 9(5) [to be furnished by ECO] – camt</t>
  </si>
  <si>
    <t xml:space="preserve">Table 3.1.1; eco_dtls.eco_sup.camt</t>
  </si>
  <si>
    <t xml:space="preserve">t311_eco_sup_samt</t>
  </si>
  <si>
    <t xml:space="preserve">3.1.1(i) Taxable supplies on which electronic commerce operator pays tax u/s 9(5) [to be furnished by ECO] – samt</t>
  </si>
  <si>
    <t xml:space="preserve">Table 3.1.1; eco_dtls.eco_sup.samt</t>
  </si>
  <si>
    <t xml:space="preserve">t311_eco_sup_csamt</t>
  </si>
  <si>
    <t xml:space="preserve">3.1.1(i) Taxable supplies on which electronic commerce operator pays tax u/s 9(5) [to be furnished by ECO] – csamt</t>
  </si>
  <si>
    <t xml:space="preserve">Table 3.1.1; eco_dtls.eco_sup.csamt</t>
  </si>
  <si>
    <t xml:space="preserve">t311_eco_reg_sup_txval</t>
  </si>
  <si>
    <t xml:space="preserve">3.1.1(ii) Taxable supplies made by the registered person through electronic commerce operator, on which ECO is required to pay tax u/s 9(5) [to be furnished by the registered person making supplies] – txval</t>
  </si>
  <si>
    <t xml:space="preserve">Table 3.1.1; eco_dtls.eco_reg_sup.txval</t>
  </si>
  <si>
    <t xml:space="preserve">t32_unreg_details_pos</t>
  </si>
  <si>
    <t xml:space="preserve">3.2 Supplies made to Unregistered Persons – Place of Supply (State/UT)</t>
  </si>
  <si>
    <t xml:space="preserve">Table 3.2; inter_sup.unreg_details[].pos</t>
  </si>
  <si>
    <t xml:space="preserve">State-wise inter-State supplies (3.2 non-editable from Nov-2025 period per GSTN advisory)</t>
  </si>
  <si>
    <t xml:space="preserve">t32_unreg_details_txval</t>
  </si>
  <si>
    <t xml:space="preserve">3.2 Supplies made to Unregistered Persons – Total Taxable value</t>
  </si>
  <si>
    <t xml:space="preserve">inter_sup.unreg_details[].txval</t>
  </si>
  <si>
    <t xml:space="preserve">Must be &lt;= 3.1(a)+3.1(b) inter-State</t>
  </si>
  <si>
    <t xml:space="preserve">t32_unreg_details_iamt</t>
  </si>
  <si>
    <t xml:space="preserve">3.2 Supplies made to Unregistered Persons – Amount of Integrated Tax</t>
  </si>
  <si>
    <t xml:space="preserve">inter_sup.unreg_details[].iamt</t>
  </si>
  <si>
    <t xml:space="preserve">t32_comp_details_pos</t>
  </si>
  <si>
    <t xml:space="preserve">3.2 Supplies made to Composition Taxable Persons – Place of Supply (State/UT)</t>
  </si>
  <si>
    <t xml:space="preserve">Table 3.2; inter_sup.comp_details[].pos</t>
  </si>
  <si>
    <t xml:space="preserve">t32_comp_details_txval</t>
  </si>
  <si>
    <t xml:space="preserve">3.2 Supplies made to Composition Taxable Persons – Total Taxable value</t>
  </si>
  <si>
    <t xml:space="preserve">inter_sup.comp_details[].txval</t>
  </si>
  <si>
    <t xml:space="preserve">t32_comp_details_iamt</t>
  </si>
  <si>
    <t xml:space="preserve">3.2 Supplies made to Composition Taxable Persons – Amount of Integrated Tax</t>
  </si>
  <si>
    <t xml:space="preserve">inter_sup.comp_details[].iamt</t>
  </si>
  <si>
    <t xml:space="preserve">t32_uin_details_pos</t>
  </si>
  <si>
    <t xml:space="preserve">3.2 Supplies made to UIN holders – Place of Supply (State/UT)</t>
  </si>
  <si>
    <t xml:space="preserve">Table 3.2; inter_sup.uin_details[].pos</t>
  </si>
  <si>
    <t xml:space="preserve">t32_uin_details_txval</t>
  </si>
  <si>
    <t xml:space="preserve">3.2 Supplies made to UIN holders – Total Taxable value</t>
  </si>
  <si>
    <t xml:space="preserve">inter_sup.uin_details[].txval</t>
  </si>
  <si>
    <t xml:space="preserve">t32_uin_details_iamt</t>
  </si>
  <si>
    <t xml:space="preserve">3.2 Supplies made to UIN holders – Amount of Integrated Tax</t>
  </si>
  <si>
    <t xml:space="preserve">inter_sup.uin_details[].iamt</t>
  </si>
  <si>
    <t xml:space="preserve">t4a_impg</t>
  </si>
  <si>
    <t xml:space="preserve">4(A)(1) Import of goods – IGST/CGST/SGST/Cess</t>
  </si>
  <si>
    <t xml:space="preserve">Table 4(A)(1); itc_elg.itc_avl[ty='IMPG'].iamt/camt/samt/csamt</t>
  </si>
  <si>
    <t xml:space="preserve">One field per head in implementation (iamt, camt, samt, csamt). IMPG/IMPS carry only iamt &amp; csamt. Auto-populated from GSTR-2B (ITC available sections)</t>
  </si>
  <si>
    <t xml:space="preserve">t4a_imps</t>
  </si>
  <si>
    <t xml:space="preserve">4(A)(2) Import of services – IGST/CGST/SGST/Cess</t>
  </si>
  <si>
    <t xml:space="preserve">Table 4(A)(2); itc_elg.itc_avl[ty='IMPS'].iamt/camt/samt/csamt</t>
  </si>
  <si>
    <t xml:space="preserve">t4a_isrc</t>
  </si>
  <si>
    <t xml:space="preserve">4(A)(3) Inward supplies liable to reverse charge (other than 1 &amp; 2 above) – IGST/CGST/SGST/Cess</t>
  </si>
  <si>
    <t xml:space="preserve">Table 4(A)(3); itc_elg.itc_avl[ty='ISRC'].iamt/camt/samt/csamt</t>
  </si>
  <si>
    <t xml:space="preserve">t4a_isd</t>
  </si>
  <si>
    <t xml:space="preserve">4(A)(4) Inward supplies from ISD – IGST/CGST/SGST/Cess</t>
  </si>
  <si>
    <t xml:space="preserve">Table 4(A)(4); itc_elg.itc_avl[ty='ISD'].iamt/camt/samt/csamt</t>
  </si>
  <si>
    <t xml:space="preserve">t4a_oth</t>
  </si>
  <si>
    <t xml:space="preserve">4(A)(5) All other ITC – IGST/CGST/SGST/Cess</t>
  </si>
  <si>
    <t xml:space="preserve">Table 4(A)(5); itc_elg.itc_avl[ty='OTH'].iamt/camt/samt/csamt</t>
  </si>
  <si>
    <t xml:space="preserve">t4b_rul</t>
  </si>
  <si>
    <t xml:space="preserve">4(B)(1) ITC Reversed – As per rules 38, 42 &amp; 43 of CGST Rules and section 17(5)</t>
  </si>
  <si>
    <t xml:space="preserve">Table 4(B)(1); itc_elg.itc_rev[ty='RUL'].iamt/camt/samt/csamt</t>
  </si>
  <si>
    <t xml:space="preserve">Reversal per head</t>
  </si>
  <si>
    <t xml:space="preserve">t4b_oth</t>
  </si>
  <si>
    <t xml:space="preserve">4(B)(2) ITC Reversed – Others (temporary reversals e.g. Rule 37, 37A, s.16(2)(b)/(c); tracked in ECRRS)</t>
  </si>
  <si>
    <t xml:space="preserve">Table 4(B)(2); itc_elg.itc_rev[ty='OTH'].iamt/camt/samt/csamt</t>
  </si>
  <si>
    <t xml:space="preserve">t4c_net_itc</t>
  </si>
  <si>
    <t xml:space="preserve">4(C) Net ITC Available (A) – (B)</t>
  </si>
  <si>
    <t xml:space="preserve">Table 4(C); itc_elg.itc_net.iamt/camt/samt/csamt</t>
  </si>
  <si>
    <t xml:space="preserve">decimal(15,2); = 4A total – 4B total (validate)</t>
  </si>
  <si>
    <t xml:space="preserve">Credited to electronic credit ledger</t>
  </si>
  <si>
    <t xml:space="preserve">t4d_1</t>
  </si>
  <si>
    <t xml:space="preserve">4(D)(1) ITC reclaimed which was reversed under Table 4(B)(2) in earlier tax period</t>
  </si>
  <si>
    <t xml:space="preserve">Table 4(D)(1); itc_elg.itc_inelg[ty='RUL'].iamt/camt/samt/csamt</t>
  </si>
  <si>
    <t xml:space="preserve">Post N.14/2022-CT labels. JSON 'ty' codes RUL/OTH are the legacy codes; mapping of RUL-&gt;4(D)(1) is an inference – verify</t>
  </si>
  <si>
    <t xml:space="preserve">t4d_2</t>
  </si>
  <si>
    <t xml:space="preserve">4(D)(2) Ineligible ITC under section 16(4) &amp; ITC restricted due to PoS rules</t>
  </si>
  <si>
    <t xml:space="preserve">Table 4(D)(2); itc_elg.itc_inelg[ty='OTH'].iamt/camt/samt/csamt</t>
  </si>
  <si>
    <t xml:space="preserve">t5_gst_inter</t>
  </si>
  <si>
    <t xml:space="preserve">5 From a supplier under composition scheme, Exempt and Nil rated supply – Inter-State</t>
  </si>
  <si>
    <t xml:space="preserve">Table 5; inward_sup.isup_details[ty='GST'].inter</t>
  </si>
  <si>
    <t xml:space="preserve">Exempt/nil/composition inward</t>
  </si>
  <si>
    <t xml:space="preserve">t5_gst_intra</t>
  </si>
  <si>
    <t xml:space="preserve">5 ... – Intra-State</t>
  </si>
  <si>
    <t xml:space="preserve">inward_sup.isup_details[ty='GST'].intra</t>
  </si>
  <si>
    <t xml:space="preserve">t5_nongst_inter</t>
  </si>
  <si>
    <t xml:space="preserve">5 Non GST supply – Inter-State</t>
  </si>
  <si>
    <t xml:space="preserve">inward_sup.isup_details[ty='NONGST'].inter</t>
  </si>
  <si>
    <t xml:space="preserve">t5_nongst_intra</t>
  </si>
  <si>
    <t xml:space="preserve">5 Non GST supply – Intra-State</t>
  </si>
  <si>
    <t xml:space="preserve">inward_sup.isup_details[ty='NONGST'].intra</t>
  </si>
  <si>
    <t xml:space="preserve">t51_interest</t>
  </si>
  <si>
    <t xml:space="preserve">5.1 Interest – IGST/CGST/SGST/Cess</t>
  </si>
  <si>
    <t xml:space="preserve">Table 5.1; intr_ltfee.intr_details.iamt/camt/samt/csamt</t>
  </si>
  <si>
    <t xml:space="preserve">Interest u/s 50 (system-computed interest for previous period shown on portal; payable in cash)</t>
  </si>
  <si>
    <t xml:space="preserve">t51_late_fee</t>
  </si>
  <si>
    <t xml:space="preserve">5.1 Late fee – CGST/SGST</t>
  </si>
  <si>
    <t xml:space="preserve">Table 5.1; intr_ltfee.ltfee_details.camt/samt [JSON name unverified]</t>
  </si>
  <si>
    <t xml:space="preserve">Late fee u/s 47 (auto-computed by portal)</t>
  </si>
  <si>
    <t xml:space="preserve">t61_tax_payable</t>
  </si>
  <si>
    <t xml:space="preserve">6.1 Tax payable – per head (Integrated/Central/State-UT/Cess); Part A other than RCM, Part B RCM</t>
  </si>
  <si>
    <t xml:space="preserve">Table 6.1; tx_pmt.* (key unverified)</t>
  </si>
  <si>
    <t xml:space="preserve">Liability = 3.1 + 3.1.1 heads</t>
  </si>
  <si>
    <t xml:space="preserve">t61_paid_itc</t>
  </si>
  <si>
    <t xml:space="preserve">6.1 Paid through ITC – IGST/CGST/SGST/Cess cross-utilisation matrix</t>
  </si>
  <si>
    <t xml:space="preserve">Table 6.1 [JSON name unverified]</t>
  </si>
  <si>
    <t xml:space="preserve">Must follow s.49(5)/49A/Rule 88A order; reconcile with ECRL debits</t>
  </si>
  <si>
    <t xml:space="preserve">t61_paid_cash_tax</t>
  </si>
  <si>
    <t xml:space="preserve">6.1 Tax/Cess paid in cash</t>
  </si>
  <si>
    <t xml:space="preserve">Reconcile with ECL debits (reference = return ARN)</t>
  </si>
  <si>
    <t xml:space="preserve">t61_paid_cash_interest</t>
  </si>
  <si>
    <t xml:space="preserve">6.1 Interest paid in cash</t>
  </si>
  <si>
    <t xml:space="preserve">t61_paid_cash_late_fee</t>
  </si>
  <si>
    <t xml:space="preserve">6.1 Late Fee paid in cash</t>
  </si>
  <si>
    <t xml:space="preserve">t61_tds_tcs_credit</t>
  </si>
  <si>
    <t xml:space="preserve">6.1 TDS/TCS credit utilised (legacy column)</t>
  </si>
  <si>
    <t xml:space="preserve">TDS/TCS credit now credited to cash ledger via TDS/TCS credit received form</t>
  </si>
  <si>
    <t xml:space="preserve">Used for interest u/s 50 on delayed cash payment and late fee</t>
  </si>
  <si>
    <t xml:space="preserve">header</t>
  </si>
  <si>
    <t xml:space="preserve">supplier_gstin</t>
  </si>
  <si>
    <t xml:space="preserve">b2b[].ctin</t>
  </si>
  <si>
    <t xml:space="preserve">Match key</t>
  </si>
  <si>
    <t xml:space="preserve">supplier_name</t>
  </si>
  <si>
    <t xml:space="preserve">Trade/Legal name</t>
  </si>
  <si>
    <t xml:space="preserve">b2b[].trdnm</t>
  </si>
  <si>
    <t xml:space="preserve">gstr1_filing_status</t>
  </si>
  <si>
    <t xml:space="preserve">GSTR-1/IFF/GSTR-5 filing status</t>
  </si>
  <si>
    <t xml:space="preserve">Supplier filed GSTR-1</t>
  </si>
  <si>
    <t xml:space="preserve">gstr3b_filing_status</t>
  </si>
  <si>
    <t xml:space="preserve">GSTR-3B filing status of supplier</t>
  </si>
  <si>
    <t xml:space="preserve">b2b[].cfs3b</t>
  </si>
  <si>
    <t xml:space="preserve">Used for Rule 37A test</t>
  </si>
  <si>
    <t xml:space="preserve">gstr1_filing_date</t>
  </si>
  <si>
    <t xml:space="preserve">GSTR-1/IFF/GSTR-5 filing date</t>
  </si>
  <si>
    <t xml:space="preserve">b2b[].fldtr1</t>
  </si>
  <si>
    <t xml:space="preserve">Supplier filing date</t>
  </si>
  <si>
    <t xml:space="preserve">gstr1_period</t>
  </si>
  <si>
    <t xml:space="preserve">GSTR-1/IFF/GSTR-5 period</t>
  </si>
  <si>
    <t xml:space="preserve">b2b[].flprdr1</t>
  </si>
  <si>
    <t xml:space="preserve">Supplier's period</t>
  </si>
  <si>
    <t xml:space="preserve">supplier_cancellation_date</t>
  </si>
  <si>
    <t xml:space="preserve">Effective date of cancellation</t>
  </si>
  <si>
    <t xml:space="preserve">b2b[].dtcancel</t>
  </si>
  <si>
    <t xml:space="preserve">Supplier registration cancelled – ITC risk</t>
  </si>
  <si>
    <t xml:space="preserve">invoice_no</t>
  </si>
  <si>
    <t xml:space="preserve">invoice_date</t>
  </si>
  <si>
    <t xml:space="preserve">Invoice Date</t>
  </si>
  <si>
    <t xml:space="preserve">invoice_type</t>
  </si>
  <si>
    <t xml:space="preserve">Invoice type</t>
  </si>
  <si>
    <t xml:space="preserve">Place of supply</t>
  </si>
  <si>
    <t xml:space="preserve">reverse_charge</t>
  </si>
  <si>
    <t xml:space="preserve">Supply Attract Reverse Charge</t>
  </si>
  <si>
    <t xml:space="preserve">amendment_period</t>
  </si>
  <si>
    <t xml:space="preserve">Amended in period</t>
  </si>
  <si>
    <t xml:space="preserve">b2ba[].inv[].aspd</t>
  </si>
  <si>
    <t xml:space="preserve">Period in which amended</t>
  </si>
  <si>
    <t xml:space="preserve">amendment_type</t>
  </si>
  <si>
    <t xml:space="preserve">Type of amendment</t>
  </si>
  <si>
    <t xml:space="preserve">b2ba[].inv[].atyp</t>
  </si>
  <si>
    <t xml:space="preserve">R (Receiver GSTIN amended) | N (Invoice number amended) | D (Other details amended)</t>
  </si>
  <si>
    <t xml:space="preserve">original_invoice_no</t>
  </si>
  <si>
    <t xml:space="preserve">Original invoice number</t>
  </si>
  <si>
    <t xml:space="preserve">b2ba[].inv[].oinum</t>
  </si>
  <si>
    <t xml:space="preserve">original_invoice_date</t>
  </si>
  <si>
    <t xml:space="preserve">diff_percent</t>
  </si>
  <si>
    <t xml:space="preserve">*.diff_percent</t>
  </si>
  <si>
    <t xml:space="preserve">0.65 or 1</t>
  </si>
  <si>
    <t xml:space="preserve">irn</t>
  </si>
  <si>
    <t xml:space="preserve">*.irn</t>
  </si>
  <si>
    <t xml:space="preserve">64 chars</t>
  </si>
  <si>
    <t xml:space="preserve">irn_date</t>
  </si>
  <si>
    <t xml:space="preserve">IRN Date</t>
  </si>
  <si>
    <t xml:space="preserve">*.irngendate</t>
  </si>
  <si>
    <t xml:space="preserve">source_type</t>
  </si>
  <si>
    <t xml:space="preserve">*.srctyp</t>
  </si>
  <si>
    <t xml:space="preserve">e-Invoice / manual</t>
  </si>
  <si>
    <t xml:space="preserve">note_no</t>
  </si>
  <si>
    <t xml:space="preserve">cdn[].nt[].nt_num</t>
  </si>
  <si>
    <t xml:space="preserve">CDN key</t>
  </si>
  <si>
    <t xml:space="preserve">note_type</t>
  </si>
  <si>
    <t xml:space="preserve">Note type</t>
  </si>
  <si>
    <t xml:space="preserve">cdn[].nt[].ntty</t>
  </si>
  <si>
    <t xml:space="preserve">note_date</t>
  </si>
  <si>
    <t xml:space="preserve">cdn[].nt[].nt_dt</t>
  </si>
  <si>
    <t xml:space="preserve">original_note_no</t>
  </si>
  <si>
    <t xml:space="preserve">Original note number</t>
  </si>
  <si>
    <t xml:space="preserve">cdna[].nt[].ont_num</t>
  </si>
  <si>
    <t xml:space="preserve">original_note_date</t>
  </si>
  <si>
    <t xml:space="preserve">Original note date</t>
  </si>
  <si>
    <t xml:space="preserve">cdna[].nt[].ont_dt</t>
  </si>
  <si>
    <t xml:space="preserve">Rate (%)</t>
  </si>
  <si>
    <t xml:space="preserve">*.itms[].itm_det.iamt</t>
  </si>
  <si>
    <t xml:space="preserve">*.itms[].itm_det.camt</t>
  </si>
  <si>
    <t xml:space="preserve">*.itms[].itm_det.samt</t>
  </si>
  <si>
    <t xml:space="preserve">*.itms[].itm_det.csamt</t>
  </si>
  <si>
    <t xml:space="preserve">isd_doc_type</t>
  </si>
  <si>
    <t xml:space="preserve">ISD Document type</t>
  </si>
  <si>
    <t xml:space="preserve">isd[].doclist[].isd_docty</t>
  </si>
  <si>
    <t xml:space="preserve">ISD (invoice) | ISDCN (credit note)</t>
  </si>
  <si>
    <t xml:space="preserve">isd_doc_no</t>
  </si>
  <si>
    <t xml:space="preserve">ISD Document number</t>
  </si>
  <si>
    <t xml:space="preserve">isd[].doclist[].docnum</t>
  </si>
  <si>
    <t xml:space="preserve">isd_doc_date</t>
  </si>
  <si>
    <t xml:space="preserve">ISD Document date</t>
  </si>
  <si>
    <t xml:space="preserve">isd[].doclist[].docdt</t>
  </si>
  <si>
    <t xml:space="preserve">isd_itc_eligible</t>
  </si>
  <si>
    <t xml:space="preserve">Eligibility of ITC</t>
  </si>
  <si>
    <t xml:space="preserve">isd[].doclist[].itc_elg</t>
  </si>
  <si>
    <t xml:space="preserve">isd_cess</t>
  </si>
  <si>
    <t xml:space="preserve">Cess (ISD)</t>
  </si>
  <si>
    <t xml:space="preserve">isd[].doclist[].cess</t>
  </si>
  <si>
    <t xml:space="preserve">ISD uses 'cess' not 'csamt'</t>
  </si>
  <si>
    <t xml:space="preserve">isd_original_invoice_no</t>
  </si>
  <si>
    <t xml:space="preserve">isd[].doclist[].oinvnum</t>
  </si>
  <si>
    <t xml:space="preserve">isd_original_invoice_date</t>
  </si>
  <si>
    <t xml:space="preserve">isd[].doclist[].oinvdt</t>
  </si>
  <si>
    <t xml:space="preserve">boe_no</t>
  </si>
  <si>
    <t xml:space="preserve">Bill of Entry Number</t>
  </si>
  <si>
    <t xml:space="preserve">impg[].benum</t>
  </si>
  <si>
    <t xml:space="preserve">7 digits (unverified)</t>
  </si>
  <si>
    <t xml:space="preserve">Import key – match to ICEGATE BoE / purchase register</t>
  </si>
  <si>
    <t xml:space="preserve">boe_date</t>
  </si>
  <si>
    <t xml:space="preserve">Bill of Entry Date</t>
  </si>
  <si>
    <t xml:space="preserve">impg[].bedt</t>
  </si>
  <si>
    <t xml:space="preserve">port_code</t>
  </si>
  <si>
    <t xml:space="preserve">impg[].portcd</t>
  </si>
  <si>
    <t xml:space="preserve">6 chars</t>
  </si>
  <si>
    <t xml:space="preserve">boe_amended</t>
  </si>
  <si>
    <t xml:space="preserve">Amended (Yes/No)</t>
  </si>
  <si>
    <t xml:space="preserve">impg[].amd</t>
  </si>
  <si>
    <t xml:space="preserve">icegate_ref_date</t>
  </si>
  <si>
    <t xml:space="preserve">ICEGATE Reference Date</t>
  </si>
  <si>
    <t xml:space="preserve">impg[].refdt</t>
  </si>
  <si>
    <t xml:space="preserve">sez_gstin</t>
  </si>
  <si>
    <t xml:space="preserve">GSTIN of SEZ supplier</t>
  </si>
  <si>
    <t xml:space="preserve">impgsez[].sgstin</t>
  </si>
  <si>
    <t xml:space="preserve">sez_trade_name</t>
  </si>
  <si>
    <t xml:space="preserve">Trade name of SEZ</t>
  </si>
  <si>
    <t xml:space="preserve">impgsez[].tdname</t>
  </si>
  <si>
    <t xml:space="preserve">tds_deductor_gstin</t>
  </si>
  <si>
    <t xml:space="preserve">GSTIN of Deductor</t>
  </si>
  <si>
    <t xml:space="preserve">tds[].gstin_deductor</t>
  </si>
  <si>
    <t xml:space="preserve">Match to deductor's GSTR-7</t>
  </si>
  <si>
    <t xml:space="preserve">tds_deductor_name</t>
  </si>
  <si>
    <t xml:space="preserve">Deductor name</t>
  </si>
  <si>
    <t xml:space="preserve">tds[].deductor_name</t>
  </si>
  <si>
    <t xml:space="preserve">tds_month</t>
  </si>
  <si>
    <t xml:space="preserve">Tax period of GSTR-7</t>
  </si>
  <si>
    <t xml:space="preserve">tds[].month</t>
  </si>
  <si>
    <t xml:space="preserve">tds_amount_deducted_on</t>
  </si>
  <si>
    <t xml:space="preserve">Taxable value / amount paid</t>
  </si>
  <si>
    <t xml:space="preserve">tds[].amt_ded</t>
  </si>
  <si>
    <t xml:space="preserve">tcs_eco_gstin</t>
  </si>
  <si>
    <t xml:space="preserve">GSTIN of ECO</t>
  </si>
  <si>
    <t xml:space="preserve">tcs[].etin</t>
  </si>
  <si>
    <t xml:space="preserve">Match to GSTR-8</t>
  </si>
  <si>
    <t xml:space="preserve">tcs_gross_value</t>
  </si>
  <si>
    <t xml:space="preserve">Gross value of supplies</t>
  </si>
  <si>
    <t xml:space="preserve">tcs[].sup_val</t>
  </si>
  <si>
    <t xml:space="preserve">tcs_net_value</t>
  </si>
  <si>
    <t xml:space="preserve">Net amount liable for TCS</t>
  </si>
  <si>
    <t xml:space="preserve">tcs[].tx_val</t>
  </si>
  <si>
    <t xml:space="preserve">data.gstin</t>
  </si>
  <si>
    <t xml:space="preserve">Recipient GSTIN</t>
  </si>
  <si>
    <t xml:space="preserve">Tax Period</t>
  </si>
  <si>
    <t xml:space="preserve">data.rtnprd</t>
  </si>
  <si>
    <t xml:space="preserve">2B period</t>
  </si>
  <si>
    <t xml:space="preserve">version</t>
  </si>
  <si>
    <t xml:space="preserve">Version</t>
  </si>
  <si>
    <t xml:space="preserve">data.version</t>
  </si>
  <si>
    <t xml:space="preserve">Schema version</t>
  </si>
  <si>
    <t xml:space="preserve">generation_date</t>
  </si>
  <si>
    <t xml:space="preserve">Date of generation</t>
  </si>
  <si>
    <t xml:space="preserve">data.gendt</t>
  </si>
  <si>
    <t xml:space="preserve">2B generation (14th) / recompute date</t>
  </si>
  <si>
    <t xml:space="preserve">docdata.b2b[].ctin</t>
  </si>
  <si>
    <t xml:space="preserve">docdata.b2b[].trdnm</t>
  </si>
  <si>
    <t xml:space="preserve">supplier_filing_date</t>
  </si>
  <si>
    <t xml:space="preserve">GSTR-1/IFF/GSTR-5 Filing Date</t>
  </si>
  <si>
    <t xml:space="preserve">docdata.b2b[].supfildt</t>
  </si>
  <si>
    <t xml:space="preserve">Supplier filing date – determines 2B period</t>
  </si>
  <si>
    <t xml:space="preserve">supplier_period</t>
  </si>
  <si>
    <t xml:space="preserve">GSTR-1/IFF/GSTR-5 Period</t>
  </si>
  <si>
    <t xml:space="preserve">docdata.b2b[].supprd</t>
  </si>
  <si>
    <t xml:space="preserve">Supplier's tax period</t>
  </si>
  <si>
    <t xml:space="preserve">docdata.b2b[].inv[].inum</t>
  </si>
  <si>
    <t xml:space="preserve">docdata.b2b[].inv[].typ</t>
  </si>
  <si>
    <t xml:space="preserve">R | SEWP | SEWOP | DE (2B uses 'typ', not 'inv_typ')</t>
  </si>
  <si>
    <t xml:space="preserve">docdata.b2b[].inv[].dt</t>
  </si>
  <si>
    <t xml:space="preserve">2B uses 'dt', not 'idt'</t>
  </si>
  <si>
    <t xml:space="preserve">docdata.b2b[].inv[].val</t>
  </si>
  <si>
    <t xml:space="preserve">docdata.b2b[].inv[].pos</t>
  </si>
  <si>
    <t xml:space="preserve">docdata.b2b[].inv[].rev</t>
  </si>
  <si>
    <t xml:space="preserve">Y -&gt; 3.1(d) &amp; 4(A)(3)</t>
  </si>
  <si>
    <t xml:space="preserve">itc_availability</t>
  </si>
  <si>
    <t xml:space="preserve">ITC Availability</t>
  </si>
  <si>
    <t xml:space="preserve">docdata.*.itcavl</t>
  </si>
  <si>
    <t xml:space="preserve">Y | N | T (temporary – unverified)</t>
  </si>
  <si>
    <t xml:space="preserve">N -&gt; 'ITC not available' sheet -&gt; 4(D)(2)</t>
  </si>
  <si>
    <t xml:space="preserve">itc_unavailability_reason</t>
  </si>
  <si>
    <t xml:space="preserve">Reason</t>
  </si>
  <si>
    <t xml:space="preserve">docdata.*.rsn</t>
  </si>
  <si>
    <t xml:space="preserve">e.g. P (POS rule, s.17(5)/IGST-intra) | C (s.16(4) time-barred) – codes unverified</t>
  </si>
  <si>
    <t xml:space="preserve">Why ITC not available</t>
  </si>
  <si>
    <t xml:space="preserve">docdata.*.diffprcnt</t>
  </si>
  <si>
    <t xml:space="preserve">0.65 or 1/absent</t>
  </si>
  <si>
    <t xml:space="preserve">docdata.*.srctyp</t>
  </si>
  <si>
    <t xml:space="preserve">e.g. 'e-Invoice'</t>
  </si>
  <si>
    <t xml:space="preserve">docdata.*.irn</t>
  </si>
  <si>
    <t xml:space="preserve">Join to EINV.Irn</t>
  </si>
  <si>
    <t xml:space="preserve">docdata.*.irngendate</t>
  </si>
  <si>
    <t xml:space="preserve">item_no</t>
  </si>
  <si>
    <t xml:space="preserve">Item no</t>
  </si>
  <si>
    <t xml:space="preserve">docdata.*.items[].num</t>
  </si>
  <si>
    <t xml:space="preserve">docdata.*.items[].rt</t>
  </si>
  <si>
    <t xml:space="preserve">Taxable Value (₹)</t>
  </si>
  <si>
    <t xml:space="preserve">docdata.*.items[].txval</t>
  </si>
  <si>
    <t xml:space="preserve">Integrated Tax(₹)</t>
  </si>
  <si>
    <t xml:space="preserve">docdata.*.items[].igst</t>
  </si>
  <si>
    <t xml:space="preserve">2B uses igst/cgst/sgst/cess, not iamt/camt/samt/csamt</t>
  </si>
  <si>
    <t xml:space="preserve">Central Tax(₹)</t>
  </si>
  <si>
    <t xml:space="preserve">docdata.*.items[].cgst</t>
  </si>
  <si>
    <t xml:space="preserve">State/UT Tax(₹)</t>
  </si>
  <si>
    <t xml:space="preserve">docdata.*.items[].sgst</t>
  </si>
  <si>
    <t xml:space="preserve">Cess(₹)</t>
  </si>
  <si>
    <t xml:space="preserve">docdata.*.items[].cess</t>
  </si>
  <si>
    <t xml:space="preserve">Original Details – Invoice number</t>
  </si>
  <si>
    <t xml:space="preserve">docdata.b2ba[].inv[].oinum</t>
  </si>
  <si>
    <t xml:space="preserve">B2BA</t>
  </si>
  <si>
    <t xml:space="preserve">Original Details – Invoice Date</t>
  </si>
  <si>
    <t xml:space="preserve">docdata.b2ba[].inv[].oidt</t>
  </si>
  <si>
    <t xml:space="preserve">docdata.cdnr[].nt[].ntnum</t>
  </si>
  <si>
    <t xml:space="preserve">CDNR key ('ntnum', not 'nt_num')</t>
  </si>
  <si>
    <t xml:space="preserve">docdata.cdnr[].nt[].typ</t>
  </si>
  <si>
    <t xml:space="preserve">In CDNR 'typ' = note type</t>
  </si>
  <si>
    <t xml:space="preserve">note_supply_type</t>
  </si>
  <si>
    <t xml:space="preserve">Note Supply type</t>
  </si>
  <si>
    <t xml:space="preserve">docdata.cdnr[].nt[].suptyp</t>
  </si>
  <si>
    <t xml:space="preserve">docdata.cdnr[].nt[].dt</t>
  </si>
  <si>
    <t xml:space="preserve">original_note_type</t>
  </si>
  <si>
    <t xml:space="preserve">Original Note type</t>
  </si>
  <si>
    <t xml:space="preserve">docdata.cdnra[].nt[].onttyp</t>
  </si>
  <si>
    <t xml:space="preserve">Original Note number</t>
  </si>
  <si>
    <t xml:space="preserve">docdata.cdnra[].nt[].ontnum</t>
  </si>
  <si>
    <t xml:space="preserve">Original Note date</t>
  </si>
  <si>
    <t xml:space="preserve">docdata.cdnra[].nt[].ontdt</t>
  </si>
  <si>
    <t xml:space="preserve">itc_reduction_required</t>
  </si>
  <si>
    <t xml:space="preserve">Whether ITC to be reduced (Taxpayer's Input)</t>
  </si>
  <si>
    <t xml:space="preserve">docdata.b2ba/cdnr/cdnra[].itcRedReq</t>
  </si>
  <si>
    <t xml:space="preserve">IMS credit-note / downward amendment ITC reduction declaration</t>
  </si>
  <si>
    <t xml:space="preserve">declared_igst</t>
  </si>
  <si>
    <t xml:space="preserve">Amount declared by taxpayer for ITC reduction – IGST</t>
  </si>
  <si>
    <t xml:space="preserve">docdata.*.declIgst</t>
  </si>
  <si>
    <t xml:space="preserve">Also declCgst, declSgst, declCess</t>
  </si>
  <si>
    <t xml:space="preserve">remarks</t>
  </si>
  <si>
    <t xml:space="preserve">Remarks</t>
  </si>
  <si>
    <t xml:space="preserve">docdata.*.remarks</t>
  </si>
  <si>
    <t xml:space="preserve">docdata.isd[].doclist[].doctyp</t>
  </si>
  <si>
    <t xml:space="preserve">ISDI (invoice) | ISDC (credit note)</t>
  </si>
  <si>
    <t xml:space="preserve">docdata.isd[].doclist[].docnum</t>
  </si>
  <si>
    <t xml:space="preserve">docdata.isd[].doclist[].docdt</t>
  </si>
  <si>
    <t xml:space="preserve">docdata.isd[].doclist[].oinvnum</t>
  </si>
  <si>
    <t xml:space="preserve">docdata.isd[].doclist[].oinvdt</t>
  </si>
  <si>
    <t xml:space="preserve">docdata.isd[].doclist[].itcelg</t>
  </si>
  <si>
    <t xml:space="preserve">isd_original_doc</t>
  </si>
  <si>
    <t xml:space="preserve">Original ISD document type/number/date</t>
  </si>
  <si>
    <t xml:space="preserve">docdata.isda[].doclist[].odoctyp/odocnum/odocdt</t>
  </si>
  <si>
    <t xml:space="preserve">ISDA</t>
  </si>
  <si>
    <t xml:space="preserve">boe_ref_date</t>
  </si>
  <si>
    <t xml:space="preserve">Icegate Reference Date</t>
  </si>
  <si>
    <t xml:space="preserve">docdata.impg[].refdt</t>
  </si>
  <si>
    <t xml:space="preserve">boe_received_date</t>
  </si>
  <si>
    <t xml:space="preserve">Record received date</t>
  </si>
  <si>
    <t xml:space="preserve">docdata.impg[].recdt</t>
  </si>
  <si>
    <t xml:space="preserve">docdata.impg[].portcode</t>
  </si>
  <si>
    <t xml:space="preserve">Bill of Entry Details – Number</t>
  </si>
  <si>
    <t xml:space="preserve">docdata.impg[].boenum</t>
  </si>
  <si>
    <t xml:space="preserve">Match to BoE in purchase register</t>
  </si>
  <si>
    <t xml:space="preserve">Bill of Entry Details – Date</t>
  </si>
  <si>
    <t xml:space="preserve">docdata.impg[].boedt</t>
  </si>
  <si>
    <t xml:space="preserve">docdata.impg[].isamd</t>
  </si>
  <si>
    <t xml:space="preserve">boe_taxable_value</t>
  </si>
  <si>
    <t xml:space="preserve">docdata.impg[].txval</t>
  </si>
  <si>
    <t xml:space="preserve">boe_igst</t>
  </si>
  <si>
    <t xml:space="preserve">docdata.impg[].igst</t>
  </si>
  <si>
    <t xml:space="preserve">-&gt; 4(A)(1)</t>
  </si>
  <si>
    <t xml:space="preserve">boe_cess</t>
  </si>
  <si>
    <t xml:space="preserve">docdata.impg[].cess</t>
  </si>
  <si>
    <t xml:space="preserve">impgsez_supplier_gstin</t>
  </si>
  <si>
    <t xml:space="preserve">GSTIN of supplier (SEZ)</t>
  </si>
  <si>
    <t xml:space="preserve">docdata.impgsez[].ctin; boe[] as impg</t>
  </si>
  <si>
    <t xml:space="preserve">docdata.ecom[].ctin</t>
  </si>
  <si>
    <t xml:space="preserve">Documents on which ECO pays tax u/s 9(5)</t>
  </si>
  <si>
    <t xml:space="preserve">summary_itc_available</t>
  </si>
  <si>
    <t xml:space="preserve">FORM SUMMARY – ITC Available (Part A I-IV, Part B)</t>
  </si>
  <si>
    <t xml:space="preserve">itcsumm.itcavl.{nonrevsup, isdsup, revsup, imports, othersup}.{igst,cgst,sgst,cess}</t>
  </si>
  <si>
    <t xml:space="preserve">nonrevsup -&gt; 4(A)(5); isdsup -&gt; 4(A)(4); revsup -&gt; 3.1(d)/4(A)(3); imports -&gt; 4(A)(1); othersup (credit notes) net off 4(A)</t>
  </si>
  <si>
    <t xml:space="preserve">summary_itc_unavailable</t>
  </si>
  <si>
    <t xml:space="preserve">FORM SUMMARY – ITC Not Available</t>
  </si>
  <si>
    <t xml:space="preserve">itcsumm.itcunavl.*</t>
  </si>
  <si>
    <t xml:space="preserve">-&gt; 4(D)(2)</t>
  </si>
  <si>
    <t xml:space="preserve">summary_itc_reversal</t>
  </si>
  <si>
    <t xml:space="preserve">FORM SUMMARY – ITC Reversal (Rule 37A)</t>
  </si>
  <si>
    <t xml:space="preserve">itcsumm.itcrev.*</t>
  </si>
  <si>
    <t xml:space="preserve">-&gt; 4(B)(2)</t>
  </si>
  <si>
    <t xml:space="preserve">summary_supplier_wise</t>
  </si>
  <si>
    <t xml:space="preserve">Supplier-wise summary</t>
  </si>
  <si>
    <t xml:space="preserve">cpsumm.{b2b,b2ba,cdnr,cdnra,isd,isda,impgsez,ecom,ecoma}[].ctin/trdnm/supprd/supfildt/ttldocs/txval/igst/cgst/sgst/cess(/nttyp)</t>
  </si>
  <si>
    <t xml:space="preserve">Counter-party summary for supplier-level reconciliation</t>
  </si>
  <si>
    <t xml:space="preserve">rejected_docs</t>
  </si>
  <si>
    <t xml:space="preserve">ITC Rejected (records rejected on IMS)</t>
  </si>
  <si>
    <t xml:space="preserve">docRejdata.{b2b,b2ba,cdnr,cdnra,ecom,ecoma,isd,isda}</t>
  </si>
  <si>
    <t xml:space="preserve">object</t>
  </si>
  <si>
    <t xml:space="preserve">same shape as docdata</t>
  </si>
  <si>
    <t xml:space="preserve">View-only; not to be claimed</t>
  </si>
  <si>
    <t xml:space="preserve">inv[].stin</t>
  </si>
  <si>
    <t xml:space="preserve">IMS uses 'stin'</t>
  </si>
  <si>
    <t xml:space="preserve">supplier_return_period</t>
  </si>
  <si>
    <t xml:space="preserve">Supplier return period</t>
  </si>
  <si>
    <t xml:space="preserve">inv[].rtnprd</t>
  </si>
  <si>
    <t xml:space="preserve">ims_category</t>
  </si>
  <si>
    <t xml:space="preserve">section key</t>
  </si>
  <si>
    <t xml:space="preserve">B2B | B2BA | B2BCN | B2BCNA | B2BDN | B2BDNA | ECOM | ECOMA</t>
  </si>
  <si>
    <t xml:space="preserve">supply_type</t>
  </si>
  <si>
    <t xml:space="preserve">Invoice/Supply type</t>
  </si>
  <si>
    <t xml:space="preserve">inv[].inv_typ</t>
  </si>
  <si>
    <t xml:space="preserve">inv[].inum (notes: nt_num)</t>
  </si>
  <si>
    <t xml:space="preserve">inv[].idt (notes: nt_dt)</t>
  </si>
  <si>
    <t xml:space="preserve">inv[].oinum / ont_num</t>
  </si>
  <si>
    <t xml:space="preserve">Amendment records</t>
  </si>
  <si>
    <t xml:space="preserve">original_document_date</t>
  </si>
  <si>
    <t xml:space="preserve">Original date</t>
  </si>
  <si>
    <t xml:space="preserve">inv[].oidt / ont_dt</t>
  </si>
  <si>
    <t xml:space="preserve">document_value</t>
  </si>
  <si>
    <t xml:space="preserve">inv[].val</t>
  </si>
  <si>
    <t xml:space="preserve">inv[].pos</t>
  </si>
  <si>
    <t xml:space="preserve">inv[].txval</t>
  </si>
  <si>
    <t xml:space="preserve">inv[].iamt</t>
  </si>
  <si>
    <t xml:space="preserve">inv[].camt</t>
  </si>
  <si>
    <t xml:space="preserve">inv[].samt</t>
  </si>
  <si>
    <t xml:space="preserve">inv[].cess</t>
  </si>
  <si>
    <t xml:space="preserve">ims_action</t>
  </si>
  <si>
    <t xml:space="preserve">Action</t>
  </si>
  <si>
    <t xml:space="preserve">inv[].action</t>
  </si>
  <si>
    <t xml:space="preserve">Accept | Reject | Pending | No Action (deemed accepted on 2B generation). API codes believed A/R/P/N – UNVERIFIED</t>
  </si>
  <si>
    <t xml:space="preserve">Accept -&gt; 2B ITC Available -&gt; 3B; Reject -&gt; 2B ITC Rejected (not in 3B); Pending -&gt; excluded from 2B/3B until acted</t>
  </si>
  <si>
    <t xml:space="preserve">previous_action</t>
  </si>
  <si>
    <t xml:space="preserve">Previous status</t>
  </si>
  <si>
    <t xml:space="preserve">inv[].prev_status</t>
  </si>
  <si>
    <t xml:space="preserve">as action</t>
  </si>
  <si>
    <t xml:space="preserve">pending_action_blocked</t>
  </si>
  <si>
    <t xml:space="preserve">Pending not allowed</t>
  </si>
  <si>
    <t xml:space="preserve">inv[].ispendactblocked</t>
  </si>
  <si>
    <t xml:space="preserve">Pending not allowed for original CNs, upward CN amendments, downward CN amendment where original rejected, downward invoice/DN amendment where original accepted &amp; 3B filed</t>
  </si>
  <si>
    <t xml:space="preserve">supplier_filing_status</t>
  </si>
  <si>
    <t xml:space="preserve">Supplier return filing status</t>
  </si>
  <si>
    <t xml:space="preserve">inv[].srcfilstatus</t>
  </si>
  <si>
    <t xml:space="preserve">Filed / Not filed (values unverified)</t>
  </si>
  <si>
    <t xml:space="preserve">Records appear on save; only filed records go to 2B</t>
  </si>
  <si>
    <t xml:space="preserve">supplier_return_form</t>
  </si>
  <si>
    <t xml:space="preserve">Source form</t>
  </si>
  <si>
    <t xml:space="preserve">inv[].srcform</t>
  </si>
  <si>
    <t xml:space="preserve">R1 | R1A | IFF (values unverified)</t>
  </si>
  <si>
    <t xml:space="preserve">Whether ITC to be reduced</t>
  </si>
  <si>
    <t xml:space="preserve">inv[].itcRedReq</t>
  </si>
  <si>
    <t xml:space="preserve">CN / downward amendment acceptance</t>
  </si>
  <si>
    <t xml:space="preserve">itc_reduction_blocked</t>
  </si>
  <si>
    <t xml:space="preserve">ITC reduction field blocked</t>
  </si>
  <si>
    <t xml:space="preserve">inv[].isItcRedReqBlocked</t>
  </si>
  <si>
    <t xml:space="preserve">Amount declared for ITC reduction – IGST</t>
  </si>
  <si>
    <t xml:space="preserve">inv[].declIgst (declCgst, declSgst, declCess)</t>
  </si>
  <si>
    <t xml:space="preserve">inv[].remarks</t>
  </si>
  <si>
    <t xml:space="preserve">Part I, 1</t>
  </si>
  <si>
    <t xml:space="preserve">financial_year</t>
  </si>
  <si>
    <t xml:space="preserve">Financial Year</t>
  </si>
  <si>
    <t xml:space="preserve">YYYY-YY e.g. 2025-26</t>
  </si>
  <si>
    <t xml:space="preserve">legal_name</t>
  </si>
  <si>
    <t xml:space="preserve">Legal Name</t>
  </si>
  <si>
    <t xml:space="preserve">Part I, 3A</t>
  </si>
  <si>
    <t xml:space="preserve">t4a</t>
  </si>
  <si>
    <t xml:space="preserve">Supplies made to un-registered persons (B2C)</t>
  </si>
  <si>
    <t xml:space="preserve">Part II, Table 4A</t>
  </si>
  <si>
    <t xml:space="preserve">decimal(15,2); &gt;= 0 unless noted; columns: Taxable Value | Central Tax | State/UT Tax | Integrated Tax | Cess (as applicable)</t>
  </si>
  <si>
    <t xml:space="preserve">Auto from GSTR-1/1A &amp; 3B (editable); compare with GSTR-1 annual aggregate &amp; 3B 3.1(a),(b),(d)</t>
  </si>
  <si>
    <t xml:space="preserve">t4b</t>
  </si>
  <si>
    <t xml:space="preserve">Supplies made to registered persons (B2B)</t>
  </si>
  <si>
    <t xml:space="preserve">Part II, Table 4B</t>
  </si>
  <si>
    <t xml:space="preserve">t4c</t>
  </si>
  <si>
    <t xml:space="preserve">Zero rated supply (Export) on payment of tax (except supplies to SEZs)</t>
  </si>
  <si>
    <t xml:space="preserve">Part II, Table 4C</t>
  </si>
  <si>
    <t xml:space="preserve">t4d</t>
  </si>
  <si>
    <t xml:space="preserve">Supply to SEZs on payment of tax</t>
  </si>
  <si>
    <t xml:space="preserve">Part II, Table 4D</t>
  </si>
  <si>
    <t xml:space="preserve">t4e</t>
  </si>
  <si>
    <t xml:space="preserve">Deemed Exports</t>
  </si>
  <si>
    <t xml:space="preserve">Part II, Table 4E</t>
  </si>
  <si>
    <t xml:space="preserve">t4f</t>
  </si>
  <si>
    <t xml:space="preserve">Advances on which tax has been paid but invoice has not been issued (not covered under (A) to (E) above)</t>
  </si>
  <si>
    <t xml:space="preserve">Part II, Table 4F</t>
  </si>
  <si>
    <t xml:space="preserve">t4g</t>
  </si>
  <si>
    <t xml:space="preserve">Inward supplies on which tax is to be paid on reverse charge basis</t>
  </si>
  <si>
    <t xml:space="preserve">Part II, Table 4G</t>
  </si>
  <si>
    <t xml:space="preserve">t4g1</t>
  </si>
  <si>
    <t xml:space="preserve">Supplies on which e-commerce operator is required to pay tax as per section 9(5) (including amendments, if any) [from FY 2023-24 – label per portal, unverified]</t>
  </si>
  <si>
    <t xml:space="preserve">Part II, Table 4G1</t>
  </si>
  <si>
    <t xml:space="preserve">t4h</t>
  </si>
  <si>
    <t xml:space="preserve">Sub-total (A to G above)</t>
  </si>
  <si>
    <t xml:space="preserve">Part II, Table 4H</t>
  </si>
  <si>
    <t xml:space="preserve">t4i</t>
  </si>
  <si>
    <t xml:space="preserve">Credit Notes issued in respect of transactions specified in (B) to (E) above (-)</t>
  </si>
  <si>
    <t xml:space="preserve">Part II, Table 4I</t>
  </si>
  <si>
    <t xml:space="preserve">t4j</t>
  </si>
  <si>
    <t xml:space="preserve">Debit Notes issued in respect of transactions specified in (B) to (E) above (+)</t>
  </si>
  <si>
    <t xml:space="preserve">Part II, Table 4J</t>
  </si>
  <si>
    <t xml:space="preserve">t4k</t>
  </si>
  <si>
    <t xml:space="preserve">Supplies / tax declared through Amendments (+)</t>
  </si>
  <si>
    <t xml:space="preserve">Part II, Table 4K</t>
  </si>
  <si>
    <t xml:space="preserve">t4l</t>
  </si>
  <si>
    <t xml:space="preserve">Supplies / tax reduced through Amendments (-)</t>
  </si>
  <si>
    <t xml:space="preserve">Part II, Table 4L</t>
  </si>
  <si>
    <t xml:space="preserve">t4m</t>
  </si>
  <si>
    <t xml:space="preserve">Sub-total (I to L above)</t>
  </si>
  <si>
    <t xml:space="preserve">Part II, Table 4M</t>
  </si>
  <si>
    <t xml:space="preserve">t4n</t>
  </si>
  <si>
    <t xml:space="preserve">Supplies and advances on which tax is to be paid (H + M) above</t>
  </si>
  <si>
    <t xml:space="preserve">Part II, Table 4N</t>
  </si>
  <si>
    <t xml:space="preserve">t5a</t>
  </si>
  <si>
    <t xml:space="preserve">Zero rated supply (Export) without payment of tax</t>
  </si>
  <si>
    <t xml:space="preserve">Part II, Table 5A</t>
  </si>
  <si>
    <t xml:space="preserve">t5b</t>
  </si>
  <si>
    <t xml:space="preserve">Supply to SEZs without payment of tax</t>
  </si>
  <si>
    <t xml:space="preserve">Part II, Table 5B</t>
  </si>
  <si>
    <t xml:space="preserve">t5c</t>
  </si>
  <si>
    <t xml:space="preserve">Supplies on which tax is to be paid by the recipient on reverse charge basis</t>
  </si>
  <si>
    <t xml:space="preserve">Part II, Table 5C</t>
  </si>
  <si>
    <t xml:space="preserve">t5c1</t>
  </si>
  <si>
    <t xml:space="preserve">Supplies on which e-commerce operator is required to pay tax u/s 9(5) (supplier side) [from FY 2023-24 – label unverified]</t>
  </si>
  <si>
    <t xml:space="preserve">Part II, Table 5C1</t>
  </si>
  <si>
    <t xml:space="preserve">t5d</t>
  </si>
  <si>
    <t xml:space="preserve">Exempted</t>
  </si>
  <si>
    <t xml:space="preserve">Part II, Table 5D</t>
  </si>
  <si>
    <t xml:space="preserve">t5e</t>
  </si>
  <si>
    <t xml:space="preserve">Nil Rated</t>
  </si>
  <si>
    <t xml:space="preserve">Part II, Table 5E</t>
  </si>
  <si>
    <t xml:space="preserve">t5f</t>
  </si>
  <si>
    <t xml:space="preserve">Non-GST supply (includes 'no supply')</t>
  </si>
  <si>
    <t xml:space="preserve">Part II, Table 5F</t>
  </si>
  <si>
    <t xml:space="preserve">t5g</t>
  </si>
  <si>
    <t xml:space="preserve">Sub-total (A to F above)</t>
  </si>
  <si>
    <t xml:space="preserve">Part II, Table 5G</t>
  </si>
  <si>
    <t xml:space="preserve">t5h</t>
  </si>
  <si>
    <t xml:space="preserve">Credit Notes issued in respect of transactions specified in A to F above (-)</t>
  </si>
  <si>
    <t xml:space="preserve">Part II, Table 5H</t>
  </si>
  <si>
    <t xml:space="preserve">t5i</t>
  </si>
  <si>
    <t xml:space="preserve">Debit Notes issued in respect of transactions specified in A to F above (+)</t>
  </si>
  <si>
    <t xml:space="preserve">Part II, Table 5I</t>
  </si>
  <si>
    <t xml:space="preserve">t5j</t>
  </si>
  <si>
    <t xml:space="preserve">Supplies declared through Amendments (+)</t>
  </si>
  <si>
    <t xml:space="preserve">Part II, Table 5J</t>
  </si>
  <si>
    <t xml:space="preserve">t5k</t>
  </si>
  <si>
    <t xml:space="preserve">Supplies reduced through Amendments (-)</t>
  </si>
  <si>
    <t xml:space="preserve">Part II, Table 5K</t>
  </si>
  <si>
    <t xml:space="preserve">t5l</t>
  </si>
  <si>
    <t xml:space="preserve">Sub-Total (H to K above)</t>
  </si>
  <si>
    <t xml:space="preserve">Part II, Table 5L</t>
  </si>
  <si>
    <t xml:space="preserve">t5m</t>
  </si>
  <si>
    <t xml:space="preserve">Turnover on which tax is not to be paid (G + L above)</t>
  </si>
  <si>
    <t xml:space="preserve">Part II, Table 5M</t>
  </si>
  <si>
    <t xml:space="preserve">t5n</t>
  </si>
  <si>
    <t xml:space="preserve">Total Turnover (including advances) (4N + 5M - 4G above)</t>
  </si>
  <si>
    <t xml:space="preserve">Part II, Table 5N</t>
  </si>
  <si>
    <t xml:space="preserve">t6a</t>
  </si>
  <si>
    <t xml:space="preserve">Total amount of input tax credit availed through FORM GSTR-3B (sum total of Table 4A of FORM GSTR-3B)</t>
  </si>
  <si>
    <t xml:space="preserve">Part III, Table 6A</t>
  </si>
  <si>
    <t xml:space="preserve">Auto, non-editable</t>
  </si>
  <si>
    <t xml:space="preserve">t6a1</t>
  </si>
  <si>
    <t xml:space="preserve">ITC of preceding FY availed in current FY (FY 2024-25 onwards) [label per secondary source]</t>
  </si>
  <si>
    <t xml:space="preserve">Part III, Table 6A1</t>
  </si>
  <si>
    <t xml:space="preserve">t6a2</t>
  </si>
  <si>
    <t xml:space="preserve">Net ITC of the FY (6A - 6A1) [label per secondary source]</t>
  </si>
  <si>
    <t xml:space="preserve">Part III, Table 6A2</t>
  </si>
  <si>
    <t xml:space="preserve">t6b</t>
  </si>
  <si>
    <t xml:space="preserve">Inward supplies (other than imports and inward supplies liable to reverse charge but includes services received from SEZs) – Inputs / Capital Goods / Input Services</t>
  </si>
  <si>
    <t xml:space="preserve">Part III, Table 6B</t>
  </si>
  <si>
    <t xml:space="preserve">Type split</t>
  </si>
  <si>
    <t xml:space="preserve">t6c</t>
  </si>
  <si>
    <t xml:space="preserve">Inward supplies received from unregistered persons liable to reverse charge (other than B above) on which tax is paid &amp; ITC availed – Inputs/CG/IS</t>
  </si>
  <si>
    <t xml:space="preserve">Part III, Table 6C</t>
  </si>
  <si>
    <t xml:space="preserve">t6d</t>
  </si>
  <si>
    <t xml:space="preserve">Inward supplies received from registered persons liable to reverse charge (other than B above) on which tax is paid and ITC availed – Inputs/CG/IS</t>
  </si>
  <si>
    <t xml:space="preserve">Part III, Table 6D</t>
  </si>
  <si>
    <t xml:space="preserve">t6e</t>
  </si>
  <si>
    <t xml:space="preserve">Import of goods (including supplies from SEZs) – Inputs / Capital Goods</t>
  </si>
  <si>
    <t xml:space="preserve">Part III, Table 6E</t>
  </si>
  <si>
    <t xml:space="preserve">t6f</t>
  </si>
  <si>
    <t xml:space="preserve">Import of services (excluding inward supplies from SEZs)</t>
  </si>
  <si>
    <t xml:space="preserve">Part III, Table 6F</t>
  </si>
  <si>
    <t xml:space="preserve">t6g</t>
  </si>
  <si>
    <t xml:space="preserve">Input Tax credit received from ISD</t>
  </si>
  <si>
    <t xml:space="preserve">Part III, Table 6G</t>
  </si>
  <si>
    <t xml:space="preserve">t6h</t>
  </si>
  <si>
    <t xml:space="preserve">Amount of ITC reclaimed (other than B above) under the provisions of the Act</t>
  </si>
  <si>
    <t xml:space="preserve">Part III, Table 6H</t>
  </si>
  <si>
    <t xml:space="preserve">t6i</t>
  </si>
  <si>
    <t xml:space="preserve">Sub-total (B to H above)</t>
  </si>
  <si>
    <t xml:space="preserve">Part III, Table 6I</t>
  </si>
  <si>
    <t xml:space="preserve">t6j</t>
  </si>
  <si>
    <t xml:space="preserve">Difference (I - A above)</t>
  </si>
  <si>
    <t xml:space="preserve">Part III, Table 6J</t>
  </si>
  <si>
    <t xml:space="preserve">Should be nil – flag</t>
  </si>
  <si>
    <t xml:space="preserve">t6k</t>
  </si>
  <si>
    <t xml:space="preserve">Transition Credit through TRAN-I (including revisions if any)</t>
  </si>
  <si>
    <t xml:space="preserve">Part III, Table 6K</t>
  </si>
  <si>
    <t xml:space="preserve">t6l</t>
  </si>
  <si>
    <t xml:space="preserve">Transition Credit through TRAN-II</t>
  </si>
  <si>
    <t xml:space="preserve">Part III, Table 6L</t>
  </si>
  <si>
    <t xml:space="preserve">t6m</t>
  </si>
  <si>
    <t xml:space="preserve">Any other ITC availed but not specified above</t>
  </si>
  <si>
    <t xml:space="preserve">Part III, Table 6M</t>
  </si>
  <si>
    <t xml:space="preserve">t6n</t>
  </si>
  <si>
    <t xml:space="preserve">Sub-total (K to M above)</t>
  </si>
  <si>
    <t xml:space="preserve">Part III, Table 6N</t>
  </si>
  <si>
    <t xml:space="preserve">t6o</t>
  </si>
  <si>
    <t xml:space="preserve">Total ITC availed (I + N above)</t>
  </si>
  <si>
    <t xml:space="preserve">Part III, Table 6O</t>
  </si>
  <si>
    <t xml:space="preserve">t7a</t>
  </si>
  <si>
    <t xml:space="preserve">As per Rule 37</t>
  </si>
  <si>
    <t xml:space="preserve">Part III, Table 7A</t>
  </si>
  <si>
    <t xml:space="preserve">Compare with sum of GSTR-3B 4(B)(1)+4(B)(2)</t>
  </si>
  <si>
    <t xml:space="preserve">t7a1</t>
  </si>
  <si>
    <t xml:space="preserve">As per Rule 37A [FY 2024-25 onwards; label per secondary source]</t>
  </si>
  <si>
    <t xml:space="preserve">Part III, Table 7A1</t>
  </si>
  <si>
    <t xml:space="preserve">t7a2</t>
  </si>
  <si>
    <t xml:space="preserve">As per Rule 38 [FY 2024-25 onwards; label per secondary source]</t>
  </si>
  <si>
    <t xml:space="preserve">Part III, Table 7A2</t>
  </si>
  <si>
    <t xml:space="preserve">t7b</t>
  </si>
  <si>
    <t xml:space="preserve">As per Rule 39</t>
  </si>
  <si>
    <t xml:space="preserve">Part III, Table 7B</t>
  </si>
  <si>
    <t xml:space="preserve">t7c</t>
  </si>
  <si>
    <t xml:space="preserve">As per Rule 42</t>
  </si>
  <si>
    <t xml:space="preserve">Part III, Table 7C</t>
  </si>
  <si>
    <t xml:space="preserve">t7d</t>
  </si>
  <si>
    <t xml:space="preserve">As per Rule 43</t>
  </si>
  <si>
    <t xml:space="preserve">Part III, Table 7D</t>
  </si>
  <si>
    <t xml:space="preserve">t7e</t>
  </si>
  <si>
    <t xml:space="preserve">As per section 17(5)</t>
  </si>
  <si>
    <t xml:space="preserve">Part III, Table 7E</t>
  </si>
  <si>
    <t xml:space="preserve">t7f</t>
  </si>
  <si>
    <t xml:space="preserve">Reversal of TRAN-I credit</t>
  </si>
  <si>
    <t xml:space="preserve">Part III, Table 7F</t>
  </si>
  <si>
    <t xml:space="preserve">t7g</t>
  </si>
  <si>
    <t xml:space="preserve">Reversal of TRAN-II credit</t>
  </si>
  <si>
    <t xml:space="preserve">Part III, Table 7G</t>
  </si>
  <si>
    <t xml:space="preserve">t7h</t>
  </si>
  <si>
    <t xml:space="preserve">Other reversals (pl. specify)</t>
  </si>
  <si>
    <t xml:space="preserve">Part III, Table 7H</t>
  </si>
  <si>
    <t xml:space="preserve">t7i</t>
  </si>
  <si>
    <t xml:space="preserve">Total ITC Reversed (Sum of A to H above)</t>
  </si>
  <si>
    <t xml:space="preserve">Part III, Table 7I</t>
  </si>
  <si>
    <t xml:space="preserve">t7j</t>
  </si>
  <si>
    <t xml:space="preserve">Net ITC Available for Utilization (6O - 7I)</t>
  </si>
  <si>
    <t xml:space="preserve">Part III, Table 7J</t>
  </si>
  <si>
    <t xml:space="preserve">t8a</t>
  </si>
  <si>
    <t xml:space="preserve">ITC as per GSTR-2B (Table 3 &amp; 5 thereof) [GSTR-2A up to FY 2022-23]</t>
  </si>
  <si>
    <t xml:space="preserve">Part III, Table 8A</t>
  </si>
  <si>
    <t xml:space="preserve">t8b</t>
  </si>
  <si>
    <t xml:space="preserve">ITC as per sum total of 6(B) and 6(H) above [FY 2024-25: 6B only]</t>
  </si>
  <si>
    <t xml:space="preserve">Part III, Table 8B</t>
  </si>
  <si>
    <t xml:space="preserve">t8c</t>
  </si>
  <si>
    <t xml:space="preserve">ITC on inward supplies (other than imports and RCM but includes services received from SEZs) received during the FY but availed in the next FY up to specified period</t>
  </si>
  <si>
    <t xml:space="preserve">Part III, Table 8C</t>
  </si>
  <si>
    <t xml:space="preserve">t8d</t>
  </si>
  <si>
    <t xml:space="preserve">Difference [A-(B+C)]</t>
  </si>
  <si>
    <t xml:space="preserve">Part III, Table 8D</t>
  </si>
  <si>
    <t xml:space="preserve">Positive = ITC in 2B not availed; negative = availed without 2B – key exception</t>
  </si>
  <si>
    <t xml:space="preserve">t8e</t>
  </si>
  <si>
    <t xml:space="preserve">ITC available but not availed</t>
  </si>
  <si>
    <t xml:space="preserve">Part III, Table 8E</t>
  </si>
  <si>
    <t xml:space="preserve">t8f</t>
  </si>
  <si>
    <t xml:space="preserve">ITC available but ineligible</t>
  </si>
  <si>
    <t xml:space="preserve">Part III, Table 8F</t>
  </si>
  <si>
    <t xml:space="preserve">t8g</t>
  </si>
  <si>
    <t xml:space="preserve">IGST paid on import of goods (including supplies from SEZ)</t>
  </si>
  <si>
    <t xml:space="preserve">Part III, Table 8G</t>
  </si>
  <si>
    <t xml:space="preserve">Compare with ICEGATE / 2B IMPG</t>
  </si>
  <si>
    <t xml:space="preserve">t8h</t>
  </si>
  <si>
    <t xml:space="preserve">IGST credit availed on import of goods (as per 6(E) above)</t>
  </si>
  <si>
    <t xml:space="preserve">Part III, Table 8H</t>
  </si>
  <si>
    <t xml:space="preserve">t8h1</t>
  </si>
  <si>
    <t xml:space="preserve">IGST credit on import of goods of the FY availed in next FY [FY 2024-25 onwards; label per secondary source]</t>
  </si>
  <si>
    <t xml:space="preserve">Part III, Table 8H1</t>
  </si>
  <si>
    <t xml:space="preserve">t8i</t>
  </si>
  <si>
    <t xml:space="preserve">Difference (G-H)</t>
  </si>
  <si>
    <t xml:space="preserve">Part III, Table 8I</t>
  </si>
  <si>
    <t xml:space="preserve">t8j</t>
  </si>
  <si>
    <t xml:space="preserve">ITC available but not availed on import of goods (Equal to I)</t>
  </si>
  <si>
    <t xml:space="preserve">Part III, Table 8J</t>
  </si>
  <si>
    <t xml:space="preserve">t8k</t>
  </si>
  <si>
    <t xml:space="preserve">Total ITC to be lapsed in current financial year (E + F + J)</t>
  </si>
  <si>
    <t xml:space="preserve">Part III, Table 8K</t>
  </si>
  <si>
    <t xml:space="preserve">t9_integrated_tax</t>
  </si>
  <si>
    <t xml:space="preserve">9 Integrated Tax – Tax Payable | Paid through cash | Paid through ITC (IGST/CGST/SGST/Cess) | Total Tax Paid | Difference (FY 2024-25+)</t>
  </si>
  <si>
    <t xml:space="preserve">Part IV, Table 9</t>
  </si>
  <si>
    <t xml:space="preserve">Cash/ITC paid columns auto from 3B, non-editable; compare with ELL/ECL/ECRL debits for the FY</t>
  </si>
  <si>
    <t xml:space="preserve">t9_central_tax</t>
  </si>
  <si>
    <t xml:space="preserve">9 Central Tax – Tax Payable | Paid through cash | Paid through ITC (IGST/CGST/SGST/Cess) | Total Tax Paid | Difference (FY 2024-25+)</t>
  </si>
  <si>
    <t xml:space="preserve">t9_state_ut_tax</t>
  </si>
  <si>
    <t xml:space="preserve">9 State/UT Tax – Tax Payable | Paid through cash | Paid through ITC (IGST/CGST/SGST/Cess) | Total Tax Paid | Difference (FY 2024-25+)</t>
  </si>
  <si>
    <t xml:space="preserve">t9_cess</t>
  </si>
  <si>
    <t xml:space="preserve">9 Cess – Tax Payable | Paid through cash | Paid through ITC (IGST/CGST/SGST/Cess) | Total Tax Paid | Difference (FY 2024-25+)</t>
  </si>
  <si>
    <t xml:space="preserve">t9_interest</t>
  </si>
  <si>
    <t xml:space="preserve">9 Interest – Tax Payable | Paid through cash | Paid through ITC (IGST/CGST/SGST/Cess) | Total Tax Paid | Difference (FY 2024-25+)</t>
  </si>
  <si>
    <t xml:space="preserve">t9_late_fee</t>
  </si>
  <si>
    <t xml:space="preserve">9 Late fee – Tax Payable | Paid through cash | Paid through ITC (IGST/CGST/SGST/Cess) | Total Tax Paid | Difference (FY 2024-25+)</t>
  </si>
  <si>
    <t xml:space="preserve">t9_penalty</t>
  </si>
  <si>
    <t xml:space="preserve">9 Penalty – Tax Payable | Paid through cash | Paid through ITC (IGST/CGST/SGST/Cess) | Total Tax Paid | Difference (FY 2024-25+)</t>
  </si>
  <si>
    <t xml:space="preserve">t9_other</t>
  </si>
  <si>
    <t xml:space="preserve">9 Other – Tax Payable | Paid through cash | Paid through ITC (IGST/CGST/SGST/Cess) | Total Tax Paid | Difference (FY 2024-25+)</t>
  </si>
  <si>
    <t xml:space="preserve">t10</t>
  </si>
  <si>
    <t xml:space="preserve">Supplies / tax declared through Amendments (+) (net of debit notes) [in next FY returns]</t>
  </si>
  <si>
    <t xml:space="preserve">Part V, Table 10</t>
  </si>
  <si>
    <t xml:space="preserve">t11</t>
  </si>
  <si>
    <t xml:space="preserve">Supplies / tax reduced through Amendments (-) (net of credit notes)</t>
  </si>
  <si>
    <t xml:space="preserve">Part V, Table 11</t>
  </si>
  <si>
    <t xml:space="preserve">t12</t>
  </si>
  <si>
    <t xml:space="preserve">Reversal of ITC availed during previous financial year</t>
  </si>
  <si>
    <t xml:space="preserve">Part V, Table 12</t>
  </si>
  <si>
    <t xml:space="preserve">t13</t>
  </si>
  <si>
    <t xml:space="preserve">ITC availed for the previous financial year (incl. reclaims in next FY)</t>
  </si>
  <si>
    <t xml:space="preserve">Part V, Table 13</t>
  </si>
  <si>
    <t xml:space="preserve">t14</t>
  </si>
  <si>
    <t xml:space="preserve">Differential tax paid on account of declaration in 10 &amp; 11 above – Payable | Paid (| Difference from FY 2024-25)</t>
  </si>
  <si>
    <t xml:space="preserve">Part V, Table 14</t>
  </si>
  <si>
    <t xml:space="preserve">Rows IGST/CGST/SGST/Cess/Interest</t>
  </si>
  <si>
    <t xml:space="preserve">t15</t>
  </si>
  <si>
    <t xml:space="preserve">Particulars of Demands and Refunds – A Total Refund claimed .. G Total demands pending</t>
  </si>
  <si>
    <t xml:space="preserve">Part VI, Table 15</t>
  </si>
  <si>
    <t xml:space="preserve">t16</t>
  </si>
  <si>
    <t xml:space="preserve">Supplies received from Composition taxpayers (A); Deemed supply u/s 143 (B); Goods sent on approval basis but not returned (C)</t>
  </si>
  <si>
    <t xml:space="preserve">Part VI, Table 16</t>
  </si>
  <si>
    <t xml:space="preserve">t17_hsn_code</t>
  </si>
  <si>
    <t xml:space="preserve">17 HSN Wise Summary of outward supplies – HSN Code</t>
  </si>
  <si>
    <t xml:space="preserve">Part VI, Table 17</t>
  </si>
  <si>
    <t xml:space="preserve">4/6 digits per AATO</t>
  </si>
  <si>
    <t xml:space="preserve">Compare with sum of GSTR-1 Table 12 for FY</t>
  </si>
  <si>
    <t xml:space="preserve">t17_uqc</t>
  </si>
  <si>
    <t xml:space="preserve">17 – UQC</t>
  </si>
  <si>
    <t xml:space="preserve">UQC list</t>
  </si>
  <si>
    <t xml:space="preserve">t17_quantity</t>
  </si>
  <si>
    <t xml:space="preserve">17 – Total Quantity</t>
  </si>
  <si>
    <t xml:space="preserve">t17_taxable_value</t>
  </si>
  <si>
    <t xml:space="preserve">17 – Taxable Value</t>
  </si>
  <si>
    <t xml:space="preserve">t17_rate</t>
  </si>
  <si>
    <t xml:space="preserve">17 – Rate of Tax</t>
  </si>
  <si>
    <t xml:space="preserve">t17_tax</t>
  </si>
  <si>
    <t xml:space="preserve">17 – Central Tax / State Tax/UT Tax / Integrated Tax / Cess</t>
  </si>
  <si>
    <t xml:space="preserve">t18_hsn_inward</t>
  </si>
  <si>
    <t xml:space="preserve">18 HSN Wise Summary of Inward supplies (same columns as 17)</t>
  </si>
  <si>
    <t xml:space="preserve">Part VI, Table 18</t>
  </si>
  <si>
    <t xml:space="preserve">Optional for many filers</t>
  </si>
  <si>
    <t xml:space="preserve">t19_late_fee</t>
  </si>
  <si>
    <t xml:space="preserve">19 Late fee payable and paid – Central Tax / State Tax</t>
  </si>
  <si>
    <t xml:space="preserve">Part VI, Table 19</t>
  </si>
  <si>
    <t xml:space="preserve">s.47(2)</t>
  </si>
  <si>
    <t xml:space="preserve">Part I</t>
  </si>
  <si>
    <t xml:space="preserve">YYYY-YY</t>
  </si>
  <si>
    <t xml:space="preserve">Turnover (including exports) as per audited financial statements for the State / UT</t>
  </si>
  <si>
    <t xml:space="preserve">Tie to FS revenue (FS doc)</t>
  </si>
  <si>
    <t xml:space="preserve">Unbilled revenue at the beginning of Financial Year (+)</t>
  </si>
  <si>
    <t xml:space="preserve">Unadjusted advances at the end of the Financial Year (+)</t>
  </si>
  <si>
    <t xml:space="preserve">Deemed Supply under Schedule I (+)</t>
  </si>
  <si>
    <t xml:space="preserve">Credit Notes issued after the end of the financial year but reflected in the annual return (-)</t>
  </si>
  <si>
    <t xml:space="preserve">Trade Discounts accounted for in the audited Annual Financial Statement but are not permissible under GST (+)</t>
  </si>
  <si>
    <t xml:space="preserve">Turnover from April 2017 to June 2017 (-)</t>
  </si>
  <si>
    <t xml:space="preserve">Unbilled revenue at the end of Financial Year (-)</t>
  </si>
  <si>
    <t xml:space="preserve">Unadjusted Advances at the beginning of the Financial Year (-)</t>
  </si>
  <si>
    <t xml:space="preserve">Credit notes accounted for in the audited Annual Financial Statement but are not permissible under GST (+)</t>
  </si>
  <si>
    <t xml:space="preserve">Adjustments on account of supply of goods by SEZ units to DTA Units (-)</t>
  </si>
  <si>
    <t xml:space="preserve">Turnover for the period under composition scheme (-)</t>
  </si>
  <si>
    <t xml:space="preserve">Adjustments in turnover under section 15 and rules thereunder (+/-)</t>
  </si>
  <si>
    <t xml:space="preserve">Adjustments in turnover due to foreign exchange fluctuations (+/-)</t>
  </si>
  <si>
    <t xml:space="preserve">t5o</t>
  </si>
  <si>
    <t xml:space="preserve">Adjustments in turnover due to reasons not listed above (+/-)</t>
  </si>
  <si>
    <t xml:space="preserve">Part II, Table 5O</t>
  </si>
  <si>
    <t xml:space="preserve">t5p</t>
  </si>
  <si>
    <t xml:space="preserve">Annual turnover after adjustments as above</t>
  </si>
  <si>
    <t xml:space="preserve">Part II, Table 5P</t>
  </si>
  <si>
    <t xml:space="preserve">t5q</t>
  </si>
  <si>
    <t xml:space="preserve">Turnover as declared in Annual Return (GSTR9)</t>
  </si>
  <si>
    <t xml:space="preserve">Part II, Table 5Q</t>
  </si>
  <si>
    <t xml:space="preserve">t5r</t>
  </si>
  <si>
    <t xml:space="preserve">Un-Reconciled turnover (Q - P) (AT1)</t>
  </si>
  <si>
    <t xml:space="preserve">Part II, Table 5R</t>
  </si>
  <si>
    <t xml:space="preserve">5R = 5Q - 5P; flag if non-zero</t>
  </si>
  <si>
    <t xml:space="preserve">t6_reasons</t>
  </si>
  <si>
    <t xml:space="preserve">6 Reasons for Un-Reconciled difference in Annual Gross Turnover (Reason 1-3)</t>
  </si>
  <si>
    <t xml:space="preserve">Part II, Table 6</t>
  </si>
  <si>
    <t xml:space="preserve">Annual turnover after adjustments (from 5P above)</t>
  </si>
  <si>
    <t xml:space="preserve">Part II, Table 7A</t>
  </si>
  <si>
    <t xml:space="preserve">Value of Exempted, Nil Rated, Non-GST supplies, No-Supply turnover</t>
  </si>
  <si>
    <t xml:space="preserve">Part II, Table 7B</t>
  </si>
  <si>
    <t xml:space="preserve">Zero rated supplies without payment of tax</t>
  </si>
  <si>
    <t xml:space="preserve">Part II, Table 7C</t>
  </si>
  <si>
    <t xml:space="preserve">Part II, Table 7D</t>
  </si>
  <si>
    <t xml:space="preserve">Taxable turnover as per adjustments above (A-B-C-D)</t>
  </si>
  <si>
    <t xml:space="preserve">Part II, Table 7E</t>
  </si>
  <si>
    <t xml:space="preserve">Taxable turnover as per liability declared in Annual Return (GSTR9)</t>
  </si>
  <si>
    <t xml:space="preserve">Part II, Table 7F</t>
  </si>
  <si>
    <t xml:space="preserve">Unreconciled taxable turnover (F-E) (AT 2)</t>
  </si>
  <si>
    <t xml:space="preserve">Part II, Table 7G</t>
  </si>
  <si>
    <t xml:space="preserve">t8_reasons</t>
  </si>
  <si>
    <t xml:space="preserve">8 Reasons for Un-Reconciled difference in taxable turnover</t>
  </si>
  <si>
    <t xml:space="preserve">Part II, Table 8</t>
  </si>
  <si>
    <t xml:space="preserve">t9_5pct</t>
  </si>
  <si>
    <t xml:space="preserve">9 Rate-wise liability – 5%: Taxable Value | Central tax | State/UT tax | Integrated Tax | Cess</t>
  </si>
  <si>
    <t xml:space="preserve">Part III, Table 9 (rows A-O)</t>
  </si>
  <si>
    <t xml:space="preserve">Rate rows per original form; post-22.09.2025 rate structure (5/18/40%) – check whether portal added rows (unverified)</t>
  </si>
  <si>
    <t xml:space="preserve">t9_5pct_rc</t>
  </si>
  <si>
    <t xml:space="preserve">9 Rate-wise liability – 5% (RC): Taxable Value | Central tax | State/UT tax | Integrated Tax | Cess</t>
  </si>
  <si>
    <t xml:space="preserve">t9_12pct</t>
  </si>
  <si>
    <t xml:space="preserve">9 Rate-wise liability – 12%: Taxable Value | Central tax | State/UT tax | Integrated Tax | Cess</t>
  </si>
  <si>
    <t xml:space="preserve">t9_12pct_rc</t>
  </si>
  <si>
    <t xml:space="preserve">9 Rate-wise liability – 12% (RC): Taxable Value | Central tax | State/UT tax | Integrated Tax | Cess</t>
  </si>
  <si>
    <t xml:space="preserve">t9_18pct</t>
  </si>
  <si>
    <t xml:space="preserve">9 Rate-wise liability – 18%: Taxable Value | Central tax | State/UT tax | Integrated Tax | Cess</t>
  </si>
  <si>
    <t xml:space="preserve">t9_18pct_rc</t>
  </si>
  <si>
    <t xml:space="preserve">9 Rate-wise liability – 18% (RC): Taxable Value | Central tax | State/UT tax | Integrated Tax | Cess</t>
  </si>
  <si>
    <t xml:space="preserve">t9_28pct</t>
  </si>
  <si>
    <t xml:space="preserve">9 Rate-wise liability – 28%: Taxable Value | Central tax | State/UT tax | Integrated Tax | Cess</t>
  </si>
  <si>
    <t xml:space="preserve">t9_28pct_rc</t>
  </si>
  <si>
    <t xml:space="preserve">9 Rate-wise liability – 28% (RC): Taxable Value | Central tax | State/UT tax | Integrated Tax | Cess</t>
  </si>
  <si>
    <t xml:space="preserve">t9_3pct</t>
  </si>
  <si>
    <t xml:space="preserve">9 Rate-wise liability – 3%: Taxable Value | Central tax | State/UT tax | Integrated Tax | Cess</t>
  </si>
  <si>
    <t xml:space="preserve">t9_0_25pct</t>
  </si>
  <si>
    <t xml:space="preserve">9 Rate-wise liability – 0.25%: Taxable Value | Central tax | State/UT tax | Integrated Tax | Cess</t>
  </si>
  <si>
    <t xml:space="preserve">t9_0_10pct</t>
  </si>
  <si>
    <t xml:space="preserve">9 Rate-wise liability – 0.10%: Taxable Value | Central tax | State/UT tax | Integrated Tax | Cess</t>
  </si>
  <si>
    <t xml:space="preserve">9 Rate-wise liability – Interest: Taxable Value | Central tax | State/UT tax | Integrated Tax | Cess</t>
  </si>
  <si>
    <t xml:space="preserve">9 Rate-wise liability – Late Fee: Taxable Value | Central tax | State/UT tax | Integrated Tax | Cess</t>
  </si>
  <si>
    <t xml:space="preserve">9 Rate-wise liability – Penalty: Taxable Value | Central tax | State/UT tax | Integrated Tax | Cess</t>
  </si>
  <si>
    <t xml:space="preserve">t9_others</t>
  </si>
  <si>
    <t xml:space="preserve">9 Rate-wise liability – Others: Taxable Value | Central tax | State/UT tax | Integrated Tax | Cess</t>
  </si>
  <si>
    <t xml:space="preserve">t9p</t>
  </si>
  <si>
    <t xml:space="preserve">Total amount to be paid as per tables above</t>
  </si>
  <si>
    <t xml:space="preserve">Part III, Table 9P</t>
  </si>
  <si>
    <t xml:space="preserve">t9q</t>
  </si>
  <si>
    <t xml:space="preserve">Total amount paid as declared in Annual Return (GSTR 9)</t>
  </si>
  <si>
    <t xml:space="preserve">Part III, Table 9Q</t>
  </si>
  <si>
    <t xml:space="preserve">t9r</t>
  </si>
  <si>
    <t xml:space="preserve">Unreconciled payment of amount (PT1)</t>
  </si>
  <si>
    <t xml:space="preserve">Part III, Table 9R</t>
  </si>
  <si>
    <t xml:space="preserve">9R = 9Q - 9P (sign convention per form; verify)</t>
  </si>
  <si>
    <t xml:space="preserve">t10_reasons</t>
  </si>
  <si>
    <t xml:space="preserve">10 Reasons for un-reconciled payment of amount</t>
  </si>
  <si>
    <t xml:space="preserve">Part III, Table 10</t>
  </si>
  <si>
    <t xml:space="preserve">Additional amount payable but not paid (due to reasons specified under Tables 6, 8 and 10 above) – rate-wise, Interest, Late Fee, Penalty, Others</t>
  </si>
  <si>
    <t xml:space="preserve">Part III, Table 11</t>
  </si>
  <si>
    <t xml:space="preserve">t12a</t>
  </si>
  <si>
    <t xml:space="preserve">ITC availed as per audited Annual Financial Statement for the State/UT</t>
  </si>
  <si>
    <t xml:space="preserve">Part IV, Table 12A</t>
  </si>
  <si>
    <t xml:space="preserve">t12b</t>
  </si>
  <si>
    <t xml:space="preserve">ITC booked in earlier Financial Years claimed in current Financial Year (+)</t>
  </si>
  <si>
    <t xml:space="preserve">Part IV, Table 12B</t>
  </si>
  <si>
    <t xml:space="preserve">t12c</t>
  </si>
  <si>
    <t xml:space="preserve">ITC booked in current Financial Year to be claimed in subsequent Financial Years (-)</t>
  </si>
  <si>
    <t xml:space="preserve">Part IV, Table 12C</t>
  </si>
  <si>
    <t xml:space="preserve">t12d</t>
  </si>
  <si>
    <t xml:space="preserve">ITC availed as per audited financial statements or books of account</t>
  </si>
  <si>
    <t xml:space="preserve">Part IV, Table 12D</t>
  </si>
  <si>
    <t xml:space="preserve">t12e</t>
  </si>
  <si>
    <t xml:space="preserve">ITC claimed in Annual Return (GSTR9)</t>
  </si>
  <si>
    <t xml:space="preserve">Part IV, Table 12E</t>
  </si>
  <si>
    <t xml:space="preserve">= GSTR-9 7J</t>
  </si>
  <si>
    <t xml:space="preserve">t12f</t>
  </si>
  <si>
    <t xml:space="preserve">Un-reconciled ITC (ITC 1)</t>
  </si>
  <si>
    <t xml:space="preserve">Part IV, Table 12F</t>
  </si>
  <si>
    <t xml:space="preserve">12F = 12E - 12D</t>
  </si>
  <si>
    <t xml:space="preserve">t13_reasons</t>
  </si>
  <si>
    <t xml:space="preserve">13 Reasons for un-reconciled difference in ITC</t>
  </si>
  <si>
    <t xml:space="preserve">Part IV, Table 13</t>
  </si>
  <si>
    <t xml:space="preserve">t14a</t>
  </si>
  <si>
    <t xml:space="preserve">14A Purchases – Value | Amount of Total ITC | Amount of eligible ITC availed</t>
  </si>
  <si>
    <t xml:space="preserve">Part IV, Table 14A</t>
  </si>
  <si>
    <t xml:space="preserve">Expense-head-wise ITC vs GL (link to GL/TB)</t>
  </si>
  <si>
    <t xml:space="preserve">t14b</t>
  </si>
  <si>
    <t xml:space="preserve">14B Freight / Carriage – Value | Amount of Total ITC | Amount of eligible ITC availed</t>
  </si>
  <si>
    <t xml:space="preserve">Part IV, Table 14B</t>
  </si>
  <si>
    <t xml:space="preserve">t14c</t>
  </si>
  <si>
    <t xml:space="preserve">14C Power and Fuel – Value | Amount of Total ITC | Amount of eligible ITC availed</t>
  </si>
  <si>
    <t xml:space="preserve">Part IV, Table 14C</t>
  </si>
  <si>
    <t xml:space="preserve">t14d</t>
  </si>
  <si>
    <t xml:space="preserve">14D Imported goods (Including received from SEZs) – Value | Amount of Total ITC | Amount of eligible ITC availed</t>
  </si>
  <si>
    <t xml:space="preserve">Part IV, Table 14D</t>
  </si>
  <si>
    <t xml:space="preserve">t14e</t>
  </si>
  <si>
    <t xml:space="preserve">14E Rent and Insurance – Value | Amount of Total ITC | Amount of eligible ITC availed</t>
  </si>
  <si>
    <t xml:space="preserve">Part IV, Table 14E</t>
  </si>
  <si>
    <t xml:space="preserve">t14f</t>
  </si>
  <si>
    <t xml:space="preserve">14F Goods lost, stolen, destroyed, written off or disposed of by way of gift or free samples – Value | Amount of Total ITC | Amount of eligible ITC availed</t>
  </si>
  <si>
    <t xml:space="preserve">Part IV, Table 14F</t>
  </si>
  <si>
    <t xml:space="preserve">t14g</t>
  </si>
  <si>
    <t xml:space="preserve">14G Royalties – Value | Amount of Total ITC | Amount of eligible ITC availed</t>
  </si>
  <si>
    <t xml:space="preserve">Part IV, Table 14G</t>
  </si>
  <si>
    <t xml:space="preserve">t14h</t>
  </si>
  <si>
    <t xml:space="preserve">14H Employees' Cost (Salaries, wages, Bonus etc.) – Value | Amount of Total ITC | Amount of eligible ITC availed</t>
  </si>
  <si>
    <t xml:space="preserve">Part IV, Table 14H</t>
  </si>
  <si>
    <t xml:space="preserve">t14i</t>
  </si>
  <si>
    <t xml:space="preserve">14I Conveyance charges – Value | Amount of Total ITC | Amount of eligible ITC availed</t>
  </si>
  <si>
    <t xml:space="preserve">Part IV, Table 14I</t>
  </si>
  <si>
    <t xml:space="preserve">t14j</t>
  </si>
  <si>
    <t xml:space="preserve">14J Bank Charges – Value | Amount of Total ITC | Amount of eligible ITC availed</t>
  </si>
  <si>
    <t xml:space="preserve">Part IV, Table 14J</t>
  </si>
  <si>
    <t xml:space="preserve">t14k</t>
  </si>
  <si>
    <t xml:space="preserve">14K Entertainment charges – Value | Amount of Total ITC | Amount of eligible ITC availed</t>
  </si>
  <si>
    <t xml:space="preserve">Part IV, Table 14K</t>
  </si>
  <si>
    <t xml:space="preserve">t14l</t>
  </si>
  <si>
    <t xml:space="preserve">14L Stationery Expenses (including postage etc.) – Value | Amount of Total ITC | Amount of eligible ITC availed</t>
  </si>
  <si>
    <t xml:space="preserve">Part IV, Table 14L</t>
  </si>
  <si>
    <t xml:space="preserve">t14m</t>
  </si>
  <si>
    <t xml:space="preserve">14M Repair and Maintenance – Value | Amount of Total ITC | Amount of eligible ITC availed</t>
  </si>
  <si>
    <t xml:space="preserve">Part IV, Table 14M</t>
  </si>
  <si>
    <t xml:space="preserve">t14n</t>
  </si>
  <si>
    <t xml:space="preserve">14N Other Miscellaneous expenses – Value | Amount of Total ITC | Amount of eligible ITC availed</t>
  </si>
  <si>
    <t xml:space="preserve">Part IV, Table 14N</t>
  </si>
  <si>
    <t xml:space="preserve">t14o</t>
  </si>
  <si>
    <t xml:space="preserve">14O Capital goods – Value | Amount of Total ITC | Amount of eligible ITC availed</t>
  </si>
  <si>
    <t xml:space="preserve">Part IV, Table 14O</t>
  </si>
  <si>
    <t xml:space="preserve">t14p</t>
  </si>
  <si>
    <t xml:space="preserve">14P Any other expense 1 – Value | Amount of Total ITC | Amount of eligible ITC availed</t>
  </si>
  <si>
    <t xml:space="preserve">Part IV, Table 14P</t>
  </si>
  <si>
    <t xml:space="preserve">t14q</t>
  </si>
  <si>
    <t xml:space="preserve">14Q Any other expense 2 – Value | Amount of Total ITC | Amount of eligible ITC availed</t>
  </si>
  <si>
    <t xml:space="preserve">Part IV, Table 14Q</t>
  </si>
  <si>
    <t xml:space="preserve">t14r</t>
  </si>
  <si>
    <t xml:space="preserve">Total amount of eligible ITC availed</t>
  </si>
  <si>
    <t xml:space="preserve">Part IV, Table 14R</t>
  </si>
  <si>
    <t xml:space="preserve">t14s</t>
  </si>
  <si>
    <t xml:space="preserve">Part IV, Table 14S</t>
  </si>
  <si>
    <t xml:space="preserve">t14t</t>
  </si>
  <si>
    <t xml:space="preserve">Un-reconciled ITC (ITC 2)</t>
  </si>
  <si>
    <t xml:space="preserve">Part IV, Table 14T</t>
  </si>
  <si>
    <t xml:space="preserve">t15_reasons</t>
  </si>
  <si>
    <t xml:space="preserve">15 Reasons for un-reconciled difference in ITC</t>
  </si>
  <si>
    <t xml:space="preserve">Part IV, Table 15</t>
  </si>
  <si>
    <t xml:space="preserve">Tax payable on un-reconciled difference in ITC – Central/State-UT/Integrated/Cess/Interest/Penalty</t>
  </si>
  <si>
    <t xml:space="preserve">Part IV, Table 16</t>
  </si>
  <si>
    <t xml:space="preserve">t17</t>
  </si>
  <si>
    <t xml:space="preserve">Additional liability due to non-reconciliation (Part V) – rate-wise, ITC, Interest, Late fee, Penalty, Others, Erroneous refund, Outstanding demands</t>
  </si>
  <si>
    <t xml:space="preserve">Part V</t>
  </si>
  <si>
    <t xml:space="preserve">1</t>
  </si>
  <si>
    <t xml:space="preserve">Financial year</t>
  </si>
  <si>
    <t xml:space="preserve">prev_year_aggregate_turnover</t>
  </si>
  <si>
    <t xml:space="preserve">Aggregate turnover in the preceding financial year</t>
  </si>
  <si>
    <t xml:space="preserve">3(a)</t>
  </si>
  <si>
    <t xml:space="preserve">Composition limit check (Rs 1.5 cr goods / Rs 50 lakh services – not re-verified)</t>
  </si>
  <si>
    <t xml:space="preserve">in_section</t>
  </si>
  <si>
    <t xml:space="preserve">Inward supply category</t>
  </si>
  <si>
    <t xml:space="preserve">4A/4B/4C/4D</t>
  </si>
  <si>
    <t xml:space="preserve">4A registered non-RCM | 4B registered RCM | 4C unregistered | 4D import of services</t>
  </si>
  <si>
    <t xml:space="preserve">in_supplier_gstin</t>
  </si>
  <si>
    <t xml:space="preserve">Table 4 col 1</t>
  </si>
  <si>
    <t xml:space="preserve">Match to GSTR-2A/2B (composition dealers see 4A auto-populated)</t>
  </si>
  <si>
    <t xml:space="preserve">in_invoice_no</t>
  </si>
  <si>
    <t xml:space="preserve">Invoice No.</t>
  </si>
  <si>
    <t xml:space="preserve">Table 4 col 2</t>
  </si>
  <si>
    <t xml:space="preserve">in_invoice_date</t>
  </si>
  <si>
    <t xml:space="preserve">Table 4 col 3</t>
  </si>
  <si>
    <t xml:space="preserve">in_invoice_value</t>
  </si>
  <si>
    <t xml:space="preserve">Table 4 col 4</t>
  </si>
  <si>
    <t xml:space="preserve">in_rate</t>
  </si>
  <si>
    <t xml:space="preserve">Table 4 col 5</t>
  </si>
  <si>
    <t xml:space="preserve">in_taxable_value</t>
  </si>
  <si>
    <t xml:space="preserve">Table 4 col 6</t>
  </si>
  <si>
    <t xml:space="preserve">in_igst</t>
  </si>
  <si>
    <t xml:space="preserve">Table 4 col 7</t>
  </si>
  <si>
    <t xml:space="preserve">in_cgst</t>
  </si>
  <si>
    <t xml:space="preserve">Table 4 col 8</t>
  </si>
  <si>
    <t xml:space="preserve">in_sgst</t>
  </si>
  <si>
    <t xml:space="preserve">Table 4 col 9</t>
  </si>
  <si>
    <t xml:space="preserve">in_cess</t>
  </si>
  <si>
    <t xml:space="preserve">CESS</t>
  </si>
  <si>
    <t xml:space="preserve">Table 4 col 10</t>
  </si>
  <si>
    <t xml:space="preserve">in_pos</t>
  </si>
  <si>
    <t xml:space="preserve">Place of supply (Name of State/UT)</t>
  </si>
  <si>
    <t xml:space="preserve">Table 4 col 11</t>
  </si>
  <si>
    <t xml:space="preserve">t5_outward_value</t>
  </si>
  <si>
    <t xml:space="preserve">Outward supplies (including exempt) – Value</t>
  </si>
  <si>
    <t xml:space="preserve">Table 5 row 1</t>
  </si>
  <si>
    <t xml:space="preserve">Auto from CMP-08s – sum of 4 quarters</t>
  </si>
  <si>
    <t xml:space="preserve">t5_outward_tax</t>
  </si>
  <si>
    <t xml:space="preserve">Outward supplies – IGST/CGST/SGST/Cess</t>
  </si>
  <si>
    <t xml:space="preserve">t5_rcm_value</t>
  </si>
  <si>
    <t xml:space="preserve">Inward supplies attracting reverse charge including import of services – Value</t>
  </si>
  <si>
    <t xml:space="preserve">Table 5 row 2</t>
  </si>
  <si>
    <t xml:space="preserve">t5_rcm_tax</t>
  </si>
  <si>
    <t xml:space="preserve">Inward RCM – tax heads</t>
  </si>
  <si>
    <t xml:space="preserve">t5_tax_paid</t>
  </si>
  <si>
    <t xml:space="preserve">Tax paid (1+2)</t>
  </si>
  <si>
    <t xml:space="preserve">Table 5 row 3</t>
  </si>
  <si>
    <t xml:space="preserve">t5_interest_paid</t>
  </si>
  <si>
    <t xml:space="preserve">Interest paid, if any</t>
  </si>
  <si>
    <t xml:space="preserve">Table 5 row 4</t>
  </si>
  <si>
    <t xml:space="preserve">t6_supply_type</t>
  </si>
  <si>
    <t xml:space="preserve">Type of supply (Outward/Inward)</t>
  </si>
  <si>
    <t xml:space="preserve">Table 6</t>
  </si>
  <si>
    <t xml:space="preserve">Outward | Inward</t>
  </si>
  <si>
    <t xml:space="preserve">t6_rate</t>
  </si>
  <si>
    <t xml:space="preserve">Rate of tax (%)</t>
  </si>
  <si>
    <t xml:space="preserve">composition rates 1/2/5/6 etc. (verify)</t>
  </si>
  <si>
    <t xml:space="preserve">t6_value</t>
  </si>
  <si>
    <t xml:space="preserve">Annual turnover per rate – compare with books SALES_REG</t>
  </si>
  <si>
    <t xml:space="preserve">t6_tax</t>
  </si>
  <si>
    <t xml:space="preserve">Integrated/Central/State-UT tax/Cess</t>
  </si>
  <si>
    <t xml:space="preserve">t7_deductor_gstin</t>
  </si>
  <si>
    <t xml:space="preserve">GSTIN of Deductor / e-commerce operator</t>
  </si>
  <si>
    <t xml:space="preserve">Table 7 col 1</t>
  </si>
  <si>
    <t xml:space="preserve">t7_gross_value</t>
  </si>
  <si>
    <t xml:space="preserve">Gross Value</t>
  </si>
  <si>
    <t xml:space="preserve">Table 7 col 2</t>
  </si>
  <si>
    <t xml:space="preserve">t7_cgst</t>
  </si>
  <si>
    <t xml:space="preserve">Amount – Central Tax</t>
  </si>
  <si>
    <t xml:space="preserve">Table 7 col 3</t>
  </si>
  <si>
    <t xml:space="preserve">t7_sgst</t>
  </si>
  <si>
    <t xml:space="preserve">Amount – State/UT Tax</t>
  </si>
  <si>
    <t xml:space="preserve">Table 7 col 4</t>
  </si>
  <si>
    <t xml:space="preserve">t8_tax_payable</t>
  </si>
  <si>
    <t xml:space="preserve">Tax amount payable (as per Table 6)</t>
  </si>
  <si>
    <t xml:space="preserve">Table 8 col 3</t>
  </si>
  <si>
    <t xml:space="preserve">Per head IGST/CGST/SGST/Cess</t>
  </si>
  <si>
    <t xml:space="preserve">t8_tax_paid_cmp08</t>
  </si>
  <si>
    <t xml:space="preserve">Tax amount already paid (through FORM GST CMP-08)</t>
  </si>
  <si>
    <t xml:space="preserve">Table 8 col 4</t>
  </si>
  <si>
    <t xml:space="preserve">t8_balance_payable</t>
  </si>
  <si>
    <t xml:space="preserve">Balance tax payable (3-4)</t>
  </si>
  <si>
    <t xml:space="preserve">Table 8 col 5</t>
  </si>
  <si>
    <t xml:space="preserve">Validate = col3 - col4</t>
  </si>
  <si>
    <t xml:space="preserve">t8_interest_payable</t>
  </si>
  <si>
    <t xml:space="preserve">Interest payable</t>
  </si>
  <si>
    <t xml:space="preserve">Table 8 col 6</t>
  </si>
  <si>
    <t xml:space="preserve">t8_interest_paid</t>
  </si>
  <si>
    <t xml:space="preserve">Interest paid</t>
  </si>
  <si>
    <t xml:space="preserve">Table 8 col 7</t>
  </si>
  <si>
    <t xml:space="preserve">t8_late_fee_payable</t>
  </si>
  <si>
    <t xml:space="preserve">Late fee payable</t>
  </si>
  <si>
    <t xml:space="preserve">Table 8 col 8</t>
  </si>
  <si>
    <t xml:space="preserve">t8_late_fee_paid</t>
  </si>
  <si>
    <t xml:space="preserve">Late fee paid</t>
  </si>
  <si>
    <t xml:space="preserve">Table 8 col 9</t>
  </si>
  <si>
    <t xml:space="preserve">3(b)</t>
  </si>
  <si>
    <t xml:space="preserve">arn_date</t>
  </si>
  <si>
    <t xml:space="preserve">Date of ARN</t>
  </si>
  <si>
    <t xml:space="preserve">3(c)</t>
  </si>
  <si>
    <t xml:space="preserve">Quarter</t>
  </si>
  <si>
    <t xml:space="preserve">Q1 Apr-Jun | Q2 Jul-Sep | Q3 Oct-Dec | Q4 Jan-Mar</t>
  </si>
  <si>
    <t xml:space="preserve">outward_value</t>
  </si>
  <si>
    <t xml:space="preserve">Outward supplies (including exempt supplies) – Value</t>
  </si>
  <si>
    <t xml:space="preserve">Table 3 row 1</t>
  </si>
  <si>
    <t xml:space="preserve">decimal(15,2); may be negative after adjustments</t>
  </si>
  <si>
    <t xml:space="preserve">Compare with books turnover of quarter</t>
  </si>
  <si>
    <t xml:space="preserve">outward_igst</t>
  </si>
  <si>
    <t xml:space="preserve">Outward – Integrated Tax</t>
  </si>
  <si>
    <t xml:space="preserve">outward_cgst</t>
  </si>
  <si>
    <t xml:space="preserve">Outward – Central Tax</t>
  </si>
  <si>
    <t xml:space="preserve">outward_sgst</t>
  </si>
  <si>
    <t xml:space="preserve">Outward – State/UT Tax</t>
  </si>
  <si>
    <t xml:space="preserve">outward_cess</t>
  </si>
  <si>
    <t xml:space="preserve">Outward – Cess</t>
  </si>
  <si>
    <t xml:space="preserve">rcm_value</t>
  </si>
  <si>
    <t xml:space="preserve">Table 3 row 2</t>
  </si>
  <si>
    <t xml:space="preserve">rcm_tax</t>
  </si>
  <si>
    <t xml:space="preserve">Inward RCM – Integrated/Central/State-UT/Cess</t>
  </si>
  <si>
    <t xml:space="preserve">tax_payable</t>
  </si>
  <si>
    <t xml:space="preserve">Tax payable (1+2) – per head</t>
  </si>
  <si>
    <t xml:space="preserve">Table 3 row 3</t>
  </si>
  <si>
    <t xml:space="preserve">Validate = row1 + row2</t>
  </si>
  <si>
    <t xml:space="preserve">interest_payable</t>
  </si>
  <si>
    <t xml:space="preserve">Interest payable, if any – per head</t>
  </si>
  <si>
    <t xml:space="preserve">Table 3 row 4</t>
  </si>
  <si>
    <t xml:space="preserve">tax_interest_paid</t>
  </si>
  <si>
    <t xml:space="preserve">Tax and interest paid – per head</t>
  </si>
  <si>
    <t xml:space="preserve">Table 3 row 5</t>
  </si>
  <si>
    <t xml:space="preserve">Reconcile with ECL debit (cash only)</t>
  </si>
  <si>
    <t xml:space="preserve">auto after filing</t>
  </si>
  <si>
    <t xml:space="preserve">Interest if after 18th</t>
  </si>
  <si>
    <t xml:space="preserve">deductor_gstin</t>
  </si>
  <si>
    <t xml:space="preserve">GSTIN (of deductor)</t>
  </si>
  <si>
    <t xml:space="preserve">GSTIN with TDS registration (13th char 'D' – unverified)</t>
  </si>
  <si>
    <t xml:space="preserve">deductee_gstin</t>
  </si>
  <si>
    <t xml:space="preserve">GSTIN of deductee</t>
  </si>
  <si>
    <t xml:space="preserve">Table 3 col 1</t>
  </si>
  <si>
    <t xml:space="preserve">Match to deductee GSTR-2A tds[].gstin_deductor side</t>
  </si>
  <si>
    <t xml:space="preserve">amount_paid</t>
  </si>
  <si>
    <t xml:space="preserve">Amount paid to deductee on which tax is deducted</t>
  </si>
  <si>
    <t xml:space="preserve">Table 3 col 2</t>
  </si>
  <si>
    <t xml:space="preserve">Taxable value; TDS applies where contract value &gt; Rs 2.5 lakh</t>
  </si>
  <si>
    <t xml:space="preserve">tds_igst</t>
  </si>
  <si>
    <t xml:space="preserve">Amount of tax deducted at source – Integrated Tax</t>
  </si>
  <si>
    <t xml:space="preserve">Table 3 col 3</t>
  </si>
  <si>
    <t xml:space="preserve">decimal(15,2); &gt;= 0 unless noted; = 2% of col 2 (inter-State)</t>
  </si>
  <si>
    <t xml:space="preserve">tds_cgst</t>
  </si>
  <si>
    <t xml:space="preserve">Amount of tax deducted at source – Central Tax</t>
  </si>
  <si>
    <t xml:space="preserve">Table 3 col 4</t>
  </si>
  <si>
    <t xml:space="preserve">decimal(15,2); &gt;= 0 unless noted; = 1% of col 2</t>
  </si>
  <si>
    <t xml:space="preserve">tds_sgst</t>
  </si>
  <si>
    <t xml:space="preserve">Amount of tax deducted at source – State/UT Tax</t>
  </si>
  <si>
    <t xml:space="preserve">Table 3 col 5</t>
  </si>
  <si>
    <t xml:space="preserve">deductee_invoice_no</t>
  </si>
  <si>
    <t xml:space="preserve">Invoice number (invoice-wise reporting)</t>
  </si>
  <si>
    <t xml:space="preserve">Table 3 (as amended by N.09/2025-CT) [JSON name unverified]</t>
  </si>
  <si>
    <t xml:space="preserve">Pending portal deployment</t>
  </si>
  <si>
    <t xml:space="preserve">deductee_invoice_date</t>
  </si>
  <si>
    <t xml:space="preserve">Table 3 (amended) [JSON name unverified]</t>
  </si>
  <si>
    <t xml:space="preserve">amend_original_month</t>
  </si>
  <si>
    <t xml:space="preserve">Original details – Month</t>
  </si>
  <si>
    <t xml:space="preserve">amend_original_gstin</t>
  </si>
  <si>
    <t xml:space="preserve">Original GSTIN of deductee</t>
  </si>
  <si>
    <t xml:space="preserve">amend_revised_gstin</t>
  </si>
  <si>
    <t xml:space="preserve">Revised GSTIN of deductee</t>
  </si>
  <si>
    <t xml:space="preserve">amend_revised_amount</t>
  </si>
  <si>
    <t xml:space="preserve">Revised amount paid to deductee</t>
  </si>
  <si>
    <t xml:space="preserve">tds_paid</t>
  </si>
  <si>
    <t xml:space="preserve">Tax deducted – Amount paid (IGST/CGST/SGST)</t>
  </si>
  <si>
    <t xml:space="preserve">Table 5</t>
  </si>
  <si>
    <t xml:space="preserve">Reconcile with ECL debit</t>
  </si>
  <si>
    <t xml:space="preserve">interest_payable_paid</t>
  </si>
  <si>
    <t xml:space="preserve">Interest on TDS – payable / paid</t>
  </si>
  <si>
    <t xml:space="preserve">Table 6(I)</t>
  </si>
  <si>
    <t xml:space="preserve">late_fee_payable_paid</t>
  </si>
  <si>
    <t xml:space="preserve">Late fee – payable / paid (CGST/SGST)</t>
  </si>
  <si>
    <t xml:space="preserve">Table 6(II)</t>
  </si>
  <si>
    <t xml:space="preserve">GSTIN (of ECO)</t>
  </si>
  <si>
    <t xml:space="preserve">GSTIN with TCS registration (13th char 'C' – unverified)</t>
  </si>
  <si>
    <t xml:space="preserve">Year / Month</t>
  </si>
  <si>
    <t xml:space="preserve">3A registered / 3B unregistered</t>
  </si>
  <si>
    <t xml:space="preserve">Table 3</t>
  </si>
  <si>
    <t xml:space="preserve">3A | 3B</t>
  </si>
  <si>
    <t xml:space="preserve">Match to supplier GSTR-1 Table 14(a) etin + value</t>
  </si>
  <si>
    <t xml:space="preserve">gross_value</t>
  </si>
  <si>
    <t xml:space="preserve">Gross value of supplies made</t>
  </si>
  <si>
    <t xml:space="preserve">value_returned</t>
  </si>
  <si>
    <t xml:space="preserve">Value of supplies returned</t>
  </si>
  <si>
    <t xml:space="preserve">net_amount_liable</t>
  </si>
  <si>
    <t xml:space="preserve">= col2 - col3</t>
  </si>
  <si>
    <t xml:space="preserve">Validate arithmetic</t>
  </si>
  <si>
    <t xml:space="preserve">tcs_igst</t>
  </si>
  <si>
    <t xml:space="preserve">decimal(15,2); &gt;= 0 unless noted; 0.5% of col 4 (inter-State)</t>
  </si>
  <si>
    <t xml:space="preserve">tcs_cgst</t>
  </si>
  <si>
    <t xml:space="preserve">Table 3 col 6</t>
  </si>
  <si>
    <t xml:space="preserve">decimal(15,2); &gt;= 0 unless noted; 0.25% of col 4</t>
  </si>
  <si>
    <t xml:space="preserve">tcs_sgst</t>
  </si>
  <si>
    <t xml:space="preserve">Table 3 col 7</t>
  </si>
  <si>
    <t xml:space="preserve">amend_month</t>
  </si>
  <si>
    <t xml:space="preserve">Month (of original)</t>
  </si>
  <si>
    <t xml:space="preserve">amend_original_supplier_gstin</t>
  </si>
  <si>
    <t xml:space="preserve">Original GSTIN of supplier</t>
  </si>
  <si>
    <t xml:space="preserve">amend_revised_supplier_gstin</t>
  </si>
  <si>
    <t xml:space="preserve">Revised GSTIN of supplier</t>
  </si>
  <si>
    <t xml:space="preserve">tax_payable_paid</t>
  </si>
  <si>
    <t xml:space="preserve">Tax payable / Amount paid (IGST/CGST/SGST)</t>
  </si>
  <si>
    <t xml:space="preserve">Reconcile with ECL</t>
  </si>
  <si>
    <t xml:space="preserve">Interest payable / paid</t>
  </si>
  <si>
    <t xml:space="preserve">Table 7</t>
  </si>
  <si>
    <t xml:space="preserve">schema_version</t>
  </si>
  <si>
    <t xml:space="preserve">1-6 chars e.g. '1.1'</t>
  </si>
  <si>
    <t xml:space="preserve">Invoice Reference Number</t>
  </si>
  <si>
    <t xml:space="preserve">Irn (response Data.Irn)</t>
  </si>
  <si>
    <t xml:space="preserve">64 chars (SHA-256 hex of supplier GSTIN + FY + doc type + doc no)</t>
  </si>
  <si>
    <t xml:space="preserve">Join key to GSTR-1 b2b irn and GSTR-2B irn</t>
  </si>
  <si>
    <t xml:space="preserve">ack_no</t>
  </si>
  <si>
    <t xml:space="preserve">Acknowledgement number</t>
  </si>
  <si>
    <t xml:space="preserve">Data.AckNo</t>
  </si>
  <si>
    <t xml:space="preserve">15 digits (sample)</t>
  </si>
  <si>
    <t xml:space="preserve">ack_date</t>
  </si>
  <si>
    <t xml:space="preserve">Acknowledgement date-time</t>
  </si>
  <si>
    <t xml:space="preserve">Data.AckDt</t>
  </si>
  <si>
    <t xml:space="preserve">yyyy-mm-dd hh:mm:ss</t>
  </si>
  <si>
    <t xml:space="preserve">IRN date; check 30-day reporting window vs DocDtls.Dt for AATO &gt;= Rs 10 crore</t>
  </si>
  <si>
    <t xml:space="preserve">irn_status</t>
  </si>
  <si>
    <t xml:space="preserve">Status</t>
  </si>
  <si>
    <t xml:space="preserve">Data.Status</t>
  </si>
  <si>
    <t xml:space="preserve">ACT (active) | CNL (cancelled)</t>
  </si>
  <si>
    <t xml:space="preserve">Cancelled IRN must not appear as live invoice in GSTR-1</t>
  </si>
  <si>
    <t xml:space="preserve">signed_qr</t>
  </si>
  <si>
    <t xml:space="preserve">Signed QR Code</t>
  </si>
  <si>
    <t xml:space="preserve">Data.SignedQRCode</t>
  </si>
  <si>
    <t xml:space="preserve">JWT</t>
  </si>
  <si>
    <t xml:space="preserve">tax_scheme</t>
  </si>
  <si>
    <t xml:space="preserve">Tax scheme</t>
  </si>
  <si>
    <t xml:space="preserve">TranDtls.TaxSch</t>
  </si>
  <si>
    <t xml:space="preserve">Type of supply</t>
  </si>
  <si>
    <t xml:space="preserve">TranDtls.SupTyp</t>
  </si>
  <si>
    <t xml:space="preserve">B2B | SEZWP | SEZWOP | EXPWP | EXPWOP | DEXP</t>
  </si>
  <si>
    <t xml:space="preserve">Maps to GSTR-1: B2B-&gt;4A/4B (inv_typ R), SEZWP/SEZWOP-&gt;6B, DEXP-&gt;6C (DE), EXPWP/EXPWOP-&gt;6A (WPAY/WOPAY)</t>
  </si>
  <si>
    <t xml:space="preserve">Tax payable under reverse charge</t>
  </si>
  <si>
    <t xml:space="preserve">TranDtls.RegRev</t>
  </si>
  <si>
    <t xml:space="preserve">-&gt; rchrg</t>
  </si>
  <si>
    <t xml:space="preserve">ecom_gstin</t>
  </si>
  <si>
    <t xml:space="preserve">TranDtls.EcmGstin</t>
  </si>
  <si>
    <t xml:space="preserve">^[0-9]{2}[0-9A-Z]{13}$</t>
  </si>
  <si>
    <t xml:space="preserve">-&gt; etin</t>
  </si>
  <si>
    <t xml:space="preserve">igst_on_intra</t>
  </si>
  <si>
    <t xml:space="preserve">IGST on intra-State supply</t>
  </si>
  <si>
    <t xml:space="preserve">TranDtls.IgstOnIntra</t>
  </si>
  <si>
    <t xml:space="preserve">doc_type</t>
  </si>
  <si>
    <t xml:space="preserve">Document type</t>
  </si>
  <si>
    <t xml:space="preserve">DocDtls.Typ</t>
  </si>
  <si>
    <t xml:space="preserve">INV | CRN | DBN</t>
  </si>
  <si>
    <t xml:space="preserve">INV -&gt; b2b/exp; CRN/DBN -&gt; cdnr/cdnur</t>
  </si>
  <si>
    <t xml:space="preserve">doc_no</t>
  </si>
  <si>
    <t xml:space="preserve">DocDtls.No</t>
  </si>
  <si>
    <t xml:space="preserve">^[a-zA-Z1-9][a-zA-Z0-9/-]{0,15}$ (max 16; cannot start with 0)</t>
  </si>
  <si>
    <t xml:space="preserve">Match to GSTR-1 inum / nt_num (normalise case)</t>
  </si>
  <si>
    <t xml:space="preserve">doc_date</t>
  </si>
  <si>
    <t xml:space="preserve">DocDtls.Dt</t>
  </si>
  <si>
    <t xml:space="preserve">dd/mm/yyyy</t>
  </si>
  <si>
    <t xml:space="preserve">seller_gstin</t>
  </si>
  <si>
    <t xml:space="preserve">SellerDtls.Gstin</t>
  </si>
  <si>
    <t xml:space="preserve">seller_legal_name</t>
  </si>
  <si>
    <t xml:space="preserve">Legal name</t>
  </si>
  <si>
    <t xml:space="preserve">SellerDtls.LglNm</t>
  </si>
  <si>
    <t xml:space="preserve">3-100 chars</t>
  </si>
  <si>
    <t xml:space="preserve">seller_state_code</t>
  </si>
  <si>
    <t xml:space="preserve">State code</t>
  </si>
  <si>
    <t xml:space="preserve">SellerDtls.Stcd</t>
  </si>
  <si>
    <t xml:space="preserve">^(?!0+$)[0-9]{1,2}$</t>
  </si>
  <si>
    <t xml:space="preserve">seller_pin</t>
  </si>
  <si>
    <t xml:space="preserve">PIN code</t>
  </si>
  <si>
    <t xml:space="preserve">SellerDtls.Pin</t>
  </si>
  <si>
    <t xml:space="preserve">100000-999999</t>
  </si>
  <si>
    <t xml:space="preserve">buyer_gstin</t>
  </si>
  <si>
    <t xml:space="preserve">Buyer GSTIN</t>
  </si>
  <si>
    <t xml:space="preserve">BuyerDtls.Gstin</t>
  </si>
  <si>
    <t xml:space="preserve">^(([0-9]{2}[0-9A-Z]{13})|URP)$ (URP for exports)</t>
  </si>
  <si>
    <t xml:space="preserve">-&gt; ctin</t>
  </si>
  <si>
    <t xml:space="preserve">buyer_legal_name</t>
  </si>
  <si>
    <t xml:space="preserve">BuyerDtls.LglNm</t>
  </si>
  <si>
    <t xml:space="preserve">buyer_pos</t>
  </si>
  <si>
    <t xml:space="preserve">BuyerDtls.Pos</t>
  </si>
  <si>
    <t xml:space="preserve">1-2 digit state code; 96 = outside India</t>
  </si>
  <si>
    <t xml:space="preserve">-&gt; pos (zero-pad to 2)</t>
  </si>
  <si>
    <t xml:space="preserve">buyer_state_code</t>
  </si>
  <si>
    <t xml:space="preserve">BuyerDtls.Stcd</t>
  </si>
  <si>
    <t xml:space="preserve">buyer_pin</t>
  </si>
  <si>
    <t xml:space="preserve">BuyerDtls.Pin</t>
  </si>
  <si>
    <t xml:space="preserve">ship_gstin</t>
  </si>
  <si>
    <t xml:space="preserve">Consignee GSTIN</t>
  </si>
  <si>
    <t xml:space="preserve">ShipDtls.Gstin</t>
  </si>
  <si>
    <t xml:space="preserve">GSTIN or URP</t>
  </si>
  <si>
    <t xml:space="preserve">item_sl_no</t>
  </si>
  <si>
    <t xml:space="preserve">Item serial number</t>
  </si>
  <si>
    <t xml:space="preserve">ItemList[].SlNo</t>
  </si>
  <si>
    <t xml:space="preserve">1-6 digits</t>
  </si>
  <si>
    <t xml:space="preserve">item_is_service</t>
  </si>
  <si>
    <t xml:space="preserve">Service flag</t>
  </si>
  <si>
    <t xml:space="preserve">ItemList[].IsServc</t>
  </si>
  <si>
    <t xml:space="preserve">item_hsn</t>
  </si>
  <si>
    <t xml:space="preserve">HSN code</t>
  </si>
  <si>
    <t xml:space="preserve">ItemList[].HsnCd</t>
  </si>
  <si>
    <t xml:space="preserve">4, 6 or 8 digits; not all zeros</t>
  </si>
  <si>
    <t xml:space="preserve">Compare with GSTR-1 Table 12 HSN</t>
  </si>
  <si>
    <t xml:space="preserve">item_qty</t>
  </si>
  <si>
    <t xml:space="preserve">ItemList[].Qty</t>
  </si>
  <si>
    <t xml:space="preserve">0-9999999999.999</t>
  </si>
  <si>
    <t xml:space="preserve">item_unit</t>
  </si>
  <si>
    <t xml:space="preserve">Unit</t>
  </si>
  <si>
    <t xml:space="preserve">ItemList[].Unit</t>
  </si>
  <si>
    <t xml:space="preserve">^[A-Za-z]{3,8}$ (UQC)</t>
  </si>
  <si>
    <t xml:space="preserve">item_unit_price</t>
  </si>
  <si>
    <t xml:space="preserve">Unit price</t>
  </si>
  <si>
    <t xml:space="preserve">ItemList[].UnitPrice</t>
  </si>
  <si>
    <t xml:space="preserve">decimal(15,3)</t>
  </si>
  <si>
    <t xml:space="preserve">item_total_amount</t>
  </si>
  <si>
    <t xml:space="preserve">Gross amount</t>
  </si>
  <si>
    <t xml:space="preserve">ItemList[].TotAmt</t>
  </si>
  <si>
    <t xml:space="preserve">= UnitPrice x Qty (validate)</t>
  </si>
  <si>
    <t xml:space="preserve">item_discount</t>
  </si>
  <si>
    <t xml:space="preserve">Discount</t>
  </si>
  <si>
    <t xml:space="preserve">ItemList[].Discount</t>
  </si>
  <si>
    <t xml:space="preserve">item_assessable_value</t>
  </si>
  <si>
    <t xml:space="preserve">Taxable value (AssAmt)</t>
  </si>
  <si>
    <t xml:space="preserve">ItemList[].AssAmt</t>
  </si>
  <si>
    <t xml:space="preserve">= TotAmt - Discount (validate)</t>
  </si>
  <si>
    <t xml:space="preserve">-&gt; txval</t>
  </si>
  <si>
    <t xml:space="preserve">item_gst_rate</t>
  </si>
  <si>
    <t xml:space="preserve">GST rate</t>
  </si>
  <si>
    <t xml:space="preserve">ItemList[].GstRt</t>
  </si>
  <si>
    <t xml:space="preserve">-&gt; rt</t>
  </si>
  <si>
    <t xml:space="preserve">item_igst</t>
  </si>
  <si>
    <t xml:space="preserve">IGST amount</t>
  </si>
  <si>
    <t xml:space="preserve">ItemList[].IgstAmt</t>
  </si>
  <si>
    <t xml:space="preserve">item_cgst</t>
  </si>
  <si>
    <t xml:space="preserve">CGST amount</t>
  </si>
  <si>
    <t xml:space="preserve">ItemList[].CgstAmt</t>
  </si>
  <si>
    <t xml:space="preserve">item_sgst</t>
  </si>
  <si>
    <t xml:space="preserve">SGST amount</t>
  </si>
  <si>
    <t xml:space="preserve">ItemList[].SgstAmt</t>
  </si>
  <si>
    <t xml:space="preserve">item_cess_rate</t>
  </si>
  <si>
    <t xml:space="preserve">Cess rate</t>
  </si>
  <si>
    <t xml:space="preserve">ItemList[].CesRt</t>
  </si>
  <si>
    <t xml:space="preserve">0-999.999</t>
  </si>
  <si>
    <t xml:space="preserve">item_cess</t>
  </si>
  <si>
    <t xml:space="preserve">Cess amount</t>
  </si>
  <si>
    <t xml:space="preserve">ItemList[].CesAmt</t>
  </si>
  <si>
    <t xml:space="preserve">item_cess_non_advol</t>
  </si>
  <si>
    <t xml:space="preserve">Cess non-advalorem amount</t>
  </si>
  <si>
    <t xml:space="preserve">ItemList[].CesNonAdvlAmt</t>
  </si>
  <si>
    <t xml:space="preserve">item_state_cess</t>
  </si>
  <si>
    <t xml:space="preserve">State cess amount</t>
  </si>
  <si>
    <t xml:space="preserve">ItemList[].StateCesAmt</t>
  </si>
  <si>
    <t xml:space="preserve">item_other_charges</t>
  </si>
  <si>
    <t xml:space="preserve">Other charges</t>
  </si>
  <si>
    <t xml:space="preserve">ItemList[].OthChrg</t>
  </si>
  <si>
    <t xml:space="preserve">item_total_value</t>
  </si>
  <si>
    <t xml:space="preserve">Total item value</t>
  </si>
  <si>
    <t xml:space="preserve">ItemList[].TotItemVal</t>
  </si>
  <si>
    <t xml:space="preserve">= AssAmt + taxes + cess + OthChrg (validate)</t>
  </si>
  <si>
    <t xml:space="preserve">val_assessable</t>
  </si>
  <si>
    <t xml:space="preserve">Total assessable value</t>
  </si>
  <si>
    <t xml:space="preserve">ValDtls.AssVal</t>
  </si>
  <si>
    <t xml:space="preserve">= sum(AssAmt)</t>
  </si>
  <si>
    <t xml:space="preserve">Invoice-level txval</t>
  </si>
  <si>
    <t xml:space="preserve">val_cgst</t>
  </si>
  <si>
    <t xml:space="preserve">Total CGST</t>
  </si>
  <si>
    <t xml:space="preserve">ValDtls.CgstVal</t>
  </si>
  <si>
    <t xml:space="preserve">val_sgst</t>
  </si>
  <si>
    <t xml:space="preserve">Total SGST</t>
  </si>
  <si>
    <t xml:space="preserve">ValDtls.SgstVal</t>
  </si>
  <si>
    <t xml:space="preserve">val_igst</t>
  </si>
  <si>
    <t xml:space="preserve">Total IGST</t>
  </si>
  <si>
    <t xml:space="preserve">ValDtls.IgstVal</t>
  </si>
  <si>
    <t xml:space="preserve">val_cess</t>
  </si>
  <si>
    <t xml:space="preserve">Total cess</t>
  </si>
  <si>
    <t xml:space="preserve">ValDtls.CesVal</t>
  </si>
  <si>
    <t xml:space="preserve">val_state_cess</t>
  </si>
  <si>
    <t xml:space="preserve">Total state cess</t>
  </si>
  <si>
    <t xml:space="preserve">ValDtls.StCesVal</t>
  </si>
  <si>
    <t xml:space="preserve">val_discount</t>
  </si>
  <si>
    <t xml:space="preserve">Total discount</t>
  </si>
  <si>
    <t xml:space="preserve">ValDtls.Discount</t>
  </si>
  <si>
    <t xml:space="preserve">val_other_charges</t>
  </si>
  <si>
    <t xml:space="preserve">Total other charges</t>
  </si>
  <si>
    <t xml:space="preserve">ValDtls.OthChrg</t>
  </si>
  <si>
    <t xml:space="preserve">val_round_off</t>
  </si>
  <si>
    <t xml:space="preserve">Round-off amount</t>
  </si>
  <si>
    <t xml:space="preserve">ValDtls.RndOffAmt</t>
  </si>
  <si>
    <t xml:space="preserve">-99.99 to 99.99</t>
  </si>
  <si>
    <t xml:space="preserve">val_total_invoice</t>
  </si>
  <si>
    <t xml:space="preserve">Final invoice value</t>
  </si>
  <si>
    <t xml:space="preserve">ValDtls.TotInvVal</t>
  </si>
  <si>
    <t xml:space="preserve">-&gt; val</t>
  </si>
  <si>
    <t xml:space="preserve">val_total_invoice_fc</t>
  </si>
  <si>
    <t xml:space="preserve">Final invoice value in foreign currency</t>
  </si>
  <si>
    <t xml:space="preserve">ValDtls.TotInvValFc</t>
  </si>
  <si>
    <t xml:space="preserve">preceding_invoice_no</t>
  </si>
  <si>
    <t xml:space="preserve">Preceding invoice reference</t>
  </si>
  <si>
    <t xml:space="preserve">RefDtls.PrecDocDtls[].InvNo</t>
  </si>
  <si>
    <t xml:space="preserve">1-16 chars</t>
  </si>
  <si>
    <t xml:space="preserve">Original invoice for CRN/DBN</t>
  </si>
  <si>
    <t xml:space="preserve">preceding_invoice_date</t>
  </si>
  <si>
    <t xml:space="preserve">Preceding invoice date</t>
  </si>
  <si>
    <t xml:space="preserve">RefDtls.PrecDocDtls[].InvDt</t>
  </si>
  <si>
    <t xml:space="preserve">export_shipping_bill_no</t>
  </si>
  <si>
    <t xml:space="preserve">Shipping bill number</t>
  </si>
  <si>
    <t xml:space="preserve">ExpDtls.ShipBNo</t>
  </si>
  <si>
    <t xml:space="preserve">1-20 chars</t>
  </si>
  <si>
    <t xml:space="preserve">-&gt; sbnum</t>
  </si>
  <si>
    <t xml:space="preserve">export_shipping_bill_date</t>
  </si>
  <si>
    <t xml:space="preserve">ExpDtls.ShipBDt</t>
  </si>
  <si>
    <t xml:space="preserve">-&gt; sbdt</t>
  </si>
  <si>
    <t xml:space="preserve">export_port</t>
  </si>
  <si>
    <t xml:space="preserve">Port code</t>
  </si>
  <si>
    <t xml:space="preserve">ExpDtls.Port</t>
  </si>
  <si>
    <t xml:space="preserve">2-10 alphanumeric</t>
  </si>
  <si>
    <t xml:space="preserve">-&gt; sbpcode</t>
  </si>
  <si>
    <t xml:space="preserve">export_refund_claim</t>
  </si>
  <si>
    <t xml:space="preserve">Claiming refund</t>
  </si>
  <si>
    <t xml:space="preserve">ExpDtls.RefClm</t>
  </si>
  <si>
    <t xml:space="preserve">export_currency</t>
  </si>
  <si>
    <t xml:space="preserve">Foreign currency</t>
  </si>
  <si>
    <t xml:space="preserve">ExpDtls.ForCur</t>
  </si>
  <si>
    <t xml:space="preserve">3-16 letters</t>
  </si>
  <si>
    <t xml:space="preserve">export_country</t>
  </si>
  <si>
    <t xml:space="preserve">Country code</t>
  </si>
  <si>
    <t xml:space="preserve">ExpDtls.CntCode</t>
  </si>
  <si>
    <t xml:space="preserve">2 letters</t>
  </si>
  <si>
    <t xml:space="preserve">ewb_no</t>
  </si>
  <si>
    <t xml:space="preserve">E-way bill number</t>
  </si>
  <si>
    <t xml:space="preserve">Data.EwbNo</t>
  </si>
  <si>
    <t xml:space="preserve">12 digits</t>
  </si>
  <si>
    <t xml:space="preserve">Join to EWB.ewb_no</t>
  </si>
  <si>
    <t xml:space="preserve">ewb_date</t>
  </si>
  <si>
    <t xml:space="preserve">E-way bill date</t>
  </si>
  <si>
    <t xml:space="preserve">Data.EwbDt</t>
  </si>
  <si>
    <t xml:space="preserve">ewb_valid_till</t>
  </si>
  <si>
    <t xml:space="preserve">E-way bill valid till</t>
  </si>
  <si>
    <t xml:space="preserve">Data.EwbValidTill</t>
  </si>
  <si>
    <t xml:space="preserve">ewb_transporter_id</t>
  </si>
  <si>
    <t xml:space="preserve">Transporter ID</t>
  </si>
  <si>
    <t xml:space="preserve">EwbDtls.TransId</t>
  </si>
  <si>
    <t xml:space="preserve">15 chars GSTIN/TRANSIN</t>
  </si>
  <si>
    <t xml:space="preserve">ewb_distance</t>
  </si>
  <si>
    <t xml:space="preserve">Distance</t>
  </si>
  <si>
    <t xml:space="preserve">EwbDtls.Distance</t>
  </si>
  <si>
    <t xml:space="preserve">0-4000 km</t>
  </si>
  <si>
    <t xml:space="preserve">ewb_vehicle_no</t>
  </si>
  <si>
    <t xml:space="preserve">Vehicle number</t>
  </si>
  <si>
    <t xml:space="preserve">EwbDtls.VehNo</t>
  </si>
  <si>
    <t xml:space="preserve">4-20 alphanumeric</t>
  </si>
  <si>
    <t xml:space="preserve">ewb_trans_mode</t>
  </si>
  <si>
    <t xml:space="preserve">Transport mode</t>
  </si>
  <si>
    <t xml:space="preserve">EwbDtls.TransMode</t>
  </si>
  <si>
    <t xml:space="preserve">1 Road | 2 Rail | 3 Air | 4 Ship</t>
  </si>
  <si>
    <t xml:space="preserve">E-Way Bill No.</t>
  </si>
  <si>
    <t xml:space="preserve">ewbNo / ewayBillNo</t>
  </si>
  <si>
    <t xml:space="preserve">Primary key; join to EINV.EwbNo</t>
  </si>
  <si>
    <t xml:space="preserve">E-Way Bill Date</t>
  </si>
  <si>
    <t xml:space="preserve">ewayBillDate</t>
  </si>
  <si>
    <t xml:space="preserve">dd/mm/yyyy hh:mm:ss AM/PM</t>
  </si>
  <si>
    <t xml:space="preserve">generation_mode</t>
  </si>
  <si>
    <t xml:space="preserve">Generated mode</t>
  </si>
  <si>
    <t xml:space="preserve">genMode</t>
  </si>
  <si>
    <t xml:space="preserve">API | Excel | SMS | web (values partially seen)</t>
  </si>
  <si>
    <t xml:space="preserve">generator_gstin</t>
  </si>
  <si>
    <t xml:space="preserve">Generated by (GSTIN)</t>
  </si>
  <si>
    <t xml:space="preserve">userGstin</t>
  </si>
  <si>
    <t xml:space="preserve">supplyType</t>
  </si>
  <si>
    <t xml:space="preserve">O (Outward) | I (Inward)</t>
  </si>
  <si>
    <t xml:space="preserve">sub_supply_type</t>
  </si>
  <si>
    <t xml:space="preserve">Sub supply type</t>
  </si>
  <si>
    <t xml:space="preserve">subSupplyType</t>
  </si>
  <si>
    <t xml:space="preserve">1 Supply | 2 Import | 3 Export | 4 Job Work | 5 For Own Use | 6 Job Work Returns | 7 Sales Return | 8 Others | 9 SKD/CKD | 10 Line Sales | 11 Recipient Not Known | 12 Exhibition or Fairs</t>
  </si>
  <si>
    <t xml:space="preserve">Only '1 Supply' outward should map to GSTR-1 sale</t>
  </si>
  <si>
    <t xml:space="preserve">docType</t>
  </si>
  <si>
    <t xml:space="preserve">INV | BIL | BOE | CHL | OTH</t>
  </si>
  <si>
    <t xml:space="preserve">Document No.</t>
  </si>
  <si>
    <t xml:space="preserve">docNo</t>
  </si>
  <si>
    <t xml:space="preserve">max 16 chars; alphanumeric with - and /</t>
  </si>
  <si>
    <t xml:space="preserve">Match to GSTR-1 inum / SALES_REG</t>
  </si>
  <si>
    <t xml:space="preserve">Document Date</t>
  </si>
  <si>
    <t xml:space="preserve">docDate</t>
  </si>
  <si>
    <t xml:space="preserve">dd/mm/yyyy; not later than generation date</t>
  </si>
  <si>
    <t xml:space="preserve">from_gstin</t>
  </si>
  <si>
    <t xml:space="preserve">GSTIN of supplier (From)</t>
  </si>
  <si>
    <t xml:space="preserve">fromGstin</t>
  </si>
  <si>
    <t xml:space="preserve">15 chars or URP</t>
  </si>
  <si>
    <t xml:space="preserve">from_trade_name</t>
  </si>
  <si>
    <t xml:space="preserve">From – trade name</t>
  </si>
  <si>
    <t xml:space="preserve">fromTrdName</t>
  </si>
  <si>
    <t xml:space="preserve">max 100</t>
  </si>
  <si>
    <t xml:space="preserve">from_pincode</t>
  </si>
  <si>
    <t xml:space="preserve">From PIN</t>
  </si>
  <si>
    <t xml:space="preserve">fromPincode</t>
  </si>
  <si>
    <t xml:space="preserve">6 digits</t>
  </si>
  <si>
    <t xml:space="preserve">from_state_code</t>
  </si>
  <si>
    <t xml:space="preserve">From state</t>
  </si>
  <si>
    <t xml:space="preserve">fromStateCode</t>
  </si>
  <si>
    <t xml:space="preserve">1-99</t>
  </si>
  <si>
    <t xml:space="preserve">act_from_state_code</t>
  </si>
  <si>
    <t xml:space="preserve">Actual dispatch state</t>
  </si>
  <si>
    <t xml:space="preserve">actFromStateCode</t>
  </si>
  <si>
    <t xml:space="preserve">to_gstin</t>
  </si>
  <si>
    <t xml:space="preserve">GSTIN of recipient (To)</t>
  </si>
  <si>
    <t xml:space="preserve">toGstin</t>
  </si>
  <si>
    <t xml:space="preserve">Match to GSTR-1 ctin</t>
  </si>
  <si>
    <t xml:space="preserve">to_trade_name</t>
  </si>
  <si>
    <t xml:space="preserve">To – trade name</t>
  </si>
  <si>
    <t xml:space="preserve">toTrdName</t>
  </si>
  <si>
    <t xml:space="preserve">to_pincode</t>
  </si>
  <si>
    <t xml:space="preserve">To PIN</t>
  </si>
  <si>
    <t xml:space="preserve">toPincode</t>
  </si>
  <si>
    <t xml:space="preserve">to_state_code</t>
  </si>
  <si>
    <t xml:space="preserve">To state (POS)</t>
  </si>
  <si>
    <t xml:space="preserve">toStateCode</t>
  </si>
  <si>
    <t xml:space="preserve">Compare with GSTR-1 pos</t>
  </si>
  <si>
    <t xml:space="preserve">act_to_state_code</t>
  </si>
  <si>
    <t xml:space="preserve">Actual ship-to state</t>
  </si>
  <si>
    <t xml:space="preserve">actToStateCode</t>
  </si>
  <si>
    <t xml:space="preserve">transaction_type</t>
  </si>
  <si>
    <t xml:space="preserve">Transaction type</t>
  </si>
  <si>
    <t xml:space="preserve">transactionType</t>
  </si>
  <si>
    <t xml:space="preserve">1 Regular | 2 Bill To-Ship To | 3 Bill From-Dispatch From | 4 Combination of 2 and 3</t>
  </si>
  <si>
    <t xml:space="preserve">total_taxable_value</t>
  </si>
  <si>
    <t xml:space="preserve">Total taxable value</t>
  </si>
  <si>
    <t xml:space="preserve">totalValue</t>
  </si>
  <si>
    <t xml:space="preserve">decimal(18,2)</t>
  </si>
  <si>
    <t xml:space="preserve">Compare with GSTR-1 txval</t>
  </si>
  <si>
    <t xml:space="preserve">cgst_value</t>
  </si>
  <si>
    <t xml:space="preserve">cgstValue</t>
  </si>
  <si>
    <t xml:space="preserve">sgst_value</t>
  </si>
  <si>
    <t xml:space="preserve">sgstValue</t>
  </si>
  <si>
    <t xml:space="preserve">igst_value</t>
  </si>
  <si>
    <t xml:space="preserve">igstValue</t>
  </si>
  <si>
    <t xml:space="preserve">cess_value</t>
  </si>
  <si>
    <t xml:space="preserve">cessValue</t>
  </si>
  <si>
    <t xml:space="preserve">cess_non_advol_value</t>
  </si>
  <si>
    <t xml:space="preserve">Cess non-advol</t>
  </si>
  <si>
    <t xml:space="preserve">cessNonAdvolValue</t>
  </si>
  <si>
    <t xml:space="preserve">other_value</t>
  </si>
  <si>
    <t xml:space="preserve">Other value</t>
  </si>
  <si>
    <t xml:space="preserve">otherValue</t>
  </si>
  <si>
    <t xml:space="preserve">total_invoice_value</t>
  </si>
  <si>
    <t xml:space="preserve">Total invoice value</t>
  </si>
  <si>
    <t xml:space="preserve">totInvValue</t>
  </si>
  <si>
    <t xml:space="preserve">Compare with GSTR-1 val</t>
  </si>
  <si>
    <t xml:space="preserve">HSN Code</t>
  </si>
  <si>
    <t xml:space="preserve">itemList[].hsnCode</t>
  </si>
  <si>
    <t xml:space="preserve">4-8 digits; valid per GST master</t>
  </si>
  <si>
    <t xml:space="preserve">item_product_name</t>
  </si>
  <si>
    <t xml:space="preserve">Product name</t>
  </si>
  <si>
    <t xml:space="preserve">itemList[].productName</t>
  </si>
  <si>
    <t xml:space="preserve">item_quantity</t>
  </si>
  <si>
    <t xml:space="preserve">itemList[].quantity</t>
  </si>
  <si>
    <t xml:space="preserve">Compare with STOCK_REG</t>
  </si>
  <si>
    <t xml:space="preserve">item_qty_unit</t>
  </si>
  <si>
    <t xml:space="preserve">itemList[].qtyUnit</t>
  </si>
  <si>
    <t xml:space="preserve">UQC code</t>
  </si>
  <si>
    <t xml:space="preserve">item_taxable_amount</t>
  </si>
  <si>
    <t xml:space="preserve">Taxable amount</t>
  </si>
  <si>
    <t xml:space="preserve">itemList[].taxableAmount</t>
  </si>
  <si>
    <t xml:space="preserve">item_cgst_rate</t>
  </si>
  <si>
    <t xml:space="preserve">CGST rate</t>
  </si>
  <si>
    <t xml:space="preserve">itemList[].cgstRate</t>
  </si>
  <si>
    <t xml:space="preserve">decimal(6,3)</t>
  </si>
  <si>
    <t xml:space="preserve">also sgstRate, igstRate, cessRate</t>
  </si>
  <si>
    <t xml:space="preserve">trans_mode</t>
  </si>
  <si>
    <t xml:space="preserve">Mode</t>
  </si>
  <si>
    <t xml:space="preserve">transMode</t>
  </si>
  <si>
    <t xml:space="preserve">1 Road | 2 Rail | 3 Air | 4 Ship | 5 In Transit</t>
  </si>
  <si>
    <t xml:space="preserve">trans_distance</t>
  </si>
  <si>
    <t xml:space="preserve">Approximate distance (km)</t>
  </si>
  <si>
    <t xml:space="preserve">transDistance / actualDist</t>
  </si>
  <si>
    <t xml:space="preserve">0-4000</t>
  </si>
  <si>
    <t xml:space="preserve">Drives validity</t>
  </si>
  <si>
    <t xml:space="preserve">transporter_id</t>
  </si>
  <si>
    <t xml:space="preserve">transporterId</t>
  </si>
  <si>
    <t xml:space="preserve">15-char GSTIN/TRANSIN</t>
  </si>
  <si>
    <t xml:space="preserve">transporter_name</t>
  </si>
  <si>
    <t xml:space="preserve">Transporter name</t>
  </si>
  <si>
    <t xml:space="preserve">transporterName</t>
  </si>
  <si>
    <t xml:space="preserve">trans_doc_no</t>
  </si>
  <si>
    <t xml:space="preserve">Transport document No.</t>
  </si>
  <si>
    <t xml:space="preserve">transDocNo</t>
  </si>
  <si>
    <t xml:space="preserve">max 15; mandatory for rail/air/ship</t>
  </si>
  <si>
    <t xml:space="preserve">trans_doc_date</t>
  </si>
  <si>
    <t xml:space="preserve">Transport document date</t>
  </si>
  <si>
    <t xml:space="preserve">transDocDate</t>
  </si>
  <si>
    <t xml:space="preserve">vehicle_no</t>
  </si>
  <si>
    <t xml:space="preserve">Vehicle No.</t>
  </si>
  <si>
    <t xml:space="preserve">vehicleNo / VehiclListDetails[].vehicleNo</t>
  </si>
  <si>
    <t xml:space="preserve">7-15 chars; mandatory for road (Part B)</t>
  </si>
  <si>
    <t xml:space="preserve">vehicle_type</t>
  </si>
  <si>
    <t xml:space="preserve">Vehicle type</t>
  </si>
  <si>
    <t xml:space="preserve">vehicleType</t>
  </si>
  <si>
    <t xml:space="preserve">R (Regular) | O (Over Dimensional Cargo)</t>
  </si>
  <si>
    <t xml:space="preserve">ODC validity 20 km/day</t>
  </si>
  <si>
    <t xml:space="preserve">valid_upto</t>
  </si>
  <si>
    <t xml:space="preserve">Valid Upto</t>
  </si>
  <si>
    <t xml:space="preserve">validUpto</t>
  </si>
  <si>
    <t xml:space="preserve">Blank until Part B</t>
  </si>
  <si>
    <t xml:space="preserve">no_valid_days</t>
  </si>
  <si>
    <t xml:space="preserve">Validity days</t>
  </si>
  <si>
    <t xml:space="preserve">noValidDays</t>
  </si>
  <si>
    <t xml:space="preserve">= ceil(distance/200) normal, ceil(distance/20) ODC</t>
  </si>
  <si>
    <t xml:space="preserve">extended_times</t>
  </si>
  <si>
    <t xml:space="preserve">Times extended</t>
  </si>
  <si>
    <t xml:space="preserve">extendedTimes</t>
  </si>
  <si>
    <t xml:space="preserve">status</t>
  </si>
  <si>
    <t xml:space="preserve">ACT (active) | CNL (cancelled) – CNL unverified</t>
  </si>
  <si>
    <t xml:space="preserve">Cancelled EWB with invoice in GSTR-1 – check</t>
  </si>
  <si>
    <t xml:space="preserve">reject_status</t>
  </si>
  <si>
    <t xml:space="preserve">Rejected by recipient</t>
  </si>
  <si>
    <t xml:space="preserve">rejectStatus</t>
  </si>
  <si>
    <t xml:space="preserve">header / data.gstin</t>
  </si>
  <si>
    <t xml:space="preserve">from_date</t>
  </si>
  <si>
    <t xml:space="preserve">From date</t>
  </si>
  <si>
    <t xml:space="preserve">data.fr_dt</t>
  </si>
  <si>
    <t xml:space="preserve">Ledger extract period (API keys fr_dt/to_dt seen in GSP sample)</t>
  </si>
  <si>
    <t xml:space="preserve">to_date</t>
  </si>
  <si>
    <t xml:space="preserve">To date</t>
  </si>
  <si>
    <t xml:space="preserve">data.to_dt</t>
  </si>
  <si>
    <t xml:space="preserve">sr_no</t>
  </si>
  <si>
    <t xml:space="preserve">PMT-05 col 1</t>
  </si>
  <si>
    <t xml:space="preserve">txn_date</t>
  </si>
  <si>
    <t xml:space="preserve">Date (of deposit/debit)</t>
  </si>
  <si>
    <t xml:space="preserve">PMT-05 col 2; tr[].dt [JSON name unverified]</t>
  </si>
  <si>
    <t xml:space="preserve">reference_no</t>
  </si>
  <si>
    <t xml:space="preserve">Reference No.</t>
  </si>
  <si>
    <t xml:space="preserve">PMT-05 col 3; tr[].ref_no [JSON name unverified]</t>
  </si>
  <si>
    <t xml:space="preserve">CIN / ARN / DRC ref / demand ID</t>
  </si>
  <si>
    <t xml:space="preserve">Link to GSTR-3B ARN, CMP-08 ARN, DRC-03 ARN, challan CIN</t>
  </si>
  <si>
    <t xml:space="preserve">tax_period</t>
  </si>
  <si>
    <t xml:space="preserve">Tax Period, if applicable</t>
  </si>
  <si>
    <t xml:space="preserve">PMT-05; tr[].ret_period [JSON name unverified]</t>
  </si>
  <si>
    <t xml:space="preserve">description</t>
  </si>
  <si>
    <t xml:space="preserve">PMT-05; tr[].desc</t>
  </si>
  <si>
    <t xml:space="preserve">txn_type</t>
  </si>
  <si>
    <t xml:space="preserve">Type of transaction</t>
  </si>
  <si>
    <t xml:space="preserve">PMT-05; tr[].tr_typ [JSON name unverified]</t>
  </si>
  <si>
    <t xml:space="preserve">Debit | Credit (liability ledger: Debit/Payable, Credit/Paid, Reduction, Refund adjusted)</t>
  </si>
  <si>
    <t xml:space="preserve">deposit_time</t>
  </si>
  <si>
    <t xml:space="preserve">Time of deposit</t>
  </si>
  <si>
    <t xml:space="preserve">PMT-05 col 3</t>
  </si>
  <si>
    <t xml:space="preserve">hh:mm:ss</t>
  </si>
  <si>
    <t xml:space="preserve">bank_reporting_date</t>
  </si>
  <si>
    <t xml:space="preserve">Reporting date (by bank)</t>
  </si>
  <si>
    <t xml:space="preserve">PMT-05 col 4</t>
  </si>
  <si>
    <t xml:space="preserve">cpin</t>
  </si>
  <si>
    <t xml:space="preserve">CPIN</t>
  </si>
  <si>
    <t xml:space="preserve">PMT-06</t>
  </si>
  <si>
    <t xml:space="preserve">14 digits (unverified)</t>
  </si>
  <si>
    <t xml:space="preserve">Challan identifier</t>
  </si>
  <si>
    <t xml:space="preserve">cin</t>
  </si>
  <si>
    <t xml:space="preserve">CIN (Challan Identification Number)</t>
  </si>
  <si>
    <t xml:space="preserve">PMT-06 paid challan</t>
  </si>
  <si>
    <t xml:space="preserve">CPIN + bank code (unverified)</t>
  </si>
  <si>
    <t xml:space="preserve">Join to BANK_STMT</t>
  </si>
  <si>
    <t xml:space="preserve">brn_utr</t>
  </si>
  <si>
    <t xml:space="preserve">Bank Reference No. (BRN) / UTR</t>
  </si>
  <si>
    <t xml:space="preserve">Join to BANK_STMT narration</t>
  </si>
  <si>
    <t xml:space="preserve">opening_balance_total</t>
  </si>
  <si>
    <t xml:space="preserve">Opening Balance</t>
  </si>
  <si>
    <t xml:space="preserve">op_bal.tot_rng_bal / desc='Opening Balance'</t>
  </si>
  <si>
    <t xml:space="preserve">closing_balance_total</t>
  </si>
  <si>
    <t xml:space="preserve">Closing Balance</t>
  </si>
  <si>
    <t xml:space="preserve">cl_bal.tot_rng_bal</t>
  </si>
  <si>
    <t xml:space="preserve">Roll-forward: opening + credits - debits = closing</t>
  </si>
  <si>
    <t xml:space="preserve">amount_igst</t>
  </si>
  <si>
    <t xml:space="preserve">Integrated Tax – Tax / Interest / Penalty / Fee / Others / Total</t>
  </si>
  <si>
    <t xml:space="preserve">PMT-05 col 9 (Amount debited/credited); igstbal.{tx,intr,pen,fee,oth,tot} (in op_bal/cl_bal; per-transaction keys unverified)</t>
  </si>
  <si>
    <t xml:space="preserve">decimal(15,2); &gt;= 0 unless noted per component</t>
  </si>
  <si>
    <t xml:space="preserve">Store one column per component</t>
  </si>
  <si>
    <t xml:space="preserve">amount_cgst</t>
  </si>
  <si>
    <t xml:space="preserve">Central Tax – Tax / Interest / Penalty / Fee / Others / Total</t>
  </si>
  <si>
    <t xml:space="preserve">PMT-05 col 9 (Amount debited/credited); cgstbal.{tx,intr,pen,fee,oth,tot} (in op_bal/cl_bal; per-transaction keys unverified)</t>
  </si>
  <si>
    <t xml:space="preserve">amount_sgst</t>
  </si>
  <si>
    <t xml:space="preserve">State/UT Tax – Tax / Interest / Penalty / Fee / Others / Total</t>
  </si>
  <si>
    <t xml:space="preserve">PMT-05 col 9 (Amount debited/credited); sgstbal.{tx,intr,pen,fee,oth,tot} (in op_bal/cl_bal; per-transaction keys unverified)</t>
  </si>
  <si>
    <t xml:space="preserve">amount_cess</t>
  </si>
  <si>
    <t xml:space="preserve">Cess – Tax / Interest / Penalty / Fee / Others / Total</t>
  </si>
  <si>
    <t xml:space="preserve">PMT-05 col 9 (Amount debited/credited); cessbal.{tx,intr,pen,fee,oth,tot} (in op_bal/cl_bal; per-transaction keys unverified)</t>
  </si>
  <si>
    <t xml:space="preserve">balance_igst</t>
  </si>
  <si>
    <t xml:space="preserve">PMT-05 col 10 (Balance); igstbal.{tx,intr,pen,fee,oth,tot} (in op_bal/cl_bal; per-transaction keys unverified)</t>
  </si>
  <si>
    <t xml:space="preserve">balance_cgst</t>
  </si>
  <si>
    <t xml:space="preserve">PMT-05 col 10 (Balance); cgstbal.{tx,intr,pen,fee,oth,tot} (in op_bal/cl_bal; per-transaction keys unverified)</t>
  </si>
  <si>
    <t xml:space="preserve">balance_sgst</t>
  </si>
  <si>
    <t xml:space="preserve">PMT-05 col 10 (Balance); sgstbal.{tx,intr,pen,fee,oth,tot} (in op_bal/cl_bal; per-transaction keys unverified)</t>
  </si>
  <si>
    <t xml:space="preserve">balance_cess</t>
  </si>
  <si>
    <t xml:space="preserve">PMT-05 col 10 (Balance); cessbal.{tx,intr,pen,fee,oth,tot} (in op_bal/cl_bal; per-transaction keys unverified)</t>
  </si>
  <si>
    <t xml:space="preserve">PMT-02 col 1</t>
  </si>
  <si>
    <t xml:space="preserve">PMT-02 col 2; tr[].dt [JSON name unverified]</t>
  </si>
  <si>
    <t xml:space="preserve">PMT-02 col 3; tr[].ref_no [JSON name unverified]</t>
  </si>
  <si>
    <t xml:space="preserve">PMT-02; tr[].ret_period [JSON name unverified]</t>
  </si>
  <si>
    <t xml:space="preserve">PMT-02; tr[].desc</t>
  </si>
  <si>
    <t xml:space="preserve">PMT-02; tr[].tr_typ [JSON name unverified]</t>
  </si>
  <si>
    <t xml:space="preserve">credit_igst</t>
  </si>
  <si>
    <t xml:space="preserve">Credit/Debit amount – Integrated Tax</t>
  </si>
  <si>
    <t xml:space="preserve">PMT-02 col 7</t>
  </si>
  <si>
    <t xml:space="preserve">Credits per period should = GSTR-3B 4C</t>
  </si>
  <si>
    <t xml:space="preserve">credit_cgst</t>
  </si>
  <si>
    <t xml:space="preserve">Credit/Debit amount – Central Tax</t>
  </si>
  <si>
    <t xml:space="preserve">credit_sgst</t>
  </si>
  <si>
    <t xml:space="preserve">Credit/Debit amount – State/UT Tax</t>
  </si>
  <si>
    <t xml:space="preserve">credit_cess</t>
  </si>
  <si>
    <t xml:space="preserve">Credit/Debit amount – Cess</t>
  </si>
  <si>
    <t xml:space="preserve">credit_total</t>
  </si>
  <si>
    <t xml:space="preserve">Credit/Debit amount – Total</t>
  </si>
  <si>
    <t xml:space="preserve">Balance available – Integrated Tax</t>
  </si>
  <si>
    <t xml:space="preserve">PMT-02 col 8</t>
  </si>
  <si>
    <t xml:space="preserve">Balance available – Central Tax</t>
  </si>
  <si>
    <t xml:space="preserve">Balance available – State/UT Tax</t>
  </si>
  <si>
    <t xml:space="preserve">Balance available – Cess</t>
  </si>
  <si>
    <t xml:space="preserve">balance_total</t>
  </si>
  <si>
    <t xml:space="preserve">Balance available – Total</t>
  </si>
  <si>
    <t xml:space="preserve">blocked_credit_flag</t>
  </si>
  <si>
    <t xml:space="preserve">Blocked under Rule 86A</t>
  </si>
  <si>
    <t xml:space="preserve">Blocked credit statement [JSON name unverified]</t>
  </si>
  <si>
    <t xml:space="preserve">boolean</t>
  </si>
  <si>
    <t xml:space="preserve">PMT-01 Part I/II col 1</t>
  </si>
  <si>
    <t xml:space="preserve">PMT-01 Part I/II col 2; tr[].dt [JSON name unverified]</t>
  </si>
  <si>
    <t xml:space="preserve">PMT-01 Part I/II col 3; tr[].ref_no [JSON name unverified]</t>
  </si>
  <si>
    <t xml:space="preserve">PMT-01 Part I/II; tr[].ret_period [JSON name unverified]</t>
  </si>
  <si>
    <t xml:space="preserve">PMT-01 Part I/II; tr[].desc</t>
  </si>
  <si>
    <t xml:space="preserve">PMT-01 Part I/II; tr[].tr_typ [JSON name unverified]</t>
  </si>
  <si>
    <t xml:space="preserve">ledger_part</t>
  </si>
  <si>
    <t xml:space="preserve">Part</t>
  </si>
  <si>
    <t xml:space="preserve">PMT-01</t>
  </si>
  <si>
    <t xml:space="preserve">I (return related) | II (other than return)</t>
  </si>
  <si>
    <t xml:space="preserve">ledger_used</t>
  </si>
  <si>
    <t xml:space="preserve">Ledger used for discharging liability</t>
  </si>
  <si>
    <t xml:space="preserve">PMT-01 col 4/5</t>
  </si>
  <si>
    <t xml:space="preserve">Cash | Credit</t>
  </si>
  <si>
    <t xml:space="preserve">demand_id</t>
  </si>
  <si>
    <t xml:space="preserve">Demand ID</t>
  </si>
  <si>
    <t xml:space="preserve">PMT-01 Part II header</t>
  </si>
  <si>
    <t xml:space="preserve">Link to DRC-07 / DRC-03 'Order' cause</t>
  </si>
  <si>
    <t xml:space="preserve">demand_date</t>
  </si>
  <si>
    <t xml:space="preserve">Demand date</t>
  </si>
  <si>
    <t xml:space="preserve">stay_status</t>
  </si>
  <si>
    <t xml:space="preserve">Status (Stayed/Un-stayed)</t>
  </si>
  <si>
    <t xml:space="preserve">PMT-01 Part II col 10</t>
  </si>
  <si>
    <t xml:space="preserve">Stayed | Un-stayed</t>
  </si>
  <si>
    <t xml:space="preserve">act</t>
  </si>
  <si>
    <t xml:space="preserve">Act</t>
  </si>
  <si>
    <t xml:space="preserve">CGST | SGST | IGST | Cess</t>
  </si>
  <si>
    <t xml:space="preserve">PMT-01 col 7/8 (Amount debited/credited); igstbal.{tx,intr,pen,fee,oth,tot} (in op_bal/cl_bal; per-transaction keys unverified)</t>
  </si>
  <si>
    <t xml:space="preserve">PMT-01 col 7/8 (Amount debited/credited); cgstbal.{tx,intr,pen,fee,oth,tot} (in op_bal/cl_bal; per-transaction keys unverified)</t>
  </si>
  <si>
    <t xml:space="preserve">PMT-01 col 7/8 (Amount debited/credited); sgstbal.{tx,intr,pen,fee,oth,tot} (in op_bal/cl_bal; per-transaction keys unverified)</t>
  </si>
  <si>
    <t xml:space="preserve">PMT-01 col 7/8 (Amount debited/credited); cessbal.{tx,intr,pen,fee,oth,tot} (in op_bal/cl_bal; per-transaction keys unverified)</t>
  </si>
  <si>
    <t xml:space="preserve">balance_payable_igst</t>
  </si>
  <si>
    <t xml:space="preserve">PMT-01 col 8/9 (Balance payable); igstbal.{tx,intr,pen,fee,oth,tot} (in op_bal/cl_bal; per-transaction keys unverified)</t>
  </si>
  <si>
    <t xml:space="preserve">balance_payable_cgst</t>
  </si>
  <si>
    <t xml:space="preserve">PMT-01 col 8/9 (Balance payable); cgstbal.{tx,intr,pen,fee,oth,tot} (in op_bal/cl_bal; per-transaction keys unverified)</t>
  </si>
  <si>
    <t xml:space="preserve">balance_payable_sgst</t>
  </si>
  <si>
    <t xml:space="preserve">PMT-01 col 8/9 (Balance payable); sgstbal.{tx,intr,pen,fee,oth,tot} (in op_bal/cl_bal; per-transaction keys unverified)</t>
  </si>
  <si>
    <t xml:space="preserve">balance_payable_cess</t>
  </si>
  <si>
    <t xml:space="preserve">PMT-01 col 8/9 (Balance payable); cessbal.{tx,intr,pen,fee,oth,tot} (in op_bal/cl_bal; per-transaction keys unverified)</t>
  </si>
  <si>
    <t xml:space="preserve">Return period</t>
  </si>
  <si>
    <t xml:space="preserve">row</t>
  </si>
  <si>
    <t xml:space="preserve">Date of filing / transaction</t>
  </si>
  <si>
    <t xml:space="preserve">row [JSON name unverified]</t>
  </si>
  <si>
    <t xml:space="preserve">Reference No. (GSTR-3B ARN)</t>
  </si>
  <si>
    <t xml:space="preserve">Description (Opening balance / Reversal 4B(2) / Reclaim 4D(1))</t>
  </si>
  <si>
    <t xml:space="preserve">opening_igst</t>
  </si>
  <si>
    <t xml:space="preserve">Opening balance – IGST</t>
  </si>
  <si>
    <t xml:space="preserve">header [JSON name unverified]</t>
  </si>
  <si>
    <t xml:space="preserve">cgst/sgst/cess likewise</t>
  </si>
  <si>
    <t xml:space="preserve">reversal_igst</t>
  </si>
  <si>
    <t xml:space="preserve">ITC reversed in Table 4(B)(2) – IGST/CGST/SGST/Cess</t>
  </si>
  <si>
    <t xml:space="preserve">= GSTR-3B 4(B)(2)</t>
  </si>
  <si>
    <t xml:space="preserve">reclaim_igst</t>
  </si>
  <si>
    <t xml:space="preserve">ITC reclaimed in Table 4(D)(1) – IGST/CGST/SGST/Cess</t>
  </si>
  <si>
    <t xml:space="preserve">= GSTR-3B 4(D)(1); must not exceed running balance (warning only per advisory)</t>
  </si>
  <si>
    <t xml:space="preserve">closing_igst</t>
  </si>
  <si>
    <t xml:space="preserve">Closing balance – IGST/CGST/SGST/Cess</t>
  </si>
  <si>
    <t xml:space="preserve">decimal(15,2); &gt;= 0 unless noted; must be &gt;= 0</t>
  </si>
  <si>
    <t xml:space="preserve">Closing = opening + 4B(2) - 4D(1)</t>
  </si>
  <si>
    <t xml:space="preserve">on filing</t>
  </si>
  <si>
    <t xml:space="preserve">Appears as reference in ECL/ECRL debit</t>
  </si>
  <si>
    <t xml:space="preserve">cause_of_payment</t>
  </si>
  <si>
    <t xml:space="preserve">Cause of Payment</t>
  </si>
  <si>
    <t xml:space="preserve">dropdown</t>
  </si>
  <si>
    <t xml:space="preserve">Annual return | Audit | Investigation/Enforcement | Intimation of tax ascertained through FORM GST DRC-01A | Mismatch between FORM GSTR-2B and FORM GSTR-3B | Mismatch between FORM GSTR-1 and FORM GSTR-3B | Reconciliation statement | After issuance of SCN/Statement but before issuance of the order | Scrutiny | Before issuance of SCN/Statement (Voluntary) | Others | Order</t>
  </si>
  <si>
    <t xml:space="preserve">Link exception category to cause (e.g. 2B vs 3B mismatch)</t>
  </si>
  <si>
    <t xml:space="preserve">Section Number</t>
  </si>
  <si>
    <t xml:space="preserve">e.g. 73(5), 74(5), 74A(8), 74A(9), 122A (list partially verified)</t>
  </si>
  <si>
    <t xml:space="preserve">field</t>
  </si>
  <si>
    <t xml:space="preserve">period_from</t>
  </si>
  <si>
    <t xml:space="preserve">Tax period From</t>
  </si>
  <si>
    <t xml:space="preserve">period_to</t>
  </si>
  <si>
    <t xml:space="preserve">Tax period To</t>
  </si>
  <si>
    <t xml:space="preserve">SCN / Communication / Intimation / Proceeding Reference Number</t>
  </si>
  <si>
    <t xml:space="preserve">conditional</t>
  </si>
  <si>
    <t xml:space="preserve">Communication ref (voluntary/others): ^(AD|ZA|ZD)[0-9]{12}[0-9A-Z]$</t>
  </si>
  <si>
    <t xml:space="preserve">reference_date</t>
  </si>
  <si>
    <t xml:space="preserve">Issue Date</t>
  </si>
  <si>
    <t xml:space="preserve">others_specify</t>
  </si>
  <si>
    <t xml:space="preserve">Please Specify (cause = Others)</t>
  </si>
  <si>
    <t xml:space="preserve">max 100 chars</t>
  </si>
  <si>
    <t xml:space="preserve">tax_igst</t>
  </si>
  <si>
    <t xml:space="preserve">Integrated Tax – Tax/Cess</t>
  </si>
  <si>
    <t xml:space="preserve">Payment details [JSON name unverified]</t>
  </si>
  <si>
    <t xml:space="preserve">Per head x component; Interest/Penalty must be paid in cash</t>
  </si>
  <si>
    <t xml:space="preserve">tax_cgst</t>
  </si>
  <si>
    <t xml:space="preserve">Central Tax – Tax</t>
  </si>
  <si>
    <t xml:space="preserve">tax_sgst</t>
  </si>
  <si>
    <t xml:space="preserve">State/UT Tax – Tax</t>
  </si>
  <si>
    <t xml:space="preserve">tax_cess</t>
  </si>
  <si>
    <t xml:space="preserve">Cess – Tax</t>
  </si>
  <si>
    <t xml:space="preserve">interest</t>
  </si>
  <si>
    <t xml:space="preserve">Interest (per head)</t>
  </si>
  <si>
    <t xml:space="preserve">Payment details</t>
  </si>
  <si>
    <t xml:space="preserve">Compare with computed s.50 interest</t>
  </si>
  <si>
    <t xml:space="preserve">penalty</t>
  </si>
  <si>
    <t xml:space="preserve">Penalty (per head)</t>
  </si>
  <si>
    <t xml:space="preserve">fee</t>
  </si>
  <si>
    <t xml:space="preserve">Fee (per head)</t>
  </si>
  <si>
    <t xml:space="preserve">others</t>
  </si>
  <si>
    <t xml:space="preserve">Others (per head)</t>
  </si>
  <si>
    <t xml:space="preserve">paid_from_cash</t>
  </si>
  <si>
    <t xml:space="preserve">Amount paid from cash ledger</t>
  </si>
  <si>
    <t xml:space="preserve">Payment</t>
  </si>
  <si>
    <t xml:space="preserve">Join to ECL debit with ARN</t>
  </si>
  <si>
    <t xml:space="preserve">paid_from_credit</t>
  </si>
  <si>
    <t xml:space="preserve">Amount paid from credit ledger (ITC)</t>
  </si>
  <si>
    <t xml:space="preserve">Join to ECRL debit (tax only)</t>
  </si>
  <si>
    <t xml:space="preserve">drc04_reference</t>
  </si>
  <si>
    <t xml:space="preserve">DRC-04 acknowledgement reference</t>
  </si>
  <si>
    <t xml:space="preserve">DRC-04 [JSON name unverified]</t>
  </si>
  <si>
    <t xml:space="preserve">drc03a_demand_id</t>
  </si>
  <si>
    <t xml:space="preserve">Demand ID linked via DRC-03A</t>
  </si>
  <si>
    <t xml:space="preserve">DRC-03A [JSON name unverified]</t>
  </si>
  <si>
    <t xml:space="preserve">Adjust DRC-03 against ELL Part II demand</t>
  </si>
  <si>
    <t xml:space="preserve">pan</t>
  </si>
  <si>
    <t xml:space="preserve">Permanent Account Number (PAN)</t>
  </si>
  <si>
    <t xml:space="preserve">Header</t>
  </si>
  <si>
    <t xml:space="preserve">^[A-Z]{5}[0-9]{4}[A-Z]$</t>
  </si>
  <si>
    <t xml:space="preserve">PAN of the assessee for whom statement is generated; primary key across documents.</t>
  </si>
  <si>
    <t xml:space="preserve">assessee_name</t>
  </si>
  <si>
    <t xml:space="preserve">Name of Assessee</t>
  </si>
  <si>
    <t xml:space="preserve">free text</t>
  </si>
  <si>
    <t xml:space="preserve">Name per PAN database.</t>
  </si>
  <si>
    <t xml:space="preserve">^20[0-9]{2}-[0-9]{2}$ (e.g. 2025-26)</t>
  </si>
  <si>
    <t xml:space="preserve">FY of the data (e.g. 2025-26).</t>
  </si>
  <si>
    <t xml:space="preserve">assessment_year</t>
  </si>
  <si>
    <t xml:space="preserve">Assessment Year</t>
  </si>
  <si>
    <t xml:space="preserve">AY (FY+1). For tax-year regime use tax_year.</t>
  </si>
  <si>
    <t xml:space="preserve">pan_status</t>
  </si>
  <si>
    <t xml:space="preserve">Current Status of PAN</t>
  </si>
  <si>
    <t xml:space="preserve">Active|Inoperative|... (as printed)</t>
  </si>
  <si>
    <t xml:space="preserve">Inoperative PAN affects credit/higher rate checks.</t>
  </si>
  <si>
    <t xml:space="preserve">part_code</t>
  </si>
  <si>
    <t xml:space="preserve">PART-I .. PART X</t>
  </si>
  <si>
    <t xml:space="preserve">Part heading</t>
  </si>
  <si>
    <t xml:space="preserve">I|II|III|IV|V|VI|VII|VIII|IX|X</t>
  </si>
  <si>
    <t xml:space="preserve">Part from which the row was extracted; drives which rules use the row (Part I/VI for credit, IV for property sellers, VIII buyer-only info).</t>
  </si>
  <si>
    <t xml:space="preserve">sr_no_deductor</t>
  </si>
  <si>
    <t xml:space="preserve">Part I/II/VI summary</t>
  </si>
  <si>
    <t xml:space="preserve">Deductor-level serial; transaction rows are nested under it.</t>
  </si>
  <si>
    <t xml:space="preserve">deductor_name</t>
  </si>
  <si>
    <t xml:space="preserve">Name of Deductor / Name of Collector</t>
  </si>
  <si>
    <t xml:space="preserve">Deductor/collector name; secondary match key for books when TAN absent.</t>
  </si>
  <si>
    <t xml:space="preserve">deductor_tan</t>
  </si>
  <si>
    <t xml:space="preserve">TAN of Deductor / TAN of Collector</t>
  </si>
  <si>
    <t xml:space="preserve">^[A-Z]{4}[0-9]{5}[A-Z]$</t>
  </si>
  <si>
    <t xml:space="preserve">Primary match key to books party master / client invoices (Parts IV/VIII show PAN of counter-party instead).</t>
  </si>
  <si>
    <t xml:space="preserve">total_amount_paid_credited</t>
  </si>
  <si>
    <t xml:space="preserve">Total Amount Paid/ Credited (Part VI: Total Amount Paid/ Debited)</t>
  </si>
  <si>
    <t xml:space="preserve">decimal(15,2) INR; &gt;= 0 unless stated</t>
  </si>
  <si>
    <t xml:space="preserve">Deductor-level total of transaction amounts.</t>
  </si>
  <si>
    <t xml:space="preserve">total_tax_deducted</t>
  </si>
  <si>
    <t xml:space="preserve">Total Tax Deducted # (Part VI: Total Tax Collected)</t>
  </si>
  <si>
    <t xml:space="preserve">Deductor-level total TDS/TCS.</t>
  </si>
  <si>
    <t xml:space="preserve">total_tds_deposited</t>
  </si>
  <si>
    <t xml:space="preserve">Total TDS Deposited (Part VI: Total TCS Deposited)</t>
  </si>
  <si>
    <t xml:space="preserve">Deductor-level total deposited; difference vs total_tax_deducted signals deductor default.</t>
  </si>
  <si>
    <t xml:space="preserve">sr_no_txn</t>
  </si>
  <si>
    <t xml:space="preserve">Part I/II/VI transaction</t>
  </si>
  <si>
    <t xml:space="preserve">Transaction serial within deductor.</t>
  </si>
  <si>
    <t xml:space="preserve">section_code</t>
  </si>
  <si>
    <t xml:space="preserve">Section 1</t>
  </si>
  <si>
    <t xml:space="preserve">e.g. 192, 194A, 194C, 194J(b), 206C(1H); TY 2026-27 rows may carry ITA 2025 section/serial codes – normalise via TDS-002 section map (tds_tcs.json)</t>
  </si>
  <si>
    <t xml:space="preserve">Section under which TDS/TCS was deducted (footnote 1 on the form explains codes).</t>
  </si>
  <si>
    <t xml:space="preserve">transaction_date</t>
  </si>
  <si>
    <t xml:space="preserve">Transaction Date</t>
  </si>
  <si>
    <t xml:space="preserve">dd/mm/yyyy (normalise to ISO yyyy-mm-dd on load); printed as dd-Mon-yyyy</t>
  </si>
  <si>
    <t xml:space="preserve">Date of payment/credit reported by deductor (DD col 418 in statement).</t>
  </si>
  <si>
    <t xml:space="preserve">status_of_booking</t>
  </si>
  <si>
    <t xml:space="preserve">Status of Booking*</t>
  </si>
  <si>
    <t xml:space="preserve">Part I/III/VI transaction</t>
  </si>
  <si>
    <t xml:space="preserve">U|M|P|F|O|Z (U Unmatched, M Matched, P Provisional, F Final, O Overbooked, Z Mismatch)</t>
  </si>
  <si>
    <t xml:space="preserve">Credit status from statement-challan matching; only F (and P for government, M where shown) should be treated as reliable credit; U/O/Z = deductor-side issue.</t>
  </si>
  <si>
    <t xml:space="preserve">date_of_booking</t>
  </si>
  <si>
    <t xml:space="preserve">Date of Booking</t>
  </si>
  <si>
    <t xml:space="preserve">dd/mm/yyyy (normalise to ISO yyyy-mm-dd on load)</t>
  </si>
  <si>
    <t xml:space="preserve">Date on which the statement entry was booked/processed.</t>
  </si>
  <si>
    <t xml:space="preserve">Remarks**</t>
  </si>
  <si>
    <t xml:space="preserve">A|B|D|E|F|G|T|W (A bank challan correction, B deductor statement correction, D AO 24G correction, E AO challan correction, F s.197 lower/nil certificate, G reprocessing, T transporter, W Part III as submitted)</t>
  </si>
  <si>
    <t xml:space="preserve">Remarks legend; F indicates s.197 certificate – expected lower rate.</t>
  </si>
  <si>
    <t xml:space="preserve">amount_paid_credited</t>
  </si>
  <si>
    <t xml:space="preserve">Amount Paid / Credited (Part VI: Amount Paid/ Debited)</t>
  </si>
  <si>
    <t xml:space="preserve">Gross amount on which TDS deducted (income to be matched to books).</t>
  </si>
  <si>
    <t xml:space="preserve">tax_deducted</t>
  </si>
  <si>
    <t xml:space="preserve">Tax Deducted ## (Part VI: Tax Collected ++)</t>
  </si>
  <si>
    <t xml:space="preserve">TDS/TCS deducted per statement.</t>
  </si>
  <si>
    <t xml:space="preserve">tds_deposited</t>
  </si>
  <si>
    <t xml:space="preserve">TDS Deposited (Part VI: TCS Deposited)</t>
  </si>
  <si>
    <t xml:space="preserve">Amount deposited – credit available is generally this figure where status is F.</t>
  </si>
  <si>
    <t xml:space="preserve">counterparty_pan</t>
  </si>
  <si>
    <t xml:space="preserve">PAN of Buyer/Tenant/Payer (Part IV) or Seller/Landlord/Payee (Part VIII)</t>
  </si>
  <si>
    <t xml:space="preserve">Part IV / VIII</t>
  </si>
  <si>
    <t xml:space="preserve">For 194IA/IB/M/S rows the counter-party is identified by PAN and acknowledgement no. instead of TAN.</t>
  </si>
  <si>
    <t xml:space="preserve">acknowledgement_no</t>
  </si>
  <si>
    <t xml:space="preserve">Acknowledgement Number (Form 26QB/26QC/26QD/26QE)</t>
  </si>
  <si>
    <t xml:space="preserve">Part IV / V / VIII / IX</t>
  </si>
  <si>
    <t xml:space="preserve">alphanumeric</t>
  </si>
  <si>
    <t xml:space="preserve">Challan-cum-statement acknowledgement; from 01-10-2026 these move to Form 141 (see notes).</t>
  </si>
  <si>
    <t xml:space="preserve">total_transaction_amount</t>
  </si>
  <si>
    <t xml:space="preserve">Total Transaction Amount / Total Amount Paid</t>
  </si>
  <si>
    <t xml:space="preserve">Gross consideration for property/rent/contract/VDA rows.</t>
  </si>
  <si>
    <t xml:space="preserve">refund_ay</t>
  </si>
  <si>
    <t xml:space="preserve">Part VII</t>
  </si>
  <si>
    <t xml:space="preserve">AY for which refund paid.</t>
  </si>
  <si>
    <t xml:space="preserve">refund_mode</t>
  </si>
  <si>
    <t xml:space="preserve">ECS/Cheque/... as printed</t>
  </si>
  <si>
    <t xml:space="preserve">Refund mode.</t>
  </si>
  <si>
    <t xml:space="preserve">refund_amount</t>
  </si>
  <si>
    <t xml:space="preserve">Amount of Refund</t>
  </si>
  <si>
    <t xml:space="preserve">Refund paid.</t>
  </si>
  <si>
    <t xml:space="preserve">refund_interest</t>
  </si>
  <si>
    <t xml:space="preserve">Interest</t>
  </si>
  <si>
    <t xml:space="preserve">Interest on refund (s.244A / s.437) – taxable income to be matched with books/ITR.</t>
  </si>
  <si>
    <t xml:space="preserve">refund_date</t>
  </si>
  <si>
    <t xml:space="preserve">Date of Payment</t>
  </si>
  <si>
    <t xml:space="preserve">Refund date.</t>
  </si>
  <si>
    <t xml:space="preserve">default_fy</t>
  </si>
  <si>
    <t xml:space="preserve">Part X</t>
  </si>
  <si>
    <t xml:space="preserve">FY of the deductor default (Part X shows defaults where the assessee is a deductor).</t>
  </si>
  <si>
    <t xml:space="preserve">default_short_payment</t>
  </si>
  <si>
    <t xml:space="preserve">Short Payment</t>
  </si>
  <si>
    <t xml:space="preserve">Default amounts from TRACES processing – reconcile with TRACES_JUST.</t>
  </si>
  <si>
    <t xml:space="preserve">default_short_deduction</t>
  </si>
  <si>
    <t xml:space="preserve">Short Deduction</t>
  </si>
  <si>
    <t xml:space="preserve">default_interest_payment</t>
  </si>
  <si>
    <t xml:space="preserve">Interest on Payment Default</t>
  </si>
  <si>
    <t xml:space="preserve">default_interest_deduction</t>
  </si>
  <si>
    <t xml:space="preserve">Interest on Deduction Default</t>
  </si>
  <si>
    <t xml:space="preserve">default_late_filing_fee</t>
  </si>
  <si>
    <t xml:space="preserve">Late Filing Fee u/s 234E</t>
  </si>
  <si>
    <t xml:space="preserve">default_interest_220</t>
  </si>
  <si>
    <t xml:space="preserve">Interest u/s 220(2)</t>
  </si>
  <si>
    <t xml:space="preserve">default_total</t>
  </si>
  <si>
    <t xml:space="preserve">Total Default</t>
  </si>
  <si>
    <t xml:space="preserve">PAN</t>
  </si>
  <si>
    <t xml:space="preserve">Part A</t>
  </si>
  <si>
    <t xml:space="preserve">Assessee PAN.</t>
  </si>
  <si>
    <t xml:space="preserve">ais_part</t>
  </si>
  <si>
    <t xml:space="preserve">Part B section</t>
  </si>
  <si>
    <t xml:space="preserve">Part B</t>
  </si>
  <si>
    <t xml:space="preserve">TDS_TCS|SFT|TAX_PAYMENT|DEMAND_REFUND|OTHER</t>
  </si>
  <si>
    <t xml:space="preserve">Section of Part B the record belongs to.</t>
  </si>
  <si>
    <t xml:space="preserve">information_code</t>
  </si>
  <si>
    <t xml:space="preserve">Information code / SFT code</t>
  </si>
  <si>
    <t xml:space="preserve">e.g. SFT-001..SFT-018 (with sub-codes like SFT-017(LES), SFT-018(EMF)); TDS-&lt;section&gt; e.g. TDS-194J (pattern implementation assumption); EXC-GSTR3B</t>
  </si>
  <si>
    <t xml:space="preserve">Code identifying the information category; key to map to ITR heads/books ledgers.</t>
  </si>
  <si>
    <t xml:space="preserve">information_description</t>
  </si>
  <si>
    <t xml:space="preserve">Information description</t>
  </si>
  <si>
    <t xml:space="preserve">Description e.g. 'Interest from deposit', 'Receipt of professional fees'.</t>
  </si>
  <si>
    <t xml:space="preserve">information_source</t>
  </si>
  <si>
    <t xml:space="preserve">Information source</t>
  </si>
  <si>
    <t xml:space="preserve">Source name + TAN/PAN/registration no.</t>
  </si>
  <si>
    <t xml:space="preserve">Reporting entity (bank, employer, registrar, GSTN).</t>
  </si>
  <si>
    <t xml:space="preserve">information_count</t>
  </si>
  <si>
    <t xml:space="preserve">Count</t>
  </si>
  <si>
    <t xml:space="preserve">Number of underlying transactions (implementation label).</t>
  </si>
  <si>
    <t xml:space="preserve">reported_value</t>
  </si>
  <si>
    <t xml:space="preserve">Information value / Reported by source</t>
  </si>
  <si>
    <t xml:space="preserve">Value as reported by the source.</t>
  </si>
  <si>
    <t xml:space="preserve">modified_value</t>
  </si>
  <si>
    <t xml:space="preserve">Modified value (after feedback)</t>
  </si>
  <si>
    <t xml:space="preserve">Value after taxpayer feedback.</t>
  </si>
  <si>
    <t xml:space="preserve">Active|Inactive|Feedback given (as displayed)</t>
  </si>
  <si>
    <t xml:space="preserve">Display status (labels not verified).</t>
  </si>
  <si>
    <t xml:space="preserve">feedback_option</t>
  </si>
  <si>
    <t xml:space="preserve">Feedback</t>
  </si>
  <si>
    <t xml:space="preserve">Information is correct|Income is not taxable|Information is not fully correct|Information relates to other PAN/year|Information is duplicate/included in other information|Information is denied</t>
  </si>
  <si>
    <t xml:space="preserve">Taxpayer feedback; drives TIS accepted value.</t>
  </si>
  <si>
    <t xml:space="preserve">txn_quarter</t>
  </si>
  <si>
    <t xml:space="preserve">Part B transaction detail</t>
  </si>
  <si>
    <t xml:space="preserve">Q1|Q2|Q3|Q4</t>
  </si>
  <si>
    <t xml:space="preserve">Quarter of TDS transaction (detail view).</t>
  </si>
  <si>
    <t xml:space="preserve">Date of payment/credit / Reported on</t>
  </si>
  <si>
    <t xml:space="preserve">Transaction date.</t>
  </si>
  <si>
    <t xml:space="preserve">Amount paid/credited</t>
  </si>
  <si>
    <t xml:space="preserve">Part B TDS detail</t>
  </si>
  <si>
    <t xml:space="preserve">Gross amount.</t>
  </si>
  <si>
    <t xml:space="preserve">tds_deducted</t>
  </si>
  <si>
    <t xml:space="preserve">TDS deducted / TCS collected</t>
  </si>
  <si>
    <t xml:space="preserve">TDS deposited / TCS deposited</t>
  </si>
  <si>
    <t xml:space="preserve">account_number</t>
  </si>
  <si>
    <t xml:space="preserve">Account number</t>
  </si>
  <si>
    <t xml:space="preserve">SFT detail (interest/deposits)</t>
  </si>
  <si>
    <t xml:space="preserve">masked as provided</t>
  </si>
  <si>
    <t xml:space="preserve">Bank account – link to BANK_STMT.</t>
  </si>
  <si>
    <t xml:space="preserve">account_type</t>
  </si>
  <si>
    <t xml:space="preserve">Account type</t>
  </si>
  <si>
    <t xml:space="preserve">SFT detail</t>
  </si>
  <si>
    <t xml:space="preserve">Savings|Term|Recurring|...</t>
  </si>
  <si>
    <t xml:space="preserve">tax_payment_bsr</t>
  </si>
  <si>
    <t xml:space="preserve">BSR code</t>
  </si>
  <si>
    <t xml:space="preserve">Payment of Taxes</t>
  </si>
  <si>
    <t xml:space="preserve">^[0-9]{7}$</t>
  </si>
  <si>
    <t xml:space="preserve">For advance/self-assessment tax rows.</t>
  </si>
  <si>
    <t xml:space="preserve">tax_payment_date</t>
  </si>
  <si>
    <t xml:space="preserve">Date of deposit</t>
  </si>
  <si>
    <t xml:space="preserve">tax_payment_csn</t>
  </si>
  <si>
    <t xml:space="preserve">Challan serial number</t>
  </si>
  <si>
    <t xml:space="preserve">^[0-9]{1,5}$ (left-pad to 5 for matching)</t>
  </si>
  <si>
    <t xml:space="preserve">tax_payment_major_head</t>
  </si>
  <si>
    <t xml:space="preserve">Major head</t>
  </si>
  <si>
    <t xml:space="preserve">0020|0021</t>
  </si>
  <si>
    <t xml:space="preserve">tax_payment_minor_head</t>
  </si>
  <si>
    <t xml:space="preserve">Minor head</t>
  </si>
  <si>
    <t xml:space="preserve">100|300|400 ...</t>
  </si>
  <si>
    <t xml:space="preserve">100 advance tax, 300 self-assessment, 400 regular assessment.</t>
  </si>
  <si>
    <t xml:space="preserve">tax_payment_amount</t>
  </si>
  <si>
    <t xml:space="preserve">Amount</t>
  </si>
  <si>
    <t xml:space="preserve">gst_turnover</t>
  </si>
  <si>
    <t xml:space="preserve">GST turnover (EXC-GSTR3B)</t>
  </si>
  <si>
    <t xml:space="preserve">Other Information</t>
  </si>
  <si>
    <t xml:space="preserve">GSTR-3B turnover by GSTIN/period for books/turnover reconciliation.</t>
  </si>
  <si>
    <t xml:space="preserve">information_category</t>
  </si>
  <si>
    <t xml:space="preserve">Information category</t>
  </si>
  <si>
    <t xml:space="preserve">Summary</t>
  </si>
  <si>
    <t xml:space="preserve">free text as displayed</t>
  </si>
  <si>
    <t xml:space="preserve">Category; map to ITR head via configurable table.</t>
  </si>
  <si>
    <t xml:space="preserve">processed_value</t>
  </si>
  <si>
    <t xml:space="preserve">Value processed by system</t>
  </si>
  <si>
    <t xml:space="preserve">System value after de-duplication rules.</t>
  </si>
  <si>
    <t xml:space="preserve">derived_value</t>
  </si>
  <si>
    <t xml:space="preserve">Value accepted by taxpayer/confirmed by source (derived value)</t>
  </si>
  <si>
    <t xml:space="preserve">Value after considering taxpayer feedback; used for ITR pre-fill – preferred compare value.</t>
  </si>
  <si>
    <t xml:space="preserve">reported_value_sum</t>
  </si>
  <si>
    <t xml:space="preserve">Reported by Source</t>
  </si>
  <si>
    <t xml:space="preserve">Detail</t>
  </si>
  <si>
    <t xml:space="preserve">Sum of AIS reported values for the category.</t>
  </si>
  <si>
    <t xml:space="preserve">PartA_GEN1</t>
  </si>
  <si>
    <t xml:space="preserve">Form header</t>
  </si>
  <si>
    <t xml:space="preserve">yyyy (e.g. 2026)</t>
  </si>
  <si>
    <t xml:space="preserve">itr_form</t>
  </si>
  <si>
    <t xml:space="preserve">ITR form</t>
  </si>
  <si>
    <t xml:space="preserve">ITR-1|ITR-2|ITR-3|ITR-4|ITR-5|ITR-6|ITR-7|ITR-U</t>
  </si>
  <si>
    <t xml:space="preserve">filing_section</t>
  </si>
  <si>
    <t xml:space="preserve">Return filed under section</t>
  </si>
  <si>
    <t xml:space="preserve">PartA_GEN1.FilingStatus</t>
  </si>
  <si>
    <t xml:space="preserve">139(1)|139(4)|139(5)|139(8A)|... (11/12/13/17/21 codes in schema)</t>
  </si>
  <si>
    <t xml:space="preserve">ITR-V</t>
  </si>
  <si>
    <t xml:space="preserve">15 digits</t>
  </si>
  <si>
    <t xml:space="preserve">ISO</t>
  </si>
  <si>
    <t xml:space="preserve">Used for s.234A/234F.</t>
  </si>
  <si>
    <t xml:space="preserve">regime_opted</t>
  </si>
  <si>
    <t xml:space="preserve">Opting out of new tax regime u/s 115BAC(6)</t>
  </si>
  <si>
    <t xml:space="preserve">Y|N</t>
  </si>
  <si>
    <t xml:space="preserve">audit_flag</t>
  </si>
  <si>
    <t xml:space="preserve">Liable for audit u/s 44AB</t>
  </si>
  <si>
    <t xml:space="preserve">PartA_GEN2 / Audit info</t>
  </si>
  <si>
    <t xml:space="preserve">audit_report_date</t>
  </si>
  <si>
    <t xml:space="preserve">Date of furnishing audit report</t>
  </si>
  <si>
    <t xml:space="preserve">Audit info</t>
  </si>
  <si>
    <t xml:space="preserve">Match to F3CD ack date.</t>
  </si>
  <si>
    <t xml:space="preserve">bp_net_profit_pl</t>
  </si>
  <si>
    <t xml:space="preserve">Profit before tax as per P&amp;L</t>
  </si>
  <si>
    <t xml:space="preserve">Schedule BP item 1</t>
  </si>
  <si>
    <t xml:space="preserve">Match to FS.</t>
  </si>
  <si>
    <t xml:space="preserve">bp_turnover_gross_receipts</t>
  </si>
  <si>
    <t xml:space="preserve">Gross turnover / receipts</t>
  </si>
  <si>
    <t xml:space="preserve">Schedule BP / Part A-P&amp;L / 44AD block</t>
  </si>
  <si>
    <t xml:space="preserve">Match to SALES_REG, AIS EXC-GSTR3B.</t>
  </si>
  <si>
    <t xml:space="preserve">bp_disallow_36_1_va</t>
  </si>
  <si>
    <t xml:space="preserve">Amounts not deductible u/s 36(1)(va) / s.43B</t>
  </si>
  <si>
    <t xml:space="preserve">Schedule BP</t>
  </si>
  <si>
    <t xml:space="preserve">Match to F3CD cl.20(b)/26.</t>
  </si>
  <si>
    <t xml:space="preserve">bp_disallow_40a_ia</t>
  </si>
  <si>
    <t xml:space="preserve">Amount disallowable u/s 40(a)</t>
  </si>
  <si>
    <t xml:space="preserve">Match to F3CD cl.21(b).</t>
  </si>
  <si>
    <t xml:space="preserve">bp_income</t>
  </si>
  <si>
    <t xml:space="preserve">Income chargeable under PGBP</t>
  </si>
  <si>
    <t xml:space="preserve">ti_gross_total_income</t>
  </si>
  <si>
    <t xml:space="preserve">Gross Total Income</t>
  </si>
  <si>
    <t xml:space="preserve">Part B-TI</t>
  </si>
  <si>
    <t xml:space="preserve">ti_deductions_via</t>
  </si>
  <si>
    <t xml:space="preserve">Deductions under Chapter VI-A</t>
  </si>
  <si>
    <t xml:space="preserve">ti_total_income</t>
  </si>
  <si>
    <t xml:space="preserve">Total income</t>
  </si>
  <si>
    <t xml:space="preserve">rounded to nearest Rs 10 (s.288A / s.516)</t>
  </si>
  <si>
    <t xml:space="preserve">tti_tax_payable</t>
  </si>
  <si>
    <t xml:space="preserve">Tax payable on total income</t>
  </si>
  <si>
    <t xml:space="preserve">Part B-TTI</t>
  </si>
  <si>
    <t xml:space="preserve">tti_rebate_87a</t>
  </si>
  <si>
    <t xml:space="preserve">Rebate u/s 87A</t>
  </si>
  <si>
    <t xml:space="preserve">tti_surcharge</t>
  </si>
  <si>
    <t xml:space="preserve">Surcharge</t>
  </si>
  <si>
    <t xml:space="preserve">tti_cess</t>
  </si>
  <si>
    <t xml:space="preserve">Health &amp; Education Cess</t>
  </si>
  <si>
    <t xml:space="preserve">tti_relief</t>
  </si>
  <si>
    <t xml:space="preserve">Relief u/s 89/90/91</t>
  </si>
  <si>
    <t xml:space="preserve">tti_interest_234a</t>
  </si>
  <si>
    <t xml:space="preserve">Interest u/s 234A</t>
  </si>
  <si>
    <t xml:space="preserve">tti_interest_234b</t>
  </si>
  <si>
    <t xml:space="preserve">Interest u/s 234B</t>
  </si>
  <si>
    <t xml:space="preserve">tti_interest_234c</t>
  </si>
  <si>
    <t xml:space="preserve">Interest u/s 234C</t>
  </si>
  <si>
    <t xml:space="preserve">tti_fee_234f</t>
  </si>
  <si>
    <t xml:space="preserve">Fee u/s 234F</t>
  </si>
  <si>
    <t xml:space="preserve">tti_advance_tax</t>
  </si>
  <si>
    <t xml:space="preserve">Advance Tax</t>
  </si>
  <si>
    <t xml:space="preserve">Part B-TTI Taxes Paid</t>
  </si>
  <si>
    <t xml:space="preserve">= Σ Schedule IT minor head 100.</t>
  </si>
  <si>
    <t xml:space="preserve">tti_tds</t>
  </si>
  <si>
    <t xml:space="preserve">= Σ TDS1+TDS2+TDS3 claimed.</t>
  </si>
  <si>
    <t xml:space="preserve">tti_tcs</t>
  </si>
  <si>
    <t xml:space="preserve">tti_self_assessment_tax</t>
  </si>
  <si>
    <t xml:space="preserve">Self-Assessment Tax</t>
  </si>
  <si>
    <t xml:space="preserve">tti_refund_or_payable</t>
  </si>
  <si>
    <t xml:space="preserve">Amount payable / Refund</t>
  </si>
  <si>
    <t xml:space="preserve">rounded to Rs 10</t>
  </si>
  <si>
    <t xml:space="preserve">it_bsr_code</t>
  </si>
  <si>
    <t xml:space="preserve">BSR Code</t>
  </si>
  <si>
    <t xml:space="preserve">Schedule IT</t>
  </si>
  <si>
    <t xml:space="preserve">Match to ADV_TAX_CHALLAN.</t>
  </si>
  <si>
    <t xml:space="preserve">it_date_of_deposit</t>
  </si>
  <si>
    <t xml:space="preserve">Date of Deposit</t>
  </si>
  <si>
    <t xml:space="preserve">it_challan_serial</t>
  </si>
  <si>
    <t xml:space="preserve">Serial Number of Challan</t>
  </si>
  <si>
    <t xml:space="preserve">it_amount</t>
  </si>
  <si>
    <t xml:space="preserve">Tax paid</t>
  </si>
  <si>
    <t xml:space="preserve">tds1_employer_tan</t>
  </si>
  <si>
    <t xml:space="preserve">TAN of the Employer</t>
  </si>
  <si>
    <t xml:space="preserve">Schedule TDS1</t>
  </si>
  <si>
    <t xml:space="preserve">tds1_income_salary</t>
  </si>
  <si>
    <t xml:space="preserve">Income chargeable under Salaries</t>
  </si>
  <si>
    <t xml:space="preserve">Match to F16 / F16_PARTB.</t>
  </si>
  <si>
    <t xml:space="preserve">tds1_tax_deducted</t>
  </si>
  <si>
    <t xml:space="preserve">Total tax deducted</t>
  </si>
  <si>
    <t xml:space="preserve">tds2_deductor_tan</t>
  </si>
  <si>
    <t xml:space="preserve">TAN of the Deductor / PAN of Tenant/Buyer</t>
  </si>
  <si>
    <t xml:space="preserve">Schedule TDS2</t>
  </si>
  <si>
    <t xml:space="preserve">^[A-Z]{4}[0-9]{5}[A-Z]$ or PAN</t>
  </si>
  <si>
    <t xml:space="preserve">tds2_section</t>
  </si>
  <si>
    <t xml:space="preserve">TDS Section</t>
  </si>
  <si>
    <t xml:space="preserve">Schedule TDS2 (TDSSection enum, revised 30-06-2026)</t>
  </si>
  <si>
    <t xml:space="preserve">schema enum</t>
  </si>
  <si>
    <t xml:space="preserve">Match to 26AS section.</t>
  </si>
  <si>
    <t xml:space="preserve">tds2_unclaimed_bf_fy</t>
  </si>
  <si>
    <t xml:space="preserve">Unclaimed TDS brought forward – FY</t>
  </si>
  <si>
    <t xml:space="preserve">tds2_unclaimed_bf_amount</t>
  </si>
  <si>
    <t xml:space="preserve">Unclaimed TDS brought forward – amount</t>
  </si>
  <si>
    <t xml:space="preserve">tds2_deducted_current_year</t>
  </si>
  <si>
    <t xml:space="preserve">TDS of the current FY – deducted in own hands</t>
  </si>
  <si>
    <t xml:space="preserve">tds2_claimed_own_hands</t>
  </si>
  <si>
    <t xml:space="preserve">TDS credit claimed this year – own hands</t>
  </si>
  <si>
    <t xml:space="preserve">Must be ≤ 26AS (status F).</t>
  </si>
  <si>
    <t xml:space="preserve">tds2_gross_amount</t>
  </si>
  <si>
    <t xml:space="preserve">Corresponding receipt offered – gross amount</t>
  </si>
  <si>
    <t xml:space="preserve">Rule 37BA matching of income with credit.</t>
  </si>
  <si>
    <t xml:space="preserve">tds2_head_of_income</t>
  </si>
  <si>
    <t xml:space="preserve">Head of income</t>
  </si>
  <si>
    <t xml:space="preserve">SA|HP|BP|CG|OS</t>
  </si>
  <si>
    <t xml:space="preserve">tds2_carried_forward</t>
  </si>
  <si>
    <t xml:space="preserve">TDS credit being carried forward</t>
  </si>
  <si>
    <t xml:space="preserve">tcs_collector_tan</t>
  </si>
  <si>
    <t xml:space="preserve">TAN of the Collector</t>
  </si>
  <si>
    <t xml:space="preserve">Schedule TCS</t>
  </si>
  <si>
    <t xml:space="preserve">tcs_claimed</t>
  </si>
  <si>
    <t xml:space="preserve">TCS claimed this year</t>
  </si>
  <si>
    <t xml:space="preserve">certificate_no</t>
  </si>
  <si>
    <t xml:space="preserve">Certificate No.</t>
  </si>
  <si>
    <t xml:space="preserve">Part A header</t>
  </si>
  <si>
    <t xml:space="preserve">alphanumeric (TRACES)</t>
  </si>
  <si>
    <t xml:space="preserve">Unique certificate id.</t>
  </si>
  <si>
    <t xml:space="preserve">employer_tan</t>
  </si>
  <si>
    <t xml:space="preserve">TAN of the Deductor</t>
  </si>
  <si>
    <t xml:space="preserve">employer_pan</t>
  </si>
  <si>
    <t xml:space="preserve">PAN of the Deductor</t>
  </si>
  <si>
    <t xml:space="preserve">employee_pan</t>
  </si>
  <si>
    <t xml:space="preserve">PAN of the Employee</t>
  </si>
  <si>
    <t xml:space="preserve">Key to PAYROLL_REG / TDS_RET_24Q SD.</t>
  </si>
  <si>
    <t xml:space="preserve">employee_name</t>
  </si>
  <si>
    <t xml:space="preserve">Name and address of the Employee</t>
  </si>
  <si>
    <t xml:space="preserve">Assessment Year / Tax Year</t>
  </si>
  <si>
    <t xml:space="preserve">Period with the Employer – From</t>
  </si>
  <si>
    <t xml:space="preserve">Period with the Employer – To</t>
  </si>
  <si>
    <t xml:space="preserve">Quarter(s)</t>
  </si>
  <si>
    <t xml:space="preserve">Part A summary</t>
  </si>
  <si>
    <t xml:space="preserve">receipt_no</t>
  </si>
  <si>
    <t xml:space="preserve">Receipt Numbers of original quarterly statements of TDS</t>
  </si>
  <si>
    <t xml:space="preserve">8 chars (token/receipt)</t>
  </si>
  <si>
    <t xml:space="preserve">Must match TDS_RET_24Q token.</t>
  </si>
  <si>
    <t xml:space="preserve">Quarter-wise salary paid.</t>
  </si>
  <si>
    <t xml:space="preserve">Amount of tax deducted</t>
  </si>
  <si>
    <t xml:space="preserve">tax_deposited</t>
  </si>
  <si>
    <t xml:space="preserve">Amount of tax deposited/remitted</t>
  </si>
  <si>
    <t xml:space="preserve">challan_bsr</t>
  </si>
  <si>
    <t xml:space="preserve">BSR Code of the Bank Branch</t>
  </si>
  <si>
    <t xml:space="preserve">Part A – challan details</t>
  </si>
  <si>
    <t xml:space="preserve">challan_date</t>
  </si>
  <si>
    <t xml:space="preserve">Date on which tax deposited</t>
  </si>
  <si>
    <t xml:space="preserve">challan_serial</t>
  </si>
  <si>
    <t xml:space="preserve">Challan Serial Number</t>
  </si>
  <si>
    <t xml:space="preserve">challan_tax_deposited</t>
  </si>
  <si>
    <t xml:space="preserve">Tax deposited in respect of the deductee</t>
  </si>
  <si>
    <t xml:space="preserve">challan_status</t>
  </si>
  <si>
    <t xml:space="preserve">Status of matching with OLTAS</t>
  </si>
  <si>
    <t xml:space="preserve">U|P|F|O</t>
  </si>
  <si>
    <t xml:space="preserve">Credit status per TRACES legend.</t>
  </si>
  <si>
    <t xml:space="preserve">last_updated_on</t>
  </si>
  <si>
    <t xml:space="preserve">Last updated on</t>
  </si>
  <si>
    <t xml:space="preserve">Match key to 26AS/AIS and books party master.</t>
  </si>
  <si>
    <t xml:space="preserve">deductor_pan</t>
  </si>
  <si>
    <t xml:space="preserve">deductee_pan</t>
  </si>
  <si>
    <t xml:space="preserve">PAN of the Deductee</t>
  </si>
  <si>
    <t xml:space="preserve">Period – From</t>
  </si>
  <si>
    <t xml:space="preserve">Period – To</t>
  </si>
  <si>
    <t xml:space="preserve">Summary of payment</t>
  </si>
  <si>
    <t xml:space="preserve">Receipt Numbers of Original Quarterly Statements</t>
  </si>
  <si>
    <t xml:space="preserve">nature_of_payment</t>
  </si>
  <si>
    <t xml:space="preserve">Nature of payment (section)</t>
  </si>
  <si>
    <t xml:space="preserve">section code</t>
  </si>
  <si>
    <t xml:space="preserve">date_paid_credited</t>
  </si>
  <si>
    <t xml:space="preserve">Date of payment/credit</t>
  </si>
  <si>
    <t xml:space="preserve">Challan details</t>
  </si>
  <si>
    <t xml:space="preserve">status_of_matching</t>
  </si>
  <si>
    <t xml:space="preserve">tan</t>
  </si>
  <si>
    <t xml:space="preserve">TAN of Deductor/Collector</t>
  </si>
  <si>
    <t xml:space="preserve">BH field 13 / Part A</t>
  </si>
  <si>
    <t xml:space="preserve">Primary key of statement.</t>
  </si>
  <si>
    <t xml:space="preserve">PAN of Deductor</t>
  </si>
  <si>
    <t xml:space="preserve">BH field 15</t>
  </si>
  <si>
    <t xml:space="preserve">^[A-Z]{5}[0-9]{4}[A-Z]$ or PANNOTREQD</t>
  </si>
  <si>
    <t xml:space="preserve">form_no</t>
  </si>
  <si>
    <t xml:space="preserve">Form number</t>
  </si>
  <si>
    <t xml:space="preserve">BH field 5</t>
  </si>
  <si>
    <t xml:space="preserve">24Q|26Q|27Q|27EQ|138|140|143|144</t>
  </si>
  <si>
    <t xml:space="preserve">Financial year / Tax Year</t>
  </si>
  <si>
    <t xml:space="preserve">BH field 17</t>
  </si>
  <si>
    <t xml:space="preserve">yyyyyy e.g. 202526 in file; 'Tax Year' label in new forms</t>
  </si>
  <si>
    <t xml:space="preserve">Assessment year</t>
  </si>
  <si>
    <t xml:space="preserve">BH field 16</t>
  </si>
  <si>
    <t xml:space="preserve">yyyyyy</t>
  </si>
  <si>
    <t xml:space="preserve">Legacy forms.</t>
  </si>
  <si>
    <t xml:space="preserve">BH field 18</t>
  </si>
  <si>
    <t xml:space="preserve">statement_type</t>
  </si>
  <si>
    <t xml:space="preserve">Original / Correction</t>
  </si>
  <si>
    <t xml:space="preserve">O|C (implementation label)</t>
  </si>
  <si>
    <t xml:space="preserve">Correction statements supersede earlier data.</t>
  </si>
  <si>
    <t xml:space="preserve">token_no</t>
  </si>
  <si>
    <t xml:space="preserve">Token / Provisional Receipt Number (new forms: Return Receipt Number)</t>
  </si>
  <si>
    <t xml:space="preserve">BH field 9/10</t>
  </si>
  <si>
    <t xml:space="preserve">Needed to download TRACES_JUST and file corrections.</t>
  </si>
  <si>
    <t xml:space="preserve">Name of Deductor</t>
  </si>
  <si>
    <t xml:space="preserve">BH field 19</t>
  </si>
  <si>
    <t xml:space="preserve">deductor_type</t>
  </si>
  <si>
    <t xml:space="preserve">Deductor type</t>
  </si>
  <si>
    <t xml:space="preserve">BH field 32</t>
  </si>
  <si>
    <t xml:space="preserve">code per master (Company, Individual/HUF, Govt …)</t>
  </si>
  <si>
    <t xml:space="preserve">batch_total_deposit</t>
  </si>
  <si>
    <t xml:space="preserve">Batch Total of Total of Deposit Amount as per Challan</t>
  </si>
  <si>
    <t xml:space="preserve">BH field 47</t>
  </si>
  <si>
    <t xml:space="preserve">= Σ CD.challan_total</t>
  </si>
  <si>
    <t xml:space="preserve">Statement-level control total.</t>
  </si>
  <si>
    <t xml:space="preserve">challan_count</t>
  </si>
  <si>
    <t xml:space="preserve">Count of Challan/transfer voucher records</t>
  </si>
  <si>
    <t xml:space="preserve">BH field 4</t>
  </si>
  <si>
    <t xml:space="preserve">challan_record_no</t>
  </si>
  <si>
    <t xml:space="preserve">Challan-Detail Record Number / Sl. No.</t>
  </si>
  <si>
    <t xml:space="preserve">24Q CD field 4 (col 401)</t>
  </si>
  <si>
    <t xml:space="preserve">Serial of challan within statement; DD rows link via this.</t>
  </si>
  <si>
    <t xml:space="preserve">deductee_record_count</t>
  </si>
  <si>
    <t xml:space="preserve">Count of Deductee/Party Records</t>
  </si>
  <si>
    <t xml:space="preserve">24Q CD field 5</t>
  </si>
  <si>
    <t xml:space="preserve">nil_challan_indicator</t>
  </si>
  <si>
    <t xml:space="preserve">NIL Challan Indicator</t>
  </si>
  <si>
    <t xml:space="preserve">24Q CD field 6</t>
  </si>
  <si>
    <t xml:space="preserve">Y when no tax deposited (all rows lower/nil).</t>
  </si>
  <si>
    <t xml:space="preserve">bsr_code</t>
  </si>
  <si>
    <t xml:space="preserve">Bank-Branch Code (BSR) / Form 24G (Form 137) Receipt Number</t>
  </si>
  <si>
    <t xml:space="preserve">24Q CD field 16 (col 408)</t>
  </si>
  <si>
    <t xml:space="preserve">^[0-9]{7}$ (book-entry: 24G/137 receipt no.)</t>
  </si>
  <si>
    <t xml:space="preserve">Part of CIN; match key to TDS_CHALLAN.</t>
  </si>
  <si>
    <t xml:space="preserve">challan_serial_no</t>
  </si>
  <si>
    <t xml:space="preserve">Bank Challan No / DDO serial no. of Form 24G</t>
  </si>
  <si>
    <t xml:space="preserve">24Q CD field 12/14 (col 409)</t>
  </si>
  <si>
    <t xml:space="preserve">Part of CIN; never 'ITNS 281'.</t>
  </si>
  <si>
    <t xml:space="preserve">Date of Bank Challan / Transfer Voucher</t>
  </si>
  <si>
    <t xml:space="preserve">24Q CD field 18 (col 410)</t>
  </si>
  <si>
    <t xml:space="preserve">ddmmyyyy in file; nil challan = quarter end date</t>
  </si>
  <si>
    <t xml:space="preserve">Date of deposit; part of CIN.</t>
  </si>
  <si>
    <t xml:space="preserve">minor_head</t>
  </si>
  <si>
    <t xml:space="preserve">Minor Head of Challan</t>
  </si>
  <si>
    <t xml:space="preserve">24Q CD field 40 (col 411)</t>
  </si>
  <si>
    <t xml:space="preserve">200|400</t>
  </si>
  <si>
    <t xml:space="preserve">200 = TDS/TCS payable by taxpayer; 400 = regular assessment (demand).</t>
  </si>
  <si>
    <t xml:space="preserve">challan_tax</t>
  </si>
  <si>
    <t xml:space="preserve">Oltas TDS/TCS – Income Tax</t>
  </si>
  <si>
    <t xml:space="preserve">24Q CD field 22 (col 402)</t>
  </si>
  <si>
    <t xml:space="preserve">integer value with .00</t>
  </si>
  <si>
    <t xml:space="preserve">challan_surcharge</t>
  </si>
  <si>
    <t xml:space="preserve">Oltas TDS/TCS – Surcharge</t>
  </si>
  <si>
    <t xml:space="preserve">24Q CD field 23</t>
  </si>
  <si>
    <t xml:space="preserve">integer .00; removed from Forms 138/140/143/144 challan details (FVU 1.2)</t>
  </si>
  <si>
    <t xml:space="preserve">Legacy forms only.</t>
  </si>
  <si>
    <t xml:space="preserve">challan_cess</t>
  </si>
  <si>
    <t xml:space="preserve">Oltas TDS/TCS – Cess</t>
  </si>
  <si>
    <t xml:space="preserve">24Q CD field 24</t>
  </si>
  <si>
    <t xml:space="preserve">integer .00; removed in new forms</t>
  </si>
  <si>
    <t xml:space="preserve">challan_interest</t>
  </si>
  <si>
    <t xml:space="preserve">Oltas TDS/TCS – Interest Amount / Total Interest (C)</t>
  </si>
  <si>
    <t xml:space="preserve">24Q CD field 25 (col 403)</t>
  </si>
  <si>
    <t xml:space="preserve">integer .00</t>
  </si>
  <si>
    <t xml:space="preserve">Interest paid in challan.</t>
  </si>
  <si>
    <t xml:space="preserve">challan_fee</t>
  </si>
  <si>
    <t xml:space="preserve">Fee (s.234E / s.427) / Total Fee (D)</t>
  </si>
  <si>
    <t xml:space="preserve">24Q CD field 39 (col 404)</t>
  </si>
  <si>
    <t xml:space="preserve">Late filing fee paid.</t>
  </si>
  <si>
    <t xml:space="preserve">challan_others</t>
  </si>
  <si>
    <t xml:space="preserve">Oltas TDS/TCS – Others (amount)</t>
  </si>
  <si>
    <t xml:space="preserve">24Q CD field 26 (col 405)</t>
  </si>
  <si>
    <t xml:space="preserve">integer .00; Penalty/Others removed in new forms</t>
  </si>
  <si>
    <t xml:space="preserve">challan_total</t>
  </si>
  <si>
    <t xml:space="preserve">Total of Deposit Amount as per Challan/Transfer Voucher</t>
  </si>
  <si>
    <t xml:space="preserve">24Q CD field 27 (col 406)</t>
  </si>
  <si>
    <t xml:space="preserve">= tax + surcharge + cess + interest + fee + others</t>
  </si>
  <si>
    <t xml:space="preserve">Must equal amount on CIN in OLTAS.</t>
  </si>
  <si>
    <t xml:space="preserve">deductee_total_deposited</t>
  </si>
  <si>
    <t xml:space="preserve">Total Tax Deposit Amount as per deductee annexure</t>
  </si>
  <si>
    <t xml:space="preserve">24Q CD field 29</t>
  </si>
  <si>
    <t xml:space="preserve">= Σ DD.tax_deposited for this challan</t>
  </si>
  <si>
    <t xml:space="preserve">Consumption of challan; must be &lt;= challan_tax (+allocations).</t>
  </si>
  <si>
    <t xml:space="preserve">interest_allocation</t>
  </si>
  <si>
    <t xml:space="preserve">Interest Allocation</t>
  </si>
  <si>
    <t xml:space="preserve">24Q Challan details (new forms, RPU/FVU 1.2)</t>
  </si>
  <si>
    <t xml:space="preserve">New column in Forms 138/140/143/144 from FVU 1.2.</t>
  </si>
  <si>
    <t xml:space="preserve">others_allocation</t>
  </si>
  <si>
    <t xml:space="preserve">Others Allocation</t>
  </si>
  <si>
    <t xml:space="preserve">book_entry_flag</t>
  </si>
  <si>
    <t xml:space="preserve">By Book entry / Cash</t>
  </si>
  <si>
    <t xml:space="preserve">24Q CD field 37 (col 407)</t>
  </si>
  <si>
    <t xml:space="preserve">Y|N (C=Challan/B=Book adjustment on printed form)</t>
  </si>
  <si>
    <t xml:space="preserve">Government book adjustment vs challan.</t>
  </si>
  <si>
    <t xml:space="preserve">deductee_record_no</t>
  </si>
  <si>
    <t xml:space="preserve">Deductee/Party Detail Record No</t>
  </si>
  <si>
    <t xml:space="preserve">24Q DD field 5 (col 412)</t>
  </si>
  <si>
    <t xml:space="preserve">challan_record_no_ref</t>
  </si>
  <si>
    <t xml:space="preserve">Challan-Detail Record Number</t>
  </si>
  <si>
    <t xml:space="preserve">24Q DD field 4</t>
  </si>
  <si>
    <t xml:space="preserve">must exist in CD</t>
  </si>
  <si>
    <t xml:space="preserve">Link to parent challan.</t>
  </si>
  <si>
    <t xml:space="preserve">deductee_code</t>
  </si>
  <si>
    <t xml:space="preserve">Deductee code</t>
  </si>
  <si>
    <t xml:space="preserve">24Q DD field 8 (col 414)</t>
  </si>
  <si>
    <t xml:space="preserve">01 (Company) | 02 (Other than company)</t>
  </si>
  <si>
    <t xml:space="preserve">PAN of deductee</t>
  </si>
  <si>
    <t xml:space="preserve">24Q DD field 10 (col 415)</t>
  </si>
  <si>
    <t xml:space="preserve">^[A-Z]{5}[0-9]{4}[A-Z]$ or PANAPPLIED|PANINVALID|PANNOTAVBL</t>
  </si>
  <si>
    <t xml:space="preserve">Primary match key to books / Form 16A / 26AS of payee.</t>
  </si>
  <si>
    <t xml:space="preserve">deductee_ref_no</t>
  </si>
  <si>
    <t xml:space="preserve">Deductee reference number</t>
  </si>
  <si>
    <t xml:space="preserve">24Q DD field 12 (col 413)</t>
  </si>
  <si>
    <t xml:space="preserve">max 10 chars (implementation)</t>
  </si>
  <si>
    <t xml:space="preserve">Deductor's own ref – useful to link to PARTY_MASTER.</t>
  </si>
  <si>
    <t xml:space="preserve">deductee_name</t>
  </si>
  <si>
    <t xml:space="preserve">Name of deductee</t>
  </si>
  <si>
    <t xml:space="preserve">24Q DD field 13 (col 416)</t>
  </si>
  <si>
    <t xml:space="preserve">tds_income_tax</t>
  </si>
  <si>
    <t xml:space="preserve">TDS/TCS – Income Tax for the period</t>
  </si>
  <si>
    <t xml:space="preserve">24Q DD field 14</t>
  </si>
  <si>
    <t xml:space="preserve">2 dp</t>
  </si>
  <si>
    <t xml:space="preserve">Legacy split; new forms show total only.</t>
  </si>
  <si>
    <t xml:space="preserve">tds_surcharge</t>
  </si>
  <si>
    <t xml:space="preserve">TDS/TCS – Surcharge</t>
  </si>
  <si>
    <t xml:space="preserve">24Q DD field 15</t>
  </si>
  <si>
    <t xml:space="preserve">tds_cess</t>
  </si>
  <si>
    <t xml:space="preserve">TDS/TCS – Cess</t>
  </si>
  <si>
    <t xml:space="preserve">24Q DD field 16</t>
  </si>
  <si>
    <t xml:space="preserve">Total Income Tax Deducted at Source</t>
  </si>
  <si>
    <t xml:space="preserve">24Q DD field 17 (col 420)</t>
  </si>
  <si>
    <t xml:space="preserve">= 14+15+16</t>
  </si>
  <si>
    <t xml:space="preserve">Total Tax Deposited</t>
  </si>
  <si>
    <t xml:space="preserve">24Q DD field 19 (col 421)</t>
  </si>
  <si>
    <t xml:space="preserve">2 dp; &lt;= tax_deducted normally</t>
  </si>
  <si>
    <t xml:space="preserve">Amount of Payment / Credit (Rs)</t>
  </si>
  <si>
    <t xml:space="preserve">24Q DD field 22 (col 419)</t>
  </si>
  <si>
    <t xml:space="preserve">&gt; 0.00</t>
  </si>
  <si>
    <t xml:space="preserve">Base amount – match to books expense / payee's income.</t>
  </si>
  <si>
    <t xml:space="preserve">Date on which Amount paid / Credited</t>
  </si>
  <si>
    <t xml:space="preserve">24Q DD field 23 (col 418)</t>
  </si>
  <si>
    <t xml:space="preserve">ddmmyyyy; FVU 1.2: must fall within the quarter and tax year of the statement</t>
  </si>
  <si>
    <t xml:space="preserve">Drives due-date and interest computations.</t>
  </si>
  <si>
    <t xml:space="preserve">date_deducted</t>
  </si>
  <si>
    <t xml:space="preserve">Date on which tax Deducted / Collected</t>
  </si>
  <si>
    <t xml:space="preserve">24Q DD field 24 (col 422)</t>
  </si>
  <si>
    <t xml:space="preserve">C</t>
  </si>
  <si>
    <t xml:space="preserve">mandatory if tax_deducted &gt; 0; within quarter</t>
  </si>
  <si>
    <t xml:space="preserve">rate_deducted</t>
  </si>
  <si>
    <t xml:space="preserve">Rate at which Tax Deducted / Collected</t>
  </si>
  <si>
    <t xml:space="preserve">24Q DD field 26 (col 423)</t>
  </si>
  <si>
    <t xml:space="preserve">4 dp e.g. 10.0000; 0.0000 if tax 0</t>
  </si>
  <si>
    <t xml:space="preserve">Compare with section master rate.</t>
  </si>
  <si>
    <t xml:space="preserve">remark_reason_code</t>
  </si>
  <si>
    <t xml:space="preserve">Remarks 1 – Reason for non-deduction / lower / higher deduction</t>
  </si>
  <si>
    <t xml:space="preserve">24Q DD field 30 (col 424)</t>
  </si>
  <si>
    <t xml:space="preserve">A (lower/no deduction u/s 197 certificate) | B (no deduction on 15G/15H declaration u/s 197A) | C (higher rate – PAN not available) | T (transporter u/s 194C(6) with valid PAN) | Y (threshold not exceeded) | S (software payment u/s 194J, Notfn 21/2012) | Z (no deduction u/s 197A per 2018 form) | blank. Later FVU versions added further codes – load the master from the current FVU/RPU, do not hard-code</t>
  </si>
  <si>
    <t xml:space="preserve">Explains deviations from normal rate.</t>
  </si>
  <si>
    <t xml:space="preserve">Section Code under which payment made</t>
  </si>
  <si>
    <t xml:space="preserve">24Q DD field 33 (col 417)</t>
  </si>
  <si>
    <t xml:space="preserve">Legacy: 193, 194, 194A, 194C, 194H, 194I(a), 194I(b), 194J ... (UDC master). New forms: ITA 2025 s.392/393/394 table-serial codes – load from FVU master</t>
  </si>
  <si>
    <t xml:space="preserve">Normalise via section map before matching.</t>
  </si>
  <si>
    <t xml:space="preserve">lower_cert_no</t>
  </si>
  <si>
    <t xml:space="preserve">Certificate number u/s 197 (s.395 for new forms)</t>
  </si>
  <si>
    <t xml:space="preserve">24Q DD field 34 (col 425; new forms col N/O/AB/Q)</t>
  </si>
  <si>
    <t xml:space="preserve">mandatory if remark A</t>
  </si>
  <si>
    <t xml:space="preserve">Match to Form 13/Form 128 certificate.</t>
  </si>
  <si>
    <t xml:space="preserve">form121_uin</t>
  </si>
  <si>
    <t xml:space="preserve">UIN of Form No. 121 (declaration)</t>
  </si>
  <si>
    <t xml:space="preserve">24Q Annexure (new forms)</t>
  </si>
  <si>
    <t xml:space="preserve">Form 121 replaces 15G/15H (TY 2026-27).</t>
  </si>
  <si>
    <t xml:space="preserve">sd_employee_pan</t>
  </si>
  <si>
    <t xml:space="preserve">PAN of the employee</t>
  </si>
  <si>
    <t xml:space="preserve">24Q Q4 Salary Detail (SD) record / Form 138 Annexure II</t>
  </si>
  <si>
    <t xml:space="preserve">Match key to PAYROLL_REG / F16_PARTB.</t>
  </si>
  <si>
    <t xml:space="preserve">sd_employee_name</t>
  </si>
  <si>
    <t xml:space="preserve">Name of the employee</t>
  </si>
  <si>
    <t xml:space="preserve">SD</t>
  </si>
  <si>
    <t xml:space="preserve">sd_employee_category</t>
  </si>
  <si>
    <t xml:space="preserve">Deductee category</t>
  </si>
  <si>
    <t xml:space="preserve">W (woman) | S (senior) | O (super senior) | G (general) – legacy codes, verify</t>
  </si>
  <si>
    <t xml:space="preserve">sd_period_from</t>
  </si>
  <si>
    <t xml:space="preserve">Period of employment – From</t>
  </si>
  <si>
    <t xml:space="preserve">sd_period_to</t>
  </si>
  <si>
    <t xml:space="preserve">Period of employment – To</t>
  </si>
  <si>
    <t xml:space="preserve">sd_new_regime_optout</t>
  </si>
  <si>
    <t xml:space="preserve">Whether opting out of taxation u/s 115BAC(1A) (new regime: s.202 ITA 2025)</t>
  </si>
  <si>
    <t xml:space="preserve">Regime used for TDS computation.</t>
  </si>
  <si>
    <t xml:space="preserve">sd_gross_salary_17_1</t>
  </si>
  <si>
    <t xml:space="preserve">Salary as per s.17(1)</t>
  </si>
  <si>
    <t xml:space="preserve">sd_perquisites_17_2</t>
  </si>
  <si>
    <t xml:space="preserve">Value of perquisites u/s 17(2)</t>
  </si>
  <si>
    <t xml:space="preserve">sd_profit_in_lieu_17_3</t>
  </si>
  <si>
    <t xml:space="preserve">Profits in lieu of salary u/s 17(3)</t>
  </si>
  <si>
    <t xml:space="preserve">sd_gross_salary_total</t>
  </si>
  <si>
    <t xml:space="preserve">Total gross salary (incl. previous employer)</t>
  </si>
  <si>
    <t xml:space="preserve">sd_exemptions_s10</t>
  </si>
  <si>
    <t xml:space="preserve">Allowances exempt u/s 10</t>
  </si>
  <si>
    <t xml:space="preserve">sd_standard_deduction</t>
  </si>
  <si>
    <t xml:space="preserve">Standard deduction u/s 16(ia)</t>
  </si>
  <si>
    <t xml:space="preserve">75,000 new / 50,000 old regime (see IT-010).</t>
  </si>
  <si>
    <t xml:space="preserve">sd_professional_tax</t>
  </si>
  <si>
    <t xml:space="preserve">Tax on employment u/s 16(iii)</t>
  </si>
  <si>
    <t xml:space="preserve">Match to PT deducted in PAYROLL_REG.</t>
  </si>
  <si>
    <t xml:space="preserve">sd_income_chargeable_salary</t>
  </si>
  <si>
    <t xml:space="preserve">Income chargeable under the head Salaries</t>
  </si>
  <si>
    <t xml:space="preserve">sd_other_income_reported</t>
  </si>
  <si>
    <t xml:space="preserve">Income (or admissible loss from house property) reported by employee</t>
  </si>
  <si>
    <t xml:space="preserve">sd_gross_total_income</t>
  </si>
  <si>
    <t xml:space="preserve">Gross total income</t>
  </si>
  <si>
    <t xml:space="preserve">sd_chapter_via_total</t>
  </si>
  <si>
    <t xml:space="preserve">Aggregate of deductions under Chapter VI-A</t>
  </si>
  <si>
    <t xml:space="preserve">Itemised 80C/80CCD(1B)/80CCD(2)/80D … in file; old regime mostly.</t>
  </si>
  <si>
    <t xml:space="preserve">sd_total_taxable_income</t>
  </si>
  <si>
    <t xml:space="preserve">Total taxable income</t>
  </si>
  <si>
    <t xml:space="preserve">sd_tax_on_income</t>
  </si>
  <si>
    <t xml:space="preserve">Income-tax on total income</t>
  </si>
  <si>
    <t xml:space="preserve">sd_rebate_87a</t>
  </si>
  <si>
    <t xml:space="preserve">Rebate u/s 87A (s.156 ITA 2025)</t>
  </si>
  <si>
    <t xml:space="preserve">sd_surcharge</t>
  </si>
  <si>
    <t xml:space="preserve">sd_cess</t>
  </si>
  <si>
    <t xml:space="preserve">Health and education cess</t>
  </si>
  <si>
    <t xml:space="preserve">sd_relief_89</t>
  </si>
  <si>
    <t xml:space="preserve">Relief u/s 89 (s.157 ITA 2025)</t>
  </si>
  <si>
    <t xml:space="preserve">sd_net_tax_payable</t>
  </si>
  <si>
    <t xml:space="preserve">Net tax liability</t>
  </si>
  <si>
    <t xml:space="preserve">sd_tds_current_employer</t>
  </si>
  <si>
    <t xml:space="preserve">Total amount of tax deducted at source by current employer for the whole year</t>
  </si>
  <si>
    <t xml:space="preserve">= Σ DD tax for the PAN across Q1-Q4.</t>
  </si>
  <si>
    <t xml:space="preserve">sd_tds_previous_employer</t>
  </si>
  <si>
    <t xml:space="preserve">TDS by previous employer(s)</t>
  </si>
  <si>
    <t xml:space="preserve">sd_shortfall_excess</t>
  </si>
  <si>
    <t xml:space="preserve">Shortfall / excess deduction</t>
  </si>
  <si>
    <t xml:space="preserve">= net_tax_payable − (tds_current + tds_previous)</t>
  </si>
  <si>
    <t xml:space="preserve">Non-zero shortfall → short deduction risk.</t>
  </si>
  <si>
    <t xml:space="preserve">sd_landlord_pan</t>
  </si>
  <si>
    <t xml:space="preserve">PAN of landlord (rent &gt; Rs 1 lakh)</t>
  </si>
  <si>
    <t xml:space="preserve">HRA claim evidence.</t>
  </si>
  <si>
    <t xml:space="preserve">sd_lender_pan</t>
  </si>
  <si>
    <t xml:space="preserve">PAN of lender (housing loan interest)</t>
  </si>
  <si>
    <t xml:space="preserve">26Q CD field 4 (col 401)</t>
  </si>
  <si>
    <t xml:space="preserve">26Q CD field 5</t>
  </si>
  <si>
    <t xml:space="preserve">26Q CD field 6</t>
  </si>
  <si>
    <t xml:space="preserve">26Q CD field 16 (col 408)</t>
  </si>
  <si>
    <t xml:space="preserve">26Q CD field 12/14 (col 409)</t>
  </si>
  <si>
    <t xml:space="preserve">26Q CD field 18 (col 410)</t>
  </si>
  <si>
    <t xml:space="preserve">26Q CD field 40 (col 411)</t>
  </si>
  <si>
    <t xml:space="preserve">26Q CD field 22 (col 402)</t>
  </si>
  <si>
    <t xml:space="preserve">26Q CD field 23</t>
  </si>
  <si>
    <t xml:space="preserve">26Q CD field 24</t>
  </si>
  <si>
    <t xml:space="preserve">26Q CD field 25 (col 403)</t>
  </si>
  <si>
    <t xml:space="preserve">26Q CD field 39 (col 404)</t>
  </si>
  <si>
    <t xml:space="preserve">26Q CD field 26 (col 405)</t>
  </si>
  <si>
    <t xml:space="preserve">26Q CD field 27 (col 406)</t>
  </si>
  <si>
    <t xml:space="preserve">26Q CD field 29</t>
  </si>
  <si>
    <t xml:space="preserve">26Q Challan details (new forms, RPU/FVU 1.2)</t>
  </si>
  <si>
    <t xml:space="preserve">26Q CD field 37 (col 407)</t>
  </si>
  <si>
    <t xml:space="preserve">26Q DD field 5 (col 412)</t>
  </si>
  <si>
    <t xml:space="preserve">26Q DD field 4</t>
  </si>
  <si>
    <t xml:space="preserve">26Q DD field 8 (col 414)</t>
  </si>
  <si>
    <t xml:space="preserve">26Q DD field 10 (col 415)</t>
  </si>
  <si>
    <t xml:space="preserve">26Q DD field 12 (col 413)</t>
  </si>
  <si>
    <t xml:space="preserve">26Q DD field 13 (col 416)</t>
  </si>
  <si>
    <t xml:space="preserve">26Q DD field 14</t>
  </si>
  <si>
    <t xml:space="preserve">26Q DD field 15</t>
  </si>
  <si>
    <t xml:space="preserve">26Q DD field 16</t>
  </si>
  <si>
    <t xml:space="preserve">26Q DD field 17 (col 420)</t>
  </si>
  <si>
    <t xml:space="preserve">26Q DD field 19 (col 421)</t>
  </si>
  <si>
    <t xml:space="preserve">26Q DD field 22 (col 419)</t>
  </si>
  <si>
    <t xml:space="preserve">26Q DD field 23 (col 418)</t>
  </si>
  <si>
    <t xml:space="preserve">26Q DD field 24 (col 422)</t>
  </si>
  <si>
    <t xml:space="preserve">26Q DD field 26 (col 423)</t>
  </si>
  <si>
    <t xml:space="preserve">26Q DD field 30 (col 424)</t>
  </si>
  <si>
    <t xml:space="preserve">26Q DD field 33 (col 417)</t>
  </si>
  <si>
    <t xml:space="preserve">26Q DD field 34 (col 425; new forms col N/O/AB/Q)</t>
  </si>
  <si>
    <t xml:space="preserve">26Q Annexure (new forms)</t>
  </si>
  <si>
    <t xml:space="preserve">27Q CD field 4 (col 401)</t>
  </si>
  <si>
    <t xml:space="preserve">27Q CD field 5</t>
  </si>
  <si>
    <t xml:space="preserve">27Q CD field 6</t>
  </si>
  <si>
    <t xml:space="preserve">27Q CD field 16 (col 408)</t>
  </si>
  <si>
    <t xml:space="preserve">27Q CD field 12/14 (col 409)</t>
  </si>
  <si>
    <t xml:space="preserve">27Q CD field 18 (col 410)</t>
  </si>
  <si>
    <t xml:space="preserve">27Q CD field 40 (col 411)</t>
  </si>
  <si>
    <t xml:space="preserve">27Q CD field 22 (col 402)</t>
  </si>
  <si>
    <t xml:space="preserve">27Q CD field 23</t>
  </si>
  <si>
    <t xml:space="preserve">27Q CD field 24</t>
  </si>
  <si>
    <t xml:space="preserve">27Q CD field 25 (col 403)</t>
  </si>
  <si>
    <t xml:space="preserve">27Q CD field 39 (col 404)</t>
  </si>
  <si>
    <t xml:space="preserve">27Q CD field 26 (col 405)</t>
  </si>
  <si>
    <t xml:space="preserve">27Q CD field 27 (col 406)</t>
  </si>
  <si>
    <t xml:space="preserve">27Q CD field 29</t>
  </si>
  <si>
    <t xml:space="preserve">27Q Challan details (new forms, RPU/FVU 1.2)</t>
  </si>
  <si>
    <t xml:space="preserve">27Q CD field 37 (col 407)</t>
  </si>
  <si>
    <t xml:space="preserve">27Q DD field 5 (col 412)</t>
  </si>
  <si>
    <t xml:space="preserve">27Q DD field 4</t>
  </si>
  <si>
    <t xml:space="preserve">27Q DD field 8 (col 414)</t>
  </si>
  <si>
    <t xml:space="preserve">27Q DD field 10 (col 415)</t>
  </si>
  <si>
    <t xml:space="preserve">27Q DD field 12 (col 413)</t>
  </si>
  <si>
    <t xml:space="preserve">27Q DD field 13 (col 416)</t>
  </si>
  <si>
    <t xml:space="preserve">27Q DD field 14</t>
  </si>
  <si>
    <t xml:space="preserve">27Q DD field 15</t>
  </si>
  <si>
    <t xml:space="preserve">27Q DD field 16</t>
  </si>
  <si>
    <t xml:space="preserve">27Q DD field 17 (col 420)</t>
  </si>
  <si>
    <t xml:space="preserve">27Q DD field 19 (col 421)</t>
  </si>
  <si>
    <t xml:space="preserve">27Q DD field 22 (col 419)</t>
  </si>
  <si>
    <t xml:space="preserve">27Q DD field 23 (col 418)</t>
  </si>
  <si>
    <t xml:space="preserve">27Q DD field 24 (col 422)</t>
  </si>
  <si>
    <t xml:space="preserve">27Q DD field 26 (col 423)</t>
  </si>
  <si>
    <t xml:space="preserve">27Q DD field 30 (col 424)</t>
  </si>
  <si>
    <t xml:space="preserve">27Q DD field 33 (col 417)</t>
  </si>
  <si>
    <t xml:space="preserve">27Q DD field 34 (col 425; new forms col N/O/AB/Q)</t>
  </si>
  <si>
    <t xml:space="preserve">27Q Annexure (new forms)</t>
  </si>
  <si>
    <t xml:space="preserve">nr_country_of_residence</t>
  </si>
  <si>
    <t xml:space="preserve">Country to which remittance is made / Country of residence of deductee</t>
  </si>
  <si>
    <t xml:space="preserve">27Q DD (additional)</t>
  </si>
  <si>
    <t xml:space="preserve">ISO country code per master</t>
  </si>
  <si>
    <t xml:space="preserve">DTAA rate checks.</t>
  </si>
  <si>
    <t xml:space="preserve">nr_nature_of_remittance</t>
  </si>
  <si>
    <t xml:space="preserve">Nature of remittance</t>
  </si>
  <si>
    <t xml:space="preserve">code per FVU master; Form 144 master revised in FVU 1.2 and mapped to Tax Code</t>
  </si>
  <si>
    <t xml:space="preserve">Map to FC remittance/Form 15CA.</t>
  </si>
  <si>
    <t xml:space="preserve">nr_rate_basis</t>
  </si>
  <si>
    <t xml:space="preserve">Rate of TDS – as per IT Act or DTAA</t>
  </si>
  <si>
    <t xml:space="preserve">A (Act) | B (DTAA) – verify codes</t>
  </si>
  <si>
    <t xml:space="preserve">nr_trc_available</t>
  </si>
  <si>
    <t xml:space="preserve">Whether TRC / Form 10F available</t>
  </si>
  <si>
    <t xml:space="preserve">nr_unique_ack_15ca</t>
  </si>
  <si>
    <t xml:space="preserve">Unique acknowledgement of Form 15CA (new: corresponding form)</t>
  </si>
  <si>
    <t xml:space="preserve">Link to remittance evidence.</t>
  </si>
  <si>
    <t xml:space="preserve">nr_tin_foreign</t>
  </si>
  <si>
    <t xml:space="preserve">Tax identification number in country of residence</t>
  </si>
  <si>
    <t xml:space="preserve">Where PAN not available (s.206AA/s.397(2) relaxation).</t>
  </si>
  <si>
    <t xml:space="preserve">nr_grossing_up</t>
  </si>
  <si>
    <t xml:space="preserve">Grossing up indicator</t>
  </si>
  <si>
    <t xml:space="preserve">27Q DD</t>
  </si>
  <si>
    <t xml:space="preserve">s.195A grossing-up.</t>
  </si>
  <si>
    <t xml:space="preserve">27EQ CD field 4 (col 401)</t>
  </si>
  <si>
    <t xml:space="preserve">27EQ CD field 5</t>
  </si>
  <si>
    <t xml:space="preserve">27EQ CD field 6</t>
  </si>
  <si>
    <t xml:space="preserve">27EQ CD field 16 (col 408)</t>
  </si>
  <si>
    <t xml:space="preserve">27EQ CD field 12/14 (col 409)</t>
  </si>
  <si>
    <t xml:space="preserve">27EQ CD field 18 (col 410)</t>
  </si>
  <si>
    <t xml:space="preserve">27EQ CD field 40 (col 411)</t>
  </si>
  <si>
    <t xml:space="preserve">27EQ CD field 22 (col 402)</t>
  </si>
  <si>
    <t xml:space="preserve">27EQ CD field 23</t>
  </si>
  <si>
    <t xml:space="preserve">27EQ CD field 24</t>
  </si>
  <si>
    <t xml:space="preserve">27EQ CD field 25 (col 403)</t>
  </si>
  <si>
    <t xml:space="preserve">27EQ CD field 39 (col 404)</t>
  </si>
  <si>
    <t xml:space="preserve">27EQ CD field 26 (col 405)</t>
  </si>
  <si>
    <t xml:space="preserve">27EQ CD field 27 (col 406)</t>
  </si>
  <si>
    <t xml:space="preserve">27EQ CD field 29</t>
  </si>
  <si>
    <t xml:space="preserve">27EQ Challan details (new forms, RPU/FVU 1.2)</t>
  </si>
  <si>
    <t xml:space="preserve">27EQ CD field 37 (col 407)</t>
  </si>
  <si>
    <t xml:space="preserve">27EQ DD field 5 (col 412)</t>
  </si>
  <si>
    <t xml:space="preserve">27EQ DD field 4</t>
  </si>
  <si>
    <t xml:space="preserve">27EQ DD field 8 (col 414)</t>
  </si>
  <si>
    <t xml:space="preserve">27EQ DD field 10 (col 415)</t>
  </si>
  <si>
    <t xml:space="preserve">27EQ DD field 12 (col 413)</t>
  </si>
  <si>
    <t xml:space="preserve">27EQ DD field 13 (col 416)</t>
  </si>
  <si>
    <t xml:space="preserve">27EQ DD field 14</t>
  </si>
  <si>
    <t xml:space="preserve">27EQ DD field 15</t>
  </si>
  <si>
    <t xml:space="preserve">27EQ DD field 16</t>
  </si>
  <si>
    <t xml:space="preserve">27EQ DD field 17 (col 420)</t>
  </si>
  <si>
    <t xml:space="preserve">27EQ DD field 19 (col 421)</t>
  </si>
  <si>
    <t xml:space="preserve">27EQ DD field 22 (col 419)</t>
  </si>
  <si>
    <t xml:space="preserve">27EQ DD field 23 (col 418)</t>
  </si>
  <si>
    <t xml:space="preserve">27EQ DD field 24 (col 422)</t>
  </si>
  <si>
    <t xml:space="preserve">27EQ DD field 26 (col 423)</t>
  </si>
  <si>
    <t xml:space="preserve">27EQ DD field 30 (col 424)</t>
  </si>
  <si>
    <t xml:space="preserve">27EQ DD field 33 (col 417)</t>
  </si>
  <si>
    <t xml:space="preserve">27EQ DD field 34 (col 425; new forms col N/O/AB/Q)</t>
  </si>
  <si>
    <t xml:space="preserve">27EQ Annexure (new forms)</t>
  </si>
  <si>
    <t xml:space="preserve">collectee_pan</t>
  </si>
  <si>
    <t xml:space="preserve">PAN of collectee</t>
  </si>
  <si>
    <t xml:space="preserve">27EQ DD (collectee detail)</t>
  </si>
  <si>
    <t xml:space="preserve">^[A-Z]{5}[0-9]{4}[A-Z]$ or PANNOTAVBL</t>
  </si>
  <si>
    <t xml:space="preserve">Replaces deductee_pan semantics for TCS.</t>
  </si>
  <si>
    <t xml:space="preserve">amount_received_debited</t>
  </si>
  <si>
    <t xml:space="preserve">Amount received/debited</t>
  </si>
  <si>
    <t xml:space="preserve">27EQ DD</t>
  </si>
  <si>
    <t xml:space="preserve">Sale consideration on which TCS collected.</t>
  </si>
  <si>
    <t xml:space="preserve">total_value_of_purchase</t>
  </si>
  <si>
    <t xml:space="preserve">Total Value of Purchase</t>
  </si>
  <si>
    <t xml:space="preserve">27EQ DD field 21</t>
  </si>
  <si>
    <t xml:space="preserve">Used for TCS sections based on value (legacy file field).</t>
  </si>
  <si>
    <t xml:space="preserve">tcs_collection_code</t>
  </si>
  <si>
    <t xml:space="preserve">Collection code / section</t>
  </si>
  <si>
    <t xml:space="preserve">legacy codes e.g. 6CA..6CR (206C sub-sections) – load from FVU master; new forms: s.394 table serial</t>
  </si>
  <si>
    <t xml:space="preserve">tcs_reason_code</t>
  </si>
  <si>
    <t xml:space="preserve">Reason for non-collection / lower collection</t>
  </si>
  <si>
    <t xml:space="preserve">A (lower/nil cert) | B (Form 27C declaration) | C (higher rate, no PAN) | others per FVU master</t>
  </si>
  <si>
    <t xml:space="preserve">tcs_cert_no</t>
  </si>
  <si>
    <t xml:space="preserve">Certificate no. u/s 206C(9) / s.395(3)</t>
  </si>
  <si>
    <t xml:space="preserve">27EQ DD (Form 143 col Q)</t>
  </si>
  <si>
    <t xml:space="preserve">collectee_gstin_opt</t>
  </si>
  <si>
    <t xml:space="preserve">Whether collectee is non-resident without PE / opted flags</t>
  </si>
  <si>
    <t xml:space="preserve">per FVU master</t>
  </si>
  <si>
    <t xml:space="preserve">TAN</t>
  </si>
  <si>
    <t xml:space="preserve">Name</t>
  </si>
  <si>
    <t xml:space="preserve">major_head</t>
  </si>
  <si>
    <t xml:space="preserve">Major Head</t>
  </si>
  <si>
    <t xml:space="preserve">0020 (Company deductees) | 0021 (Non-company deductees)</t>
  </si>
  <si>
    <t xml:space="preserve">Must align with deductee code in statement.</t>
  </si>
  <si>
    <t xml:space="preserve">Minor Head / Type of Payment</t>
  </si>
  <si>
    <t xml:space="preserve">200 (TDS/TCS payable by taxpayer) | 400 (TDS/TCS regular assessment – demand)</t>
  </si>
  <si>
    <t xml:space="preserve">400 challans must not be consumed in regular statements.</t>
  </si>
  <si>
    <t xml:space="preserve">Nature of Payment (section code)</t>
  </si>
  <si>
    <t xml:space="preserve">section code e.g. 92B, 94C, 94J (challan codes – load master)</t>
  </si>
  <si>
    <t xml:space="preserve">Used to cross-check with statement section.</t>
  </si>
  <si>
    <t xml:space="preserve">amount_tax</t>
  </si>
  <si>
    <t xml:space="preserve">Tax</t>
  </si>
  <si>
    <t xml:space="preserve">integer INR (whole rupees)</t>
  </si>
  <si>
    <t xml:space="preserve">amount_surcharge</t>
  </si>
  <si>
    <t xml:space="preserve">amount_interest</t>
  </si>
  <si>
    <t xml:space="preserve">s.201(1A)/s.398(3) interest paid.</t>
  </si>
  <si>
    <t xml:space="preserve">amount_penalty</t>
  </si>
  <si>
    <t xml:space="preserve">Penalty</t>
  </si>
  <si>
    <t xml:space="preserve">amount_fee</t>
  </si>
  <si>
    <t xml:space="preserve">Fee under section 234E (s.427)</t>
  </si>
  <si>
    <t xml:space="preserve">amount_others</t>
  </si>
  <si>
    <t xml:space="preserve">Others</t>
  </si>
  <si>
    <t xml:space="preserve">amount_total</t>
  </si>
  <si>
    <t xml:space="preserve">Total</t>
  </si>
  <si>
    <t xml:space="preserve">= sum of heads</t>
  </si>
  <si>
    <t xml:space="preserve">Bank</t>
  </si>
  <si>
    <t xml:space="preserve">CIN part 1.</t>
  </si>
  <si>
    <t xml:space="preserve">date_of_deposit</t>
  </si>
  <si>
    <t xml:space="preserve">Date of Deposit / Tender date</t>
  </si>
  <si>
    <t xml:space="preserve">CIN part 2; compared with due date.</t>
  </si>
  <si>
    <t xml:space="preserve">CIN part 3.</t>
  </si>
  <si>
    <t xml:space="preserve">Challan Identification Number (CIN)</t>
  </si>
  <si>
    <t xml:space="preserve">BSR(7) + ddmmyyyy(8) + CSN(5) = 20 chars (implementation composition)</t>
  </si>
  <si>
    <t xml:space="preserve">Primary key across challan, statement CD and TDS_LEDGER.</t>
  </si>
  <si>
    <t xml:space="preserve">bank_reference_no</t>
  </si>
  <si>
    <t xml:space="preserve">Bank Reference Number</t>
  </si>
  <si>
    <t xml:space="preserve">Link to BANK_STMT debit.</t>
  </si>
  <si>
    <t xml:space="preserve">bank_name</t>
  </si>
  <si>
    <t xml:space="preserve">Name of Bank</t>
  </si>
  <si>
    <t xml:space="preserve">payment_mode</t>
  </si>
  <si>
    <t xml:space="preserve">Mode of payment</t>
  </si>
  <si>
    <t xml:space="preserve">Net banking|Debit card|NEFT/RTGS|Over the counter|Payment gateway</t>
  </si>
  <si>
    <t xml:space="preserve">challan_status_oltas</t>
  </si>
  <si>
    <t xml:space="preserve">Challan status / Unconsumed balance (TRACES)</t>
  </si>
  <si>
    <t xml:space="preserve">TRACES challan status</t>
  </si>
  <si>
    <t xml:space="preserve">Unconsumed amount after statement consumption.</t>
  </si>
  <si>
    <t xml:space="preserve">form_type</t>
  </si>
  <si>
    <t xml:space="preserve">Form Type</t>
  </si>
  <si>
    <t xml:space="preserve">Token number of statement</t>
  </si>
  <si>
    <t xml:space="preserve">default_type</t>
  </si>
  <si>
    <t xml:space="preserve">Type of default</t>
  </si>
  <si>
    <t xml:space="preserve">SHORT_PAYMENT|SHORT_DEDUCTION|INT_SHORT_PAYMENT|INT_LATE_PAYMENT|ADDL_LATE_PAYMENT_INT|INT_SHORT_DEDUCTION|INT_LATE_DEDUCTION|ADDL_LATE_DEDUCTION_INT|LATE_FILING_FEE_234E|ADDL_LATE_FILING_LEVY|INT_220_2|PAN_ERROR</t>
  </si>
  <si>
    <t xml:space="preserve">Normalised code for default sheet (labels per ClearTax list).</t>
  </si>
  <si>
    <t xml:space="preserve">challan_serial_ref</t>
  </si>
  <si>
    <t xml:space="preserve">Challan serial / CIN reference</t>
  </si>
  <si>
    <t xml:space="preserve">Link to TDS_CHALLAN.</t>
  </si>
  <si>
    <t xml:space="preserve">Deductee row number in statement</t>
  </si>
  <si>
    <t xml:space="preserve">Link to TDS_RET_xx DD.</t>
  </si>
  <si>
    <t xml:space="preserve">Section</t>
  </si>
  <si>
    <t xml:space="preserve">Date of deduction</t>
  </si>
  <si>
    <t xml:space="preserve">date_deposit</t>
  </si>
  <si>
    <t xml:space="preserve">TDS deducted</t>
  </si>
  <si>
    <t xml:space="preserve">tds_applicable_rate</t>
  </si>
  <si>
    <t xml:space="preserve">Applicable rate</t>
  </si>
  <si>
    <t xml:space="preserve">4 dp</t>
  </si>
  <si>
    <t xml:space="preserve">Rate per processing (e.g. 20% where PAN invalid).</t>
  </si>
  <si>
    <t xml:space="preserve">tds_rate_applied</t>
  </si>
  <si>
    <t xml:space="preserve">Rate at which deducted</t>
  </si>
  <si>
    <t xml:space="preserve">tds_short_deducted</t>
  </si>
  <si>
    <t xml:space="preserve">Short deduction amount</t>
  </si>
  <si>
    <t xml:space="preserve">months_delay</t>
  </si>
  <si>
    <t xml:space="preserve">No. of months of delay</t>
  </si>
  <si>
    <t xml:space="preserve">Part-month counted as full month (interest rule).</t>
  </si>
  <si>
    <t xml:space="preserve">interest_rate</t>
  </si>
  <si>
    <t xml:space="preserve">Interest rate</t>
  </si>
  <si>
    <t xml:space="preserve">1 / 1.5 (% per month)</t>
  </si>
  <si>
    <t xml:space="preserve">default_amount</t>
  </si>
  <si>
    <t xml:space="preserve">Default amount (interest/fee/short payment)</t>
  </si>
  <si>
    <t xml:space="preserve">late_filing_days</t>
  </si>
  <si>
    <t xml:space="preserve">Days of delay in filing</t>
  </si>
  <si>
    <t xml:space="preserve">Late filing fee</t>
  </si>
  <si>
    <t xml:space="preserve">Fee Rs 200/day capped at TDS amount (234E/427).</t>
  </si>
  <si>
    <t xml:space="preserve">amount_paid_against_default</t>
  </si>
  <si>
    <t xml:space="preserve">Amount already paid / adjusted</t>
  </si>
  <si>
    <t xml:space="preserve">net_payable</t>
  </si>
  <si>
    <t xml:space="preserve">Net payable</t>
  </si>
  <si>
    <t xml:space="preserve">voucher_date</t>
  </si>
  <si>
    <t xml:space="preserve">Voucher Date</t>
  </si>
  <si>
    <t xml:space="preserve">Voucher</t>
  </si>
  <si>
    <t xml:space="preserve">ISO date</t>
  </si>
  <si>
    <t xml:space="preserve">Date of credit/payment to party (date_paid_credited).</t>
  </si>
  <si>
    <t xml:space="preserve">voucher_type</t>
  </si>
  <si>
    <t xml:space="preserve">Voucher Type</t>
  </si>
  <si>
    <t xml:space="preserve">Journal|Payment|Purchase|Receipt|Sales|...</t>
  </si>
  <si>
    <t xml:space="preserve">voucher_no</t>
  </si>
  <si>
    <t xml:space="preserve">Voucher Number</t>
  </si>
  <si>
    <t xml:space="preserve">party_ledger</t>
  </si>
  <si>
    <t xml:space="preserve">Party Ledger</t>
  </si>
  <si>
    <t xml:space="preserve">party_pan</t>
  </si>
  <si>
    <t xml:space="preserve">PAN/IT No. (party master)</t>
  </si>
  <si>
    <t xml:space="preserve">Party master</t>
  </si>
  <si>
    <t xml:space="preserve">Join to statement DD PAN.</t>
  </si>
  <si>
    <t xml:space="preserve">deductee_type</t>
  </si>
  <si>
    <t xml:space="preserve">Deductee Type</t>
  </si>
  <si>
    <t xml:space="preserve">Company|Individual/HUF|Firm|... (Tally master)</t>
  </si>
  <si>
    <t xml:space="preserve">→ major head 0020/0021, deductee code 01/02.</t>
  </si>
  <si>
    <t xml:space="preserve">expense_ledger</t>
  </si>
  <si>
    <t xml:space="preserve">Expense / Nature of payment ledger</t>
  </si>
  <si>
    <t xml:space="preserve">Nature of Payment (TDS)</t>
  </si>
  <si>
    <t xml:space="preserve">Tally nature of payment master</t>
  </si>
  <si>
    <t xml:space="preserve">Maps to section.</t>
  </si>
  <si>
    <t xml:space="preserve">tds_section</t>
  </si>
  <si>
    <t xml:space="preserve">normalise 1961/2025 section codes</t>
  </si>
  <si>
    <t xml:space="preserve">assessable_value</t>
  </si>
  <si>
    <t xml:space="preserve">Assessable value / amount paid or credited</t>
  </si>
  <si>
    <t xml:space="preserve">Excl. GST where shown separately (CBDT Cir. 23/2017).</t>
  </si>
  <si>
    <t xml:space="preserve">gst_amount</t>
  </si>
  <si>
    <t xml:space="preserve">GST amount in invoice</t>
  </si>
  <si>
    <t xml:space="preserve">tds_rate</t>
  </si>
  <si>
    <t xml:space="preserve">TDS rate</t>
  </si>
  <si>
    <t xml:space="preserve">tds_amount</t>
  </si>
  <si>
    <t xml:space="preserve">TDS amount</t>
  </si>
  <si>
    <t xml:space="preserve">tds_ledger</t>
  </si>
  <si>
    <t xml:space="preserve">TDS Payable ledger</t>
  </si>
  <si>
    <t xml:space="preserve">lower_deduction_cert</t>
  </si>
  <si>
    <t xml:space="preserve">Lower/No deduction certificate no.</t>
  </si>
  <si>
    <t xml:space="preserve">challan_cin</t>
  </si>
  <si>
    <t xml:space="preserve">Challan reference (BSR/date/CSN) on payment voucher</t>
  </si>
  <si>
    <t xml:space="preserve">Payment voucher</t>
  </si>
  <si>
    <t xml:space="preserve">CIN</t>
  </si>
  <si>
    <t xml:space="preserve">Links books payment to TDS_CHALLAN.</t>
  </si>
  <si>
    <t xml:space="preserve">debit</t>
  </si>
  <si>
    <t xml:space="preserve">Debit</t>
  </si>
  <si>
    <t xml:space="preserve">Ledger</t>
  </si>
  <si>
    <t xml:space="preserve">credit</t>
  </si>
  <si>
    <t xml:space="preserve">Credit</t>
  </si>
  <si>
    <t xml:space="preserve">closing_balance</t>
  </si>
  <si>
    <t xml:space="preserve">Closing balance</t>
  </si>
  <si>
    <t xml:space="preserve">tds_receivable_deductor_tan</t>
  </si>
  <si>
    <t xml:space="preserve">Deductor TAN (TDS receivable side)</t>
  </si>
  <si>
    <t xml:space="preserve">TDS receivable ledger</t>
  </si>
  <si>
    <t xml:space="preserve">For F26AS/AIS matching of credits.</t>
  </si>
  <si>
    <t xml:space="preserve">Part A cl.3</t>
  </si>
  <si>
    <t xml:space="preserve">previous_year</t>
  </si>
  <si>
    <t xml:space="preserve">Previous year from–to</t>
  </si>
  <si>
    <t xml:space="preserve">Part A cl.7</t>
  </si>
  <si>
    <t xml:space="preserve">Upload</t>
  </si>
  <si>
    <t xml:space="preserve">upload_date</t>
  </si>
  <si>
    <t xml:space="preserve">cl20b_nature_of_fund</t>
  </si>
  <si>
    <t xml:space="preserve">Nature of fund (PF/ESI/other)</t>
  </si>
  <si>
    <t xml:space="preserve">cl.20(b)</t>
  </si>
  <si>
    <t xml:space="preserve">Match to EPF_CHALLAN / ESIC_CHALLAN.</t>
  </si>
  <si>
    <t xml:space="preserve">cl20b_sum_received</t>
  </si>
  <si>
    <t xml:space="preserve">Sum received from employees</t>
  </si>
  <si>
    <t xml:space="preserve">Match to PAYROLL_REG EE contribution.</t>
  </si>
  <si>
    <t xml:space="preserve">cl20b_due_date</t>
  </si>
  <si>
    <t xml:space="preserve">Due date for payment</t>
  </si>
  <si>
    <t xml:space="preserve">cl20b_actual_amount_paid</t>
  </si>
  <si>
    <t xml:space="preserve">Actual amount paid</t>
  </si>
  <si>
    <t xml:space="preserve">cl20b_actual_date_paid</t>
  </si>
  <si>
    <t xml:space="preserve">Actual date of payment to the concerned authorities</t>
  </si>
  <si>
    <t xml:space="preserve">cl21b_tds_default_amount</t>
  </si>
  <si>
    <t xml:space="preserve">Amount inadmissible u/s 40(a)(i)/(ia) – particulars of payment, nature, section, amount, TDS deducted/deposited</t>
  </si>
  <si>
    <t xml:space="preserve">cl.21(b)</t>
  </si>
  <si>
    <t xml:space="preserve">cl21d_cash_payment_40a3</t>
  </si>
  <si>
    <t xml:space="preserve">Payments exceeding limit u/s 40A(3) – date, nature, amount, PAN</t>
  </si>
  <si>
    <t xml:space="preserve">cl.21(d)</t>
  </si>
  <si>
    <t xml:space="preserve">Match to LED-002 output.</t>
  </si>
  <si>
    <t xml:space="preserve">cl22_msme_43bh_amount</t>
  </si>
  <si>
    <t xml:space="preserve">Amount inadmissible u/s 43B(h) / MSMED s.23 interest</t>
  </si>
  <si>
    <t xml:space="preserve">cl.22</t>
  </si>
  <si>
    <t xml:space="preserve">Match to MSME_VENDOR_MASTER + CREDITORS_AGEING.</t>
  </si>
  <si>
    <t xml:space="preserve">cl26_section_43b_item</t>
  </si>
  <si>
    <t xml:space="preserve">Nature of liability u/s 43B (GST, PF employer, bonus, leave encashment, MSME etc.)</t>
  </si>
  <si>
    <t xml:space="preserve">cl.26</t>
  </si>
  <si>
    <t xml:space="preserve">cl26_amount_outstanding</t>
  </si>
  <si>
    <t xml:space="preserve">Amount outstanding / paid before due date of return</t>
  </si>
  <si>
    <t xml:space="preserve">cl31_party_pan</t>
  </si>
  <si>
    <t xml:space="preserve">Name/PAN of lender/depositor/payer</t>
  </si>
  <si>
    <t xml:space="preserve">cl.31</t>
  </si>
  <si>
    <t xml:space="preserve">cl31_amount</t>
  </si>
  <si>
    <t xml:space="preserve">Amount accepted/repaid/received</t>
  </si>
  <si>
    <t xml:space="preserve">cl31_mode</t>
  </si>
  <si>
    <t xml:space="preserve">Whether by account payee cheque/draft/ECS</t>
  </si>
  <si>
    <t xml:space="preserve">cl34a_tan</t>
  </si>
  <si>
    <t xml:space="preserve">cl.34(a)</t>
  </si>
  <si>
    <t xml:space="preserve">Match to TDS_RET_* BH.</t>
  </si>
  <si>
    <t xml:space="preserve">cl34a_section</t>
  </si>
  <si>
    <t xml:space="preserve">cl34a_nature_of_payment</t>
  </si>
  <si>
    <t xml:space="preserve">Nature of payment</t>
  </si>
  <si>
    <t xml:space="preserve">cl34a_total_amount</t>
  </si>
  <si>
    <t xml:space="preserve">Total amount of payment or receipt of the nature specified</t>
  </si>
  <si>
    <t xml:space="preserve">Match to GL expense head.</t>
  </si>
  <si>
    <t xml:space="preserve">cl34a_amount_required_tds</t>
  </si>
  <si>
    <t xml:space="preserve">Total amount on which tax was required to be deducted or collected</t>
  </si>
  <si>
    <t xml:space="preserve">cl34a_amount_tds_at_rate</t>
  </si>
  <si>
    <t xml:space="preserve">Total amount on which tax was deducted or collected at specified rate</t>
  </si>
  <si>
    <t xml:space="preserve">cl34a_tax_deducted_at_rate</t>
  </si>
  <si>
    <t xml:space="preserve">Amount of tax deducted or collected out of above</t>
  </si>
  <si>
    <t xml:space="preserve">cl34a_amount_tds_less_rate</t>
  </si>
  <si>
    <t xml:space="preserve">Total amount on which tax was deducted or collected at less than specified rate</t>
  </si>
  <si>
    <t xml:space="preserve">cl34a_tax_deducted_less_rate</t>
  </si>
  <si>
    <t xml:space="preserve">Amount of tax deducted or collected on above</t>
  </si>
  <si>
    <t xml:space="preserve">cl34a_tax_not_deposited</t>
  </si>
  <si>
    <t xml:space="preserve">Amount of tax deducted or collected not deposited to the credit of the Central Government</t>
  </si>
  <si>
    <t xml:space="preserve">cl34b_form_type</t>
  </si>
  <si>
    <t xml:space="preserve">Type of form</t>
  </si>
  <si>
    <t xml:space="preserve">cl.34(b)</t>
  </si>
  <si>
    <t xml:space="preserve">24Q|26Q|27Q|27EQ</t>
  </si>
  <si>
    <t xml:space="preserve">cl34b_due_date</t>
  </si>
  <si>
    <t xml:space="preserve">Due date for furnishing</t>
  </si>
  <si>
    <t xml:space="preserve">cl34b_date_furnished</t>
  </si>
  <si>
    <t xml:space="preserve">Date of furnishing, if furnished</t>
  </si>
  <si>
    <t xml:space="preserve">cl34b_all_details_furnished</t>
  </si>
  <si>
    <t xml:space="preserve">Whether the statement contains information about all details/transactions required</t>
  </si>
  <si>
    <t xml:space="preserve">cl34c_interest_payable</t>
  </si>
  <si>
    <t xml:space="preserve">Amount of interest u/s 201(1A)/206C(7) payable</t>
  </si>
  <si>
    <t xml:space="preserve">cl.34(c)</t>
  </si>
  <si>
    <t xml:space="preserve">Match to TRACES_JUST.</t>
  </si>
  <si>
    <t xml:space="preserve">cl34c_interest_paid</t>
  </si>
  <si>
    <t xml:space="preserve">Amount paid out of above, with date</t>
  </si>
  <si>
    <t xml:space="preserve">cl44_total_expenditure</t>
  </si>
  <si>
    <t xml:space="preserve">Total amount of expenditure incurred during the year</t>
  </si>
  <si>
    <t xml:space="preserve">cl.44 col (2)</t>
  </si>
  <si>
    <t xml:space="preserve">cl44_registered_exempt</t>
  </si>
  <si>
    <t xml:space="preserve">Expenditure relating to goods/services exempt from GST</t>
  </si>
  <si>
    <t xml:space="preserve">cl.44 col (3)</t>
  </si>
  <si>
    <t xml:space="preserve">cl44_registered_composition</t>
  </si>
  <si>
    <t xml:space="preserve">Expenditure relating to entities falling under composition scheme</t>
  </si>
  <si>
    <t xml:space="preserve">cl.44 col (4)</t>
  </si>
  <si>
    <t xml:space="preserve">cl44_registered_other</t>
  </si>
  <si>
    <t xml:space="preserve">Expenditure relating to other registered entities</t>
  </si>
  <si>
    <t xml:space="preserve">cl.44 col (5)</t>
  </si>
  <si>
    <t xml:space="preserve">cl44_registered_total</t>
  </si>
  <si>
    <t xml:space="preserve">Total payment to registered entities</t>
  </si>
  <si>
    <t xml:space="preserve">cl.44 col (6)</t>
  </si>
  <si>
    <t xml:space="preserve">cl44_unregistered</t>
  </si>
  <si>
    <t xml:space="preserve">Expenditure relating to entities not registered under GST</t>
  </si>
  <si>
    <t xml:space="preserve">cl.44 col (7)</t>
  </si>
  <si>
    <t xml:space="preserve">Match to PURCH_REG by GSTIN blank.</t>
  </si>
  <si>
    <t xml:space="preserve">0020 (Corporation tax) | 0021 (Income tax other than companies)</t>
  </si>
  <si>
    <t xml:space="preserve">100 (Advance tax) | 300 (Self-assessment tax) | 400 (Regular assessment) | others</t>
  </si>
  <si>
    <t xml:space="preserve">Others / Fee</t>
  </si>
  <si>
    <t xml:space="preserve">= sum</t>
  </si>
  <si>
    <t xml:space="preserve">Determines instalment bucket for s.234C.</t>
  </si>
  <si>
    <t xml:space="preserve">Challan Serial No.</t>
  </si>
  <si>
    <t xml:space="preserve">BSR+date+CSN</t>
  </si>
  <si>
    <t xml:space="preserve">Key to ITR Schedule IT.</t>
  </si>
  <si>
    <t xml:space="preserve">Link to BANK_STMT.</t>
  </si>
  <si>
    <t xml:space="preserve">wage_month</t>
  </si>
  <si>
    <t xml:space="preserve">Wage month</t>
  </si>
  <si>
    <t xml:space="preserve">yyyy-mm</t>
  </si>
  <si>
    <t xml:space="preserve">employee_id</t>
  </si>
  <si>
    <t xml:space="preserve">Employee code</t>
  </si>
  <si>
    <t xml:space="preserve">Employee</t>
  </si>
  <si>
    <t xml:space="preserve">Employee name</t>
  </si>
  <si>
    <t xml:space="preserve">Key to 24Q/F16.</t>
  </si>
  <si>
    <t xml:space="preserve">uan</t>
  </si>
  <si>
    <t xml:space="preserve">UAN</t>
  </si>
  <si>
    <t xml:space="preserve">^[0-9]{12}$</t>
  </si>
  <si>
    <t xml:space="preserve">Key to ECR.</t>
  </si>
  <si>
    <t xml:space="preserve">esic_ip_no</t>
  </si>
  <si>
    <t xml:space="preserve">ESIC IP number</t>
  </si>
  <si>
    <t xml:space="preserve">^[0-9]{10}$</t>
  </si>
  <si>
    <t xml:space="preserve">Key to ESIC_RET.</t>
  </si>
  <si>
    <t xml:space="preserve">date_of_joining</t>
  </si>
  <si>
    <t xml:space="preserve">Date of joining</t>
  </si>
  <si>
    <t xml:space="preserve">date_of_exit</t>
  </si>
  <si>
    <t xml:space="preserve">Date of leaving</t>
  </si>
  <si>
    <t xml:space="preserve">state_of_work</t>
  </si>
  <si>
    <t xml:space="preserve">Work location state</t>
  </si>
  <si>
    <t xml:space="preserve">state code</t>
  </si>
  <si>
    <t xml:space="preserve">Drives PT/LWF.</t>
  </si>
  <si>
    <t xml:space="preserve">days_in_month</t>
  </si>
  <si>
    <t xml:space="preserve">Days in month</t>
  </si>
  <si>
    <t xml:space="preserve">Attendance</t>
  </si>
  <si>
    <t xml:space="preserve">28-31</t>
  </si>
  <si>
    <t xml:space="preserve">paid_days</t>
  </si>
  <si>
    <t xml:space="preserve">Paid days</t>
  </si>
  <si>
    <t xml:space="preserve">0..days_in_month</t>
  </si>
  <si>
    <t xml:space="preserve">lop_days</t>
  </si>
  <si>
    <t xml:space="preserve">Loss of pay days (NCP)</t>
  </si>
  <si>
    <t xml:space="preserve">ECR NCP days.</t>
  </si>
  <si>
    <t xml:space="preserve">basic</t>
  </si>
  <si>
    <t xml:space="preserve">Basic</t>
  </si>
  <si>
    <t xml:space="preserve">Earnings</t>
  </si>
  <si>
    <t xml:space="preserve">da</t>
  </si>
  <si>
    <t xml:space="preserve">Dearness allowance</t>
  </si>
  <si>
    <t xml:space="preserve">retaining_allowance</t>
  </si>
  <si>
    <t xml:space="preserve">Retaining allowance</t>
  </si>
  <si>
    <t xml:space="preserve">hra</t>
  </si>
  <si>
    <t xml:space="preserve">HRA</t>
  </si>
  <si>
    <t xml:space="preserve">other_allowances</t>
  </si>
  <si>
    <t xml:space="preserve">Other allowances (itemised)</t>
  </si>
  <si>
    <t xml:space="preserve">overtime</t>
  </si>
  <si>
    <t xml:space="preserve">Overtime</t>
  </si>
  <si>
    <t xml:space="preserve">bonus_incentive</t>
  </si>
  <si>
    <t xml:space="preserve">Bonus / incentive</t>
  </si>
  <si>
    <t xml:space="preserve">arrears</t>
  </si>
  <si>
    <t xml:space="preserve">Arrears</t>
  </si>
  <si>
    <t xml:space="preserve">ECR arrear fields.</t>
  </si>
  <si>
    <t xml:space="preserve">gross_earnings</t>
  </si>
  <si>
    <t xml:space="preserve">Gross earnings</t>
  </si>
  <si>
    <t xml:space="preserve">= ECR gross wages.</t>
  </si>
  <si>
    <t xml:space="preserve">statutory_wages</t>
  </si>
  <si>
    <t xml:space="preserve">Wages per Code (after 50% exclusion cap)</t>
  </si>
  <si>
    <t xml:space="preserve">Wage base</t>
  </si>
  <si>
    <t xml:space="preserve">PAY-002.</t>
  </si>
  <si>
    <t xml:space="preserve">pf_wages</t>
  </si>
  <si>
    <t xml:space="preserve">PF/EPF wages</t>
  </si>
  <si>
    <t xml:space="preserve">eps_wages</t>
  </si>
  <si>
    <t xml:space="preserve">EPS wages</t>
  </si>
  <si>
    <t xml:space="preserve">edli_wages</t>
  </si>
  <si>
    <t xml:space="preserve">EDLI wages</t>
  </si>
  <si>
    <t xml:space="preserve">esi_wages</t>
  </si>
  <si>
    <t xml:space="preserve">ESI wages</t>
  </si>
  <si>
    <t xml:space="preserve">ee_pf</t>
  </si>
  <si>
    <t xml:space="preserve">Employee PF contribution</t>
  </si>
  <si>
    <t xml:space="preserve">Deductions</t>
  </si>
  <si>
    <t xml:space="preserve">ee_vpf</t>
  </si>
  <si>
    <t xml:space="preserve">Voluntary PF</t>
  </si>
  <si>
    <t xml:space="preserve">ee_esi</t>
  </si>
  <si>
    <t xml:space="preserve">Employee ESI contribution</t>
  </si>
  <si>
    <t xml:space="preserve">pt</t>
  </si>
  <si>
    <t xml:space="preserve">Professional tax</t>
  </si>
  <si>
    <t xml:space="preserve">lwf_ee</t>
  </si>
  <si>
    <t xml:space="preserve">LWF employee</t>
  </si>
  <si>
    <t xml:space="preserve">tds_salary</t>
  </si>
  <si>
    <t xml:space="preserve">Income-tax (TDS u/s 192 / s.392)</t>
  </si>
  <si>
    <t xml:space="preserve">Σ quarter = 24Q DD.</t>
  </si>
  <si>
    <t xml:space="preserve">other_deductions</t>
  </si>
  <si>
    <t xml:space="preserve">Other deductions (loans/advances)</t>
  </si>
  <si>
    <t xml:space="preserve">net_pay</t>
  </si>
  <si>
    <t xml:space="preserve">Net pay</t>
  </si>
  <si>
    <t xml:space="preserve">Pay</t>
  </si>
  <si>
    <t xml:space="preserve">= gross − deductions</t>
  </si>
  <si>
    <t xml:space="preserve">Match to BANK_STMT salary payout.</t>
  </si>
  <si>
    <t xml:space="preserve">er_eps</t>
  </si>
  <si>
    <t xml:space="preserve">Employer EPS (8.33%)</t>
  </si>
  <si>
    <t xml:space="preserve">Employer</t>
  </si>
  <si>
    <t xml:space="preserve">er_epf_diff</t>
  </si>
  <si>
    <t xml:space="preserve">Employer EPF (difference)</t>
  </si>
  <si>
    <t xml:space="preserve">er_edli</t>
  </si>
  <si>
    <t xml:space="preserve">Employer EDLI</t>
  </si>
  <si>
    <t xml:space="preserve">er_pf_admin</t>
  </si>
  <si>
    <t xml:space="preserve">PF admin charges</t>
  </si>
  <si>
    <t xml:space="preserve">er_esi</t>
  </si>
  <si>
    <t xml:space="preserve">Employer ESI</t>
  </si>
  <si>
    <t xml:space="preserve">lwf_er</t>
  </si>
  <si>
    <t xml:space="preserve">LWF employer</t>
  </si>
  <si>
    <t xml:space="preserve">payment_date</t>
  </si>
  <si>
    <t xml:space="preserve">Salary payment date</t>
  </si>
  <si>
    <t xml:space="preserve">ECR 2.0 field 1</t>
  </si>
  <si>
    <t xml:space="preserve">^[0-9]{12}$; must be linked to establishment; DOJ &lt;= wage month, DOE &gt;= wage month</t>
  </si>
  <si>
    <t xml:space="preserve">Primary key to PAYROLL_REG.</t>
  </si>
  <si>
    <t xml:space="preserve">member_name</t>
  </si>
  <si>
    <t xml:space="preserve">Member Name</t>
  </si>
  <si>
    <t xml:space="preserve">ECR 2.0 field 2</t>
  </si>
  <si>
    <t xml:space="preserve">display only; legacy: max 85 chars, only '.' special char</t>
  </si>
  <si>
    <t xml:space="preserve">Credit goes to UAN regardless of name.</t>
  </si>
  <si>
    <t xml:space="preserve">gross_wages</t>
  </si>
  <si>
    <t xml:space="preserve">Gross Wages</t>
  </si>
  <si>
    <t xml:space="preserve">ECR 2.0 field 3</t>
  </si>
  <si>
    <t xml:space="preserve">whole rupees</t>
  </si>
  <si>
    <t xml:space="preserve">Total emoluments for month.</t>
  </si>
  <si>
    <t xml:space="preserve">epf_wages</t>
  </si>
  <si>
    <t xml:space="preserve">EPF Wages</t>
  </si>
  <si>
    <t xml:space="preserve">ECR 2.0 field 4</t>
  </si>
  <si>
    <t xml:space="preserve">whole rupees; &lt;= gross_wages; 0 only if no wages earned</t>
  </si>
  <si>
    <t xml:space="preserve">EPS Wages</t>
  </si>
  <si>
    <t xml:space="preserve">ECR 2.0 field 5</t>
  </si>
  <si>
    <t xml:space="preserve">whole rupees; &lt;= epf_wages; capped at wage ceiling (15,000; 25,000 from 17-09-2026 per prior round PAY-005); 0 for non-EPS members / age &gt; 58</t>
  </si>
  <si>
    <t xml:space="preserve">EDLI Wages</t>
  </si>
  <si>
    <t xml:space="preserve">ECR 2.0 field 6</t>
  </si>
  <si>
    <t xml:space="preserve">whole rupees; max = wage ceiling; generally = epf_wages up to ceiling</t>
  </si>
  <si>
    <t xml:space="preserve">ee_share_remitted</t>
  </si>
  <si>
    <t xml:space="preserve">EPF Contribution (EE Share) remitted</t>
  </si>
  <si>
    <t xml:space="preserve">ECR 2.0 field 7</t>
  </si>
  <si>
    <t xml:space="preserve">whole rupees; &lt;= gross_wages</t>
  </si>
  <si>
    <t xml:space="preserve">Compare with PAYROLL_REG.ee_pf.</t>
  </si>
  <si>
    <t xml:space="preserve">eps_contribution_remitted</t>
  </si>
  <si>
    <t xml:space="preserve">EPS Contribution remitted</t>
  </si>
  <si>
    <t xml:space="preserve">ECR 2.0 field 8</t>
  </si>
  <si>
    <t xml:space="preserve">whole rupees; &lt;= round(8.33% × eps_wages) (+1.16% of wages above ceiling where higher pension)</t>
  </si>
  <si>
    <t xml:space="preserve">→ challan A/c 10.</t>
  </si>
  <si>
    <t xml:space="preserve">er_share_remitted</t>
  </si>
  <si>
    <t xml:space="preserve">EPF-EPS Difference (ER Share) remitted</t>
  </si>
  <si>
    <t xml:space="preserve">ECR 2.0 field 9</t>
  </si>
  <si>
    <t xml:space="preserve">→ challan A/c 1 employer part.</t>
  </si>
  <si>
    <t xml:space="preserve">ncp_days</t>
  </si>
  <si>
    <t xml:space="preserve">NCP Days</t>
  </si>
  <si>
    <t xml:space="preserve">ECR 2.0 field 10</t>
  </si>
  <si>
    <t xml:space="preserve">0..31, full days only; = days in month if wages zero</t>
  </si>
  <si>
    <t xml:space="preserve">Compare with PAYROLL_REG.lop_days.</t>
  </si>
  <si>
    <t xml:space="preserve">refund_of_advances</t>
  </si>
  <si>
    <t xml:space="preserve">Refund of Advances</t>
  </si>
  <si>
    <t xml:space="preserve">ECR 2.0 field 11</t>
  </si>
  <si>
    <t xml:space="preserve">legacy_member_id</t>
  </si>
  <si>
    <t xml:space="preserve">Member ID Number</t>
  </si>
  <si>
    <t xml:space="preserve">Legacy ECR field 1</t>
  </si>
  <si>
    <t xml:space="preserve">7 digits</t>
  </si>
  <si>
    <t xml:space="preserve">Legacy only.</t>
  </si>
  <si>
    <t xml:space="preserve">ee_share_due</t>
  </si>
  <si>
    <t xml:space="preserve">EPF Contribution (EE Share) due</t>
  </si>
  <si>
    <t xml:space="preserve">Legacy ECR field 5</t>
  </si>
  <si>
    <t xml:space="preserve">&gt;= remitted</t>
  </si>
  <si>
    <t xml:space="preserve">Due vs remitted gap = arrear/short remittance.</t>
  </si>
  <si>
    <t xml:space="preserve">eps_due</t>
  </si>
  <si>
    <t xml:space="preserve">EPS Contribution due</t>
  </si>
  <si>
    <t xml:space="preserve">Legacy ECR field 7</t>
  </si>
  <si>
    <t xml:space="preserve">er_share_due</t>
  </si>
  <si>
    <t xml:space="preserve">Diff EPF and EPS Contribution (ER Share) due</t>
  </si>
  <si>
    <t xml:space="preserve">Legacy ECR field 9</t>
  </si>
  <si>
    <t xml:space="preserve">arrear_epf_wages</t>
  </si>
  <si>
    <t xml:space="preserve">Arrear EPF Wages</t>
  </si>
  <si>
    <t xml:space="preserve">Legacy ECR field 13</t>
  </si>
  <si>
    <t xml:space="preserve">arrear_epf_ee</t>
  </si>
  <si>
    <t xml:space="preserve">Arrear EPF EE Share</t>
  </si>
  <si>
    <t xml:space="preserve">Legacy ECR field 14</t>
  </si>
  <si>
    <t xml:space="preserve">arrear_epf_er</t>
  </si>
  <si>
    <t xml:space="preserve">Arrear EPF ER Share</t>
  </si>
  <si>
    <t xml:space="preserve">Legacy ECR field 15</t>
  </si>
  <si>
    <t xml:space="preserve">arrear_eps</t>
  </si>
  <si>
    <t xml:space="preserve">Arrear EPS Share</t>
  </si>
  <si>
    <t xml:space="preserve">Legacy ECR field 16</t>
  </si>
  <si>
    <t xml:space="preserve">date_of_joining_epf</t>
  </si>
  <si>
    <t xml:space="preserve">Date of Joining EPF</t>
  </si>
  <si>
    <t xml:space="preserve">Legacy ECR field 21</t>
  </si>
  <si>
    <t xml:space="preserve">dd/mm/yyyy; &lt;= ECR month</t>
  </si>
  <si>
    <t xml:space="preserve">New members only.</t>
  </si>
  <si>
    <t xml:space="preserve">date_of_exit_epf</t>
  </si>
  <si>
    <t xml:space="preserve">Date of Exit from EPF</t>
  </si>
  <si>
    <t xml:space="preserve">Legacy ECR field 23</t>
  </si>
  <si>
    <t xml:space="preserve">dd/mm/yyyy; &gt;= joining</t>
  </si>
  <si>
    <t xml:space="preserve">reason_for_leaving</t>
  </si>
  <si>
    <t xml:space="preserve">Reason for Leaving</t>
  </si>
  <si>
    <t xml:space="preserve">Legacy ECR field 25</t>
  </si>
  <si>
    <t xml:space="preserve">C (cessation) | S (superannuation) | R (retirement) | D (death in service) | P (permanent disablement); mandatory if exit date given</t>
  </si>
  <si>
    <t xml:space="preserve">Upload metadata</t>
  </si>
  <si>
    <t xml:space="preserve">Not in file line; captured at upload.</t>
  </si>
  <si>
    <t xml:space="preserve">establishment_id</t>
  </si>
  <si>
    <t xml:space="preserve">Establishment ID</t>
  </si>
  <si>
    <t xml:space="preserve">e.g. 15-char code (state+office+est no+ext)</t>
  </si>
  <si>
    <t xml:space="preserve">trrn</t>
  </si>
  <si>
    <t xml:space="preserve">TRRN</t>
  </si>
  <si>
    <t xml:space="preserve">13 digits (implementation)</t>
  </si>
  <si>
    <t xml:space="preserve">Links ECR to EPF_CHALLAN.</t>
  </si>
  <si>
    <t xml:space="preserve">numeric (13 digits – implementation)</t>
  </si>
  <si>
    <t xml:space="preserve">Primary key to ECR.</t>
  </si>
  <si>
    <t xml:space="preserve">establishment_code</t>
  </si>
  <si>
    <t xml:space="preserve">Establishment Code &amp; Name</t>
  </si>
  <si>
    <t xml:space="preserve">Dues for the wage month of</t>
  </si>
  <si>
    <t xml:space="preserve">Mon-yyyy → yyyy-mm</t>
  </si>
  <si>
    <t xml:space="preserve">ecr_id</t>
  </si>
  <si>
    <t xml:space="preserve">ECR Id</t>
  </si>
  <si>
    <t xml:space="preserve">challan_type</t>
  </si>
  <si>
    <t xml:space="preserve">Challan type</t>
  </si>
  <si>
    <t xml:space="preserve">Monthly|Arrear|Damages/Interest|... (labels not verified)</t>
  </si>
  <si>
    <t xml:space="preserve">Revamped ECR allows challan with damages/interest.</t>
  </si>
  <si>
    <t xml:space="preserve">total_subscribers_epf</t>
  </si>
  <si>
    <t xml:space="preserve">Total Subscribers – EPF</t>
  </si>
  <si>
    <t xml:space="preserve">Subscriber details</t>
  </si>
  <si>
    <t xml:space="preserve">= count of ECR lines.</t>
  </si>
  <si>
    <t xml:space="preserve">total_subscribers_eps</t>
  </si>
  <si>
    <t xml:space="preserve">Total Subscribers – EPS</t>
  </si>
  <si>
    <t xml:space="preserve">total_subscribers_edli</t>
  </si>
  <si>
    <t xml:space="preserve">Total Subscribers – EDLI</t>
  </si>
  <si>
    <t xml:space="preserve">total_wages_epf</t>
  </si>
  <si>
    <t xml:space="preserve">Total Wages – EPF</t>
  </si>
  <si>
    <t xml:space="preserve">= Σ ECR.epf_wages</t>
  </si>
  <si>
    <t xml:space="preserve">total_wages_eps</t>
  </si>
  <si>
    <t xml:space="preserve">Total Wages – EPS</t>
  </si>
  <si>
    <t xml:space="preserve">= Σ ECR.eps_wages</t>
  </si>
  <si>
    <t xml:space="preserve">total_wages_edli</t>
  </si>
  <si>
    <t xml:space="preserve">Total Wages – EDLI</t>
  </si>
  <si>
    <t xml:space="preserve">= Σ ECR.edli_wages</t>
  </si>
  <si>
    <t xml:space="preserve">ac01_employer</t>
  </si>
  <si>
    <t xml:space="preserve">A/C.01 – Employer's Share</t>
  </si>
  <si>
    <t xml:space="preserve">Account head table</t>
  </si>
  <si>
    <t xml:space="preserve">= Σ ECR.er_share_remitted</t>
  </si>
  <si>
    <t xml:space="preserve">ac01_employee</t>
  </si>
  <si>
    <t xml:space="preserve">A/C.01 – Employee's Share</t>
  </si>
  <si>
    <t xml:space="preserve">= Σ ECR.ee_share_remitted</t>
  </si>
  <si>
    <t xml:space="preserve">ac02_admin</t>
  </si>
  <si>
    <t xml:space="preserve">A/C.02 – Administration Charges</t>
  </si>
  <si>
    <t xml:space="preserve">rate × EPF wages subject to minimum (see PAY-004)</t>
  </si>
  <si>
    <t xml:space="preserve">ac10_employer</t>
  </si>
  <si>
    <t xml:space="preserve">A/C.10 – Employer's Share (Pension)</t>
  </si>
  <si>
    <t xml:space="preserve">= Σ ECR.eps_contribution_remitted</t>
  </si>
  <si>
    <t xml:space="preserve">ac21_employer</t>
  </si>
  <si>
    <t xml:space="preserve">A/C.21 – Employer's Share (EDLI)</t>
  </si>
  <si>
    <t xml:space="preserve">0.5% × EDLI wages</t>
  </si>
  <si>
    <t xml:space="preserve">ac22_admin</t>
  </si>
  <si>
    <t xml:space="preserve">A/C.22 – Administration Charges (EDLI)</t>
  </si>
  <si>
    <t xml:space="preserve">nil where waived</t>
  </si>
  <si>
    <t xml:space="preserve">grand_total</t>
  </si>
  <si>
    <t xml:space="preserve">Grand Total</t>
  </si>
  <si>
    <t xml:space="preserve">= Σ all heads</t>
  </si>
  <si>
    <t xml:space="preserve">Match to BANK_STMT debit and GL PF payable.</t>
  </si>
  <si>
    <t xml:space="preserve">crn</t>
  </si>
  <si>
    <t xml:space="preserve">CRN (challan reference no.)</t>
  </si>
  <si>
    <t xml:space="preserve">Payment receipt</t>
  </si>
  <si>
    <t xml:space="preserve">Date of payment / Date of credit</t>
  </si>
  <si>
    <t xml:space="preserve">Compare with due date (s.36(1)(va), damages).</t>
  </si>
  <si>
    <t xml:space="preserve">Bank reference / transaction id</t>
  </si>
  <si>
    <t xml:space="preserve">Match to BANK_STMT.</t>
  </si>
  <si>
    <t xml:space="preserve">damages_amount</t>
  </si>
  <si>
    <t xml:space="preserve">Damages (s.14B)</t>
  </si>
  <si>
    <t xml:space="preserve">Damages challan</t>
  </si>
  <si>
    <t xml:space="preserve">interest_7q</t>
  </si>
  <si>
    <t xml:space="preserve">Interest (s.7Q)</t>
  </si>
  <si>
    <t xml:space="preserve">contribution_month</t>
  </si>
  <si>
    <t xml:space="preserve">Contribution month</t>
  </si>
  <si>
    <t xml:space="preserve">employer_code</t>
  </si>
  <si>
    <t xml:space="preserve">Employer Code</t>
  </si>
  <si>
    <t xml:space="preserve">17 digits (implementation)</t>
  </si>
  <si>
    <t xml:space="preserve">ip_number</t>
  </si>
  <si>
    <t xml:space="preserve">IP Number</t>
  </si>
  <si>
    <t xml:space="preserve">Row</t>
  </si>
  <si>
    <t xml:space="preserve">Key to PAYROLL_REG.esic_ip_no.</t>
  </si>
  <si>
    <t xml:space="preserve">ip_name</t>
  </si>
  <si>
    <t xml:space="preserve">IP Name</t>
  </si>
  <si>
    <t xml:space="preserve">no_of_days</t>
  </si>
  <si>
    <t xml:space="preserve">No. of Days</t>
  </si>
  <si>
    <t xml:space="preserve">0..31; fractional days rounded up to whole number</t>
  </si>
  <si>
    <t xml:space="preserve">Days for which wages paid.</t>
  </si>
  <si>
    <t xml:space="preserve">total_monthly_wages</t>
  </si>
  <si>
    <t xml:space="preserve">Total Monthly Wages</t>
  </si>
  <si>
    <t xml:space="preserve">Compare with PAYROLL_REG.esi_wages.</t>
  </si>
  <si>
    <t xml:space="preserve">reason_code_zero_days</t>
  </si>
  <si>
    <t xml:space="preserve">Reason Code for Zero workings days</t>
  </si>
  <si>
    <t xml:space="preserve">numeric master; verified examples: 2 = Left Service, 3 = Retired, 5 = Expired, 10 = Retrenchment; others (On leave, Out of coverage, Non-implemented area, etc.) – load from ESIC template</t>
  </si>
  <si>
    <t xml:space="preserve">Required when days/wages = 0.</t>
  </si>
  <si>
    <t xml:space="preserve">last_working_day</t>
  </si>
  <si>
    <t xml:space="preserve">Last Working Day</t>
  </si>
  <si>
    <t xml:space="preserve">dd/mm/yyyy (leading zeros); only for Left service/Retired/Out of coverage/Expired/Non-implemented area/Retrenchment</t>
  </si>
  <si>
    <t xml:space="preserve">ip_contribution</t>
  </si>
  <si>
    <t xml:space="preserve">IP Contribution</t>
  </si>
  <si>
    <t xml:space="preserve">Contribution history</t>
  </si>
  <si>
    <t xml:space="preserve">0.75% of wages, rounded up to next rupee (PAY-014)</t>
  </si>
  <si>
    <t xml:space="preserve">Compare with PAYROLL_REG.ee_esi.</t>
  </si>
  <si>
    <t xml:space="preserve">employer_contribution</t>
  </si>
  <si>
    <t xml:space="preserve">Employer Contribution</t>
  </si>
  <si>
    <t xml:space="preserve">Totals</t>
  </si>
  <si>
    <t xml:space="preserve">3.25% of wages</t>
  </si>
  <si>
    <t xml:space="preserve">total_contribution</t>
  </si>
  <si>
    <t xml:space="preserve">Total Contribution</t>
  </si>
  <si>
    <t xml:space="preserve">= IP + employer</t>
  </si>
  <si>
    <t xml:space="preserve">Match to ESIC_CHALLAN.</t>
  </si>
  <si>
    <t xml:space="preserve">is_disabled</t>
  </si>
  <si>
    <t xml:space="preserve">Is Disable</t>
  </si>
  <si>
    <t xml:space="preserve">Disabled IPs – government contribution scheme.</t>
  </si>
  <si>
    <t xml:space="preserve">contribution_period</t>
  </si>
  <si>
    <t xml:space="preserve">Contribution period / month</t>
  </si>
  <si>
    <t xml:space="preserve">challan_no</t>
  </si>
  <si>
    <t xml:space="preserve">Challan Number / Transaction No.</t>
  </si>
  <si>
    <t xml:space="preserve">Key.</t>
  </si>
  <si>
    <t xml:space="preserve">challan_created_date</t>
  </si>
  <si>
    <t xml:space="preserve">Challan created date</t>
  </si>
  <si>
    <t xml:space="preserve">amount</t>
  </si>
  <si>
    <t xml:space="preserve">Amount paid</t>
  </si>
  <si>
    <t xml:space="preserve">= ESIC_RET.total_contribution (+ interest/damages if any).</t>
  </si>
  <si>
    <t xml:space="preserve">Challan submitted / paid date</t>
  </si>
  <si>
    <t xml:space="preserve">Due-date test, s.36(1)(va).</t>
  </si>
  <si>
    <t xml:space="preserve">Bank transaction / reference no.</t>
  </si>
  <si>
    <t xml:space="preserve">state</t>
  </si>
  <si>
    <t xml:space="preserve">State</t>
  </si>
  <si>
    <t xml:space="preserve">registration_no</t>
  </si>
  <si>
    <t xml:space="preserve">PT registration (RC) number</t>
  </si>
  <si>
    <t xml:space="preserve">state format</t>
  </si>
  <si>
    <t xml:space="preserve">Return period from</t>
  </si>
  <si>
    <t xml:space="preserve">Return period to</t>
  </si>
  <si>
    <t xml:space="preserve">slab_from</t>
  </si>
  <si>
    <t xml:space="preserve">Salary slab – from</t>
  </si>
  <si>
    <t xml:space="preserve">Slab table</t>
  </si>
  <si>
    <t xml:space="preserve">slab_to</t>
  </si>
  <si>
    <t xml:space="preserve">Salary slab – to</t>
  </si>
  <si>
    <t xml:space="preserve">slab_rate</t>
  </si>
  <si>
    <t xml:space="preserve">Rate per month</t>
  </si>
  <si>
    <t xml:space="preserve">Per state master (incl. Feb Rs 300 in MH).</t>
  </si>
  <si>
    <t xml:space="preserve">employee_count</t>
  </si>
  <si>
    <t xml:space="preserve">Number of employees</t>
  </si>
  <si>
    <t xml:space="preserve">Compare to PAYROLL_REG counts per slab.</t>
  </si>
  <si>
    <t xml:space="preserve">tax_amount</t>
  </si>
  <si>
    <t xml:space="preserve">Amount of tax</t>
  </si>
  <si>
    <t xml:space="preserve">total_tax_payable</t>
  </si>
  <si>
    <t xml:space="preserve">Total tax payable</t>
  </si>
  <si>
    <t xml:space="preserve">= Σ PAYROLL_REG.pt for period.</t>
  </si>
  <si>
    <t xml:space="preserve">interest_penalty</t>
  </si>
  <si>
    <t xml:space="preserve">Interest / penalty</t>
  </si>
  <si>
    <t xml:space="preserve">tax_paid</t>
  </si>
  <si>
    <t xml:space="preserve">Tax paid (challan details)</t>
  </si>
  <si>
    <t xml:space="preserve">Match to PT_CHALLAN.</t>
  </si>
  <si>
    <t xml:space="preserve">Ack</t>
  </si>
  <si>
    <t xml:space="preserve">PT registration (RC/EC) number</t>
  </si>
  <si>
    <t xml:space="preserve">Period from</t>
  </si>
  <si>
    <t xml:space="preserve">Period to</t>
  </si>
  <si>
    <t xml:space="preserve">Challan / GRN number</t>
  </si>
  <si>
    <t xml:space="preserve">interest_amount</t>
  </si>
  <si>
    <t xml:space="preserve">penalty_amount</t>
  </si>
  <si>
    <t xml:space="preserve">Penalty / late fee</t>
  </si>
  <si>
    <t xml:space="preserve">total_amount</t>
  </si>
  <si>
    <t xml:space="preserve">Date of payment</t>
  </si>
  <si>
    <t xml:space="preserve">Bank reference / CIN</t>
  </si>
  <si>
    <t xml:space="preserve">Form 16 Part B / Form 130 Part C Annexure-I</t>
  </si>
  <si>
    <t xml:space="preserve">Voucher Date (Invoice Date)</t>
  </si>
  <si>
    <t xml:space="preserve">ISO yyyy-mm-dd</t>
  </si>
  <si>
    <t xml:space="preserve">Invoice/document date.</t>
  </si>
  <si>
    <t xml:space="preserve">Sales|Purchase|Credit Note|Debit Note|...</t>
  </si>
  <si>
    <t xml:space="preserve">Voucher Number (Invoice No.)</t>
  </si>
  <si>
    <t xml:space="preserve">max 16 chars for GST doc no. (normalise: upper, strip spaces)</t>
  </si>
  <si>
    <t xml:space="preserve">Key to GSTR1/EINV/GSTR2B.</t>
  </si>
  <si>
    <t xml:space="preserve">supplier_invoice_no</t>
  </si>
  <si>
    <t xml:space="preserve">Supplier Invoice No. / Reference No.</t>
  </si>
  <si>
    <t xml:space="preserve">Purchase side key to GSTR-2B.</t>
  </si>
  <si>
    <t xml:space="preserve">supplier_invoice_date</t>
  </si>
  <si>
    <t xml:space="preserve">Supplier Invoice Date / Reference Date</t>
  </si>
  <si>
    <t xml:space="preserve">party_name</t>
  </si>
  <si>
    <t xml:space="preserve">Party Name (Customer's/Supplier's Name)</t>
  </si>
  <si>
    <t xml:space="preserve">party_gstin</t>
  </si>
  <si>
    <t xml:space="preserve">Buyer/Supplier – GSTIN/UIN</t>
  </si>
  <si>
    <t xml:space="preserve">^[0-9]{2}[A-Z]{5}[0-9]{4}[A-Z][1-9A-Z]Z[0-9A-Z]$</t>
  </si>
  <si>
    <t xml:space="preserve">Blank = unregistered (B2C / URP).</t>
  </si>
  <si>
    <t xml:space="preserve">PAN/IT No.</t>
  </si>
  <si>
    <t xml:space="preserve">Derive from GSTIN chars 3-12 if absent.</t>
  </si>
  <si>
    <t xml:space="preserve">party_state</t>
  </si>
  <si>
    <t xml:space="preserve">State / Place of Supply</t>
  </si>
  <si>
    <t xml:space="preserve">2-digit GST state code</t>
  </si>
  <si>
    <t xml:space="preserve">Determines IGST vs CGST+SGST.</t>
  </si>
  <si>
    <t xml:space="preserve">registration_type</t>
  </si>
  <si>
    <t xml:space="preserve">Registration Type</t>
  </si>
  <si>
    <t xml:space="preserve">Regular|Composition|Unregistered|Consumer|SEZ|Overseas</t>
  </si>
  <si>
    <t xml:space="preserve">ledger_name</t>
  </si>
  <si>
    <t xml:space="preserve">Sales/Purchase ledger</t>
  </si>
  <si>
    <t xml:space="preserve">item_name</t>
  </si>
  <si>
    <t xml:space="preserve">Item Name (Stock Item)</t>
  </si>
  <si>
    <t xml:space="preserve">Inventory</t>
  </si>
  <si>
    <t xml:space="preserve">hsn_sac</t>
  </si>
  <si>
    <t xml:space="preserve">^[0-9]{4,8}$</t>
  </si>
  <si>
    <t xml:space="preserve">quantity</t>
  </si>
  <si>
    <t xml:space="preserve">3 dp</t>
  </si>
  <si>
    <t xml:space="preserve">uom</t>
  </si>
  <si>
    <t xml:space="preserve">Quantity UOM</t>
  </si>
  <si>
    <t xml:space="preserve">GST UQC</t>
  </si>
  <si>
    <t xml:space="preserve">Item Rate</t>
  </si>
  <si>
    <t xml:space="preserve">Taxable value (Assessable value)</t>
  </si>
  <si>
    <t xml:space="preserve">gst_rate</t>
  </si>
  <si>
    <t xml:space="preserve">GST Rate</t>
  </si>
  <si>
    <t xml:space="preserve">0|0.1|0.25|1|1.5|3|5|6|7.5|12|18|28|40 (per notified schedule)</t>
  </si>
  <si>
    <t xml:space="preserve">igst</t>
  </si>
  <si>
    <t xml:space="preserve">cgst</t>
  </si>
  <si>
    <t xml:space="preserve">sgst_utgst</t>
  </si>
  <si>
    <t xml:space="preserve">cess</t>
  </si>
  <si>
    <t xml:space="preserve">tcs_amount</t>
  </si>
  <si>
    <t xml:space="preserve">TCS (s.206C / s.394)</t>
  </si>
  <si>
    <t xml:space="preserve">round_off</t>
  </si>
  <si>
    <t xml:space="preserve">Round off</t>
  </si>
  <si>
    <t xml:space="preserve">Gross Total / Invoice value</t>
  </si>
  <si>
    <t xml:space="preserve">Reverse charge applicable</t>
  </si>
  <si>
    <t xml:space="preserve">e-Invoice</t>
  </si>
  <si>
    <t xml:space="preserve">64-char hash</t>
  </si>
  <si>
    <t xml:space="preserve">Key to EINV.</t>
  </si>
  <si>
    <t xml:space="preserve">ack_no_irn</t>
  </si>
  <si>
    <t xml:space="preserve">e-Invoice Ack No.</t>
  </si>
  <si>
    <t xml:space="preserve">eway_bill_no</t>
  </si>
  <si>
    <t xml:space="preserve">e-Way Bill No.</t>
  </si>
  <si>
    <t xml:space="preserve">e-Way Bill</t>
  </si>
  <si>
    <t xml:space="preserve">Key to EWB.</t>
  </si>
  <si>
    <t xml:space="preserve">Original invoice no. (for CN/DN)</t>
  </si>
  <si>
    <t xml:space="preserve">narration</t>
  </si>
  <si>
    <t xml:space="preserve">Narration</t>
  </si>
  <si>
    <t xml:space="preserve">tds_by_customer_section</t>
  </si>
  <si>
    <t xml:space="preserve">TDS deducted by customer – section</t>
  </si>
  <si>
    <t xml:space="preserve">Receivable</t>
  </si>
  <si>
    <t xml:space="preserve">For 26AS matching of income side.</t>
  </si>
  <si>
    <t xml:space="preserve">tds_by_customer_amount</t>
  </si>
  <si>
    <t xml:space="preserve">TDS deducted by customer – amount</t>
  </si>
  <si>
    <t xml:space="preserve">itc_eligibility</t>
  </si>
  <si>
    <t xml:space="preserve">ITC eligibility</t>
  </si>
  <si>
    <t xml:space="preserve">Inputs|Capital goods|Input services|Ineligible (s.17(5))</t>
  </si>
  <si>
    <t xml:space="preserve">TDS section / Nature of payment</t>
  </si>
  <si>
    <t xml:space="preserve">Link to TDS_LEDGER.</t>
  </si>
  <si>
    <t xml:space="preserve">msme_flag</t>
  </si>
  <si>
    <t xml:space="preserve">MSME (Udyam) category of supplier</t>
  </si>
  <si>
    <t xml:space="preserve">Micro|Small|Medium|None</t>
  </si>
  <si>
    <t xml:space="preserve">From MSME_VENDOR_MASTER.</t>
  </si>
  <si>
    <t xml:space="preserve">due_date_payment</t>
  </si>
  <si>
    <t xml:space="preserve">Due date / credit period</t>
  </si>
  <si>
    <t xml:space="preserve">Bill-wise</t>
  </si>
  <si>
    <t xml:space="preserve">For s.43B(h) / MSMED s.15.</t>
  </si>
  <si>
    <t xml:space="preserve">voucher_guid</t>
  </si>
  <si>
    <t xml:space="preserve">Voucher GUID / master id</t>
  </si>
  <si>
    <t xml:space="preserve">Unique id for de-duplication and audit trail.</t>
  </si>
  <si>
    <t xml:space="preserve">Ledger (Particulars)</t>
  </si>
  <si>
    <t xml:space="preserve">Line</t>
  </si>
  <si>
    <t xml:space="preserve">ledger_group</t>
  </si>
  <si>
    <t xml:space="preserve">Group Name (Under/Parent)</t>
  </si>
  <si>
    <t xml:space="preserve">Ledger master</t>
  </si>
  <si>
    <t xml:space="preserve">Tally primary groups</t>
  </si>
  <si>
    <t xml:space="preserve">Maps to FS heads.</t>
  </si>
  <si>
    <t xml:space="preserve">GSTIN/UIN of party</t>
  </si>
  <si>
    <t xml:space="preserve">PAN of party</t>
  </si>
  <si>
    <t xml:space="preserve">cost_centre</t>
  </si>
  <si>
    <t xml:space="preserve">Cost Centre</t>
  </si>
  <si>
    <t xml:space="preserve">bill_ref</t>
  </si>
  <si>
    <t xml:space="preserve">Bill-wise reference (Agst Ref/New Ref)</t>
  </si>
  <si>
    <t xml:space="preserve">Ageing.</t>
  </si>
  <si>
    <t xml:space="preserve">instrument_no</t>
  </si>
  <si>
    <t xml:space="preserve">Cheque/Instrument No. / UTR</t>
  </si>
  <si>
    <t xml:space="preserve">Bank allocation</t>
  </si>
  <si>
    <t xml:space="preserve">BRS matching.</t>
  </si>
  <si>
    <t xml:space="preserve">Transaction type (Cheque/e-Fund transfer/Cash)</t>
  </si>
  <si>
    <t xml:space="preserve">s.40A(3)/269ST checks.</t>
  </si>
  <si>
    <t xml:space="preserve">TDS nature of payment</t>
  </si>
  <si>
    <t xml:space="preserve">entered_by</t>
  </si>
  <si>
    <t xml:space="preserve">Entered by / altered by (audit trail)</t>
  </si>
  <si>
    <t xml:space="preserve">Edit log</t>
  </si>
  <si>
    <t xml:space="preserve">Rule 3(1) Accounts Rules.</t>
  </si>
  <si>
    <t xml:space="preserve">entered_on</t>
  </si>
  <si>
    <t xml:space="preserve">Entry/alteration timestamp</t>
  </si>
  <si>
    <t xml:space="preserve">ISO datetime</t>
  </si>
  <si>
    <t xml:space="preserve">Particulars (Ledger)</t>
  </si>
  <si>
    <t xml:space="preserve">Group</t>
  </si>
  <si>
    <t xml:space="preserve">primary_group</t>
  </si>
  <si>
    <t xml:space="preserve">Primary group / nature</t>
  </si>
  <si>
    <t xml:space="preserve">Assets|Liabilities|Income|Expenses</t>
  </si>
  <si>
    <t xml:space="preserve">fs_head</t>
  </si>
  <si>
    <t xml:space="preserve">Schedule III / FS line mapping</t>
  </si>
  <si>
    <t xml:space="preserve">Mapping</t>
  </si>
  <si>
    <t xml:space="preserve">Implementation mapping to FS.</t>
  </si>
  <si>
    <t xml:space="preserve">opening_balance</t>
  </si>
  <si>
    <t xml:space="preserve">decimal(15,2) INR; &gt;= 0 unless stated (signed: Dr +, Cr −)</t>
  </si>
  <si>
    <t xml:space="preserve">debit_total</t>
  </si>
  <si>
    <t xml:space="preserve">Debit (transactions)</t>
  </si>
  <si>
    <t xml:space="preserve">Credit (transactions)</t>
  </si>
  <si>
    <t xml:space="preserve">decimal(15,2) INR; &gt;= 0 unless stated signed</t>
  </si>
  <si>
    <t xml:space="preserve">bank_ledger</t>
  </si>
  <si>
    <t xml:space="preserve">Bank ledger name</t>
  </si>
  <si>
    <t xml:space="preserve">account_no</t>
  </si>
  <si>
    <t xml:space="preserve">Bank account number</t>
  </si>
  <si>
    <t xml:space="preserve">Key to BANK_STMT.</t>
  </si>
  <si>
    <t xml:space="preserve">Date</t>
  </si>
  <si>
    <t xml:space="preserve">Vch Type</t>
  </si>
  <si>
    <t xml:space="preserve">Payment|Receipt|Contra|Journal</t>
  </si>
  <si>
    <t xml:space="preserve">Vch No.</t>
  </si>
  <si>
    <t xml:space="preserve">particulars</t>
  </si>
  <si>
    <t xml:space="preserve">Particulars (party/contra ledger)</t>
  </si>
  <si>
    <t xml:space="preserve">Instrument No. (Cheque/UTR)</t>
  </si>
  <si>
    <t xml:space="preserve">instrument_date</t>
  </si>
  <si>
    <t xml:space="preserve">Instrument Date</t>
  </si>
  <si>
    <t xml:space="preserve">Cheque validity 3 months (RBI).</t>
  </si>
  <si>
    <t xml:space="preserve">Transaction Type</t>
  </si>
  <si>
    <t xml:space="preserve">Cheque|e-Fund Transfer|Cash|Others</t>
  </si>
  <si>
    <t xml:space="preserve">Debit (Receipt)</t>
  </si>
  <si>
    <t xml:space="preserve">Credit (Payment)</t>
  </si>
  <si>
    <t xml:space="preserve">bank_date</t>
  </si>
  <si>
    <t xml:space="preserve">Bank Date (reconciliation date)</t>
  </si>
  <si>
    <t xml:space="preserve">Blank = unreconciled.</t>
  </si>
  <si>
    <t xml:space="preserve">Bank name</t>
  </si>
  <si>
    <t xml:space="preserve">digits (mask allowed)</t>
  </si>
  <si>
    <t xml:space="preserve">Key to BANK_BOOK.</t>
  </si>
  <si>
    <t xml:space="preserve">ifsc</t>
  </si>
  <si>
    <t xml:space="preserve">IFSC</t>
  </si>
  <si>
    <t xml:space="preserve">^[A-Z]{4}0[A-Z0-9]{6}$</t>
  </si>
  <si>
    <t xml:space="preserve">Statement from</t>
  </si>
  <si>
    <t xml:space="preserve">Statement to</t>
  </si>
  <si>
    <t xml:space="preserve">Opening balance</t>
  </si>
  <si>
    <t xml:space="preserve">Opening + Σcr − Σdr = closing.</t>
  </si>
  <si>
    <t xml:space="preserve">Transaction date / Posting date</t>
  </si>
  <si>
    <t xml:space="preserve">value_date</t>
  </si>
  <si>
    <t xml:space="preserve">Value date</t>
  </si>
  <si>
    <t xml:space="preserve">Description / Narration / Particulars</t>
  </si>
  <si>
    <t xml:space="preserve">Parse UTR / cheque / UPI refs via regex (implementation).</t>
  </si>
  <si>
    <t xml:space="preserve">cheque_ref_no</t>
  </si>
  <si>
    <t xml:space="preserve">Cheque No. / Ref No.</t>
  </si>
  <si>
    <t xml:space="preserve">utr</t>
  </si>
  <si>
    <t xml:space="preserve">UTR / RRN (parsed)</t>
  </si>
  <si>
    <t xml:space="preserve">NEFT 16 / RTGS 22 / IMPS-UPI 12 (bank-industry convention, configurable)</t>
  </si>
  <si>
    <t xml:space="preserve">Withdrawal (Dr)</t>
  </si>
  <si>
    <t xml:space="preserve">Deposit (Cr)</t>
  </si>
  <si>
    <t xml:space="preserve">balance</t>
  </si>
  <si>
    <t xml:space="preserve">Balance</t>
  </si>
  <si>
    <t xml:space="preserve">Running balance check.</t>
  </si>
  <si>
    <t xml:space="preserve">txn_mode</t>
  </si>
  <si>
    <t xml:space="preserve">Mode (derived)</t>
  </si>
  <si>
    <t xml:space="preserve">CHQ|NEFT|RTGS|IMPS|UPI|CASH|ATM|CHARGES|INTEREST|OTHER</t>
  </si>
  <si>
    <t xml:space="preserve">Derived from description – implementation choice.</t>
  </si>
  <si>
    <t xml:space="preserve">asset_id</t>
  </si>
  <si>
    <t xml:space="preserve">Asset ID / tag</t>
  </si>
  <si>
    <t xml:space="preserve">Asset</t>
  </si>
  <si>
    <t xml:space="preserve">asset_description</t>
  </si>
  <si>
    <t xml:space="preserve">asset_class</t>
  </si>
  <si>
    <t xml:space="preserve">Asset class (Schedule III PPE / intangible)</t>
  </si>
  <si>
    <t xml:space="preserve">it_block</t>
  </si>
  <si>
    <t xml:space="preserve">Income-tax block / rate</t>
  </si>
  <si>
    <t xml:space="preserve">e.g. P&amp;M 15%</t>
  </si>
  <si>
    <t xml:space="preserve">location</t>
  </si>
  <si>
    <t xml:space="preserve">Location</t>
  </si>
  <si>
    <t xml:space="preserve">CARO physical verification.</t>
  </si>
  <si>
    <t xml:space="preserve">Supplier</t>
  </si>
  <si>
    <t xml:space="preserve">Acquisition</t>
  </si>
  <si>
    <t xml:space="preserve">Link to PURCH_REG (capital goods ITC).</t>
  </si>
  <si>
    <t xml:space="preserve">Purchase invoice no.</t>
  </si>
  <si>
    <t xml:space="preserve">purchase_date</t>
  </si>
  <si>
    <t xml:space="preserve">Date of acquisition</t>
  </si>
  <si>
    <t xml:space="preserve">put_to_use_date</t>
  </si>
  <si>
    <t xml:space="preserve">Date put to use</t>
  </si>
  <si>
    <t xml:space="preserve">180-day half-rate rule (tax).</t>
  </si>
  <si>
    <t xml:space="preserve">cost</t>
  </si>
  <si>
    <t xml:space="preserve">Original cost (excl. ITC claimed)</t>
  </si>
  <si>
    <t xml:space="preserve">itc_claimed</t>
  </si>
  <si>
    <t xml:space="preserve">GST ITC claimed</t>
  </si>
  <si>
    <t xml:space="preserve">useful_life_years</t>
  </si>
  <si>
    <t xml:space="preserve">Useful life (Sch. II)</t>
  </si>
  <si>
    <t xml:space="preserve">Book</t>
  </si>
  <si>
    <t xml:space="preserve">residual_value</t>
  </si>
  <si>
    <t xml:space="preserve">Residual value</t>
  </si>
  <si>
    <t xml:space="preserve">dep_method</t>
  </si>
  <si>
    <t xml:space="preserve">Depreciation method</t>
  </si>
  <si>
    <t xml:space="preserve">SLM|WDV</t>
  </si>
  <si>
    <t xml:space="preserve">opening_wdv_book</t>
  </si>
  <si>
    <t xml:space="preserve">Opening WDV (book)</t>
  </si>
  <si>
    <t xml:space="preserve">depreciation_book</t>
  </si>
  <si>
    <t xml:space="preserve">Depreciation for the year (book)</t>
  </si>
  <si>
    <t xml:space="preserve">Match to GL/TB.</t>
  </si>
  <si>
    <t xml:space="preserve">closing_wdv_book</t>
  </si>
  <si>
    <t xml:space="preserve">Closing WDV (book)</t>
  </si>
  <si>
    <t xml:space="preserve">disposal_date</t>
  </si>
  <si>
    <t xml:space="preserve">Date of sale/discard</t>
  </si>
  <si>
    <t xml:space="preserve">Disposal</t>
  </si>
  <si>
    <t xml:space="preserve">sale_value</t>
  </si>
  <si>
    <t xml:space="preserve">Sale consideration</t>
  </si>
  <si>
    <t xml:space="preserve">title_deed_holder</t>
  </si>
  <si>
    <t xml:space="preserve">Title deeds in name of (immovable)</t>
  </si>
  <si>
    <t xml:space="preserve">CARO</t>
  </si>
  <si>
    <t xml:space="preserve">Schedule III / CARO 3(i)(c).</t>
  </si>
  <si>
    <t xml:space="preserve">item_code</t>
  </si>
  <si>
    <t xml:space="preserve">Stock Item / code</t>
  </si>
  <si>
    <t xml:space="preserve">Item Name</t>
  </si>
  <si>
    <t xml:space="preserve">stock_group</t>
  </si>
  <si>
    <t xml:space="preserve">Stock Group / category</t>
  </si>
  <si>
    <t xml:space="preserve">RM|WIP|FG|Traded|Stores</t>
  </si>
  <si>
    <t xml:space="preserve">hsn</t>
  </si>
  <si>
    <t xml:space="preserve">godown</t>
  </si>
  <si>
    <t xml:space="preserve">Godown / location</t>
  </si>
  <si>
    <t xml:space="preserve">opening_qty</t>
  </si>
  <si>
    <t xml:space="preserve">Opening Quantity</t>
  </si>
  <si>
    <t xml:space="preserve">opening_value</t>
  </si>
  <si>
    <t xml:space="preserve">Opening Value</t>
  </si>
  <si>
    <t xml:space="preserve">inward_qty</t>
  </si>
  <si>
    <t xml:space="preserve">Inwards Quantity</t>
  </si>
  <si>
    <t xml:space="preserve">Σ PURCH_REG qty.</t>
  </si>
  <si>
    <t xml:space="preserve">inward_value</t>
  </si>
  <si>
    <t xml:space="preserve">Inwards Value</t>
  </si>
  <si>
    <t xml:space="preserve">outward_qty</t>
  </si>
  <si>
    <t xml:space="preserve">Outwards Quantity</t>
  </si>
  <si>
    <t xml:space="preserve">Σ SALES_REG qty + consumption.</t>
  </si>
  <si>
    <t xml:space="preserve">Outwards Value</t>
  </si>
  <si>
    <t xml:space="preserve">closing_qty</t>
  </si>
  <si>
    <t xml:space="preserve">Closing Quantity</t>
  </si>
  <si>
    <t xml:space="preserve">= opening + in − out</t>
  </si>
  <si>
    <t xml:space="preserve">closing_rate</t>
  </si>
  <si>
    <t xml:space="preserve">Closing Rate</t>
  </si>
  <si>
    <t xml:space="preserve">Valuation method per AS 2.</t>
  </si>
  <si>
    <t xml:space="preserve">closing_value</t>
  </si>
  <si>
    <t xml:space="preserve">Closing Value</t>
  </si>
  <si>
    <t xml:space="preserve">Match to TB inventory &amp; STOCK_STMT_BANK.</t>
  </si>
  <si>
    <t xml:space="preserve">physical_qty</t>
  </si>
  <si>
    <t xml:space="preserve">Physical verification quantity</t>
  </si>
  <si>
    <t xml:space="preserve">Verification</t>
  </si>
  <si>
    <t xml:space="preserve">CARO 3(ii)(a) discrepancy %.</t>
  </si>
  <si>
    <t xml:space="preserve">facility</t>
  </si>
  <si>
    <t xml:space="preserve">Facility / sanctioned limit</t>
  </si>
  <si>
    <t xml:space="preserve">statement_date</t>
  </si>
  <si>
    <t xml:space="preserve">As on date</t>
  </si>
  <si>
    <t xml:space="preserve">Quarter-end for CARO.</t>
  </si>
  <si>
    <t xml:space="preserve">submission_date</t>
  </si>
  <si>
    <t xml:space="preserve">Date of submission</t>
  </si>
  <si>
    <t xml:space="preserve">inventory_rm</t>
  </si>
  <si>
    <t xml:space="preserve">Raw materials</t>
  </si>
  <si>
    <t xml:space="preserve">inventory_wip</t>
  </si>
  <si>
    <t xml:space="preserve">Work-in-progress</t>
  </si>
  <si>
    <t xml:space="preserve">inventory_fg</t>
  </si>
  <si>
    <t xml:space="preserve">Finished goods / stock-in-trade</t>
  </si>
  <si>
    <t xml:space="preserve">inventory_total</t>
  </si>
  <si>
    <t xml:space="preserve">Total inventory</t>
  </si>
  <si>
    <t xml:space="preserve">Compare STOCK_REG/TB.</t>
  </si>
  <si>
    <t xml:space="preserve">debtors_total</t>
  </si>
  <si>
    <t xml:space="preserve">Book debts (total)</t>
  </si>
  <si>
    <t xml:space="preserve">Receivables</t>
  </si>
  <si>
    <t xml:space="preserve">Compare DEBTORS_AGEING.</t>
  </si>
  <si>
    <t xml:space="preserve">debtors_eligible</t>
  </si>
  <si>
    <t xml:space="preserve">Eligible debtors (&lt; N days)</t>
  </si>
  <si>
    <t xml:space="preserve">creditors_total</t>
  </si>
  <si>
    <t xml:space="preserve">Sundry creditors</t>
  </si>
  <si>
    <t xml:space="preserve">Payables</t>
  </si>
  <si>
    <t xml:space="preserve">Compare CREDITORS_AGEING.</t>
  </si>
  <si>
    <t xml:space="preserve">margin_pct</t>
  </si>
  <si>
    <t xml:space="preserve">Margin %</t>
  </si>
  <si>
    <t xml:space="preserve">DP</t>
  </si>
  <si>
    <t xml:space="preserve">drawing_power</t>
  </si>
  <si>
    <t xml:space="preserve">Drawing power</t>
  </si>
  <si>
    <t xml:space="preserve">outstanding_balance</t>
  </si>
  <si>
    <t xml:space="preserve">Outstanding in CC account</t>
  </si>
  <si>
    <t xml:space="preserve">Compare BANK_STMT.</t>
  </si>
  <si>
    <t xml:space="preserve">as_on_date</t>
  </si>
  <si>
    <t xml:space="preserve">Party name</t>
  </si>
  <si>
    <t xml:space="preserve">Bill ref / invoice no.</t>
  </si>
  <si>
    <t xml:space="preserve">Bill-wise (FIFO if on-account).</t>
  </si>
  <si>
    <t xml:space="preserve">bill_date</t>
  </si>
  <si>
    <t xml:space="preserve">Bill date</t>
  </si>
  <si>
    <t xml:space="preserve">due_date</t>
  </si>
  <si>
    <t xml:space="preserve">Due on</t>
  </si>
  <si>
    <t xml:space="preserve">overdue_days</t>
  </si>
  <si>
    <t xml:space="preserve">Overdue by days</t>
  </si>
  <si>
    <t xml:space="preserve">pending_amount</t>
  </si>
  <si>
    <t xml:space="preserve">Pending amount</t>
  </si>
  <si>
    <t xml:space="preserve">bucket_lt6m</t>
  </si>
  <si>
    <t xml:space="preserve">Less than 6 months</t>
  </si>
  <si>
    <t xml:space="preserve">Schedule III bucket</t>
  </si>
  <si>
    <t xml:space="preserve">Ageing from due date (or transaction date if no due date).</t>
  </si>
  <si>
    <t xml:space="preserve">bucket_6m_1y</t>
  </si>
  <si>
    <t xml:space="preserve">6 months – 1 year</t>
  </si>
  <si>
    <t xml:space="preserve">bucket_1_2y</t>
  </si>
  <si>
    <t xml:space="preserve">1-2 years</t>
  </si>
  <si>
    <t xml:space="preserve">bucket_2_3y</t>
  </si>
  <si>
    <t xml:space="preserve">2-3 years</t>
  </si>
  <si>
    <t xml:space="preserve">disputed_flag</t>
  </si>
  <si>
    <t xml:space="preserve">Disputed</t>
  </si>
  <si>
    <t xml:space="preserve">Classification</t>
  </si>
  <si>
    <t xml:space="preserve">bucket_gt3y</t>
  </si>
  <si>
    <t xml:space="preserve">More than 3 years</t>
  </si>
  <si>
    <t xml:space="preserve">credit_risk_class</t>
  </si>
  <si>
    <t xml:space="preserve">Considered good / significant increase in credit risk / credit impaired</t>
  </si>
  <si>
    <t xml:space="preserve">GOOD|SICR|IMPAIRED</t>
  </si>
  <si>
    <t xml:space="preserve">bucket_lt1y</t>
  </si>
  <si>
    <t xml:space="preserve">Less than 1 year</t>
  </si>
  <si>
    <t xml:space="preserve">msme_category</t>
  </si>
  <si>
    <t xml:space="preserve">MSME category</t>
  </si>
  <si>
    <t xml:space="preserve">acceptance_date</t>
  </si>
  <si>
    <t xml:space="preserve">Date of acceptance / deemed acceptance</t>
  </si>
  <si>
    <t xml:space="preserve">MSMED</t>
  </si>
  <si>
    <t xml:space="preserve">s.15 MSMED 15/45-day test.</t>
  </si>
  <si>
    <t xml:space="preserve">agreed_credit_days</t>
  </si>
  <si>
    <t xml:space="preserve">Agreed credit days (written agreement)</t>
  </si>
  <si>
    <t xml:space="preserve">&lt;=45</t>
  </si>
  <si>
    <t xml:space="preserve">vendor_code</t>
  </si>
  <si>
    <t xml:space="preserve">Vendor code</t>
  </si>
  <si>
    <t xml:space="preserve">vendor_name</t>
  </si>
  <si>
    <t xml:space="preserve">Vendor name</t>
  </si>
  <si>
    <t xml:space="preserve">vendor_pan</t>
  </si>
  <si>
    <t xml:space="preserve">Key across docs.</t>
  </si>
  <si>
    <t xml:space="preserve">vendor_gstin</t>
  </si>
  <si>
    <t xml:space="preserve">udyam_no</t>
  </si>
  <si>
    <t xml:space="preserve">Udyam Registration Number</t>
  </si>
  <si>
    <t xml:space="preserve">^UDYAM-[A-Z]{2}-[0-9]{2}-[0-9]{7}$</t>
  </si>
  <si>
    <t xml:space="preserve">Enterprise type (Micro/Small/Medium)</t>
  </si>
  <si>
    <t xml:space="preserve">Micro|Small|Medium</t>
  </si>
  <si>
    <t xml:space="preserve">activity_type</t>
  </si>
  <si>
    <t xml:space="preserve">Major activity (Manufacturing/Services/Trading)</t>
  </si>
  <si>
    <t xml:space="preserve">Manufacturing|Services|Trading</t>
  </si>
  <si>
    <t xml:space="preserve">Traders: s.43B(h) applicability – CA review.</t>
  </si>
  <si>
    <t xml:space="preserve">udyam_date</t>
  </si>
  <si>
    <t xml:space="preserve">Date of Udyam registration</t>
  </si>
  <si>
    <t xml:space="preserve">classification_valid_from</t>
  </si>
  <si>
    <t xml:space="preserve">Classification effective from</t>
  </si>
  <si>
    <t xml:space="preserve">declaration_received_on</t>
  </si>
  <si>
    <t xml:space="preserve">Date vendor declaration received</t>
  </si>
  <si>
    <t xml:space="preserve">written_credit_days</t>
  </si>
  <si>
    <t xml:space="preserve">Agreed credit days</t>
  </si>
  <si>
    <t xml:space="preserve">party_code</t>
  </si>
  <si>
    <t xml:space="preserve">Ledger alias / code</t>
  </si>
  <si>
    <t xml:space="preserve">Ledger name</t>
  </si>
  <si>
    <t xml:space="preserve">Group Name (Under)</t>
  </si>
  <si>
    <t xml:space="preserve">Sundry Debtors|Sundry Creditors|...</t>
  </si>
  <si>
    <t xml:space="preserve">GST Registration – GSTIN/UIN</t>
  </si>
  <si>
    <t xml:space="preserve">gst_registration_type</t>
  </si>
  <si>
    <t xml:space="preserve">Registration type</t>
  </si>
  <si>
    <t xml:space="preserve">state_code</t>
  </si>
  <si>
    <t xml:space="preserve">2-digit</t>
  </si>
  <si>
    <t xml:space="preserve">pan_aadhaar_linked</t>
  </si>
  <si>
    <t xml:space="preserve">PAN operative status</t>
  </si>
  <si>
    <t xml:space="preserve">Operative|Inoperative|Unknown</t>
  </si>
  <si>
    <t xml:space="preserve">Higher rate checks.</t>
  </si>
  <si>
    <t xml:space="preserve">TAN (for customers deducting TDS)</t>
  </si>
  <si>
    <t xml:space="preserve">Key to F26AS deductor TAN.</t>
  </si>
  <si>
    <t xml:space="preserve">Deductee type</t>
  </si>
  <si>
    <t xml:space="preserve">Company|Individual/HUF|Firm|AOP|Government|Non-resident</t>
  </si>
  <si>
    <t xml:space="preserve">default_tds_nature</t>
  </si>
  <si>
    <t xml:space="preserve">Default nature of payment (TDS)</t>
  </si>
  <si>
    <t xml:space="preserve">lower_deduction_cert_no</t>
  </si>
  <si>
    <t xml:space="preserve">Lower deduction certificate no.</t>
  </si>
  <si>
    <t xml:space="preserve">lower_deduction_rate</t>
  </si>
  <si>
    <t xml:space="preserve">Certificate rate</t>
  </si>
  <si>
    <t xml:space="preserve">lower_deduction_valid_from</t>
  </si>
  <si>
    <t xml:space="preserve">Certificate valid from</t>
  </si>
  <si>
    <t xml:space="preserve">lower_deduction_valid_to</t>
  </si>
  <si>
    <t xml:space="preserve">Certificate valid to</t>
  </si>
  <si>
    <t xml:space="preserve">lower_deduction_limit</t>
  </si>
  <si>
    <t xml:space="preserve">Certificate amount limit</t>
  </si>
  <si>
    <t xml:space="preserve">Udyam no.</t>
  </si>
  <si>
    <t xml:space="preserve">related_party_flag</t>
  </si>
  <si>
    <t xml:space="preserve">Related party (s.40A(2)(b) / AS 18 / Ind AS 24)</t>
  </si>
  <si>
    <t xml:space="preserve">bank_account_no</t>
  </si>
  <si>
    <t xml:space="preserve">Bank account no.</t>
  </si>
  <si>
    <t xml:space="preserve">residential_status</t>
  </si>
  <si>
    <t xml:space="preserve">Residential status</t>
  </si>
  <si>
    <t xml:space="preserve">Resident|Non-resident|RNOR</t>
  </si>
  <si>
    <t xml:space="preserve">26Q vs 27Q / Form 140 vs 144.</t>
  </si>
  <si>
    <t xml:space="preserve">entity_pan</t>
  </si>
  <si>
    <t xml:space="preserve">period_end</t>
  </si>
  <si>
    <t xml:space="preserve">Balance sheet date</t>
  </si>
  <si>
    <t xml:space="preserve">statement</t>
  </si>
  <si>
    <t xml:space="preserve">Statement</t>
  </si>
  <si>
    <t xml:space="preserve">BS|PL|NOTE</t>
  </si>
  <si>
    <t xml:space="preserve">line_item_code</t>
  </si>
  <si>
    <t xml:space="preserve">Schedule III line item code (implementation)</t>
  </si>
  <si>
    <t xml:space="preserve">Mapping key to TB fs_head.</t>
  </si>
  <si>
    <t xml:space="preserve">line_item_label</t>
  </si>
  <si>
    <t xml:space="preserve">Line item</t>
  </si>
  <si>
    <t xml:space="preserve">note_ref</t>
  </si>
  <si>
    <t xml:space="preserve">Note no.</t>
  </si>
  <si>
    <t xml:space="preserve">current_year</t>
  </si>
  <si>
    <t xml:space="preserve">Figures as at end of current reporting period</t>
  </si>
  <si>
    <t xml:space="preserve">decimal(15,2) INR; &gt;= 0 unless stated (respect rounding unit per FS-005)</t>
  </si>
  <si>
    <t xml:space="preserve">Figures as at end of previous reporting period</t>
  </si>
  <si>
    <t xml:space="preserve">rounding_unit</t>
  </si>
  <si>
    <t xml:space="preserve">Rounding unit</t>
  </si>
  <si>
    <t xml:space="preserve">Rupees|Hundreds|Thousands|Lakhs|Millions|Crores</t>
  </si>
  <si>
    <t xml:space="preserve">Scale before comparison with TB.</t>
  </si>
  <si>
    <t xml:space="preserve">revenue_from_operations</t>
  </si>
  <si>
    <t xml:space="preserve">Revenue from operations</t>
  </si>
  <si>
    <t xml:space="preserve">PL</t>
  </si>
  <si>
    <t xml:space="preserve">Compare SALES_REG, GSTR returns, AIS EXC-GSTR3B.</t>
  </si>
  <si>
    <t xml:space="preserve">profit_before_tax</t>
  </si>
  <si>
    <t xml:space="preserve">Profit before tax</t>
  </si>
  <si>
    <t xml:space="preserve">Compare ITR Schedule BP item 1.</t>
  </si>
  <si>
    <t xml:space="preserve">msme_dues_principal</t>
  </si>
  <si>
    <t xml:space="preserve">Principal amount due to micro &amp; small enterprises</t>
  </si>
  <si>
    <t xml:space="preserve">Note – MSMED s.22</t>
  </si>
  <si>
    <t xml:space="preserve">msme_dues_interest</t>
  </si>
  <si>
    <t xml:space="preserve">Interest due thereon</t>
  </si>
  <si>
    <t xml:space="preserve">Name of supplier</t>
  </si>
  <si>
    <t xml:space="preserve">supplier_address</t>
  </si>
  <si>
    <t xml:space="preserve">Address of supplier</t>
  </si>
  <si>
    <t xml:space="preserve">Invoice number (consecutive, max 16 chars)</t>
  </si>
  <si>
    <t xml:space="preserve">^[A-Za-z0-9/\-]{1,16}$</t>
  </si>
  <si>
    <t xml:space="preserve">Rule 46(b).</t>
  </si>
  <si>
    <t xml:space="preserve">Date of issue</t>
  </si>
  <si>
    <t xml:space="preserve">document_type</t>
  </si>
  <si>
    <t xml:space="preserve">INV|CRN|DBN|BOS</t>
  </si>
  <si>
    <t xml:space="preserve">recipient_name</t>
  </si>
  <si>
    <t xml:space="preserve">Name of recipient</t>
  </si>
  <si>
    <t xml:space="preserve">GSTIN/UIN of recipient</t>
  </si>
  <si>
    <t xml:space="preserve">place_of_supply</t>
  </si>
  <si>
    <t xml:space="preserve">Place of supply (state name &amp; code)</t>
  </si>
  <si>
    <t xml:space="preserve">Required for inter-state.</t>
  </si>
  <si>
    <t xml:space="preserve">Description of goods/services</t>
  </si>
  <si>
    <t xml:space="preserve">uqc</t>
  </si>
  <si>
    <t xml:space="preserve">Rate of tax</t>
  </si>
  <si>
    <t xml:space="preserve">sgst</t>
  </si>
  <si>
    <t xml:space="preserve">SGST/UTGST amount</t>
  </si>
  <si>
    <t xml:space="preserve">invoice_total</t>
  </si>
  <si>
    <t xml:space="preserve">Whether tax payable on reverse charge</t>
  </si>
  <si>
    <t xml:space="preserve">Validate via signed QR.</t>
  </si>
  <si>
    <t xml:space="preserve">irn_ack_no</t>
  </si>
  <si>
    <t xml:space="preserve">Ack No.</t>
  </si>
  <si>
    <t xml:space="preserve">irn_ack_date</t>
  </si>
  <si>
    <t xml:space="preserve">Ack Date</t>
  </si>
  <si>
    <t xml:space="preserve">signature_present</t>
  </si>
  <si>
    <t xml:space="preserve">Signature / digital signature</t>
  </si>
  <si>
    <t xml:space="preserve">Footer</t>
  </si>
  <si>
    <t xml:space="preserve">ocr_confidence</t>
  </si>
  <si>
    <t xml:space="preserve">Extraction confidence (tool)</t>
  </si>
  <si>
    <t xml:space="preserve">Meta</t>
  </si>
  <si>
    <t xml:space="preserve">0-1</t>
  </si>
  <si>
    <t xml:space="preserve">Implementation field.</t>
  </si>
  <si>
    <t xml:space="preserve">^[0-9]{2}[A-Z]{5}[0-9]{4}[A-Z][1-9A-Z]Z[0-9A-Z]$ (+ check digit)</t>
  </si>
  <si>
    <t xml:space="preserve">new document (design)</t>
  </si>
  <si>
    <t xml:space="preserve">MMYYYY</t>
  </si>
  <si>
    <t xml:space="preserve">GSTR-3B tax period.</t>
  </si>
  <si>
    <t xml:space="preserve">opening_h</t>
  </si>
  <si>
    <t xml:space="preserve">decimal(15,2) per head (igst/cgst/sgst/cess)</t>
  </si>
  <si>
    <t xml:space="preserve">Opening balance of RCM liability less ITC.</t>
  </si>
  <si>
    <t xml:space="preserve">liability_h</t>
  </si>
  <si>
    <t xml:space="preserve">RCM liability (3.1(d))</t>
  </si>
  <si>
    <t xml:space="preserve">decimal(15,2) per head</t>
  </si>
  <si>
    <t xml:space="preserve">RCM liability reported/paid in GSTR-3B 3.1(d).</t>
  </si>
  <si>
    <t xml:space="preserve">itc_h</t>
  </si>
  <si>
    <t xml:space="preserve">RCM ITC claimed (4A(2)+4A(3))</t>
  </si>
  <si>
    <t xml:space="preserve">RCM ITC claimed in GSTR-3B 4A(2)+4A(3).</t>
  </si>
  <si>
    <t xml:space="preserve">closing_h</t>
  </si>
  <si>
    <t xml:space="preserve">Closing = opening + liability - ITC (portal computation; verify).</t>
  </si>
  <si>
    <t xml:space="preserve">ARN of GSTR-3B</t>
  </si>
  <si>
    <t xml:space="preserve">Return ARN, where shown.</t>
  </si>
  <si>
    <t xml:space="preserve">hsn_prefix</t>
  </si>
  <si>
    <t xml:space="preserve">HSN/SAC prefix</t>
  </si>
  <si>
    <t xml:space="preserve">^[0-9]{2,8}$</t>
  </si>
  <si>
    <t xml:space="preserve">Longest-prefix match against SALES_REG.hsn_sac.</t>
  </si>
  <si>
    <t xml:space="preserve">condition</t>
  </si>
  <si>
    <t xml:space="preserve">Condition</t>
  </si>
  <si>
    <t xml:space="preserve">Condition text (e.g. value threshold, ITC restriction) where rate is conditional.</t>
  </si>
  <si>
    <t xml:space="preserve">GST rate (IGST %)</t>
  </si>
  <si>
    <t xml:space="preserve">decimal(5,3)</t>
  </si>
  <si>
    <t xml:space="preserve">IGST rate; CGST = SGST = rate / 2.</t>
  </si>
  <si>
    <t xml:space="preserve">cess_rate</t>
  </si>
  <si>
    <t xml:space="preserve">Compensation cess rate</t>
  </si>
  <si>
    <t xml:space="preserve">decimal(7,3)</t>
  </si>
  <si>
    <t xml:space="preserve">Ad valorem cess %; specific cess in cess_specific.</t>
  </si>
  <si>
    <t xml:space="preserve">cess_specific</t>
  </si>
  <si>
    <t xml:space="preserve">Specific cess</t>
  </si>
  <si>
    <t xml:space="preserve">Non-ad-valorem cess expression, if any.</t>
  </si>
  <si>
    <t xml:space="preserve">Rule ref RATE_MASTER.effective = [effective_from, effective_to].</t>
  </si>
  <si>
    <t xml:space="preserve">ISO; blank = open</t>
  </si>
  <si>
    <t xml:space="preserve">notification_ref</t>
  </si>
  <si>
    <t xml:space="preserve">Notification reference</t>
  </si>
  <si>
    <t xml:space="preserve">Source notification and entry/schedule.</t>
  </si>
  <si>
    <t xml:space="preserve">gl_head</t>
  </si>
  <si>
    <t xml:space="preserve">GL expense ledger</t>
  </si>
  <si>
    <t xml:space="preserve">Joins to GL.ledger_name.</t>
  </si>
  <si>
    <t xml:space="preserve">rcm_category</t>
  </si>
  <si>
    <t xml:space="preserve">RCM category</t>
  </si>
  <si>
    <t xml:space="preserve">Notified service/goods category (label from notification, CA-configured).</t>
  </si>
  <si>
    <t xml:space="preserve">supply_kind</t>
  </si>
  <si>
    <t xml:space="preserve">Domestic / import of services</t>
  </si>
  <si>
    <t xml:space="preserve">DOMESTIC|IMPORT_SERVICES</t>
  </si>
  <si>
    <t xml:space="preserve">Drives 4A(3) vs 4A(2).</t>
  </si>
  <si>
    <t xml:space="preserve">supplier_condition</t>
  </si>
  <si>
    <t xml:space="preserve">Supplier condition</t>
  </si>
  <si>
    <t xml:space="preserve">E.g. only when supplier unregistered / specific supplier type.</t>
  </si>
  <si>
    <t xml:space="preserve">itc_eligible</t>
  </si>
  <si>
    <t xml:space="preserve">ITC eligible</t>
  </si>
  <si>
    <t xml:space="preserve">isd_gstin</t>
  </si>
  <si>
    <t xml:space="preserve">ISD GSTIN</t>
  </si>
  <si>
    <t xml:space="preserve">Distribution period</t>
  </si>
  <si>
    <t xml:space="preserve">ISD invoice | ISD credit note</t>
  </si>
  <si>
    <t xml:space="preserve">isd_invoice_no</t>
  </si>
  <si>
    <t xml:space="preserve">ISD document number</t>
  </si>
  <si>
    <t xml:space="preserve">Matches GSTR2B isd_doc_no.</t>
  </si>
  <si>
    <t xml:space="preserve">isd_invoice_date</t>
  </si>
  <si>
    <t xml:space="preserve">ISD document date</t>
  </si>
  <si>
    <t xml:space="preserve">ITC distributed</t>
  </si>
  <si>
    <t xml:space="preserve">Eligible / ineligible</t>
  </si>
  <si>
    <t xml:space="preserve">share</t>
  </si>
  <si>
    <t xml:space="preserve">Recipient share ratio</t>
  </si>
  <si>
    <t xml:space="preserve">decimal(9,6) 0..1</t>
  </si>
  <si>
    <t xml:space="preserve">Recipient's turnover share used for distribution.</t>
  </si>
  <si>
    <t xml:space="preserve">original_doc_no</t>
  </si>
  <si>
    <t xml:space="preserve">Original document (for credit notes/amendments)</t>
  </si>
  <si>
    <t xml:space="preserve">Bank ledger</t>
  </si>
  <si>
    <t xml:space="preserve">Joins to BANK_BOOK.bank_ledger / TB.ledger_name.</t>
  </si>
  <si>
    <t xml:space="preserve">book_balance</t>
  </si>
  <si>
    <t xml:space="preserve">Balance as per books</t>
  </si>
  <si>
    <t xml:space="preserve">decimal(15,2) signed</t>
  </si>
  <si>
    <t xml:space="preserve">cheques_issued_not_presented</t>
  </si>
  <si>
    <t xml:space="preserve">Cheques issued not presented</t>
  </si>
  <si>
    <t xml:space="preserve">deposits_not_credited</t>
  </si>
  <si>
    <t xml:space="preserve">Cheques deposited not credited</t>
  </si>
  <si>
    <t xml:space="preserve">bank_credits_not_in_books</t>
  </si>
  <si>
    <t xml:space="preserve">Credits in bank not in books</t>
  </si>
  <si>
    <t xml:space="preserve">bank_debits_not_in_books</t>
  </si>
  <si>
    <t xml:space="preserve">Debits in bank not in books</t>
  </si>
  <si>
    <t xml:space="preserve">computed_bank_balance</t>
  </si>
  <si>
    <t xml:space="preserve">Balance as per bank (computed)</t>
  </si>
  <si>
    <t xml:space="preserve">book_balance + cheques_issued_not_presented - deposits_not_credited + bank_credits_not_in_books - bank_debits_not_in_books.</t>
  </si>
  <si>
    <t xml:space="preserve">item_ref</t>
  </si>
  <si>
    <t xml:space="preserve">Reconciling item reference</t>
  </si>
  <si>
    <t xml:space="preserve">Item</t>
  </si>
  <si>
    <t xml:space="preserve">Voucher/cheque/UTR of each reconciling item.</t>
  </si>
  <si>
    <t xml:space="preserve">item_amount</t>
  </si>
  <si>
    <t xml:space="preserve">Reconciling item amount</t>
  </si>
  <si>
    <t xml:space="preserve">string(2) state code</t>
  </si>
  <si>
    <t xml:space="preserve">Place of supply on the invoice (Tally: Place of Supply). Fallback: party_state when not captured.</t>
  </si>
  <si>
    <t xml:space="preserve">new (design)</t>
  </si>
  <si>
    <t xml:space="preserve">string GSTIN</t>
  </si>
  <si>
    <t xml:space="preserve">GSTIN of the e-commerce operator through which the supply was made (blank if none).</t>
  </si>
  <si>
    <t xml:space="preserve">shipping_bill_no</t>
  </si>
  <si>
    <t xml:space="preserve">Shipping bill number recorded on the export invoice (Tally export details / EINV export_shipping_bill_no).</t>
  </si>
  <si>
    <t xml:space="preserve">shipping_bill_date</t>
  </si>
  <si>
    <t xml:space="preserve">Shipping bill date recorded on the export invoice.</t>
  </si>
  <si>
    <t xml:space="preserve">Port code of the shipping bill recorded on the export invoice.</t>
  </si>
  <si>
    <t xml:space="preserve">ship_to_state</t>
  </si>
  <si>
    <t xml:space="preserve">State of the consignee / ship-to address on the invoice.</t>
  </si>
  <si>
    <t xml:space="preserve">Place of supply as printed on the supplier invoice (recorded in books / taken from the invoice).</t>
  </si>
  <si>
    <t xml:space="preserve">Bill-wise reference (supplier invoice) the payment is allocated against (Tally bill-wise allocation of the payment voucher); not in catalogue.</t>
  </si>
  <si>
    <t xml:space="preserve">gstin_branch</t>
  </si>
  <si>
    <t xml:space="preserve">GSTIN to which the TB (or ledger) belongs, for multi-GSTIN entities (company/branch/cost-centre tagging in books).</t>
  </si>
  <si>
    <t xml:space="preserve">supply_class</t>
  </si>
  <si>
    <t xml:space="preserve">enum TAXABLE|NIL|EXEMPT|NON_GST|ZERO_RATED</t>
  </si>
  <si>
    <t xml:space="preserve">GST classification of the item/ledger line from the item or sales-ledger master (nil-rated and exempt both carry 0% and cannot be told apart from gst_rate).</t>
  </si>
  <si>
    <t xml:space="preserve">GSTIN of the taxpayer whose IMS dashboard was downloaded (file header / logged-in GSTIN); IMS rows do not carry it.</t>
  </si>
  <si>
    <t xml:space="preserve">itc_claim_period</t>
  </si>
  <si>
    <t xml:space="preserve">string MMYYYY</t>
  </si>
  <si>
    <t xml:space="preserve">GSTR-3B tax period in which ITC on the document was claimed (ITC claim tag maintained in books / tool).</t>
  </si>
  <si>
    <t xml:space="preserve">effective_from/effective_to</t>
  </si>
  <si>
    <t xml:space="preserve">date range</t>
  </si>
  <si>
    <t xml:space="preserve">[effective_from, effective_to] of the RATE_MASTER row; SALES_REG.time_of_supply must fall within it.</t>
  </si>
  <si>
    <t xml:space="preserve">tds_credit_action</t>
  </si>
  <si>
    <t xml:space="preserve">enum Accept|Reject|Pending</t>
  </si>
  <si>
    <t xml:space="preserve">Deductee's action on the TDS credit in the GST portal 'TDS and TCS Credit Received' functionality for this GSTR-7 entry; not part of GSTR-7 itself. Source: download of TDS/TCS credit received for the deductee GSTIN.</t>
  </si>
  <si>
    <t xml:space="preserve">tcs_credit_action</t>
  </si>
  <si>
    <t xml:space="preserve">Supplier's action on the TCS credit in the GST portal 'TDS and TCS Credit Received' functionality for this GSTR-8 entry; source: download for the supplier GSTIN.</t>
  </si>
  <si>
    <t xml:space="preserve">Bill of Entry number recorded on the import purchase voucher.</t>
  </si>
  <si>
    <t xml:space="preserve">Bill of Entry date recorded on the import purchase voucher.</t>
  </si>
  <si>
    <t xml:space="preserve">Port code of the Bill of Entry recorded on the import purchase voucher.</t>
  </si>
  <si>
    <t xml:space="preserve">statement_filing_date</t>
  </si>
  <si>
    <t xml:space="preserve">Date the statement was filed/accepted, from the provisional receipt (token) or TRACES statement status; not catalogued.</t>
  </si>
  <si>
    <t xml:space="preserve">issue_date</t>
  </si>
  <si>
    <t xml:space="preserve">Date the certificate was issued/sent to the deductee, from the tool's/deductor's dispatch log. Proxy: last_updated_on (TRACES generation date).</t>
  </si>
  <si>
    <t xml:space="preserve">tax_regime</t>
  </si>
  <si>
    <t xml:space="preserve">enum OLD|NEW</t>
  </si>
  <si>
    <t xml:space="preserve">Income-tax regime opted by the employee for the FY (employee declaration in payroll); not in catalogue.</t>
  </si>
  <si>
    <t xml:space="preserve">tcs_section_code</t>
  </si>
  <si>
    <t xml:space="preserve">Income-tax TCS collection code applied on the sale (27EQ collection code format); sales register only carries tcs_amount.</t>
  </si>
  <si>
    <t xml:space="preserve">os_income_lines</t>
  </si>
  <si>
    <t xml:space="preserve">group</t>
  </si>
  <si>
    <t xml:space="preserve">Schedule OS line amounts (interest by type, dividend) of the ITR JSON; not catalogued. Fields: os_interest_savings, os_interest_deposits, os_interest_other, os_dividend (names to be fixed against the ITR schema).</t>
  </si>
  <si>
    <t xml:space="preserve">cg_property_consideration</t>
  </si>
  <si>
    <t xml:space="preserve">Schedule CG full value of consideration / value adopted for transfer of immovable property; not catalogued.</t>
  </si>
  <si>
    <t xml:space="preserve">taxpaid_*</t>
  </si>
  <si>
    <t xml:space="preserve">Rows of the 26AS part listing tax paid other than TDS/TCS (rule calls it 'Part C'); the catalogue has no fields for this part. Alternative source: AIS tax_payment_* fields.</t>
  </si>
  <si>
    <t xml:space="preserve">cl40_total_turnover</t>
  </si>
  <si>
    <t xml:space="preserve">Total turnover of the assessee for the year as reported in Form 3CD (accounting ratios clause); not catalogued.</t>
  </si>
  <si>
    <t xml:space="preserve">cl21a_*</t>
  </si>
  <si>
    <t xml:space="preserve">Clause 21(a) particulars rows; not in catalogue.</t>
  </si>
  <si>
    <t xml:space="preserve">bill_allocations</t>
  </si>
  <si>
    <t xml:space="preserve">Same as allocation: bill-wise allocation lines {bill_ref, amount, voucher_date}.</t>
  </si>
  <si>
    <t xml:space="preserve">pt_registration_no</t>
  </si>
  <si>
    <t xml:space="preserve">Employer's professional-tax registration number for state_of_work, from the entity configuration (one per state); payroll rows do not carry it.</t>
  </si>
  <si>
    <t xml:space="preserve">confirmed_balance</t>
  </si>
  <si>
    <t xml:space="preserve">Balance as per the balance-confirmation letter/statement received from the party, with confirmation date; not in catalogue.</t>
  </si>
  <si>
    <t xml:space="preserve">rpt_*</t>
  </si>
  <si>
    <t xml:space="preserve">Rows of the related-party disclosure note (party, relationship, nature, amount, outstanding); not catalogued.</t>
  </si>
  <si>
    <t xml:space="preserve">source_section</t>
  </si>
  <si>
    <t xml:space="preserve">enum b2b|b2ba|b2cl|b2cla|b2cs|b2csa|exp|expa|cdnr|cdnra|cdnur|cdnura|nil|at|txpd|hsn|doc_issue|supeco</t>
  </si>
  <si>
    <t xml:space="preserve">JSON section the row was loaded from; needed because the catalogue reuses b2b_* names for amendment rows and for section_doc_type.</t>
  </si>
  <si>
    <t xml:space="preserve">is_cancelled</t>
  </si>
  <si>
    <t xml:space="preserve">enum Y|N</t>
  </si>
  <si>
    <t xml:space="preserve">Voucher marked cancelled in books (Tally cancelled voucher) - needed for Table 13 counts.</t>
  </si>
  <si>
    <t xml:space="preserve">cl34b_quarter</t>
  </si>
  <si>
    <t xml:space="preserve">enum Q1|Q2|Q3|Q4</t>
  </si>
  <si>
    <t xml:space="preserve">Quarter column of clause 34(b).</t>
  </si>
  <si>
    <t xml:space="preserve">fy</t>
  </si>
  <si>
    <t xml:space="preserve">string 'YYYY-YY'</t>
  </si>
  <si>
    <t xml:space="preserve">DERIVED: Indian financial year (1 Apr - 31 Mar) containing voucher_date, format 'YYYY-YY' e.g. '2025-26'</t>
  </si>
  <si>
    <t xml:space="preserve">derived</t>
  </si>
  <si>
    <t xml:space="preserve">enum INTER|INTRA</t>
  </si>
  <si>
    <t xml:space="preserve">DERIVED: 'INTER' if pos state code differs from the supplier's own GSTIN state code (or igst &gt; 0), else 'INTRA'.</t>
  </si>
  <si>
    <t xml:space="preserve">sum_txval</t>
  </si>
  <si>
    <t xml:space="preserve">DERIVED: Σ taxable_value over the rule's group key.</t>
  </si>
  <si>
    <t xml:space="preserve">sum_igst</t>
  </si>
  <si>
    <t xml:space="preserve">DERIVED: Σ igst over the rule's group key.</t>
  </si>
  <si>
    <t xml:space="preserve">sum_cgst</t>
  </si>
  <si>
    <t xml:space="preserve">DERIVED: Σ cgst over the rule's group key.</t>
  </si>
  <si>
    <t xml:space="preserve">sum_sgst</t>
  </si>
  <si>
    <t xml:space="preserve">DERIVED: Σ sgst_utgst over the rule's group key.</t>
  </si>
  <si>
    <t xml:space="preserve">sum_cess</t>
  </si>
  <si>
    <t xml:space="preserve">DERIVED: Σ cess over the rule's group key.</t>
  </si>
  <si>
    <t xml:space="preserve">export_type</t>
  </si>
  <si>
    <t xml:space="preserve">enum WPAY|WOPAY|SEWP|SEWOP|DE</t>
  </si>
  <si>
    <t xml:space="preserve">DERIVED: registration_type 'Overseas' -&gt; 'WPAY' if igst &gt; 0 else 'WOPAY'; 'SEZ' -&gt; 'SEWP' if igst &gt; 0 else 'SEWOP'; deemed exports need a ledger/voucher flag.</t>
  </si>
  <si>
    <t xml:space="preserve">enum C|D</t>
  </si>
  <si>
    <t xml:space="preserve">DERIVED: voucher_type 'Credit Note' -&gt; 'C', 'Debit Note' -&gt; 'D' (voucher-type map configurable).</t>
  </si>
  <si>
    <t xml:space="preserve">amendment-section revised values</t>
  </si>
  <si>
    <t xml:space="preserve">DERIVED: Rows of GSTR-1 where source_section in (b2ba, b2cla, expa, cdnra, b2csa); values are the revised values reported in that row, joined to the original via amend_original_invoice_no / amend_original_note_no.</t>
  </si>
  <si>
    <t xml:space="preserve">latest revised version</t>
  </si>
  <si>
    <t xml:space="preserve">DERIVED: Latest version of the invoice in the books (after alterations), i.e. the row with the latest alteration for voucher_no; requires the export to carry the current version only or an alteration timestamp.</t>
  </si>
  <si>
    <t xml:space="preserve">amendment_filing_date</t>
  </si>
  <si>
    <t xml:space="preserve">DERIVED: filing_date of the GSTR-1 return (return_period) in which the amendment row (source_section in b2ba/b2cla/expa/cdnra/b2csa) was reported.</t>
  </si>
  <si>
    <t xml:space="preserve">section_doc_type</t>
  </si>
  <si>
    <t xml:space="preserve">enum INV|CRN|DBN</t>
  </si>
  <si>
    <t xml:space="preserve">DERIVED: From source_section and cdnr_note_type: b2b/b2cl/exp -&gt; 'INV'; cdnr/cdnur with note type 'C' -&gt; 'CRN', 'D' -&gt; 'DBN' (aligns with EINV.doc_type).</t>
  </si>
  <si>
    <t xml:space="preserve">DERIVED: Indian financial year (1 Apr - 31 Mar) containing doc_date, format 'YYYY-YY' e.g. '2025-26'</t>
  </si>
  <si>
    <t xml:space="preserve">DERIVED: Mapped from voucher_type via a configurable map; code list depends on the target document (see context_dependent).</t>
  </si>
  <si>
    <t xml:space="preserve">hsn_set</t>
  </si>
  <si>
    <t xml:space="preserve">set&lt;string&gt;</t>
  </si>
  <si>
    <t xml:space="preserve">DERIVED: Sorted distinct hsn_sac over the item rows of the invoice (voucher_no).</t>
  </si>
  <si>
    <t xml:space="preserve">DERIVED: Sorted distinct item_hsn values of the e-way bill.</t>
  </si>
  <si>
    <t xml:space="preserve">b2b_or_b2c</t>
  </si>
  <si>
    <t xml:space="preserve">enum B2B|B2C</t>
  </si>
  <si>
    <t xml:space="preserve">DERIVED: 'B2B' if party_gstin is non-blank else 'B2C' (aligns with GSTR1 hsn_section hsn_b2b/hsn_b2c).</t>
  </si>
  <si>
    <t xml:space="preserve">sum_tax_heads</t>
  </si>
  <si>
    <t xml:space="preserve">DERIVED: Tuple (Σ igst, Σ cgst, Σ sgst_utgst, Σ cess) over (hsn_sac, gst_rate, b2b_or_b2c).</t>
  </si>
  <si>
    <t xml:space="preserve">sum_qty</t>
  </si>
  <si>
    <t xml:space="preserve">DERIVED: Σ quantity over (hsn_sac, gst_rate, b2b_or_b2c); UOM converted to GST UQC.</t>
  </si>
  <si>
    <t xml:space="preserve">hsn_b2b_taxable_value</t>
  </si>
  <si>
    <t xml:space="preserve">DERIVED: Σ hsn_taxable_value over Table 12 rows where hsn_section = 'hsn_b2b'.</t>
  </si>
  <si>
    <t xml:space="preserve">b2b_sections_taxable_value</t>
  </si>
  <si>
    <t xml:space="preserve">DERIVED: Σ b2b_taxable_value (all b2b_invoice_type incl. SEWP/SEWOP/DE) + Σ signed cdnr_taxable_value (cdnr_note_type C negative, D positive) for the return period.</t>
  </si>
  <si>
    <t xml:space="preserve">hsn_b2c_taxable_value</t>
  </si>
  <si>
    <t xml:space="preserve">DERIVED: Σ hsn_taxable_value over Table 12 rows where hsn_section = 'hsn_b2c'.</t>
  </si>
  <si>
    <t xml:space="preserve">b2c_sections_taxable_value</t>
  </si>
  <si>
    <t xml:space="preserve">DERIVED: Σ b2cl_taxable_value + Σ b2cs_taxable_value + Σ exp_taxable_value + Σ signed cdnur_taxable_value for the return period.</t>
  </si>
  <si>
    <t xml:space="preserve">enum 1..12</t>
  </si>
  <si>
    <t xml:space="preserve">DERIVED: voucher_type mapped to GSTR-1 Table 13 doc_nature_code (configurable map, e.g. Sales -&gt; 1, Debit Note -&gt; 4, Credit Note -&gt; 5).</t>
  </si>
  <si>
    <t xml:space="preserve">series_prefix</t>
  </si>
  <si>
    <t xml:space="preserve">DERIVED: voucher_no with the trailing numeric run removed (normalised: upper-case, trimmed).</t>
  </si>
  <si>
    <t xml:space="preserve">series_from</t>
  </si>
  <si>
    <t xml:space="preserve">DERIVED: voucher_no with the lowest trailing number within (series_prefix, doc_nature, period).</t>
  </si>
  <si>
    <t xml:space="preserve">series_to</t>
  </si>
  <si>
    <t xml:space="preserve">DERIVED: voucher_no with the highest trailing number within (series_prefix, doc_nature, period).</t>
  </si>
  <si>
    <t xml:space="preserve">count_total</t>
  </si>
  <si>
    <t xml:space="preserve">DERIVED: series_to number - series_from number + 1 for the series in the period (includes cancelled numbers).</t>
  </si>
  <si>
    <t xml:space="preserve">count_cancelled</t>
  </si>
  <si>
    <t xml:space="preserve">DERIVED: Count of voucher numbers in the series range with is_cancelled = 'Y' (supporting new field) plus missing numbers if the client treats gaps as cancelled.</t>
  </si>
  <si>
    <t xml:space="preserve">DERIVED: voucher_type mapped: Purchase -&gt; 'INV'; supplier credit note (Debit Note voucher in Tally) -&gt; 'CRN'; supplier debit note -&gt; 'DBN' (configurable map).</t>
  </si>
  <si>
    <t xml:space="preserve">DERIVED: Raw key typ is invoice_type (R/SEWP/SEWOP/DE) in b2b and note_type (C/D) in cdnr. Rule meaning is document type: source section b2b/b2ba -&gt; 'INV'; cdnr/cdnra note_type 'C' -&gt; 'CRN', 'D' -&gt; 'DBN'.</t>
  </si>
  <si>
    <t xml:space="preserve">DERIVED: Indian financial year (1 Apr - 31 Mar) containing supplier_invoice_date, format 'YYYY-YY' e.g. '2025-26'</t>
  </si>
  <si>
    <t xml:space="preserve">books_period</t>
  </si>
  <si>
    <t xml:space="preserve">DERIVED: tax period of voucher_date (booking date), format MMYYYY e.g. '092026'</t>
  </si>
  <si>
    <t xml:space="preserve">b2b_net_itc</t>
  </si>
  <si>
    <t xml:space="preserve">DERIVED: Per head: Σ items of b2b + b2ba documents with itc_availability='Y' minus Σ cdnr (+cdnra) credit notes with itc_availability='Y'; cross-check with summary_itc_available.nonrevsup (+ othersup netting).</t>
  </si>
  <si>
    <t xml:space="preserve">isd_itc</t>
  </si>
  <si>
    <t xml:space="preserve">DERIVED: Σ ISD section document amounts with isd_itc_eligible='Y' (ISD credit notes negative); cross-check summary_itc_available.isdsup.</t>
  </si>
  <si>
    <t xml:space="preserve">impg_itc</t>
  </si>
  <si>
    <t xml:space="preserve">DERIVED: Σ boe_igst and boe_cess over impg + impgsez rows of the period; cross-check summary_itc_available.imports.</t>
  </si>
  <si>
    <t xml:space="preserve">DERIVED: From ims_category: B2B/B2BA/ECOM/ECOMA -&gt; 'INV'; B2BCN/B2BCNA -&gt; 'CRN'; B2BDN/B2BDNA -&gt; 'DBN'.</t>
  </si>
  <si>
    <t xml:space="preserve">DERIVED: Indian financial year (1 Apr - 31 Mar) containing document_date, format 'YYYY-YY' e.g. '2025-26'</t>
  </si>
  <si>
    <t xml:space="preserve">booking_status</t>
  </si>
  <si>
    <t xml:space="preserve">enum BOOKED|NOT_BOOKED|BOOKED_INELIGIBLE</t>
  </si>
  <si>
    <t xml:space="preserve">DERIVED: 'BOOKED' if the IMS document matches a register row (supplier_gstin, doc_type, doc_no, fy), 'BOOKED_INELIGIBLE' if matched with itc_eligibility = Ineligible, else 'NOT_BOOKED'.</t>
  </si>
  <si>
    <t xml:space="preserve">tax_heads</t>
  </si>
  <si>
    <t xml:space="preserve">DERIVED: Tuple (igst_amount, cgst_amount, sgst_amount, cess_amount).</t>
  </si>
  <si>
    <t xml:space="preserve">DERIVED: Tuple (igst, cgst, sgst_utgst, cess).</t>
  </si>
  <si>
    <t xml:space="preserve">cn_itc_reversed</t>
  </si>
  <si>
    <t xml:space="preserve">DERIVED: igst + cgst + sgst_utgst + cess on rows with doc_type = CRN (input tax reduced in books for the supplier credit note).</t>
  </si>
  <si>
    <t xml:space="preserve">pending_since</t>
  </si>
  <si>
    <t xml:space="preserve">DERIVED: Earliest IMS download snapshot date (or supplier_return_period) at which the document had ims_action = 'Pending', carried forward while it stays Pending. Requires the tool to keep IMS snapshots.</t>
  </si>
  <si>
    <t xml:space="preserve">DERIVED: Source section b2b/b2ba -&gt; 'INV'; cdn/cdna with note_type 'C' -&gt; 'CRN', 'D' -&gt; 'DBN'.</t>
  </si>
  <si>
    <t xml:space="preserve">DERIVED: Tuple (igst_amount, cgst_amount, sgst_amount, cess_amount), compared head by head.</t>
  </si>
  <si>
    <t xml:space="preserve">DERIVED: PARTY_MASTER.gstin of the party ledger in particulars.</t>
  </si>
  <si>
    <t xml:space="preserve">DERIVED: igst + cgst + sgst_utgst + cess where itc_eligibility &lt;&gt; 'Ineligible (s.17(5))'.</t>
  </si>
  <si>
    <t xml:space="preserve">period_tos</t>
  </si>
  <si>
    <t xml:space="preserve">DERIVED: Tax period of the time of supply of the RCM expense; default voucher_date of the expense, overridable by the rule engine.</t>
  </si>
  <si>
    <t xml:space="preserve">debit_tax_h</t>
  </si>
  <si>
    <t xml:space="preserve">DERIVED: amount_&lt;h&gt; tax component (igstbal.tx etc.) on rows where txn_type = 'Debit'.</t>
  </si>
  <si>
    <t xml:space="preserve">debit_h</t>
  </si>
  <si>
    <t xml:space="preserve">DERIVED: credit_&lt;h&gt; (PMT-02 col 7 amount) on rows where txn_type = 'Debit', per credit head x (igst/cgst/sgst/cess).</t>
  </si>
  <si>
    <t xml:space="preserve">debit_interest_h</t>
  </si>
  <si>
    <t xml:space="preserve">DERIVED: amount_&lt;h&gt; interest component (intr) on rows where txn_type = 'Debit'.</t>
  </si>
  <si>
    <t xml:space="preserve">debit_fee_h</t>
  </si>
  <si>
    <t xml:space="preserve">DERIVED: amount_&lt;h&gt; fee component (fee) on rows where txn_type = 'Debit'.</t>
  </si>
  <si>
    <t xml:space="preserve">liability_created_h</t>
  </si>
  <si>
    <t xml:space="preserve">DERIVED: amount_&lt;h&gt; on rows where txn_type = 'Debit' (Payable, liability created) in ledger_part 'I'.</t>
  </si>
  <si>
    <t xml:space="preserve">DERIVED: Indian financial year (1 Apr - 31 Mar) containing period_end, format 'YYYY-YY' e.g. '2025-26'</t>
  </si>
  <si>
    <t xml:space="preserve">turnover_gstin</t>
  </si>
  <si>
    <t xml:space="preserve">DERIVED: Turnover per audited FS attributable to the GSTIN: Σ TB closing_balance of revenue ledgers tagged with gstin_branch; equals revenue_from_operations for single-GSTIN entities.</t>
  </si>
  <si>
    <t xml:space="preserve">total_turnover</t>
  </si>
  <si>
    <t xml:space="preserve">DERIVED: t4n + t5n + t10 - t11 (formula stated in RC-GST-026, = GSTR-9C 5Q basis).</t>
  </si>
  <si>
    <t xml:space="preserve">taxable_turnover_by_rate</t>
  </si>
  <si>
    <t xml:space="preserve">DERIVED: Σ closing_balance of sales ledgers grouped by the GST rate mapped to each ledger (ledger mapping configurable).</t>
  </si>
  <si>
    <t xml:space="preserve">DERIVED: Indian financial year (1 Apr - 31 Mar) containing period_to, format 'YYYY-YY' e.g. '2025-26'</t>
  </si>
  <si>
    <t xml:space="preserve">itc_booked_h</t>
  </si>
  <si>
    <t xml:space="preserve">DERIVED: debit_total of input-GST ledger head h for the FY (ledger mapping configurable).</t>
  </si>
  <si>
    <t xml:space="preserve">DERIVED: tax period of period_to, format MMYYYY e.g. '092026' (monthly TB).</t>
  </si>
  <si>
    <t xml:space="preserve">output_credit_h</t>
  </si>
  <si>
    <t xml:space="preserve">DERIVED: credit_total - debit_total (credit-note debits) of output-GST ledger head h in the month (ledger mapping configurable).</t>
  </si>
  <si>
    <t xml:space="preserve">rcm_payable_credit_h</t>
  </si>
  <si>
    <t xml:space="preserve">DERIVED: credit_total of RCM-payable ledger head h in the month (ledger mapping configurable).</t>
  </si>
  <si>
    <t xml:space="preserve">input_debit_h</t>
  </si>
  <si>
    <t xml:space="preserve">DERIVED: debit_total of input-GST ledger head h in the month (ledger mapping configurable).</t>
  </si>
  <si>
    <t xml:space="preserve">itc_reversal_h</t>
  </si>
  <si>
    <t xml:space="preserve">DERIVED: Σ GL credit on input-GST ledger head h in reversal journals (tagged) in the month (ledger mapping configurable).</t>
  </si>
  <si>
    <t xml:space="preserve">setoff_entries_h</t>
  </si>
  <si>
    <t xml:space="preserve">DERIVED: Σ GL debit on output-GST ledger head h in set-off journals crediting input-GST ledgers (ledger mapping configurable).</t>
  </si>
  <si>
    <t xml:space="preserve">cash_paid_h</t>
  </si>
  <si>
    <t xml:space="preserve">DERIVED: Σ GL debit on output-GST ledger head h in vouchers crediting the electronic-cash-ledger / bank ledger (ledger mapping configurable).</t>
  </si>
  <si>
    <t xml:space="preserve">closing_output_h</t>
  </si>
  <si>
    <t xml:space="preserve">DERIVED: closing_balance of output-GST ledger head h after set-off (ledger mapping configurable).</t>
  </si>
  <si>
    <t xml:space="preserve">enum INTRB2B|INTRB2C|INTRAB2B|INTRAB2C</t>
  </si>
  <si>
    <t xml:space="preserve">DERIVED: supply_type (INTER-&gt;INTR, INTRA-&gt;INTRA) combined with b2b_or_b2c, matching GSTR1 nil_supply_type codes.</t>
  </si>
  <si>
    <t xml:space="preserve">nil_value</t>
  </si>
  <si>
    <t xml:space="preserve">DERIVED: Σ taxable_value where supply_class = 'NIL'.</t>
  </si>
  <si>
    <t xml:space="preserve">exempt_value</t>
  </si>
  <si>
    <t xml:space="preserve">DERIVED: Σ taxable_value where supply_class = 'EXEMPT'.</t>
  </si>
  <si>
    <t xml:space="preserve">non_gst_value</t>
  </si>
  <si>
    <t xml:space="preserve">DERIVED: Σ taxable_value (or invoice_value) where supply_class = 'NON_GST'.</t>
  </si>
  <si>
    <t xml:space="preserve">cn_tax</t>
  </si>
  <si>
    <t xml:space="preserve">DERIVED: igst_amount + cgst_amount + sgst_amount + cess_amount where ims_category in ('B2BCN','B2BCNA').</t>
  </si>
  <si>
    <t xml:space="preserve">itc_on_original</t>
  </si>
  <si>
    <t xml:space="preserve">DERIVED: itc_claimed of the original invoice referenced by the note (original_invoice_no, same party_gstin).</t>
  </si>
  <si>
    <t xml:space="preserve">invoice_fy</t>
  </si>
  <si>
    <t xml:space="preserve">time_of_supply</t>
  </si>
  <si>
    <t xml:space="preserve">DERIVED: voucher_date as default proxy; override with a time-of-supply date field where the client records one.</t>
  </si>
  <si>
    <t xml:space="preserve">DERIVED: cess / taxable_value * 100 on the item row (ad valorem cess only; specific-rate cess cannot be derived).</t>
  </si>
  <si>
    <t xml:space="preserve">payment_base</t>
  </si>
  <si>
    <t xml:space="preserve">DERIVED: Taxable value (income credit excl. GST) of the invoice(s) referenced by bill_ref on which the government deductor paid.</t>
  </si>
  <si>
    <t xml:space="preserve">tds_h</t>
  </si>
  <si>
    <t xml:space="preserve">DERIVED: Per head: tds_igst / tds_cgst / tds_sgst.</t>
  </si>
  <si>
    <t xml:space="preserve">tds_receivable_h</t>
  </si>
  <si>
    <t xml:space="preserve">DERIVED: Σ debit - credit on GST-TDS receivable ledgers per head (IGST/CGST/SGST).</t>
  </si>
  <si>
    <t xml:space="preserve">tds_credit_h</t>
  </si>
  <si>
    <t xml:space="preserve">DERIVED: amount_&lt;h&gt; on rows where txn_type = 'Credit' and description indicates TDS/TCS credit accepted (pattern configurable).</t>
  </si>
  <si>
    <t xml:space="preserve">period</t>
  </si>
  <si>
    <t xml:space="preserve">DERIVED: tax period of voucher_date, format MMYYYY e.g. '092026'</t>
  </si>
  <si>
    <t xml:space="preserve">supplier_state_code</t>
  </si>
  <si>
    <t xml:space="preserve">string(2)</t>
  </si>
  <si>
    <t xml:space="preserve">DERIVED: First two characters of supplier_gstin (state code), per the rule text "(supplier GSTIN state)".</t>
  </si>
  <si>
    <t xml:space="preserve">eco_net_taxable</t>
  </si>
  <si>
    <t xml:space="preserve">DERIVED: Σ taxable_value of invoices with non-blank ecom_gstin minus Σ taxable_value of credit notes on such sales, per ecom_gstin and period.</t>
  </si>
  <si>
    <t xml:space="preserve">tcs_h</t>
  </si>
  <si>
    <t xml:space="preserve">DERIVED: Per head: tcs_igst / tcs_cgst / tcs_sgst.</t>
  </si>
  <si>
    <t xml:space="preserve">DERIVED: PARTY_MASTER.state_code of the customer on the advance receipt voucher (default POS proxy).</t>
  </si>
  <si>
    <t xml:space="preserve">decimal(5,2)</t>
  </si>
  <si>
    <t xml:space="preserve">DERIVED: Output-GST credited / advance amount excl. tax on the receipt voucher, rounded to the nearest configured GST rate.</t>
  </si>
  <si>
    <t xml:space="preserve">DERIVED: Period of voucher_date - MMYYYY or yyyy-mm per counterpart (see context_dependent).</t>
  </si>
  <si>
    <t xml:space="preserve">advance_received_excl_tax</t>
  </si>
  <si>
    <t xml:space="preserve">DERIVED: Σ credit on ledgers mapped to 'customer advance' in period, less output GST credited in the same receipt vouchers.</t>
  </si>
  <si>
    <t xml:space="preserve">tax_on_advance_h</t>
  </si>
  <si>
    <t xml:space="preserve">DERIVED: Σ credit on output-GST ledger head h in receipt vouchers posted to 'customer advance' ledgers.</t>
  </si>
  <si>
    <t xml:space="preserve">advance_adjusted</t>
  </si>
  <si>
    <t xml:space="preserve">DERIVED: Σ debit on 'customer advance' ledgers in vouchers adjusting the advance against sales invoices, excl. GST.</t>
  </si>
  <si>
    <t xml:space="preserve">DERIVED: FY quarter of voucher_date (Q1 Apr-Jun, Q2 Jul-Sep, Q3 Oct-Dec, Q4 Jan-Mar), with fy.</t>
  </si>
  <si>
    <t xml:space="preserve">turnover_q</t>
  </si>
  <si>
    <t xml:space="preserve">DERIVED: Σ taxable_value of outward supply rows (net of credit notes) in the FY quarter.</t>
  </si>
  <si>
    <t xml:space="preserve">outward_tax_h</t>
  </si>
  <si>
    <t xml:space="preserve">DERIVED: Per head: outward_igst / outward_cgst / outward_sgst / outward_cess.</t>
  </si>
  <si>
    <t xml:space="preserve">rcm_tax_q</t>
  </si>
  <si>
    <t xml:space="preserve">DERIVED: Σ igst + cgst + sgst_utgst + cess where reverse_charge = 'Y' in the FY quarter.</t>
  </si>
  <si>
    <t xml:space="preserve">inward_totals</t>
  </si>
  <si>
    <t xml:space="preserve">DERIVED: Σ in_taxable_value and Σ in_igst/in_cgst/in_sgst/in_cess over Table 4 rows, grouped by in_section (4A-4D) for the FY.</t>
  </si>
  <si>
    <t xml:space="preserve">fy_turnover</t>
  </si>
  <si>
    <t xml:space="preserve">DERIVED: Σ taxable_value of all outward supply rows incl. NIL/EXEMPT/NON_GST/ZERO_RATED supply_class, net of credit notes, for the FY.</t>
  </si>
  <si>
    <t xml:space="preserve">deduction_date</t>
  </si>
  <si>
    <t xml:space="preserve">DERIVED: voucher_date of the voucher in which tds_amount is credited to tds_ledger (equals credit date when TDS is booked with the expense).</t>
  </si>
  <si>
    <t xml:space="preserve">party_id</t>
  </si>
  <si>
    <t xml:space="preserve">DERIVED: ledger_name of the voucher line whose ledger_group is Sundry Debtors / Sundry Creditors (party ledger), joined to PARTY_MASTER.party_name.</t>
  </si>
  <si>
    <t xml:space="preserve">base_amount</t>
  </si>
  <si>
    <t xml:space="preserve">DERIVED: debit on expense-ledger line of the voucher, excluding GST ledger lines, per party (party_id/party_pan).</t>
  </si>
  <si>
    <t xml:space="preserve">string(20)</t>
  </si>
  <si>
    <t xml:space="preserve">DERIVED: bsr_code (7) + challan_date as ddmmyyyy (8) + challan_serial_no zero-padded to 5.</t>
  </si>
  <si>
    <t xml:space="preserve">first_credit_date</t>
  </si>
  <si>
    <t xml:space="preserve">DERIVED: Min voucher_date on which the party ledger was credited for the expense (bill_ref / voucher).</t>
  </si>
  <si>
    <t xml:space="preserve">total_default</t>
  </si>
  <si>
    <t xml:space="preserve">DERIVED: Σ default_amount over all rows of the justification report (before amount_paid_against_default; net_payable is the after-payment figure).</t>
  </si>
  <si>
    <t xml:space="preserve">pay_month</t>
  </si>
  <si>
    <t xml:space="preserve">string 'yyyy-mm'</t>
  </si>
  <si>
    <t xml:space="preserve">DERIVED: calendar month of payment_date, format 'yyyy-mm'; fallback wage_month when payment_date blank.</t>
  </si>
  <si>
    <t xml:space="preserve">annual_gross</t>
  </si>
  <si>
    <t xml:space="preserve">DERIVED: Σ gross_earnings over wage_month in the FY for the employee (pan).</t>
  </si>
  <si>
    <t xml:space="preserve">income_booked</t>
  </si>
  <si>
    <t xml:space="preserve">DERIVED: Σ credit - debit on income ledgers for the party, excluding GST ledger lines.</t>
  </si>
  <si>
    <t xml:space="preserve">income_booked_incl_gst</t>
  </si>
  <si>
    <t xml:space="preserve">DERIVED: income_booked + output-GST ledger credits in the same vouchers.</t>
  </si>
  <si>
    <t xml:space="preserve">tds_receivable</t>
  </si>
  <si>
    <t xml:space="preserve">DERIVED: Σ debit - credit on TDS-receivable ledger rows grouped by tds_receivable_deductor_tan (and tds_section) for the FY.</t>
  </si>
  <si>
    <t xml:space="preserve">DERIVED: BANK_BOOK.account_no where BANK_BOOK.bank_ledger = GL.ledger_name.</t>
  </si>
  <si>
    <t xml:space="preserve">DERIVED: debit - credit of the GL line (signed; use abs() when matching gross amounts).</t>
  </si>
  <si>
    <t xml:space="preserve">interest_reported</t>
  </si>
  <si>
    <t xml:space="preserve">DERIVED: Σ reported_value for information_code values mapped to interest income in the configurable AIS-code map.</t>
  </si>
  <si>
    <t xml:space="preserve">property_value_reported</t>
  </si>
  <si>
    <t xml:space="preserve">DERIVED: Σ reported_value for information_code values mapped to immovable-property transactions in the configurable AIS-code map.</t>
  </si>
  <si>
    <t xml:space="preserve">fixed_asset</t>
  </si>
  <si>
    <t xml:space="preserve">DERIVED: Σ debit on fixed-asset ledgers mapped to immovable property (FY).</t>
  </si>
  <si>
    <t xml:space="preserve">itr_field_path</t>
  </si>
  <si>
    <t xml:space="preserve">DERIVED: ITR JSON field path selected by the configurable TIS-category -&gt; ITR-field mapping table (lookup on TIS.information_category).</t>
  </si>
  <si>
    <t xml:space="preserve">itr_mapped_value</t>
  </si>
  <si>
    <t xml:space="preserve">DERIVED: Value of the ITR field at itr_field_path.</t>
  </si>
  <si>
    <t xml:space="preserve">tcs_receivable</t>
  </si>
  <si>
    <t xml:space="preserve">DERIVED: Σ debit - credit on TCS-receivable ledgers per party (FY).</t>
  </si>
  <si>
    <t xml:space="preserve">DERIVED: Entity PAN: FS.entity_pan, or gstin_branch[2:12].</t>
  </si>
  <si>
    <t xml:space="preserve">DERIVED: Characters 3-12 of gstin (gstin[2:12]); used to aggregate all GSTINs of one PAN.</t>
  </si>
  <si>
    <t xml:space="preserve">DERIVED: Indian financial year (1 Apr - 31 Mar) containing return_period (MMYYYY), format 'YYYY-YY' e.g. '2025-26'</t>
  </si>
  <si>
    <t xml:space="preserve">DERIVED: Σ closing_balance of ledgers whose fs_head = revenue from operations (ledger mapping configurable).</t>
  </si>
  <si>
    <t xml:space="preserve">taxable_value_total</t>
  </si>
  <si>
    <t xml:space="preserve">DERIVED: t31a_txval + t31b_txval + t31c_txval + t31e_txval (as specified in RC-IT-007).</t>
  </si>
  <si>
    <t xml:space="preserve">form_quarter</t>
  </si>
  <si>
    <t xml:space="preserve">DERIVED: form_no + '|' + quarter (e.g. '26Q|Q2').</t>
  </si>
  <si>
    <t xml:space="preserve">cl21 line items</t>
  </si>
  <si>
    <t xml:space="preserve">DERIVED: Line-item key of clause 21 rows.</t>
  </si>
  <si>
    <t xml:space="preserve">paid_by_s15_due_date</t>
  </si>
  <si>
    <t xml:space="preserve">DERIVED: Σ allocation amounts for the bill_ref with voucher_date &lt;= MSMED s.15 due date computed by the rule engine from CREDITORS_AGEING.acceptance_date / bill_date and agreed_credit_days.</t>
  </si>
  <si>
    <t xml:space="preserve">reference</t>
  </si>
  <si>
    <t xml:space="preserve">DERIVED: coalesce(utr, cheque_ref_no, reference parsed from description (CRN/TRRN regex)).</t>
  </si>
  <si>
    <t xml:space="preserve">ac01_total</t>
  </si>
  <si>
    <t xml:space="preserve">DERIVED: ac01_employer + ac01_employee.</t>
  </si>
  <si>
    <t xml:space="preserve">DERIVED: calendar month of period_from, format 'yyyy-mm' (for monthly returns; for longer periods the range period_from..period_to).</t>
  </si>
  <si>
    <t xml:space="preserve">salary_expense</t>
  </si>
  <si>
    <t xml:space="preserve">DERIVED: Σ debit - credit on ledgers mapped to payroll component 'salary expense' in period.</t>
  </si>
  <si>
    <t xml:space="preserve">pf_payable_credit</t>
  </si>
  <si>
    <t xml:space="preserve">DERIVED: Σ credit on ledgers mapped to 'PF payable' in period.</t>
  </si>
  <si>
    <t xml:space="preserve">esi_payable_credit</t>
  </si>
  <si>
    <t xml:space="preserve">DERIVED: Σ credit on ledgers mapped to 'ESI payable' in period.</t>
  </si>
  <si>
    <t xml:space="preserve">pt_payable</t>
  </si>
  <si>
    <t xml:space="preserve">DERIVED: Σ credit on ledgers mapped to 'PT payable' in period.</t>
  </si>
  <si>
    <t xml:space="preserve">tds_salary_payable</t>
  </si>
  <si>
    <t xml:space="preserve">DERIVED: Σ credit on ledgers mapped to 'TDS on salary payable' in period.</t>
  </si>
  <si>
    <t xml:space="preserve">net_salary_payable</t>
  </si>
  <si>
    <t xml:space="preserve">DERIVED: Σ credit on ledgers mapped to 'salary payable' in period.</t>
  </si>
  <si>
    <t xml:space="preserve">gratuity_provision</t>
  </si>
  <si>
    <t xml:space="preserve">DERIVED: closing_balance of ledger mapped to 'provision for gratuity' (ledger mapping configurable).</t>
  </si>
  <si>
    <t xml:space="preserve">bonus_provision</t>
  </si>
  <si>
    <t xml:space="preserve">DERIVED: closing_balance of ledger mapped to 'provision for bonus' (ledger mapping configurable).</t>
  </si>
  <si>
    <t xml:space="preserve">DERIVED: instrument_no where transaction_type = 'e-Fund Transfer'; else UTR parsed from narration (regex).</t>
  </si>
  <si>
    <t xml:space="preserve">DERIVED: credit - debit (positive = money into bank).</t>
  </si>
  <si>
    <t xml:space="preserve">DERIVED: debit - credit (positive = money into bank, matching BANK_STMT.amount sign).</t>
  </si>
  <si>
    <t xml:space="preserve">DERIVED: TB opening_balance of bank_ledger + Σ(debit - credit) up to the date.</t>
  </si>
  <si>
    <t xml:space="preserve">charges</t>
  </si>
  <si>
    <t xml:space="preserve">DERIVED: debit where txn_mode = 'CHARGES'.</t>
  </si>
  <si>
    <t xml:space="preserve">bank_charges</t>
  </si>
  <si>
    <t xml:space="preserve">DERIVED: Σ debit on ledgers mapped to 'bank charges'.</t>
  </si>
  <si>
    <t xml:space="preserve">gst_input_on_charges</t>
  </si>
  <si>
    <t xml:space="preserve">DERIVED: Σ debit on input-GST ledgers in vouchers that also debit a bank-charges ledger.</t>
  </si>
  <si>
    <t xml:space="preserve">total_tax</t>
  </si>
  <si>
    <t xml:space="preserve">DERIVED: igst_amount + cgst_amount + sgst_amount + cess_amount of the document (RC-BNK-002: summed for docs where supplier_gstin = bank GSTIN, per return_period).</t>
  </si>
  <si>
    <t xml:space="preserve">bank_tan</t>
  </si>
  <si>
    <t xml:space="preserve">string TAN</t>
  </si>
  <si>
    <t xml:space="preserve">DERIVED: PARTY_MASTER.tan of the party record for the bank (bank_name / account_no).</t>
  </si>
  <si>
    <t xml:space="preserve">interest_month</t>
  </si>
  <si>
    <t xml:space="preserve">DERIVED: calendar month of txn_date of rows with txn_mode = 'INTEREST', format 'yyyy-mm'</t>
  </si>
  <si>
    <t xml:space="preserve">voucher_month</t>
  </si>
  <si>
    <t xml:space="preserve">DERIVED: calendar month of voucher_date, format 'yyyy-mm'</t>
  </si>
  <si>
    <t xml:space="preserve">interest_credit</t>
  </si>
  <si>
    <t xml:space="preserve">DERIVED: credit where txn_mode = 'INTEREST'.</t>
  </si>
  <si>
    <t xml:space="preserve">interest_income</t>
  </si>
  <si>
    <t xml:space="preserve">DERIVED: Σ credit on ledgers mapped to 'bank interest income' (per bank, per voucher_month).</t>
  </si>
  <si>
    <t xml:space="preserve">tds_debits</t>
  </si>
  <si>
    <t xml:space="preserve">DERIVED: debit on rows whose description matches the configured TDS-on-interest pattern.</t>
  </si>
  <si>
    <t xml:space="preserve">tds_receivable_194</t>
  </si>
  <si>
    <t xml:space="preserve">DERIVED: Σ debit - credit on TDS-receivable ledger lines with tds_section = '194N' (rule token tds_receivable_194N).</t>
  </si>
  <si>
    <t xml:space="preserve">cash_deposit_date</t>
  </si>
  <si>
    <t xml:space="preserve">DERIVED: txn_date of rows with txn_mode = 'CASH' and credit &gt; 0.</t>
  </si>
  <si>
    <t xml:space="preserve">cash_contra_date</t>
  </si>
  <si>
    <t xml:space="preserve">DERIVED: voucher_date of 'Contra' vouchers on the cash ledger.</t>
  </si>
  <si>
    <t xml:space="preserve">cash_deposits</t>
  </si>
  <si>
    <t xml:space="preserve">DERIVED: Σ credit where txn_mode = 'CASH' over the FY (per account_no).</t>
  </si>
  <si>
    <t xml:space="preserve">cash_deposit</t>
  </si>
  <si>
    <t xml:space="preserve">DERIVED: credit where txn_mode = 'CASH'.</t>
  </si>
  <si>
    <t xml:space="preserve">cash_book_contra_credit</t>
  </si>
  <si>
    <t xml:space="preserve">DERIVED: Σ credit on the cash ledger in voucher_type 'Contra' (cash deposited into bank).</t>
  </si>
  <si>
    <t xml:space="preserve">cash_balance_before_deposit</t>
  </si>
  <si>
    <t xml:space="preserve">DERIVED: Running balance of the cash ledger immediately before the contra deposit voucher.</t>
  </si>
  <si>
    <t xml:space="preserve">subtotals</t>
  </si>
  <si>
    <t xml:space="preserve">DERIVED: current_year of rows that are parents in the configured Schedule III line hierarchy.</t>
  </si>
  <si>
    <t xml:space="preserve">balance_sheet_total_assets</t>
  </si>
  <si>
    <t xml:space="preserve">DERIVED: current_year of the row with statement = 'BS' and the configured total-assets line_item_code.</t>
  </si>
  <si>
    <t xml:space="preserve">sundry_debtors_total</t>
  </si>
  <si>
    <t xml:space="preserve">DERIVED: Σ closing_balance where ledger_group = 'Sundry Debtors' (ledger mapping configurable).</t>
  </si>
  <si>
    <t xml:space="preserve">sundry_creditors_total</t>
  </si>
  <si>
    <t xml:space="preserve">DERIVED: Σ closing_balance where ledger_group = 'Sundry Creditors' (ledger mapping configurable).</t>
  </si>
  <si>
    <t xml:space="preserve">party_balance_at_date</t>
  </si>
  <si>
    <t xml:space="preserve">DERIVED: Running Σ(debit - credit) of the party ledger up to the confirmation date, plus TB opening_balance of that ledger.</t>
  </si>
  <si>
    <t xml:space="preserve">gross_block_closing</t>
  </si>
  <si>
    <t xml:space="preserve">DERIVED: Σ cost where disposal_date is blank or after FY end, per asset_class.</t>
  </si>
  <si>
    <t xml:space="preserve">asset_ledger_closing</t>
  </si>
  <si>
    <t xml:space="preserve">DERIVED: closing_balance of fixed-asset ledgers mapped to the asset class (ledger mapping configurable).</t>
  </si>
  <si>
    <t xml:space="preserve">accum_dep_closing</t>
  </si>
  <si>
    <t xml:space="preserve">DERIVED: Σ (cost - closing_wdv_book) for assets held at FY end, per asset_class.</t>
  </si>
  <si>
    <t xml:space="preserve">accum_dep_ledger</t>
  </si>
  <si>
    <t xml:space="preserve">DERIVED: closing_balance of accumulated-depreciation ledgers mapped to the asset class (ledger mapping configurable).</t>
  </si>
  <si>
    <t xml:space="preserve">depreciation_expense</t>
  </si>
  <si>
    <t xml:space="preserve">DERIVED: Σ debit - credit on depreciation-expense ledgers mapped to the asset class (FY).</t>
  </si>
  <si>
    <t xml:space="preserve">additions</t>
  </si>
  <si>
    <t xml:space="preserve">DERIVED: Σ cost where purchase_date within the FY, per asset_class.</t>
  </si>
  <si>
    <t xml:space="preserve">capex_debits</t>
  </si>
  <si>
    <t xml:space="preserve">DERIVED: Σ debit on fixed-asset ledgers mapped to the asset class (FY).</t>
  </si>
  <si>
    <t xml:space="preserve">disposals</t>
  </si>
  <si>
    <t xml:space="preserve">DERIVED: Σ cost where disposal_date within the FY, per asset_class (gross cost removed).</t>
  </si>
  <si>
    <t xml:space="preserve">asset_credits</t>
  </si>
  <si>
    <t xml:space="preserve">DERIVED: Σ credit on fixed-asset ledgers mapped to the asset class (FY).</t>
  </si>
  <si>
    <t xml:space="preserve">inventory_class</t>
  </si>
  <si>
    <t xml:space="preserve">enum RM|WIP|FG</t>
  </si>
  <si>
    <t xml:space="preserve">DERIVED: Unpivot of inventory_rm / inventory_wip / inventory_fg columns.</t>
  </si>
  <si>
    <t xml:space="preserve">quarter_end</t>
  </si>
  <si>
    <t xml:space="preserve">DERIVED: Quarter-end date (30-Jun, 30-Sep, 31-Dec, 31-Mar) at which ledger balances are taken.</t>
  </si>
  <si>
    <t xml:space="preserve">inventory_value</t>
  </si>
  <si>
    <t xml:space="preserve">DERIVED: Σ closing balance of stock-in-hand ledgers at quarter_end.</t>
  </si>
  <si>
    <t xml:space="preserve">DERIVED: inventory_&lt;class&gt; for the unpivoted class; inventory_total when compared in aggregate.</t>
  </si>
  <si>
    <t xml:space="preserve">debtors</t>
  </si>
  <si>
    <t xml:space="preserve">DERIVED: Σ closing balance of ledger_group Sundry Debtors at quarter_end.</t>
  </si>
  <si>
    <t xml:space="preserve">creditors</t>
  </si>
  <si>
    <t xml:space="preserve">DERIVED: Σ closing balance of ledger_group Sundry Creditors at quarter_end.</t>
  </si>
  <si>
    <t xml:space="preserve">msme_note_items</t>
  </si>
  <si>
    <t xml:space="preserve">DERIVED: Tuple (msme_dues_principal, msme_dues_interest) plus other MSMED s.22 disclosure items (not catalogued).</t>
  </si>
  <si>
    <t xml:space="preserve">contra vouchers on cash ledger</t>
  </si>
  <si>
    <t xml:space="preserve">DERIVED: GL lines with voucher_type 'Contra' on the cash ledger.</t>
  </si>
  <si>
    <t xml:space="preserve">cash_closing_balance</t>
  </si>
  <si>
    <t xml:space="preserve">DERIVED: End-of-day running balance of the cash ledger (TB opening_balance + Σ(debit - credit) up to the day).</t>
  </si>
  <si>
    <t xml:space="preserve">contra_withdrawal</t>
  </si>
  <si>
    <t xml:space="preserve">DERIVED: Σ debit on the cash ledger in voucher_type 'Contra' (cash withdrawn from bank).</t>
  </si>
  <si>
    <t xml:space="preserve">cash_withdrawal</t>
  </si>
  <si>
    <t xml:space="preserve">DERIVED: debit where txn_mode in ('CASH','ATM').</t>
  </si>
  <si>
    <t xml:space="preserve">contra_deposit</t>
  </si>
  <si>
    <t xml:space="preserve">Field map – how rule references resolve to canonical fields</t>
  </si>
  <si>
    <t xml:space="preserve">Match keys and compare fields on the Recon sheets are already rewritten to canonical names using this map; pseudocode may still use the short names in column B.</t>
  </si>
  <si>
    <t xml:space="preserve">Field as referenced in rule research</t>
  </si>
  <si>
    <t xml:space="preserve">Canonical field</t>
  </si>
  <si>
    <t xml:space="preserve">Kind</t>
  </si>
  <si>
    <t xml:space="preserve">Definition / derivation</t>
  </si>
  <si>
    <t xml:space="preserve">Confidence</t>
  </si>
  <si>
    <t xml:space="preserve">Note</t>
  </si>
  <si>
    <t xml:space="preserve">Catalogue field SALES_REG.party_gstin (Voucher).</t>
  </si>
  <si>
    <t xml:space="preserve">RC-GST-001, RC-GST-006, RC-GST-010</t>
  </si>
  <si>
    <t xml:space="preserve">high</t>
  </si>
  <si>
    <t xml:space="preserve">ctin</t>
  </si>
  <si>
    <t xml:space="preserve">Catalogue field GSTR1.b2b_recipient_gstin (Table 4A/4B/6B/6C; b2b[].ctin).</t>
  </si>
  <si>
    <t xml:space="preserve">RC-GST-001, RC-GST-008</t>
  </si>
  <si>
    <t xml:space="preserve">Raw key b2b[].ctin. Same raw key also exists in cdnr[] (cdnr_recipient_gstin) - see context_dependent for RC-GST-008.</t>
  </si>
  <si>
    <t xml:space="preserve">Catalogue field SALES_REG.voucher_no (Voucher).</t>
  </si>
  <si>
    <t xml:space="preserve">RC-GST-001, RC-GST-002, RC-GST-004, RC-GST-006, RC-GST-008, RC-GST-009, RC-GST-010, RC-GST-034</t>
  </si>
  <si>
    <t xml:space="preserve">Catalogue: voucher_no is the key to GSTR1/EINV.</t>
  </si>
  <si>
    <t xml:space="preserve">inum</t>
  </si>
  <si>
    <t xml:space="preserve">Catalogue field GSTR1.b2b_invoice_no (b2b[].inv[].inum).</t>
  </si>
  <si>
    <t xml:space="preserve">RC-GST-001, RC-GST-008, RC-GST-034</t>
  </si>
  <si>
    <t xml:space="preserve">Raw key inum exists in b2b/b2cl/exp sections (and nt_num for notes); section chosen per rule - see context_dependent.</t>
  </si>
  <si>
    <t xml:space="preserve">Indian financial year (1 Apr - 31 Mar) containing voucher_date, format 'YYYY-YY' e.g. '2025-26'</t>
  </si>
  <si>
    <t xml:space="preserve">RC-GST-001, RC-GST-004, RC-GST-009</t>
  </si>
  <si>
    <t xml:space="preserve">idt</t>
  </si>
  <si>
    <t xml:space="preserve">Catalogue field GSTR1.b2b_invoice_date (b2b[].inv[].idt).</t>
  </si>
  <si>
    <t xml:space="preserve">RC-GST-001, RC-GST-002, RC-GST-008</t>
  </si>
  <si>
    <t xml:space="preserve">Raw key idt exists in b2b/b2cl/exp; per-rule section in context_dependent.</t>
  </si>
  <si>
    <t xml:space="preserve">Catalogue field SALES_REG.voucher_date (Voucher).</t>
  </si>
  <si>
    <t xml:space="preserve">RC-GST-001, RC-GST-002, RC-GST-009, RC-GST-010, RC-TDS-012</t>
  </si>
  <si>
    <t xml:space="preserve">RC-TDS-012 - see context_dependent.</t>
  </si>
  <si>
    <t xml:space="preserve">Catalogue field SALES_REG.invoice_value (Amount).</t>
  </si>
  <si>
    <t xml:space="preserve">RC-GST-001, RC-GST-002, RC-GST-010</t>
  </si>
  <si>
    <t xml:space="preserve">val</t>
  </si>
  <si>
    <t xml:space="preserve">Catalogue field GSTR1.b2b_invoice_value (b2b[].inv[].val).</t>
  </si>
  <si>
    <t xml:space="preserve">RC-GST-001, RC-GST-002, RC-GST-005, RC-GST-008</t>
  </si>
  <si>
    <t xml:space="preserve">Raw key val exists in b2b/b2cl/exp/cdnr; per-rule section in context_dependent.</t>
  </si>
  <si>
    <t xml:space="preserve">Catalogue field SALES_REG.taxable_value (Amount).</t>
  </si>
  <si>
    <t xml:space="preserve">RC-GST-001, RC-GST-002, RC-GST-005, RC-GST-010</t>
  </si>
  <si>
    <t xml:space="preserve">txval</t>
  </si>
  <si>
    <t xml:space="preserve">Catalogue field GSTR1.b2b_taxable_value (b2b[].inv[].itms[].itm_det.txval).</t>
  </si>
  <si>
    <t xml:space="preserve">RC-GST-001, RC-GST-002, RC-GST-003, RC-GST-004, RC-GST-005, RC-GST-008</t>
  </si>
  <si>
    <t xml:space="preserve">Raw key txval exists in every section; per-rule section in context_dependent.</t>
  </si>
  <si>
    <t xml:space="preserve">Catalogue field SALES_REG.igst (Tax).</t>
  </si>
  <si>
    <t xml:space="preserve">RC-GST-001, RC-GST-002, RC-GST-004, RC-GST-005, RC-GST-010, RC-GST-034</t>
  </si>
  <si>
    <t xml:space="preserve">iamt</t>
  </si>
  <si>
    <t xml:space="preserve">Catalogue field GSTR1.b2b_igst (b2b[].inv[].itms[].itm_det.iamt).</t>
  </si>
  <si>
    <t xml:space="preserve">RC-GST-001, RC-GST-002, RC-GST-003, RC-GST-004, RC-GST-005</t>
  </si>
  <si>
    <t xml:space="preserve">Raw key iamt; per-rule section in context_dependent.</t>
  </si>
  <si>
    <t xml:space="preserve">Catalogue field SALES_REG.cgst (Tax).</t>
  </si>
  <si>
    <t xml:space="preserve">camt</t>
  </si>
  <si>
    <t xml:space="preserve">Catalogue field GSTR1.b2b_cgst (b2b[].inv[].itms[].itm_det.camt).</t>
  </si>
  <si>
    <t xml:space="preserve">RC-GST-001, RC-GST-003, RC-GST-005</t>
  </si>
  <si>
    <t xml:space="preserve">Raw key camt; per-rule section in context_dependent.</t>
  </si>
  <si>
    <t xml:space="preserve">Catalogue field SALES_REG.sgst_utgst (Tax).</t>
  </si>
  <si>
    <t xml:space="preserve">samt</t>
  </si>
  <si>
    <t xml:space="preserve">Catalogue field GSTR1.b2b_sgst (b2b[].inv[].itms[].itm_det.samt).</t>
  </si>
  <si>
    <t xml:space="preserve">Raw key samt (SGST/UTGST); per-rule section in context_dependent.</t>
  </si>
  <si>
    <t xml:space="preserve">Catalogue field SALES_REG.cess (Tax).</t>
  </si>
  <si>
    <t xml:space="preserve">csamt</t>
  </si>
  <si>
    <t xml:space="preserve">Catalogue field GSTR1.b2b_cess (b2b[].inv[].itms[].itm_det.csamt).</t>
  </si>
  <si>
    <t xml:space="preserve">RC-GST-001, RC-GST-003</t>
  </si>
  <si>
    <t xml:space="preserve">Raw key csamt; per-rule section in context_dependent.</t>
  </si>
  <si>
    <t xml:space="preserve">new</t>
  </si>
  <si>
    <t xml:space="preserve">RC-GST-001, RC-GST-002, RC-GST-003, RC-GST-005, RC-GST-034, RC-GST-036</t>
  </si>
  <si>
    <t xml:space="preserve">party_state is the buyer state, which is not always the POS.</t>
  </si>
  <si>
    <t xml:space="preserve">Catalogue field GSTR1.b2b_pos (b2b[].inv[].pos).</t>
  </si>
  <si>
    <t xml:space="preserve">RC-GST-001, RC-GST-002, RC-GST-005, RC-GST-034</t>
  </si>
  <si>
    <t xml:space="preserve">Raw key pos; per-rule section in context_dependent.</t>
  </si>
  <si>
    <t xml:space="preserve">rcm_flag</t>
  </si>
  <si>
    <t xml:space="preserve">Catalogue field SALES_REG.reverse_charge (Tax).</t>
  </si>
  <si>
    <t xml:space="preserve">rchrg</t>
  </si>
  <si>
    <t xml:space="preserve">Catalogue field GSTR1.b2b_reverse_charge (b2b[].inv[].rchrg).</t>
  </si>
  <si>
    <t xml:space="preserve">Catalogue field SALES_REG.gst_rate (Tax).</t>
  </si>
  <si>
    <t xml:space="preserve">RC-GST-001, RC-GST-003, RC-GST-011, RC-GST-033</t>
  </si>
  <si>
    <t xml:space="preserve">Catalogue SALES_REG.rate is the item unit price; rules mean the GST rate -&gt; gst_rate (overrides the literal name match).</t>
  </si>
  <si>
    <t xml:space="preserve">rt</t>
  </si>
  <si>
    <t xml:space="preserve">Catalogue field GSTR1.b2b_rate (b2b[].inv[].itms[].itm_det.rt).</t>
  </si>
  <si>
    <t xml:space="preserve">Rate is item-level (itms[].itm_det.rt); B2B invoices with several rates have several item rows.</t>
  </si>
  <si>
    <t xml:space="preserve">b2cl</t>
  </si>
  <si>
    <t xml:space="preserve">b2cl_*</t>
  </si>
  <si>
    <t xml:space="preserve">Section prefix: GSTR1.b2cl.&lt;raw key&gt;.</t>
  </si>
  <si>
    <t xml:space="preserve">b2cl.inum</t>
  </si>
  <si>
    <t xml:space="preserve">sub-field of group reference</t>
  </si>
  <si>
    <t xml:space="preserve">b2cl.pos</t>
  </si>
  <si>
    <t xml:space="preserve">b2cs</t>
  </si>
  <si>
    <t xml:space="preserve">b2cs_*</t>
  </si>
  <si>
    <t xml:space="preserve">medium</t>
  </si>
  <si>
    <t xml:space="preserve">etin sub-key is not catalogued; match key should fall back to blank or to Table 14 eco_gstin.</t>
  </si>
  <si>
    <t xml:space="preserve">b2cs.pos</t>
  </si>
  <si>
    <t xml:space="preserve">b2cs.rt</t>
  </si>
  <si>
    <t xml:space="preserve">b2cs.sply_ty</t>
  </si>
  <si>
    <t xml:space="preserve">b2cs.etin</t>
  </si>
  <si>
    <t xml:space="preserve">b2cs_ecom_gstin</t>
  </si>
  <si>
    <t xml:space="preserve">b2cs[].etin - e-commerce operator GSTIN on a B2CS row; not in catalogue (catalogue notes 'E' type no longer reported separately; ECO supplies now go to Table 14 eco_gstin). Treat as optional/blank.</t>
  </si>
  <si>
    <t xml:space="preserve">'INTER' if pos state code differs from the supplier's own GSTIN state code (or igst &gt; 0), else 'INTRA'.</t>
  </si>
  <si>
    <t xml:space="preserve">RC-GST-003, RC-GST-036</t>
  </si>
  <si>
    <t xml:space="preserve">Σ taxable_value over the rule's group key.</t>
  </si>
  <si>
    <t xml:space="preserve">RC-GST-003, RC-GST-011</t>
  </si>
  <si>
    <t xml:space="preserve">Σ igst over the rule's group key.</t>
  </si>
  <si>
    <t xml:space="preserve">Σ cgst over the rule's group key.</t>
  </si>
  <si>
    <t xml:space="preserve">Σ sgst_utgst over the rule's group key.</t>
  </si>
  <si>
    <t xml:space="preserve">Σ cess over the rule's group key.</t>
  </si>
  <si>
    <t xml:space="preserve">exp</t>
  </si>
  <si>
    <t xml:space="preserve">exp_*</t>
  </si>
  <si>
    <t xml:space="preserve">exp.inum</t>
  </si>
  <si>
    <t xml:space="preserve">exp.idt</t>
  </si>
  <si>
    <t xml:space="preserve">registration_type 'Overseas' -&gt; 'WPAY' if igst &gt; 0 else 'WOPAY'; 'SEZ' -&gt; 'SEWP' if igst &gt; 0 else 'SEWOP'; deemed exports need a ledger/voucher flag.</t>
  </si>
  <si>
    <t xml:space="preserve">exp_typ</t>
  </si>
  <si>
    <t xml:space="preserve">Catalogue field GSTR1.exp_type (Table 6A; exp[].exp_typ).</t>
  </si>
  <si>
    <t xml:space="preserve">taxable_value_inr</t>
  </si>
  <si>
    <t xml:space="preserve">Books are in INR.</t>
  </si>
  <si>
    <t xml:space="preserve">sb_no</t>
  </si>
  <si>
    <t xml:space="preserve">sbnum</t>
  </si>
  <si>
    <t xml:space="preserve">Catalogue field GSTR1.exp_shipping_bill_no (exp[].inv[].sbnum).</t>
  </si>
  <si>
    <t xml:space="preserve">sb_date</t>
  </si>
  <si>
    <t xml:space="preserve">sbdt</t>
  </si>
  <si>
    <t xml:space="preserve">Catalogue field GSTR1.exp_shipping_bill_date (exp[].inv[].sbdt).</t>
  </si>
  <si>
    <t xml:space="preserve">sbpcode</t>
  </si>
  <si>
    <t xml:space="preserve">Catalogue field GSTR1.exp_port_code (exp[].inv[].sbpcode).</t>
  </si>
  <si>
    <t xml:space="preserve">cdnr</t>
  </si>
  <si>
    <t xml:space="preserve">cdnr_*</t>
  </si>
  <si>
    <t xml:space="preserve">RC-GST-005, RC-GST-030</t>
  </si>
  <si>
    <t xml:space="preserve">cdnr.ctin</t>
  </si>
  <si>
    <t xml:space="preserve">cdnr.nt_num</t>
  </si>
  <si>
    <t xml:space="preserve">cdnr.ntty</t>
  </si>
  <si>
    <t xml:space="preserve">cdnr.tax</t>
  </si>
  <si>
    <t xml:space="preserve">cdnr_total_tax</t>
  </si>
  <si>
    <t xml:space="preserve">cdnr_igst + cdnr_cgst + cdnr_sgst + cdnr_cess summed over items of the note</t>
  </si>
  <si>
    <t xml:space="preserve">Rows with voucher_type Credit Note / Debit Note.</t>
  </si>
  <si>
    <t xml:space="preserve">voucher_type 'Credit Note' -&gt; 'C', 'Debit Note' -&gt; 'D' (voucher-type map configurable).</t>
  </si>
  <si>
    <t xml:space="preserve">nt_dt</t>
  </si>
  <si>
    <t xml:space="preserve">Catalogue field GSTR1.cdnr_note_date (cdnr[].nt[].nt_dt).</t>
  </si>
  <si>
    <t xml:space="preserve">note_value</t>
  </si>
  <si>
    <t xml:space="preserve">b2ba</t>
  </si>
  <si>
    <t xml:space="preserve">b2ba rows (b2b_* fields + amend_original_invoice_no)</t>
  </si>
  <si>
    <t xml:space="preserve">Catalogue models amendment rows with the b2b_* names plus amend_original_*; loader must keep the source section (b2b vs b2ba) as a row attribute (see supporting_new_fields GSTR1.source_section).</t>
  </si>
  <si>
    <t xml:space="preserve">b2ba.oinum</t>
  </si>
  <si>
    <t xml:space="preserve">b2ba.inum</t>
  </si>
  <si>
    <t xml:space="preserve">revised invoice no. on a b2ba row (b2ba rows carry the same keys as b2b)</t>
  </si>
  <si>
    <t xml:space="preserve">b2ba.ctin</t>
  </si>
  <si>
    <t xml:space="preserve">revised recipient GSTIN on a b2ba row</t>
  </si>
  <si>
    <t xml:space="preserve">Catalogue field SALES_REG.original_invoice_no (Voucher).</t>
  </si>
  <si>
    <t xml:space="preserve">amended</t>
  </si>
  <si>
    <t xml:space="preserve">Rows of GSTR-1 where source_section in (b2ba, b2cla, expa, cdnra, b2csa); values are the revised values reported in that row, joined to the original via amend_original_invoice_no / amend_original_note_no.</t>
  </si>
  <si>
    <t xml:space="preserve">Uses supporting field GSTR1.source_section.</t>
  </si>
  <si>
    <t xml:space="preserve">amended.txval</t>
  </si>
  <si>
    <t xml:space="preserve">taxable value on the amendment row (b2ba/b2cla/expa/cdnra) - section-prefixed equivalent</t>
  </si>
  <si>
    <t xml:space="preserve">amended.tax_heads</t>
  </si>
  <si>
    <t xml:space="preserve">b2b_igst/b2b_cgst/b2b_sgst/b2b_cess</t>
  </si>
  <si>
    <t xml:space="preserve">tax heads on the amendment row</t>
  </si>
  <si>
    <t xml:space="preserve">amended.ctin</t>
  </si>
  <si>
    <t xml:space="preserve">revised recipient GSTIN on the amendment row</t>
  </si>
  <si>
    <t xml:space="preserve">final</t>
  </si>
  <si>
    <t xml:space="preserve">Latest version of the invoice in the books (after alterations), i.e. the row with the latest alteration for voucher_no; requires the export to carry the current version only or an alteration timestamp.</t>
  </si>
  <si>
    <t xml:space="preserve">final.buyer_gstin</t>
  </si>
  <si>
    <t xml:space="preserve">final.taxable_value</t>
  </si>
  <si>
    <t xml:space="preserve">final.tax_heads</t>
  </si>
  <si>
    <t xml:space="preserve">igst/cgst/sgst_utgst/cess</t>
  </si>
  <si>
    <t xml:space="preserve">filing_date of the GSTR-1 return (return_period) in which the amendment row (source_section in b2ba/b2cla/expa/cdnra/b2csa) was reported.</t>
  </si>
  <si>
    <t xml:space="preserve">Catalogue field GSTR1.gstin (header.gstin).</t>
  </si>
  <si>
    <t xml:space="preserve">RC-GST-007, RC-GST-008</t>
  </si>
  <si>
    <t xml:space="preserve">Catalogue field GSTR3B.gstin (gstin).</t>
  </si>
  <si>
    <t xml:space="preserve">RC-GST-007, RC-GST-014, RC-GST-018, RC-GST-028</t>
  </si>
  <si>
    <t xml:space="preserve">Catalogue field GSTR1.return_period (header.fp).</t>
  </si>
  <si>
    <t xml:space="preserve">RC-GST-007, RC-GST-024, RC-GST-032, RC-GST-039</t>
  </si>
  <si>
    <t xml:space="preserve">GSTN header key is fp; ret_period is the rule alias.</t>
  </si>
  <si>
    <t xml:space="preserve">Catalogue field GSTR3B.return_period (ret_period).</t>
  </si>
  <si>
    <t xml:space="preserve">RC-GST-007, RC-GST-014, RC-GST-018, RC-GST-019, RC-GST-020, RC-GST-021, RC-GST-022, RC-GST-023, RC-GST-024, RC-GST-025, RC-GST-028, RC-GST-031, RC-GST-032</t>
  </si>
  <si>
    <t xml:space="preserve">Catalogue field EINV.seller_gstin (SellerDtls.Gstin).</t>
  </si>
  <si>
    <t xml:space="preserve">Catalogue field EINV.doc_type (DocDtls.Typ).</t>
  </si>
  <si>
    <t xml:space="preserve">RC-GST-008, RC-GST-009</t>
  </si>
  <si>
    <t xml:space="preserve">From source_section and cdnr_note_type: b2b/b2cl/exp -&gt; 'INV'; cdnr/cdnur with note type 'C' -&gt; 'CRN', 'D' -&gt; 'DBN' (aligns with EINV.doc_type).</t>
  </si>
  <si>
    <t xml:space="preserve">Catalogue field EINV.doc_no (DocDtls.No).</t>
  </si>
  <si>
    <t xml:space="preserve">Indian financial year (1 Apr - 31 Mar) containing doc_date, format 'YYYY-YY' e.g. '2025-26'</t>
  </si>
  <si>
    <t xml:space="preserve">Catalogue field EINV.irn (Irn (response Data.Irn)).</t>
  </si>
  <si>
    <t xml:space="preserve">Catalogue field GSTR1.b2b_irn (b2b[].inv[].irn).</t>
  </si>
  <si>
    <t xml:space="preserve">Catalogue has IRN only for b2b; for CRN/DBN e-invoices the cdnr IRN key is not catalogued (confirm on first real file).</t>
  </si>
  <si>
    <t xml:space="preserve">Catalogue field EINV.buyer_gstin (BuyerDtls.Gstin).</t>
  </si>
  <si>
    <t xml:space="preserve">Catalogue field EINV.doc_date (DocDtls.Dt).</t>
  </si>
  <si>
    <t xml:space="preserve">total_value</t>
  </si>
  <si>
    <t xml:space="preserve">Catalogue field EINV.val_total_invoice (ValDtls.TotInvVal).</t>
  </si>
  <si>
    <t xml:space="preserve">ass_val</t>
  </si>
  <si>
    <t xml:space="preserve">Catalogue field EINV.val_assessable (ValDtls.AssVal).</t>
  </si>
  <si>
    <t xml:space="preserve">Catalogue field EINV.val_igst (ValDtls.IgstVal).</t>
  </si>
  <si>
    <t xml:space="preserve">Rule says EINV.igst/cgst/sgst/cess -&gt; val_igst/val_cgst/val_sgst/val_cess.</t>
  </si>
  <si>
    <t xml:space="preserve">Catalogue field EINV.irn_status (Data.Status).</t>
  </si>
  <si>
    <t xml:space="preserve">Mapped from voucher_type via a configurable map; code list depends on the target document (see context_dependent).</t>
  </si>
  <si>
    <t xml:space="preserve">RC-GST-009, RC-GST-010</t>
  </si>
  <si>
    <t xml:space="preserve">Catalogue field EINV.ack_date (Data.AckDt).</t>
  </si>
  <si>
    <t xml:space="preserve">Catalogue field EWB.doc_no (docNo).</t>
  </si>
  <si>
    <t xml:space="preserve">Catalogue field EWB.doc_type (docType).</t>
  </si>
  <si>
    <t xml:space="preserve">Catalogue field EWB.doc_date (docDate).</t>
  </si>
  <si>
    <t xml:space="preserve">Catalogue field EWB.total_invoice_value (totInvValue).</t>
  </si>
  <si>
    <t xml:space="preserve">Rule total_value = invoice value (totInvValue), not JSON totalValue.</t>
  </si>
  <si>
    <t xml:space="preserve">Catalogue field EWB.total_taxable_value (totalValue).</t>
  </si>
  <si>
    <t xml:space="preserve">JSON key totalValue is the taxable value.</t>
  </si>
  <si>
    <t xml:space="preserve">Catalogue field EWB.to_gstin (toGstin).</t>
  </si>
  <si>
    <t xml:space="preserve">RC-GST-010, RC-GST-034</t>
  </si>
  <si>
    <t xml:space="preserve">to_state</t>
  </si>
  <si>
    <t xml:space="preserve">Catalogue field EWB.act_to_state_code (actToStateCode).</t>
  </si>
  <si>
    <t xml:space="preserve">Compared with ship-to state -&gt; actual (ship-to) state; to_state_code is the bill-to state.</t>
  </si>
  <si>
    <t xml:space="preserve">Sorted distinct hsn_sac over the item rows of the invoice (voucher_no).</t>
  </si>
  <si>
    <t xml:space="preserve">Sorted distinct item_hsn values of the e-way bill.</t>
  </si>
  <si>
    <t xml:space="preserve">hsn_*</t>
  </si>
  <si>
    <t xml:space="preserve">hsn.hsn_sc</t>
  </si>
  <si>
    <t xml:space="preserve">hsn.rt</t>
  </si>
  <si>
    <t xml:space="preserve">hsn.tab</t>
  </si>
  <si>
    <t xml:space="preserve">hsn_b2b | hsn_b2c</t>
  </si>
  <si>
    <t xml:space="preserve">hsn.txval</t>
  </si>
  <si>
    <t xml:space="preserve">hsn.qty</t>
  </si>
  <si>
    <t xml:space="preserve">hsn.tax_heads</t>
  </si>
  <si>
    <t xml:space="preserve">hsn_igst/hsn_cgst/hsn_sgst/hsn_cess</t>
  </si>
  <si>
    <t xml:space="preserve">Catalogue field SALES_REG.hsn_sac (Inventory).</t>
  </si>
  <si>
    <t xml:space="preserve">RC-GST-011, RC-GST-033</t>
  </si>
  <si>
    <t xml:space="preserve">'B2B' if party_gstin is non-blank else 'B2C' (aligns with GSTR1 hsn_section hsn_b2b/hsn_b2c).</t>
  </si>
  <si>
    <t xml:space="preserve">Tuple (Σ igst, Σ cgst, Σ sgst_utgst, Σ cess) over (hsn_sac, gst_rate, b2b_or_b2c).</t>
  </si>
  <si>
    <t xml:space="preserve">Σ quantity over (hsn_sac, gst_rate, b2b_or_b2c); UOM converted to GST UQC.</t>
  </si>
  <si>
    <t xml:space="preserve">hsn_b2b</t>
  </si>
  <si>
    <t xml:space="preserve">Σ hsn_taxable_value over Table 12 rows where hsn_section = 'hsn_b2b'.</t>
  </si>
  <si>
    <t xml:space="preserve">b2b_sections</t>
  </si>
  <si>
    <t xml:space="preserve">Σ b2b_taxable_value (all b2b_invoice_type incl. SEWP/SEWOP/DE) + Σ signed cdnr_taxable_value (cdnr_note_type C negative, D positive) for the return period.</t>
  </si>
  <si>
    <t xml:space="preserve">low</t>
  </si>
  <si>
    <t xml:space="preserve">Which sections GSTN expects in the HSN B2B tab (esp. treatment of notes and amendments) is not in the catalogue - confirm against the GSTN HSN advisory before using as a hard check.</t>
  </si>
  <si>
    <t xml:space="preserve">hsn_b2c</t>
  </si>
  <si>
    <t xml:space="preserve">Σ hsn_taxable_value over Table 12 rows where hsn_section = 'hsn_b2c'.</t>
  </si>
  <si>
    <t xml:space="preserve">b2c_sections</t>
  </si>
  <si>
    <t xml:space="preserve">Σ b2cl_taxable_value + Σ b2cs_taxable_value + Σ exp_taxable_value + Σ signed cdnur_taxable_value for the return period.</t>
  </si>
  <si>
    <t xml:space="preserve">Inclusion of exports/cdnur in the HSN B2C tab is not established in the catalogue - confirm with GSTN advisory.</t>
  </si>
  <si>
    <t xml:space="preserve">doc_nature</t>
  </si>
  <si>
    <t xml:space="preserve">voucher_type mapped to GSTR-1 Table 13 doc_nature_code (configurable map, e.g. Sales -&gt; 1, Debit Note -&gt; 4, Credit Note -&gt; 5).</t>
  </si>
  <si>
    <t xml:space="preserve">doc_issue</t>
  </si>
  <si>
    <t xml:space="preserve">doc_*</t>
  </si>
  <si>
    <t xml:space="preserve">doc_issue.doc_typ</t>
  </si>
  <si>
    <t xml:space="preserve">Table 13 document nature (catalogue path doc_issue.doc_det[].doc_num)</t>
  </si>
  <si>
    <t xml:space="preserve">doc_issue.from</t>
  </si>
  <si>
    <t xml:space="preserve">voucher_no with the trailing numeric run removed (normalised: upper-case, trimmed).</t>
  </si>
  <si>
    <t xml:space="preserve">voucher_no with the lowest trailing number within (series_prefix, doc_nature, period).</t>
  </si>
  <si>
    <t xml:space="preserve">from</t>
  </si>
  <si>
    <t xml:space="preserve">Catalogue field GSTR1.doc_from_serial (doc_issue.doc_det[].docs[].from).</t>
  </si>
  <si>
    <t xml:space="preserve">voucher_no with the highest trailing number within (series_prefix, doc_nature, period).</t>
  </si>
  <si>
    <t xml:space="preserve">to</t>
  </si>
  <si>
    <t xml:space="preserve">Catalogue field GSTR1.doc_to_serial (doc_issue.doc_det[].docs[].to).</t>
  </si>
  <si>
    <t xml:space="preserve">series_to number - series_from number + 1 for the series in the period (includes cancelled numbers).</t>
  </si>
  <si>
    <t xml:space="preserve">totnum</t>
  </si>
  <si>
    <t xml:space="preserve">Catalogue field GSTR1.doc_total_number (doc_issue.doc_det[].docs[].totnum).</t>
  </si>
  <si>
    <t xml:space="preserve">Count of voucher numbers in the series range with is_cancelled = 'Y' (supporting new field) plus missing numbers if the client treats gaps as cancelled.</t>
  </si>
  <si>
    <t xml:space="preserve">Requires supporting field SALES_REG.is_cancelled.</t>
  </si>
  <si>
    <t xml:space="preserve">cancel</t>
  </si>
  <si>
    <t xml:space="preserve">Catalogue field GSTR1.doc_cancelled (doc_issue.doc_det[].docs[].cancel).</t>
  </si>
  <si>
    <t xml:space="preserve">net_issue</t>
  </si>
  <si>
    <t xml:space="preserve">Catalogue field GSTR1.doc_net_issued (doc_issue.doc_det[].docs[].net_issue).</t>
  </si>
  <si>
    <t xml:space="preserve">Catalogue field PURCH_REG.party_gstin (Voucher).</t>
  </si>
  <si>
    <t xml:space="preserve">RC-GST-013, RC-GST-015, RC-GST-017, RC-GST-030</t>
  </si>
  <si>
    <t xml:space="preserve">Catalogue field GSTR2B.supplier_gstin (docdata.b2b[].ctin).</t>
  </si>
  <si>
    <t xml:space="preserve">RC-GST-013, RC-GST-016</t>
  </si>
  <si>
    <t xml:space="preserve">docdata.b2b[].ctin.</t>
  </si>
  <si>
    <t xml:space="preserve">voucher_type mapped: Purchase -&gt; 'INV'; supplier credit note (Debit Note voucher in Tally) -&gt; 'CRN'; supplier debit note -&gt; 'DBN' (configurable map).</t>
  </si>
  <si>
    <t xml:space="preserve">RC-GST-013, RC-GST-015</t>
  </si>
  <si>
    <t xml:space="preserve">typ</t>
  </si>
  <si>
    <t xml:space="preserve">Raw key typ is invoice_type (R/SEWP/SEWOP/DE) in b2b and note_type (C/D) in cdnr. Rule meaning is document type: source section b2b/b2ba -&gt; 'INV'; cdnr/cdnra note_type 'C' -&gt; 'CRN', 'D' -&gt; 'DBN'.</t>
  </si>
  <si>
    <t xml:space="preserve">Do not compare the raw typ value directly with PURCH_REG doc type.</t>
  </si>
  <si>
    <t xml:space="preserve">Catalogue field PURCH_REG.supplier_invoice_no (Voucher).</t>
  </si>
  <si>
    <t xml:space="preserve">Catalogue field GSTR2B.invoice_no (docdata.b2b[].inv[].inum).</t>
  </si>
  <si>
    <t xml:space="preserve">For cdnr rows the equivalent is note_no (ntnum).</t>
  </si>
  <si>
    <t xml:space="preserve">Indian financial year (1 Apr - 31 Mar) containing supplier_invoice_date, format 'YYYY-YY' e.g. '2025-26'</t>
  </si>
  <si>
    <t xml:space="preserve">dt</t>
  </si>
  <si>
    <t xml:space="preserve">Catalogue field GSTR2B.invoice_date (docdata.b2b[].inv[].dt).</t>
  </si>
  <si>
    <t xml:space="preserve">For cdnr rows the equivalent is note_date.</t>
  </si>
  <si>
    <t xml:space="preserve">Catalogue field PURCH_REG.supplier_invoice_date (Voucher).</t>
  </si>
  <si>
    <t xml:space="preserve">Catalogue field PURCH_REG.taxable_value (Amount).</t>
  </si>
  <si>
    <t xml:space="preserve">Catalogue field GSTR2B.taxable_value (docdata.*.items[].txval).</t>
  </si>
  <si>
    <t xml:space="preserve">RC-GST-013, RC-GST-038</t>
  </si>
  <si>
    <t xml:space="preserve">RC-GST-038 (imports) uses boe_taxable_value - see context_dependent.</t>
  </si>
  <si>
    <t xml:space="preserve">Catalogue field PURCH_REG.igst (Tax).</t>
  </si>
  <si>
    <t xml:space="preserve">Catalogue field GSTR2B.igst_amount (docdata.*.items[].igst).</t>
  </si>
  <si>
    <t xml:space="preserve">RC-GST-038 uses boe_igst.</t>
  </si>
  <si>
    <t xml:space="preserve">Catalogue field PURCH_REG.cgst (Tax).</t>
  </si>
  <si>
    <t xml:space="preserve">Catalogue field GSTR2B.cgst_amount (docdata.*.items[].cgst).</t>
  </si>
  <si>
    <t xml:space="preserve">Catalogue field PURCH_REG.sgst_utgst (Tax).</t>
  </si>
  <si>
    <t xml:space="preserve">Catalogue field GSTR2B.sgst_amount (docdata.*.items[].sgst).</t>
  </si>
  <si>
    <t xml:space="preserve">Catalogue field PURCH_REG.cess (Tax).</t>
  </si>
  <si>
    <t xml:space="preserve">Catalogue field GSTR2B.cess_amount (docdata.*.items[].cess).</t>
  </si>
  <si>
    <t xml:space="preserve">RC-GST-038 uses boe_cess.</t>
  </si>
  <si>
    <t xml:space="preserve">party_state is the supplier state, not POS.</t>
  </si>
  <si>
    <t xml:space="preserve">Catalogue field GSTR2B.pos (docdata.b2b[].inv[].pos).</t>
  </si>
  <si>
    <t xml:space="preserve">Catalogue field PURCH_REG.reverse_charge (Tax).</t>
  </si>
  <si>
    <t xml:space="preserve">rev</t>
  </si>
  <si>
    <t xml:space="preserve">Catalogue field GSTR2B.reverse_charge (docdata.b2b[].inv[].rev).</t>
  </si>
  <si>
    <t xml:space="preserve">tax period of voucher_date (booking date), format MMYYYY e.g. '092026'</t>
  </si>
  <si>
    <t xml:space="preserve">Catalogue field GSTR2B.return_period (data.rtnprd).</t>
  </si>
  <si>
    <t xml:space="preserve">RC-GST-013, RC-GST-014, RC-GST-016</t>
  </si>
  <si>
    <t xml:space="preserve">data.rtnprd.</t>
  </si>
  <si>
    <t xml:space="preserve">itcavl</t>
  </si>
  <si>
    <t xml:space="preserve">Catalogue field GSTR2B.itc_availability (docdata.*.itcavl).</t>
  </si>
  <si>
    <t xml:space="preserve">Catalogue field GSTR2B.gstin (data.gstin).</t>
  </si>
  <si>
    <t xml:space="preserve">RC-GST-014, RC-GST-037</t>
  </si>
  <si>
    <t xml:space="preserve">Per head: Σ items of b2b + b2ba documents with itc_availability='Y' minus Σ cdnr (+cdnra) credit notes with itc_availability='Y'; cross-check with summary_itc_available.nonrevsup (+ othersup netting).</t>
  </si>
  <si>
    <t xml:space="preserve">Netting convention of credit notes in 2B summary (othersup) to be confirmed on a real 2B file.</t>
  </si>
  <si>
    <t xml:space="preserve">Σ ISD section document amounts with isd_itc_eligible='Y' (ISD credit notes negative); cross-check summary_itc_available.isdsup.</t>
  </si>
  <si>
    <t xml:space="preserve">Σ boe_igst and boe_cess over impg + impgsez rows of the period; cross-check summary_itc_available.imports.</t>
  </si>
  <si>
    <t xml:space="preserve">Catalogue field IMS.supplier_gstin (inv[].stin).</t>
  </si>
  <si>
    <t xml:space="preserve">RC-GST-015, RC-GST-030</t>
  </si>
  <si>
    <t xml:space="preserve">From ims_category: B2B/B2BA/ECOM/ECOMA -&gt; 'INV'; B2BCN/B2BCNA -&gt; 'CRN'; B2BDN/B2BDNA -&gt; 'DBN'.</t>
  </si>
  <si>
    <t xml:space="preserve">Catalogue field IMS.document_no (inv[].inum (notes: nt_num)).</t>
  </si>
  <si>
    <t xml:space="preserve">Indian financial year (1 Apr - 31 Mar) containing document_date, format 'YYYY-YY' e.g. '2025-26'</t>
  </si>
  <si>
    <t xml:space="preserve">action</t>
  </si>
  <si>
    <t xml:space="preserve">Catalogue field IMS.ims_action (inv[].action).</t>
  </si>
  <si>
    <t xml:space="preserve">'BOOKED' if the IMS document matches a register row (supplier_gstin, doc_type, doc_no, fy), 'BOOKED_INELIGIBLE' if matched with itc_eligibility = Ineligible, else 'NOT_BOOKED'.</t>
  </si>
  <si>
    <t xml:space="preserve">Catalogue field IMS.taxable_value (inv[].txval).</t>
  </si>
  <si>
    <t xml:space="preserve">Tuple (igst_amount, cgst_amount, sgst_amount, cess_amount).</t>
  </si>
  <si>
    <t xml:space="preserve">Tuple (igst, cgst, sgst_utgst, cess).</t>
  </si>
  <si>
    <t xml:space="preserve">cn_itc_reversal_declared</t>
  </si>
  <si>
    <t xml:space="preserve">Catalogue field IMS.declared_igst (inv[].declIgst (declCgst, declSgst, declCess)).</t>
  </si>
  <si>
    <t xml:space="preserve">Catalogue field declared_igst stands for declIgst/declCgst/declSgst/declCess; compare per head.</t>
  </si>
  <si>
    <t xml:space="preserve">igst + cgst + sgst_utgst + cess on rows with doc_type = CRN (input tax reduced in books for the supplier credit note).</t>
  </si>
  <si>
    <t xml:space="preserve">Earliest IMS download snapshot date (or supplier_return_period) at which the document had ims_action = 'Pending', carried forward while it stays Pending. Requires the tool to keep IMS snapshots.</t>
  </si>
  <si>
    <t xml:space="preserve">Catalogue field GSTR2A.supplier_gstin (b2b[].ctin).</t>
  </si>
  <si>
    <t xml:space="preserve">Catalogue field GSTR2A.invoice_no (b2b[].inv[].inum).</t>
  </si>
  <si>
    <t xml:space="preserve">For cdn rows the key is note_no (nt_num).</t>
  </si>
  <si>
    <t xml:space="preserve">Source section b2b/b2ba -&gt; 'INV'; cdn/cdna with note_type 'C' -&gt; 'CRN', 'D' -&gt; 'DBN'.</t>
  </si>
  <si>
    <t xml:space="preserve">Catalogue field GSTR2A.gstr1_period (b2b[].flprdr1).</t>
  </si>
  <si>
    <t xml:space="preserve">b2b[].flprdr1.</t>
  </si>
  <si>
    <t xml:space="preserve">Tuple (igst_amount, cgst_amount, sgst_amount, cess_amount), compared head by head.</t>
  </si>
  <si>
    <t xml:space="preserve">Catalogue field GSTR2A.gstr1_filing_date (b2b[].fldtr1).</t>
  </si>
  <si>
    <t xml:space="preserve">b2b[].fldtr1 (supplier GSTR-1 filing date).</t>
  </si>
  <si>
    <t xml:space="preserve">PARTY_MASTER.gstin of the party ledger in particulars.</t>
  </si>
  <si>
    <t xml:space="preserve">RC-GST-017, RC-ACC-011</t>
  </si>
  <si>
    <t xml:space="preserve">against_ref</t>
  </si>
  <si>
    <t xml:space="preserve">Catalogue field PURCH_REG.invoice_value (Amount).</t>
  </si>
  <si>
    <t xml:space="preserve">igst + cgst + sgst_utgst + cess where itc_eligibility &lt;&gt; 'Ineligible (s.17(5))'.</t>
  </si>
  <si>
    <t xml:space="preserve">Catalogue field ECRRS.return_period (row).</t>
  </si>
  <si>
    <t xml:space="preserve">Catalogue field ECRRS.gstin (header).</t>
  </si>
  <si>
    <t xml:space="preserve">reversal_h</t>
  </si>
  <si>
    <t xml:space="preserve">Catalogue field ECRRS.reversal_igst (row [JSON name unverified]).</t>
  </si>
  <si>
    <t xml:space="preserve">Per head.</t>
  </si>
  <si>
    <t xml:space="preserve">reclaim_h</t>
  </si>
  <si>
    <t xml:space="preserve">Catalogue field ECRRS.reclaim_igst (row [JSON name unverified]).</t>
  </si>
  <si>
    <t xml:space="preserve">Catalogue field ECRRS.opening_igst (header [JSON name unverified]).</t>
  </si>
  <si>
    <t xml:space="preserve">Per head: opening_igst/cgst/sgst/cess (catalogue lists igst; others likewise).</t>
  </si>
  <si>
    <t xml:space="preserve">Catalogue field ECRRS.closing_igst (row [JSON name unverified]).</t>
  </si>
  <si>
    <t xml:space="preserve">Catalogue field GL.ledger_name (Line).</t>
  </si>
  <si>
    <t xml:space="preserve">Field of new document RCM_MASTER.</t>
  </si>
  <si>
    <t xml:space="preserve">Tax period of the time of supply of the RCM expense; default voucher_date of the expense, overridable by the rule engine.</t>
  </si>
  <si>
    <t xml:space="preserve">Time-of-supply rules for RCM not modelled in catalogue.</t>
  </si>
  <si>
    <t xml:space="preserve">Field of new document RCM_STMT.</t>
  </si>
  <si>
    <t xml:space="preserve">ref_period</t>
  </si>
  <si>
    <t xml:space="preserve">Catalogue field ECL.tax_period (PMT-05; tr[].ret_period [JSON name unverified]).</t>
  </si>
  <si>
    <t xml:space="preserve">RC-GST-021, RC-GST-023</t>
  </si>
  <si>
    <t xml:space="preserve">RC-GST-023 compares with GSTR9.fy - see context_dependent.</t>
  </si>
  <si>
    <t xml:space="preserve">Catalogue field GSTR3B.arn (Filing).</t>
  </si>
  <si>
    <t xml:space="preserve">ref_no</t>
  </si>
  <si>
    <t xml:space="preserve">Catalogue field ECL.reference_no (PMT-05 col 3; tr[].ref_no [JSON name unverified]).</t>
  </si>
  <si>
    <t xml:space="preserve">Catalogue field ECRL.reference_no (PMT-02 col 3; tr[].ref_no [JSON name unverified]).</t>
  </si>
  <si>
    <t xml:space="preserve">Catalogue field ELL.reference_no (PMT-01 Part I/II col 3; tr[].ref_no [JSON name unverified]).</t>
  </si>
  <si>
    <t xml:space="preserve">amount_&lt;h&gt; tax component (igstbal.tx etc.) on rows where txn_type = 'Debit'.</t>
  </si>
  <si>
    <t xml:space="preserve">Catalogue says store one column per component (tx/intr/pen/fee/oth).</t>
  </si>
  <si>
    <t xml:space="preserve">debit_x</t>
  </si>
  <si>
    <t xml:space="preserve">credit_&lt;h&gt; (PMT-02 col 7 amount) on rows where txn_type = 'Debit', per credit head x (igst/cgst/sgst/cess).</t>
  </si>
  <si>
    <t xml:space="preserve">Catalogue names the PMT-02 amount column credit_&lt;h&gt;; with txn_type it holds debits too.</t>
  </si>
  <si>
    <t xml:space="preserve">amount_&lt;h&gt; interest component (intr) on rows where txn_type = 'Debit'.</t>
  </si>
  <si>
    <t xml:space="preserve">amount_&lt;h&gt; fee component (fee) on rows where txn_type = 'Debit'.</t>
  </si>
  <si>
    <t xml:space="preserve">credit_h</t>
  </si>
  <si>
    <t xml:space="preserve">amount_&lt;h&gt; on rows where txn_type = 'Debit' (Payable, liability created) in ledger_part 'I'.</t>
  </si>
  <si>
    <t xml:space="preserve">Rule calls it credit_h (liability created) but catalogue convention is Debit = Payable; mapped to liability-creation rows.</t>
  </si>
  <si>
    <t xml:space="preserve">Catalogue field ELL.tax_period (PMT-01 Part I/II; tr[].ret_period [JSON name unverified]).</t>
  </si>
  <si>
    <t xml:space="preserve">Catalogue field DRC03.period_from (field).</t>
  </si>
  <si>
    <t xml:space="preserve">interest_h</t>
  </si>
  <si>
    <t xml:space="preserve">Catalogue field DRC03.interest (Payment details).</t>
  </si>
  <si>
    <t xml:space="preserve">Catalogue has a single interest field; per-head split (IGST/CGST/SGST/cess) not catalogued.</t>
  </si>
  <si>
    <t xml:space="preserve">Catalogue field GSTR9.financial_year (Part I, 1).</t>
  </si>
  <si>
    <t xml:space="preserve">RC-GST-023, RC-GST-024, RC-GST-025, RC-GST-026, RC-GST-027</t>
  </si>
  <si>
    <t xml:space="preserve">Catalogue field FS.entity_pan (Header).</t>
  </si>
  <si>
    <t xml:space="preserve">Catalogue field GSTR9.gstin (Part I, 1).</t>
  </si>
  <si>
    <t xml:space="preserve">RC-GST-026, RC-GST-027</t>
  </si>
  <si>
    <t xml:space="preserve">Indian financial year (1 Apr - 31 Mar) containing period_end, format 'YYYY-YY' e.g. '2025-26'</t>
  </si>
  <si>
    <t xml:space="preserve">RC-GST-026, RC-GST-027, RC-GST-028</t>
  </si>
  <si>
    <t xml:space="preserve">Turnover per audited FS attributable to the GSTIN: Σ TB closing_balance of revenue ledgers tagged with gstin_branch; equals revenue_from_operations for single-GSTIN entities.</t>
  </si>
  <si>
    <t xml:space="preserve">t4n + t5n + t10 - t11 (formula stated in RC-GST-026, = GSTR-9C 5Q basis).</t>
  </si>
  <si>
    <t xml:space="preserve">Formula taken from the rule text; confirm against the GSTR-9C form logic.</t>
  </si>
  <si>
    <t xml:space="preserve">Σ closing_balance of sales ledgers grouped by the GST rate mapped to each ledger (ledger mapping configurable).</t>
  </si>
  <si>
    <t xml:space="preserve">Indian financial year (1 Apr - 31 Mar) containing period_to, format 'YYYY-YY' e.g. '2025-26'</t>
  </si>
  <si>
    <t xml:space="preserve">RC-GST-027, RC-IT-007</t>
  </si>
  <si>
    <t xml:space="preserve">debit_total of input-GST ledger head h for the FY (ledger mapping configurable).</t>
  </si>
  <si>
    <t xml:space="preserve">tax period of period_to, format MMYYYY e.g. '092026' (monthly TB).</t>
  </si>
  <si>
    <t xml:space="preserve">credit_total - debit_total (credit-note debits) of output-GST ledger head h in the month (ledger mapping configurable).</t>
  </si>
  <si>
    <t xml:space="preserve">credit_total of RCM-payable ledger head h in the month (ledger mapping configurable).</t>
  </si>
  <si>
    <t xml:space="preserve">debit_total of input-GST ledger head h in the month (ledger mapping configurable).</t>
  </si>
  <si>
    <t xml:space="preserve">Σ GL credit on input-GST ledger head h in reversal journals (tagged) in the month (ledger mapping configurable).</t>
  </si>
  <si>
    <t xml:space="preserve">Σ GL debit on output-GST ledger head h in set-off journals crediting input-GST ledgers (ledger mapping configurable).</t>
  </si>
  <si>
    <t xml:space="preserve">Σ GL debit on output-GST ledger head h in vouchers crediting the electronic-cash-ledger / bank ledger (ledger mapping configurable).</t>
  </si>
  <si>
    <t xml:space="preserve">closing_balance of output-GST ledger head h after set-off (ledger mapping configurable).</t>
  </si>
  <si>
    <t xml:space="preserve">nil</t>
  </si>
  <si>
    <t xml:space="preserve">nil Table 8 fields</t>
  </si>
  <si>
    <t xml:space="preserve">Table 8 has no 'category' key; rule's category is the unpivoted column name.</t>
  </si>
  <si>
    <t xml:space="preserve">nil.sply_ty</t>
  </si>
  <si>
    <t xml:space="preserve">nil.nil_amt</t>
  </si>
  <si>
    <t xml:space="preserve">nil.expt_amt</t>
  </si>
  <si>
    <t xml:space="preserve">nil.ngsup_amt</t>
  </si>
  <si>
    <t xml:space="preserve">nil.category</t>
  </si>
  <si>
    <t xml:space="preserve">nil_category</t>
  </si>
  <si>
    <t xml:space="preserve">Unpivot of the three amount columns: 'NIL' -&gt; nil_rated_amount, 'EXEMPT' -&gt; exempted_amount, 'NON_GST' -&gt; non_gst_amount</t>
  </si>
  <si>
    <t xml:space="preserve">sply_ty</t>
  </si>
  <si>
    <t xml:space="preserve">supply_type (INTER-&gt;INTR, INTRA-&gt;INTRA) combined with b2b_or_b2c, matching GSTR1 nil_supply_type codes.</t>
  </si>
  <si>
    <t xml:space="preserve">Σ taxable_value where supply_class = 'NIL'.</t>
  </si>
  <si>
    <t xml:space="preserve">Σ taxable_value where supply_class = 'EXEMPT'.</t>
  </si>
  <si>
    <t xml:space="preserve">Σ taxable_value (or invoice_value) where supply_class = 'NON_GST'.</t>
  </si>
  <si>
    <t xml:space="preserve">Supplier-side use in RC-GST-030 requires the recipient to share IMS data; the supplier cannot download it.</t>
  </si>
  <si>
    <t xml:space="preserve">Rows for supplier credit/debit notes (voucher_type mapped).</t>
  </si>
  <si>
    <t xml:space="preserve">igst_amount + cgst_amount + sgst_amount + cess_amount where ims_category in ('B2BCN','B2BCNA').</t>
  </si>
  <si>
    <t xml:space="preserve">declared_reversal</t>
  </si>
  <si>
    <t xml:space="preserve">Same as cn_itc_reversal_declared (per-head declared reversal on credit notes).</t>
  </si>
  <si>
    <t xml:space="preserve">itc_claimed of the original invoice referenced by the note (original_invoice_no, same party_gstin).</t>
  </si>
  <si>
    <t xml:space="preserve">Catalogue field GSTR3B.filing_date (Filing).</t>
  </si>
  <si>
    <t xml:space="preserve">Field of new document RATE_MASTER.</t>
  </si>
  <si>
    <t xml:space="preserve">voucher_date as default proxy; override with a time-of-supply date field where the client records one.</t>
  </si>
  <si>
    <t xml:space="preserve">Statutory time-of-supply rules are not modelled in the catalogue.</t>
  </si>
  <si>
    <t xml:space="preserve">effective</t>
  </si>
  <si>
    <t xml:space="preserve">Field pair of new document RATE_MASTER.</t>
  </si>
  <si>
    <t xml:space="preserve">cess / taxable_value * 100 on the item row (ad valorem cess only; specific-rate cess cannot be derived).</t>
  </si>
  <si>
    <t xml:space="preserve">Better captured from item master; add as new field if clients carry it.</t>
  </si>
  <si>
    <t xml:space="preserve">Catalogue field GSTR7.deductor_gstin (1).</t>
  </si>
  <si>
    <t xml:space="preserve">Catalogue field GL.party_gstin (Line).</t>
  </si>
  <si>
    <t xml:space="preserve">Catalogue field GSTR7.deductee_invoice_no (Table 3 (as amended by N.09/2025-CT) [JSON name unverified]).</t>
  </si>
  <si>
    <t xml:space="preserve">Catalogue marks JSON name unverified (invoice-level reporting).</t>
  </si>
  <si>
    <t xml:space="preserve">invoice_ref</t>
  </si>
  <si>
    <t xml:space="preserve">Catalogue field GL.bill_ref (Line).</t>
  </si>
  <si>
    <t xml:space="preserve">Catalogue field GSTR7.amount_paid (Table 3 col 2).</t>
  </si>
  <si>
    <t xml:space="preserve">Table 3 col 2 - amount paid to deductee on which tax is deducted.</t>
  </si>
  <si>
    <t xml:space="preserve">Taxable value (income credit excl. GST) of the invoice(s) referenced by bill_ref on which the government deductor paid.</t>
  </si>
  <si>
    <t xml:space="preserve">Per head: tds_igst / tds_cgst / tds_sgst.</t>
  </si>
  <si>
    <t xml:space="preserve">Σ debit - credit on GST-TDS receivable ledgers per head (IGST/CGST/SGST).</t>
  </si>
  <si>
    <t xml:space="preserve">Could be modelled as a separate document (TDS/TCS credit received) if more fields are needed.</t>
  </si>
  <si>
    <t xml:space="preserve">amount_&lt;h&gt; on rows where txn_type = 'Credit' and description indicates TDS/TCS credit accepted (pattern configurable).</t>
  </si>
  <si>
    <t xml:space="preserve">Description text for TDS credit rows not catalogued - configure on first real file.</t>
  </si>
  <si>
    <t xml:space="preserve">Catalogue field GSTR8.eco_gstin (1).</t>
  </si>
  <si>
    <t xml:space="preserve">Catalogue field GSTR8.return_period (header).</t>
  </si>
  <si>
    <t xml:space="preserve">tax period of voucher_date, format MMYYYY e.g. '092026'</t>
  </si>
  <si>
    <t xml:space="preserve">pos_state</t>
  </si>
  <si>
    <t xml:space="preserve">First two characters of supplier_gstin (state code), per the rule text "(supplier GSTIN state)".</t>
  </si>
  <si>
    <t xml:space="preserve">net_value</t>
  </si>
  <si>
    <t xml:space="preserve">Catalogue field GSTR8.net_amount_liable (Table 3 col 4).</t>
  </si>
  <si>
    <t xml:space="preserve">Σ taxable_value of invoices with non-blank ecom_gstin minus Σ taxable_value of credit notes on such sales, per ecom_gstin and period.</t>
  </si>
  <si>
    <t xml:space="preserve">Per head: tcs_igst / tcs_cgst / tcs_sgst.</t>
  </si>
  <si>
    <t xml:space="preserve">Field of new document ISD_REG.</t>
  </si>
  <si>
    <t xml:space="preserve">isd</t>
  </si>
  <si>
    <t xml:space="preserve">isd_*</t>
  </si>
  <si>
    <t xml:space="preserve">ISD distributor GSTIN is missing from the catalogue - add as a GSTR2B field.</t>
  </si>
  <si>
    <t xml:space="preserve">isd.docnum</t>
  </si>
  <si>
    <t xml:space="preserve">isd.ctin</t>
  </si>
  <si>
    <t xml:space="preserve">isd_distributor_gstin</t>
  </si>
  <si>
    <t xml:space="preserve">docdata.isd[].ctin - GSTIN of the Input Service Distributor that issued the ISD document; not in catalogue</t>
  </si>
  <si>
    <t xml:space="preserve">isd.itc_h</t>
  </si>
  <si>
    <t xml:space="preserve">igst_amount/cgst_amount/sgst_amount/cess_amount</t>
  </si>
  <si>
    <t xml:space="preserve">per-head ITC of the ISD document (catalogue generic docdata.* amount fields)</t>
  </si>
  <si>
    <t xml:space="preserve">impg</t>
  </si>
  <si>
    <t xml:space="preserve">boe_*</t>
  </si>
  <si>
    <t xml:space="preserve">Rule uses GSTR-2A style keys (benum/bedt/portcd); 2B catalogue keys are boenum/boedt/portcode.</t>
  </si>
  <si>
    <t xml:space="preserve">impg.benum</t>
  </si>
  <si>
    <t xml:space="preserve">catalogue path docdata.impg[].boenum</t>
  </si>
  <si>
    <t xml:space="preserve">impg.bedt</t>
  </si>
  <si>
    <t xml:space="preserve">impg.portcd</t>
  </si>
  <si>
    <t xml:space="preserve">impg.igst</t>
  </si>
  <si>
    <t xml:space="preserve">For import (Bill of Entry) purchase rows, taxable_value holds the assessable value + customs duty base used for IGST.</t>
  </si>
  <si>
    <t xml:space="preserve">claim_period</t>
  </si>
  <si>
    <t xml:space="preserve">Same as itc_claim_period (GSTR-3B period of ITC claim for the import document).</t>
  </si>
  <si>
    <t xml:space="preserve">refdt</t>
  </si>
  <si>
    <t xml:space="preserve">Catalogue field GSTR2B.boe_ref_date (docdata.impg[].refdt).</t>
  </si>
  <si>
    <t xml:space="preserve">PARTY_MASTER.state_code of the customer on the advance receipt voucher (default POS proxy).</t>
  </si>
  <si>
    <t xml:space="preserve">POS for services can differ from customer state; GL has no POS field.</t>
  </si>
  <si>
    <t xml:space="preserve">at</t>
  </si>
  <si>
    <t xml:space="preserve">at_*</t>
  </si>
  <si>
    <t xml:space="preserve">Rule also uses 'GSTR1.at tax_h'; only at_igst exists in catalogue.</t>
  </si>
  <si>
    <t xml:space="preserve">at.pos</t>
  </si>
  <si>
    <t xml:space="preserve">at.rt</t>
  </si>
  <si>
    <t xml:space="preserve">at.ad_amt</t>
  </si>
  <si>
    <t xml:space="preserve">at.tax_h</t>
  </si>
  <si>
    <t xml:space="preserve">IGST only is catalogued; at[].itms[].camt/samt/csamt not catalogued - add on first real file</t>
  </si>
  <si>
    <t xml:space="preserve">Output-GST credited / advance amount excl. tax on the receipt voucher, rounded to the nearest configured GST rate.</t>
  </si>
  <si>
    <t xml:space="preserve">Period of voucher_date - MMYYYY or yyyy-mm per counterpart (see context_dependent).</t>
  </si>
  <si>
    <t xml:space="preserve">RC-GST-039, RC-PAY-005</t>
  </si>
  <si>
    <t xml:space="preserve">Σ credit on ledgers mapped to 'customer advance' in period, less output GST credited in the same receipt vouchers.</t>
  </si>
  <si>
    <t xml:space="preserve">Σ credit on output-GST ledger head h in receipt vouchers posted to 'customer advance' ledgers.</t>
  </si>
  <si>
    <t xml:space="preserve">Σ debit on 'customer advance' ledgers in vouchers adjusting the advance against sales invoices, excl. GST.</t>
  </si>
  <si>
    <t xml:space="preserve">txpd</t>
  </si>
  <si>
    <t xml:space="preserve">txpd_*</t>
  </si>
  <si>
    <t xml:space="preserve">txpd.ad_amt</t>
  </si>
  <si>
    <t xml:space="preserve">Catalogue field CMP08.quarter (header).</t>
  </si>
  <si>
    <t xml:space="preserve">FY quarter of voucher_date (Q1 Apr-Jun, Q2 Jul-Sep, Q3 Oct-Dec, Q4 Jan-Mar), with fy.</t>
  </si>
  <si>
    <t xml:space="preserve">Catalogue field GSTR4.financial_year (header).</t>
  </si>
  <si>
    <t xml:space="preserve">outward_turnover</t>
  </si>
  <si>
    <t xml:space="preserve">Catalogue field CMP08.outward_value (Table 3 row 1).</t>
  </si>
  <si>
    <t xml:space="preserve">Σ taxable_value of outward supply rows (net of credit notes) in the FY quarter.</t>
  </si>
  <si>
    <t xml:space="preserve">tax_h</t>
  </si>
  <si>
    <t xml:space="preserve">Per head: outward_igst / outward_cgst / outward_sgst / outward_cess.</t>
  </si>
  <si>
    <t xml:space="preserve">Catalogue field CMP08.rcm_tax (Table 3 row 2).</t>
  </si>
  <si>
    <t xml:space="preserve">Σ igst + cgst + sgst_utgst + cess where reverse_charge = 'Y' in the FY quarter.</t>
  </si>
  <si>
    <t xml:space="preserve">table5</t>
  </si>
  <si>
    <t xml:space="preserve">t5_*</t>
  </si>
  <si>
    <t xml:space="preserve">Table 5 = summary of CMP-08 statements; compare row by row with Σ CMP08.</t>
  </si>
  <si>
    <t xml:space="preserve">table5.outward_value</t>
  </si>
  <si>
    <t xml:space="preserve">table5.outward_tax</t>
  </si>
  <si>
    <t xml:space="preserve">table5.rcm_value</t>
  </si>
  <si>
    <t xml:space="preserve">table5.rcm_tax</t>
  </si>
  <si>
    <t xml:space="preserve">table5.tax_paid</t>
  </si>
  <si>
    <t xml:space="preserve">table5.interest_paid</t>
  </si>
  <si>
    <t xml:space="preserve">inward</t>
  </si>
  <si>
    <t xml:space="preserve">Σ in_taxable_value and Σ in_igst/in_cgst/in_sgst/in_cess over Table 4 rows, grouped by in_section (4A-4D) for the FY.</t>
  </si>
  <si>
    <t xml:space="preserve">Σ taxable_value of all outward supply rows incl. NIL/EXEMPT/NON_GST/ZERO_RATED supply_class, net of credit notes, for the FY.</t>
  </si>
  <si>
    <t xml:space="preserve">Statutory aggregate-turnover definition (PAN level, exclusions) to be confirmed by CA.</t>
  </si>
  <si>
    <t xml:space="preserve">Catalogue field TDS_LEDGER.party_pan (Party master).</t>
  </si>
  <si>
    <t xml:space="preserve">RC-TDS-001, RC-TDS-002</t>
  </si>
  <si>
    <t xml:space="preserve">Catalogue field TDS_RET_26Q.deductee_pan (26Q DD field 10 (col 415)).</t>
  </si>
  <si>
    <t xml:space="preserve">RC-TDS-001, RC-TDS-005, RC-TDS-006, RC-TDS-009</t>
  </si>
  <si>
    <t xml:space="preserve">Catalogue field TDS_LEDGER.tds_section (Voucher).</t>
  </si>
  <si>
    <t xml:space="preserve">RC-TDS-001, RC-IT-002</t>
  </si>
  <si>
    <t xml:space="preserve">Catalogue field TDS_RET_26Q.section_code (26Q DD field 33 (col 417)).</t>
  </si>
  <si>
    <t xml:space="preserve">RC-TDS-001, RC-TDS-005, RC-TDS-009, RC-IT-009</t>
  </si>
  <si>
    <t xml:space="preserve">credit_or_payment_date</t>
  </si>
  <si>
    <t xml:space="preserve">Catalogue field TDS_LEDGER.voucher_date (Voucher).</t>
  </si>
  <si>
    <t xml:space="preserve">Catalogue: voucher_date = date of credit/payment to party.</t>
  </si>
  <si>
    <t xml:space="preserve">date_of_payment_credit</t>
  </si>
  <si>
    <t xml:space="preserve">Catalogue field TDS_RET_26Q.date_paid_credited (26Q DD field 23 (col 418)).</t>
  </si>
  <si>
    <t xml:space="preserve">RC-TDS-001, RC-TDS-005</t>
  </si>
  <si>
    <t xml:space="preserve">Catalogue field TDS_LEDGER.tds_amount (Voucher).</t>
  </si>
  <si>
    <t xml:space="preserve">Catalogue field TDS_RET_26Q.tax_deducted (26Q DD field 17 (col 420)).</t>
  </si>
  <si>
    <t xml:space="preserve">RC-TDS-001, RC-TDS-006</t>
  </si>
  <si>
    <t xml:space="preserve">Catalogue field TDS_LEDGER.assessable_value (Voucher).</t>
  </si>
  <si>
    <t xml:space="preserve">Catalogue field TDS_RET_26Q.amount_paid_credited (26Q DD field 22 (col 419)).</t>
  </si>
  <si>
    <t xml:space="preserve">RC-TDS-001, RC-TDS-005, RC-TDS-009</t>
  </si>
  <si>
    <t xml:space="preserve">voucher_date of the voucher in which tds_amount is credited to tds_ledger (equals credit date when TDS is booked with the expense).</t>
  </si>
  <si>
    <t xml:space="preserve">date_of_deduction</t>
  </si>
  <si>
    <t xml:space="preserve">Catalogue field TDS_RET_26Q.date_deducted (26Q DD field 24 (col 422)).</t>
  </si>
  <si>
    <t xml:space="preserve">RC-TDS-001, RC-TDS-004, RC-TDS-005</t>
  </si>
  <si>
    <t xml:space="preserve">Catalogue field TDS_LEDGER.tds_rate (Voucher).</t>
  </si>
  <si>
    <t xml:space="preserve">rate_of_deduction</t>
  </si>
  <si>
    <t xml:space="preserve">Catalogue field TDS_RET_26Q.rate_deducted (26Q DD field 26 (col 423)).</t>
  </si>
  <si>
    <t xml:space="preserve">ledger_name of the voucher line whose ledger_group is Sundry Debtors / Sundry Creditors (party ledger), joined to PARTY_MASTER.party_name.</t>
  </si>
  <si>
    <t xml:space="preserve">RC-TDS-002, RC-IT-001, RC-IT-006, RC-IT-010, RC-ACC-005, RC-ACC-009, RC-ACC-011</t>
  </si>
  <si>
    <t xml:space="preserve">Catalogue field TDS_LEDGER.party_ledger (Voucher).</t>
  </si>
  <si>
    <t xml:space="preserve">Catalogue field GL.voucher_no (Voucher).</t>
  </si>
  <si>
    <t xml:space="preserve">RC-TDS-002, RC-IT-010</t>
  </si>
  <si>
    <t xml:space="preserve">source_voucher_no</t>
  </si>
  <si>
    <t xml:space="preserve">Catalogue field TDS_LEDGER.voucher_no (Voucher).</t>
  </si>
  <si>
    <t xml:space="preserve">Catalogue field GL.party_pan (Line).</t>
  </si>
  <si>
    <t xml:space="preserve">RC-TDS-002, RC-TDS-005</t>
  </si>
  <si>
    <t xml:space="preserve">debit on expense-ledger line of the voucher, excluding GST ledger lines, per party (party_id/party_pan).</t>
  </si>
  <si>
    <t xml:space="preserve">Catalogue field TDS_RET_26Q.bsr_code (26Q CD field 16 (col 408)).</t>
  </si>
  <si>
    <t xml:space="preserve">Catalogue field TDS_CHALLAN.bsr_code (Bank).</t>
  </si>
  <si>
    <t xml:space="preserve">Catalogue field TDS_RET_26Q.challan_serial_no (26Q CD field 12/14 (col 409)).</t>
  </si>
  <si>
    <t xml:space="preserve">Catalogue field TDS_CHALLAN.challan_serial_no (Bank).</t>
  </si>
  <si>
    <t xml:space="preserve">Catalogue field TDS_RET_26Q.challan_date (26Q CD field 18 (col 410)).</t>
  </si>
  <si>
    <t xml:space="preserve">Catalogue field TDS_CHALLAN.date_of_deposit (Bank).</t>
  </si>
  <si>
    <t xml:space="preserve">challan_total_amount</t>
  </si>
  <si>
    <t xml:space="preserve">Catalogue field TDS_RET_26Q.challan_total (26Q CD field 27 (col 406)).</t>
  </si>
  <si>
    <t xml:space="preserve">Catalogue field TDS_CHALLAN.amount_total (Amount).</t>
  </si>
  <si>
    <t xml:space="preserve">deductee</t>
  </si>
  <si>
    <t xml:space="preserve">deductee rows</t>
  </si>
  <si>
    <t xml:space="preserve">deductee.total_tax_deposited</t>
  </si>
  <si>
    <t xml:space="preserve">Catalogue field TDS_CHALLAN.amount_tax (Amount).</t>
  </si>
  <si>
    <t xml:space="preserve">Catalogue field TDS_RET_26Q.challan_interest (26Q CD field 25 (col 403)).</t>
  </si>
  <si>
    <t xml:space="preserve">Catalogue field TDS_CHALLAN.amount_interest (Amount).</t>
  </si>
  <si>
    <t xml:space="preserve">Catalogue field TDS_RET_26Q.challan_fee (26Q CD field 39 (col 404)).</t>
  </si>
  <si>
    <t xml:space="preserve">fee_amount</t>
  </si>
  <si>
    <t xml:space="preserve">Catalogue field TDS_CHALLAN.amount_fee (Amount).</t>
  </si>
  <si>
    <t xml:space="preserve">bsr_code (7) + challan_date as ddmmyyyy (8) + challan_serial_no zero-padded to 5.</t>
  </si>
  <si>
    <t xml:space="preserve">RC-TDS-004, RC-TDS-007</t>
  </si>
  <si>
    <t xml:space="preserve">Catalogue field TDS_CHALLAN.cin (Bank).</t>
  </si>
  <si>
    <t xml:space="preserve">ledger</t>
  </si>
  <si>
    <t xml:space="preserve">RC-TDS-005, RC-PAY-005, RC-ACC-006</t>
  </si>
  <si>
    <t xml:space="preserve">Min voucher_date on which the party ledger was credited for the expense (bill_ref / voucher).</t>
  </si>
  <si>
    <t xml:space="preserve">Catalogue field PARTY_MASTER.pan (Row).</t>
  </si>
  <si>
    <t xml:space="preserve">RC-TDS-006, RC-ACC-009</t>
  </si>
  <si>
    <t xml:space="preserve">Catalogue field TDS_RET_26Q.lower_cert_no (26Q DD field 34 (col 425; new forms col N/O/AB/Q)).</t>
  </si>
  <si>
    <t xml:space="preserve">ldc_certificate_no</t>
  </si>
  <si>
    <t xml:space="preserve">Catalogue field PARTY_MASTER.lower_deduction_cert_no (Row).</t>
  </si>
  <si>
    <t xml:space="preserve">reason_code</t>
  </si>
  <si>
    <t xml:space="preserve">Catalogue field TDS_RET_26Q.remark_reason_code (26Q DD field 30 (col 424)).</t>
  </si>
  <si>
    <t xml:space="preserve">Catalogue field TDS_RET_26Q.tan (BH field 13 / Part A).</t>
  </si>
  <si>
    <t xml:space="preserve">RC-TDS-007, RC-TDS-009, RC-IT-009</t>
  </si>
  <si>
    <t xml:space="preserve">Catalogue field TDS_CHALLAN.tan (Header).</t>
  </si>
  <si>
    <t xml:space="preserve">statement_token</t>
  </si>
  <si>
    <t xml:space="preserve">Catalogue field TRACES_JUST.token_no (Header).</t>
  </si>
  <si>
    <t xml:space="preserve">Catalogue field TDS_RET_26Q.token_no (BH field 9/10).</t>
  </si>
  <si>
    <t xml:space="preserve">deductee_row_no</t>
  </si>
  <si>
    <t xml:space="preserve">Catalogue field TRACES_JUST.deductee_record_no (Detail).</t>
  </si>
  <si>
    <t xml:space="preserve">Catalogue field TDS_RET_26Q.deductee_record_no (26Q DD field 5 (col 412)).</t>
  </si>
  <si>
    <t xml:space="preserve">Catalogue field TRACES_JUST.default_type (Detail).</t>
  </si>
  <si>
    <t xml:space="preserve">Catalogue field TRACES_JUST.default_amount (Detail).</t>
  </si>
  <si>
    <t xml:space="preserve">Σ default_amount over all rows of the justification report (before amount_paid_against_default; net_payable is the after-payment figure).</t>
  </si>
  <si>
    <t xml:space="preserve">Catalogue field F16A.deductor_tan (Header).</t>
  </si>
  <si>
    <t xml:space="preserve">Catalogue field F16A.deductee_pan (Header).</t>
  </si>
  <si>
    <t xml:space="preserve">Catalogue field F16A.quarter (Summary of payment).</t>
  </si>
  <si>
    <t xml:space="preserve">Catalogue field TDS_RET_26Q.quarter (BH field 18).</t>
  </si>
  <si>
    <t xml:space="preserve">Catalogue field F16A.nature_of_payment (Summary of payment).</t>
  </si>
  <si>
    <t xml:space="preserve">Catalogue format: section code.</t>
  </si>
  <si>
    <t xml:space="preserve">Catalogue field F16A.amount_paid_credited (Summary of payment).</t>
  </si>
  <si>
    <t xml:space="preserve">Catalogue field F16A.tax_deposited (Summary).</t>
  </si>
  <si>
    <t xml:space="preserve">total_tax_deposited</t>
  </si>
  <si>
    <t xml:space="preserve">Catalogue field TDS_RET_26Q.tax_deposited (26Q DD field 19 (col 421)).</t>
  </si>
  <si>
    <t xml:space="preserve">Catalogue field PAYROLL_REG.pan (Employee).</t>
  </si>
  <si>
    <t xml:space="preserve">Catalogue field TDS_RET_24Q.deductee_pan (24Q DD field 10 (col 415)).</t>
  </si>
  <si>
    <t xml:space="preserve">calendar month of payment_date, format 'yyyy-mm'; fallback wage_month when payment_date blank.</t>
  </si>
  <si>
    <t xml:space="preserve">Catalogue field TDS_RET_24Q.date_paid_credited (24Q DD field 23 (col 418)).</t>
  </si>
  <si>
    <t xml:space="preserve">tds</t>
  </si>
  <si>
    <t xml:space="preserve">Catalogue field PAYROLL_REG.tds_salary (Deductions).</t>
  </si>
  <si>
    <t xml:space="preserve">Catalogue field TDS_RET_24Q.tax_deducted (24Q DD field 17 (col 420)).</t>
  </si>
  <si>
    <t xml:space="preserve">gross_salary</t>
  </si>
  <si>
    <t xml:space="preserve">Catalogue field PAYROLL_REG.gross_earnings (Earnings).</t>
  </si>
  <si>
    <t xml:space="preserve">Monthly gross; taxable salary may differ (perquisites/exempt allowances).</t>
  </si>
  <si>
    <t xml:space="preserve">Catalogue field TDS_RET_24Q.amount_paid_credited (24Q DD field 22 (col 419)).</t>
  </si>
  <si>
    <t xml:space="preserve">annex2</t>
  </si>
  <si>
    <t xml:space="preserve">sd_*</t>
  </si>
  <si>
    <t xml:space="preserve">annex2.employee_pan</t>
  </si>
  <si>
    <t xml:space="preserve">annex2.gross_salary</t>
  </si>
  <si>
    <t xml:space="preserve">annex2.exempt_s10</t>
  </si>
  <si>
    <t xml:space="preserve">annex2.standard_deduction</t>
  </si>
  <si>
    <t xml:space="preserve">annex2.chapter_via</t>
  </si>
  <si>
    <t xml:space="preserve">annex2.total_taxable_income</t>
  </si>
  <si>
    <t xml:space="preserve">annex2.net_tax_payable</t>
  </si>
  <si>
    <t xml:space="preserve">annex2.total_tds</t>
  </si>
  <si>
    <t xml:space="preserve">annex2.regime</t>
  </si>
  <si>
    <t xml:space="preserve">opt-out flag; regime = OLD if Y else NEW</t>
  </si>
  <si>
    <t xml:space="preserve">Catalogue field F16_PARTB.sd_employee_pan (Form 16 Part B / Form 130 Part C Annexure-I).</t>
  </si>
  <si>
    <t xml:space="preserve">Catalogue field F16_PARTB.sd_gross_salary_total (Form 16 Part B / Form 130 Part C Annexure-I).</t>
  </si>
  <si>
    <t xml:space="preserve">Σ gross_earnings over wage_month in the FY for the employee (pan).</t>
  </si>
  <si>
    <t xml:space="preserve">exempt_s10</t>
  </si>
  <si>
    <t xml:space="preserve">Catalogue field F16_PARTB.sd_exemptions_s10 (Form 16 Part B / Form 130 Part C Annexure-I).</t>
  </si>
  <si>
    <t xml:space="preserve">standard_deduction</t>
  </si>
  <si>
    <t xml:space="preserve">Catalogue field F16_PARTB.sd_standard_deduction (Form 16 Part B / Form 130 Part C Annexure-I).</t>
  </si>
  <si>
    <t xml:space="preserve">chapter_via</t>
  </si>
  <si>
    <t xml:space="preserve">Catalogue field F16_PARTB.sd_chapter_via_total (Form 16 Part B / Form 130 Part C Annexure-I).</t>
  </si>
  <si>
    <t xml:space="preserve">total_taxable_income</t>
  </si>
  <si>
    <t xml:space="preserve">Catalogue field F16_PARTB.sd_total_taxable_income (Form 16 Part B / Form 130 Part C Annexure-I).</t>
  </si>
  <si>
    <t xml:space="preserve">net_tax_payable</t>
  </si>
  <si>
    <t xml:space="preserve">Catalogue field F16_PARTB.sd_net_tax_payable (Form 16 Part B / Form 130 Part C Annexure-I).</t>
  </si>
  <si>
    <t xml:space="preserve">total_tds</t>
  </si>
  <si>
    <t xml:space="preserve">Catalogue field F16_PARTB.sd_tds_current_employer (Form 16 Part B / Form 130 Part C Annexure-I).</t>
  </si>
  <si>
    <t xml:space="preserve">Rule compares with Σ annexure-I TDS of this employer; previous-employer TDS (sd_tds_previous_employer) excluded.</t>
  </si>
  <si>
    <t xml:space="preserve">regime</t>
  </si>
  <si>
    <t xml:space="preserve">buyer_pan</t>
  </si>
  <si>
    <t xml:space="preserve">Catalogue field SALES_REG.party_pan (Party master).</t>
  </si>
  <si>
    <t xml:space="preserve">Catalogue field TCS_RET_27EQ.collectee_pan (27EQ DD (collectee detail)).</t>
  </si>
  <si>
    <t xml:space="preserve">collection_code</t>
  </si>
  <si>
    <t xml:space="preserve">Catalogue field TCS_RET_27EQ.tcs_collection_code (27EQ DD).</t>
  </si>
  <si>
    <t xml:space="preserve">date_of_collection</t>
  </si>
  <si>
    <t xml:space="preserve">Catalogue field TCS_RET_27EQ.date_deducted (27EQ DD field 24 (col 422)).</t>
  </si>
  <si>
    <t xml:space="preserve">Label 'Date on which tax Deducted / Collected'.</t>
  </si>
  <si>
    <t xml:space="preserve">Catalogue field SALES_REG.tcs_amount (Tax).</t>
  </si>
  <si>
    <t xml:space="preserve">tax_collected</t>
  </si>
  <si>
    <t xml:space="preserve">Catalogue field TCS_RET_27EQ.tax_deducted (27EQ DD field 17 (col 420)).</t>
  </si>
  <si>
    <t xml:space="preserve">Catalogue field TCS_RET_27EQ.tax_deposited (27EQ DD field 19 (col 421)).</t>
  </si>
  <si>
    <t xml:space="preserve">Catalogue field F26AS.deductor_tan (Part I/II/VI summary).</t>
  </si>
  <si>
    <t xml:space="preserve">RC-IT-001, RC-IT-002, RC-BNK-003, RC-BNK-004</t>
  </si>
  <si>
    <t xml:space="preserve">customer_tan</t>
  </si>
  <si>
    <t xml:space="preserve">Catalogue field PARTY_MASTER.tan (Row).</t>
  </si>
  <si>
    <t xml:space="preserve">Catalogue field F26AS.section_code (Part I/II/VI transaction).</t>
  </si>
  <si>
    <t xml:space="preserve">RC-IT-001, RC-IT-002, RC-BNK-004</t>
  </si>
  <si>
    <t xml:space="preserve">income_ledger</t>
  </si>
  <si>
    <t xml:space="preserve">Catalogue field F26AS.amount_paid_credited (Part I/II/VI transaction).</t>
  </si>
  <si>
    <t xml:space="preserve">RC-IT-001, RC-BNK-003</t>
  </si>
  <si>
    <t xml:space="preserve">Σ credit - debit on income ledgers for the party, excluding GST ledger lines.</t>
  </si>
  <si>
    <t xml:space="preserve">income_booked + output-GST ledger credits in the same vouchers.</t>
  </si>
  <si>
    <t xml:space="preserve">Catalogue field TDS_LEDGER.tds_receivable_deductor_tan (TDS receivable ledger).</t>
  </si>
  <si>
    <t xml:space="preserve">schedule_tds</t>
  </si>
  <si>
    <t xml:space="preserve">tds2_*</t>
  </si>
  <si>
    <t xml:space="preserve">schedule_tds.tan</t>
  </si>
  <si>
    <t xml:space="preserve">schedule_tds.claimed_this_year</t>
  </si>
  <si>
    <t xml:space="preserve">schedule_tds.gross_amount</t>
  </si>
  <si>
    <t xml:space="preserve">Catalogue field F26AS.tds_deposited (Part I/II/VI transaction).</t>
  </si>
  <si>
    <t xml:space="preserve">Σ debit - credit on TDS-receivable ledger rows grouped by tds_receivable_deductor_tan (and tds_section) for the FY.</t>
  </si>
  <si>
    <t xml:space="preserve">sft_code</t>
  </si>
  <si>
    <t xml:space="preserve">Catalogue field AIS.information_code (Part B).</t>
  </si>
  <si>
    <t xml:space="preserve">Catalogue field GL.ledger_group (Ledger master).</t>
  </si>
  <si>
    <t xml:space="preserve">account_reference</t>
  </si>
  <si>
    <t xml:space="preserve">Catalogue field AIS.account_number (SFT detail (interest/deposits)).</t>
  </si>
  <si>
    <t xml:space="preserve">RC-IT-003, RC-BNK-005</t>
  </si>
  <si>
    <t xml:space="preserve">BANK_BOOK.account_no where BANK_BOOK.bank_ledger = GL.ledger_name.</t>
  </si>
  <si>
    <t xml:space="preserve">Catalogue field AIS.txn_date (Part B transaction detail).</t>
  </si>
  <si>
    <t xml:space="preserve">Catalogue field GL.voucher_date (Voucher).</t>
  </si>
  <si>
    <t xml:space="preserve">RC-IT-003, RC-BNK-002, RC-ACC-011</t>
  </si>
  <si>
    <t xml:space="preserve">Catalogue field AIS.reported_value (Part B).</t>
  </si>
  <si>
    <t xml:space="preserve">Use modified_value where taxpayer feedback has been given.</t>
  </si>
  <si>
    <t xml:space="preserve">debit - credit of the GL line (signed; use abs() when matching gross amounts).</t>
  </si>
  <si>
    <t xml:space="preserve">Σ reported_value for information_code values mapped to interest income in the configurable AIS-code map.</t>
  </si>
  <si>
    <t xml:space="preserve">schedule_os</t>
  </si>
  <si>
    <t xml:space="preserve">property_value</t>
  </si>
  <si>
    <t xml:space="preserve">Σ reported_value for information_code values mapped to immovable-property transactions in the configurable AIS-code map.</t>
  </si>
  <si>
    <t xml:space="preserve">Σ debit on fixed-asset ledgers mapped to immovable property (FY).</t>
  </si>
  <si>
    <t xml:space="preserve">schedule_cg</t>
  </si>
  <si>
    <t xml:space="preserve">Catalogue field TIS.information_category (Summary).</t>
  </si>
  <si>
    <t xml:space="preserve">schedule_field</t>
  </si>
  <si>
    <t xml:space="preserve">ITR JSON field path selected by the configurable TIS-category -&gt; ITR-field mapping table (lookup on TIS.information_category).</t>
  </si>
  <si>
    <t xml:space="preserve">Catalogue field TIS.derived_value (Summary).</t>
  </si>
  <si>
    <t xml:space="preserve">mapped_value</t>
  </si>
  <si>
    <t xml:space="preserve">Value of the ITR field at itr_field_path.</t>
  </si>
  <si>
    <t xml:space="preserve">Catalogue field ADV_TAX_CHALLAN.bsr_code (Bank).</t>
  </si>
  <si>
    <t xml:space="preserve">schedule_it</t>
  </si>
  <si>
    <t xml:space="preserve">it_*</t>
  </si>
  <si>
    <t xml:space="preserve">schedule_it.amount</t>
  </si>
  <si>
    <t xml:space="preserve">schedule_it.bsr_code</t>
  </si>
  <si>
    <t xml:space="preserve">schedule_it.challan_serial_no</t>
  </si>
  <si>
    <t xml:space="preserve">schedule_it.date_of_deposit</t>
  </si>
  <si>
    <t xml:space="preserve">Catalogue field ADV_TAX_CHALLAN.challan_serial_no (Bank).</t>
  </si>
  <si>
    <t xml:space="preserve">Catalogue field ADV_TAX_CHALLAN.date_of_deposit (Bank).</t>
  </si>
  <si>
    <t xml:space="preserve">Catalogue field ADV_TAX_CHALLAN.cin (Bank).</t>
  </si>
  <si>
    <t xml:space="preserve">part_c</t>
  </si>
  <si>
    <t xml:space="preserve">Which part_code number the old Part C corresponds to is not in the catalogue - confirm.</t>
  </si>
  <si>
    <t xml:space="preserve">part_c.cin</t>
  </si>
  <si>
    <t xml:space="preserve">taxpaid_cin</t>
  </si>
  <si>
    <t xml:space="preserve">Challan identification (BSR code + deposit date + challan serial) of a tax-paid (other than TDS/TCS) row</t>
  </si>
  <si>
    <t xml:space="preserve">part_c.amount</t>
  </si>
  <si>
    <t xml:space="preserve">taxpaid_amount</t>
  </si>
  <si>
    <t xml:space="preserve">Amount of the tax-paid (other than TDS/TCS) row</t>
  </si>
  <si>
    <t xml:space="preserve">Catalogue field ADV_TAX_CHALLAN.amount_total (Amount).</t>
  </si>
  <si>
    <t xml:space="preserve">Catalogue field ADV_TAX_CHALLAN.minor_head (Header).</t>
  </si>
  <si>
    <t xml:space="preserve">Catalogue field ADV_TAX_CHALLAN.assessment_year (Header).</t>
  </si>
  <si>
    <t xml:space="preserve">collector_tan</t>
  </si>
  <si>
    <t xml:space="preserve">Filter part_code = 'VI' (TCS); catalogue uses deductor_tan for the collector too.</t>
  </si>
  <si>
    <t xml:space="preserve">vendor_tan</t>
  </si>
  <si>
    <t xml:space="preserve">schedule_tcs</t>
  </si>
  <si>
    <t xml:space="preserve">tcs_*</t>
  </si>
  <si>
    <t xml:space="preserve">schedule_tcs.tan</t>
  </si>
  <si>
    <t xml:space="preserve">schedule_tcs.claimed</t>
  </si>
  <si>
    <t xml:space="preserve">tcs</t>
  </si>
  <si>
    <t xml:space="preserve">Rows with part_code = 'VI' (TCS); deposited amount is the creditable figure.</t>
  </si>
  <si>
    <t xml:space="preserve">Σ debit - credit on TCS-receivable ledgers per party (FY).</t>
  </si>
  <si>
    <t xml:space="preserve">Entity PAN: FS.entity_pan, or gstin_branch[2:12].</t>
  </si>
  <si>
    <t xml:space="preserve">Characters 3-12 of gstin (gstin[2:12]); used to aggregate all GSTINs of one PAN.</t>
  </si>
  <si>
    <t xml:space="preserve">Indian financial year (1 Apr - 31 Mar) containing return_period (MMYYYY), format 'YYYY-YY' e.g. '2025-26'</t>
  </si>
  <si>
    <t xml:space="preserve">ay</t>
  </si>
  <si>
    <t xml:space="preserve">Catalogue field ITR.assessment_year (Form header).</t>
  </si>
  <si>
    <t xml:space="preserve">Σ closing_balance of ledgers whose fs_head = revenue from operations (ledger mapping configurable).</t>
  </si>
  <si>
    <t xml:space="preserve">t31a_txval + t31b_txval + t31c_txval + t31e_txval (as specified in RC-IT-007).</t>
  </si>
  <si>
    <t xml:space="preserve">gross_turnover</t>
  </si>
  <si>
    <t xml:space="preserve">Catalogue field ITR.bp_turnover_gross_receipts (Schedule BP / Part A-P&amp;L / 44AD block).</t>
  </si>
  <si>
    <t xml:space="preserve">turnover</t>
  </si>
  <si>
    <t xml:space="preserve">Clause number to be confirmed against the current 3CD schema.</t>
  </si>
  <si>
    <t xml:space="preserve">cl26</t>
  </si>
  <si>
    <t xml:space="preserve">cl26_*</t>
  </si>
  <si>
    <t xml:space="preserve">Catalogue has only cl26_amount_outstanding.</t>
  </si>
  <si>
    <t xml:space="preserve">cl26.category</t>
  </si>
  <si>
    <t xml:space="preserve">cl26.pre_existing_paid</t>
  </si>
  <si>
    <t xml:space="preserve">cl26_pre_existing_paid</t>
  </si>
  <si>
    <t xml:space="preserve">Clause 26 - pre-existing liability paid during the year; not catalogued</t>
  </si>
  <si>
    <t xml:space="preserve">cl26.incurred_paid_by_due_date</t>
  </si>
  <si>
    <t xml:space="preserve">cl26_incurred_paid_by_due_date</t>
  </si>
  <si>
    <t xml:space="preserve">Clause 26 - liability incurred in the year and paid on/before due date of return; not catalogued</t>
  </si>
  <si>
    <t xml:space="preserve">cl26.not_paid</t>
  </si>
  <si>
    <t xml:space="preserve">cl26_not_paid</t>
  </si>
  <si>
    <t xml:space="preserve">Clause 26 - liability incurred in the year and not paid by due date; not catalogued</t>
  </si>
  <si>
    <t xml:space="preserve">Catalogue field TB.ledger_name (Row).</t>
  </si>
  <si>
    <t xml:space="preserve">RC-IT-008, RC-PAY-008, RC-BNK-006, RC-ACC-006</t>
  </si>
  <si>
    <t xml:space="preserve">cl34a</t>
  </si>
  <si>
    <t xml:space="preserve">cl34a_*</t>
  </si>
  <si>
    <t xml:space="preserve">cl34a.tan</t>
  </si>
  <si>
    <t xml:space="preserve">cl34a.section</t>
  </si>
  <si>
    <t xml:space="preserve">cl34a.total_amount_paid</t>
  </si>
  <si>
    <t xml:space="preserve">cl34a.amount_liable</t>
  </si>
  <si>
    <t xml:space="preserve">cl34a.tax_deducted</t>
  </si>
  <si>
    <t xml:space="preserve">cl34a_tax_deducted_total</t>
  </si>
  <si>
    <t xml:space="preserve">cl34a_tax_deducted_at_rate + cl34a_tax_deducted_less_rate</t>
  </si>
  <si>
    <t xml:space="preserve">cl34a.not_deducted</t>
  </si>
  <si>
    <t xml:space="preserve">cl34a_amount_not_deducted</t>
  </si>
  <si>
    <t xml:space="preserve">cl34a_amount_required_tds - cl34a_amount_tds_at_rate - cl34a_amount_tds_less_rate</t>
  </si>
  <si>
    <t xml:space="preserve">cl34b</t>
  </si>
  <si>
    <t xml:space="preserve">cl34b_*</t>
  </si>
  <si>
    <t xml:space="preserve">Quarter column of clause 34(b) not catalogued - add cl34b_quarter.</t>
  </si>
  <si>
    <t xml:space="preserve">cl34b.filing_date</t>
  </si>
  <si>
    <t xml:space="preserve">cl34b.form_quarter</t>
  </si>
  <si>
    <t xml:space="preserve">cl34b_form_quarter</t>
  </si>
  <si>
    <t xml:space="preserve">cl34b_form_type + '|' + quarter of the row (quarter needs new field cl34b_quarter)</t>
  </si>
  <si>
    <t xml:space="preserve">form_no + '|' + quarter (e.g. '26Q|Q2').</t>
  </si>
  <si>
    <t xml:space="preserve">cl34c</t>
  </si>
  <si>
    <t xml:space="preserve">cl34c_*</t>
  </si>
  <si>
    <t xml:space="preserve">cl34c.interest_payable</t>
  </si>
  <si>
    <t xml:space="preserve">Catalogue field PARTY_MASTER.party_name (Row).</t>
  </si>
  <si>
    <t xml:space="preserve">RC-IT-010, RC-ACC-005, RC-ACC-009</t>
  </si>
  <si>
    <t xml:space="preserve">Ledger name as cross-document party key (GL has no party code); party_code kept as internal key.</t>
  </si>
  <si>
    <t xml:space="preserve">Catalogue field PURCH_REG.voucher_no (Voucher).</t>
  </si>
  <si>
    <t xml:space="preserve">cl44</t>
  </si>
  <si>
    <t xml:space="preserve">cl44_*</t>
  </si>
  <si>
    <t xml:space="preserve">cl44.col2_total</t>
  </si>
  <si>
    <t xml:space="preserve">cl22</t>
  </si>
  <si>
    <t xml:space="preserve">cl22_*</t>
  </si>
  <si>
    <t xml:space="preserve">Catalogue has a single cl22 amount; 3CD clause 22 sub-columns need to be added from the e-filing schema.</t>
  </si>
  <si>
    <t xml:space="preserve">cl22.item</t>
  </si>
  <si>
    <t xml:space="preserve">cl22_item_key</t>
  </si>
  <si>
    <t xml:space="preserve">Row key of clause 22 (MSME vendor / item) used to pair with computed items</t>
  </si>
  <si>
    <t xml:space="preserve">cl22.interest_inadmissible</t>
  </si>
  <si>
    <t xml:space="preserve">catalogue label combines 43B(h) amount and MSMED s.23 interest</t>
  </si>
  <si>
    <t xml:space="preserve">cl22.amount_payable</t>
  </si>
  <si>
    <t xml:space="preserve">cl22_amount_payable</t>
  </si>
  <si>
    <t xml:space="preserve">Amount payable to micro/small enterprise reported in clause 22; not catalogued</t>
  </si>
  <si>
    <t xml:space="preserve">cl22.paid_within</t>
  </si>
  <si>
    <t xml:space="preserve">cl22_paid_within_limit</t>
  </si>
  <si>
    <t xml:space="preserve">Of the above, amount paid within the MSMED time limit; not catalogued</t>
  </si>
  <si>
    <t xml:space="preserve">cl22.not_paid_within</t>
  </si>
  <si>
    <t xml:space="preserve">cl22_not_paid_within_limit</t>
  </si>
  <si>
    <t xml:space="preserve">Amount not paid within the time limit (43B(h) inadmissible); not catalogued</t>
  </si>
  <si>
    <t xml:space="preserve">cl21</t>
  </si>
  <si>
    <t xml:space="preserve">Line-item key of clause 21 rows.</t>
  </si>
  <si>
    <t xml:space="preserve">cl21.item</t>
  </si>
  <si>
    <t xml:space="preserve">cl21_item_key</t>
  </si>
  <si>
    <t xml:space="preserve">Sub-clause code + particulars of the reported row (e.g. '21b|&lt;payee&gt;|&lt;nature&gt;'), used to pair with computed items</t>
  </si>
  <si>
    <t xml:space="preserve">cl21b</t>
  </si>
  <si>
    <t xml:space="preserve">cl21b_*</t>
  </si>
  <si>
    <t xml:space="preserve">cl21b.amount</t>
  </si>
  <si>
    <t xml:space="preserve">cl21d</t>
  </si>
  <si>
    <t xml:space="preserve">cl21d_*</t>
  </si>
  <si>
    <t xml:space="preserve">cl21d.amount</t>
  </si>
  <si>
    <t xml:space="preserve">cl21a</t>
  </si>
  <si>
    <t xml:space="preserve">cl21a.penalty</t>
  </si>
  <si>
    <t xml:space="preserve">cl21a_penalty_amount</t>
  </si>
  <si>
    <t xml:space="preserve">Clause 21(a) rows for penalty/fine type expenditure - amount reported; not catalogued</t>
  </si>
  <si>
    <t xml:space="preserve">vendor_id</t>
  </si>
  <si>
    <t xml:space="preserve">Catalogue field CREDITORS_AGEING.party_pan (Row).</t>
  </si>
  <si>
    <t xml:space="preserve">RC-IT-013, RC-ACC-008</t>
  </si>
  <si>
    <t xml:space="preserve">Join to MSME_VENDOR_MASTER on PAN (fallback party_gstin vs vendor_gstin).</t>
  </si>
  <si>
    <t xml:space="preserve">Catalogue field MSME_VENDOR_MASTER.vendor_pan (Row).</t>
  </si>
  <si>
    <t xml:space="preserve">PAN used as cross-document vendor key; vendor_code where the ageing export carries codes.</t>
  </si>
  <si>
    <t xml:space="preserve">Catalogue field CREDITORS_AGEING.bill_ref (Row).</t>
  </si>
  <si>
    <t xml:space="preserve">payment_allocation</t>
  </si>
  <si>
    <t xml:space="preserve">payment_allocation.invoice_no</t>
  </si>
  <si>
    <t xml:space="preserve">bill reference of each allocation line</t>
  </si>
  <si>
    <t xml:space="preserve">outstanding</t>
  </si>
  <si>
    <t xml:space="preserve">Catalogue field CREDITORS_AGEING.pending_amount (Row).</t>
  </si>
  <si>
    <t xml:space="preserve">Σ allocation amounts for the bill_ref with voucher_date &lt;= MSMED s.15 due date computed by the rule engine from CREDITORS_AGEING.acceptance_date / bill_date and agreed_credit_days.</t>
  </si>
  <si>
    <t xml:space="preserve">Catalogue field PAYROLL_REG.uan (Employee).</t>
  </si>
  <si>
    <t xml:space="preserve">Catalogue field ECR.uan (ECR 2.0 field 1).</t>
  </si>
  <si>
    <t xml:space="preserve">Catalogue field PAYROLL_REG.wage_month (Header).</t>
  </si>
  <si>
    <t xml:space="preserve">RC-PAY-001, RC-PAY-003, RC-PAY-006, RC-PAY-007</t>
  </si>
  <si>
    <t xml:space="preserve">Catalogue field ECR.wage_month (Upload metadata).</t>
  </si>
  <si>
    <t xml:space="preserve">gross</t>
  </si>
  <si>
    <t xml:space="preserve">RC-PAY-001, RC-PAY-005</t>
  </si>
  <si>
    <t xml:space="preserve">Catalogue field ECR.gross_wages (ECR 2.0 field 3).</t>
  </si>
  <si>
    <t xml:space="preserve">Catalogue field PAYROLL_REG.pf_wages (Wage base).</t>
  </si>
  <si>
    <t xml:space="preserve">Catalogue field ECR.epf_wages (ECR 2.0 field 4).</t>
  </si>
  <si>
    <t xml:space="preserve">Catalogue field PAYROLL_REG.eps_wages (Wage base).</t>
  </si>
  <si>
    <t xml:space="preserve">Catalogue field ECR.eps_wages (ECR 2.0 field 5).</t>
  </si>
  <si>
    <t xml:space="preserve">Catalogue field PAYROLL_REG.edli_wages (Wage base).</t>
  </si>
  <si>
    <t xml:space="preserve">Catalogue field ECR.edli_wages (ECR 2.0 field 6).</t>
  </si>
  <si>
    <t xml:space="preserve">RC-PAY-001, RC-PAY-002</t>
  </si>
  <si>
    <t xml:space="preserve">Catalogue field PAYROLL_REG.ee_pf (Deductions).</t>
  </si>
  <si>
    <t xml:space="preserve">ee_share</t>
  </si>
  <si>
    <t xml:space="preserve">Catalogue field ECR.ee_share_remitted (ECR 2.0 field 7).</t>
  </si>
  <si>
    <t xml:space="preserve">eps</t>
  </si>
  <si>
    <t xml:space="preserve">Catalogue field PAYROLL_REG.er_eps (Employer).</t>
  </si>
  <si>
    <t xml:space="preserve">eps_contribution</t>
  </si>
  <si>
    <t xml:space="preserve">Catalogue field ECR.eps_contribution_remitted (ECR 2.0 field 8).</t>
  </si>
  <si>
    <t xml:space="preserve">er_epf</t>
  </si>
  <si>
    <t xml:space="preserve">Catalogue field PAYROLL_REG.er_epf_diff (Employer).</t>
  </si>
  <si>
    <t xml:space="preserve">er_share</t>
  </si>
  <si>
    <t xml:space="preserve">Catalogue field ECR.er_share_remitted (ECR 2.0 field 9).</t>
  </si>
  <si>
    <t xml:space="preserve">Catalogue field PAYROLL_REG.lop_days (Attendance).</t>
  </si>
  <si>
    <t xml:space="preserve">Catalogue: lop_days = ECR NCP days.</t>
  </si>
  <si>
    <t xml:space="preserve">Catalogue field ECR.ncp_days (ECR 2.0 field 10).</t>
  </si>
  <si>
    <t xml:space="preserve">Catalogue field ECR.trrn (Upload metadata).</t>
  </si>
  <si>
    <t xml:space="preserve">Catalogue field EPF_CHALLAN.trrn (Header).</t>
  </si>
  <si>
    <t xml:space="preserve">Catalogue field EPF_CHALLAN.wage_month (Header).</t>
  </si>
  <si>
    <t xml:space="preserve">crn_or_amount</t>
  </si>
  <si>
    <t xml:space="preserve">Catalogue field EPF_CHALLAN.crn (Payment receipt).</t>
  </si>
  <si>
    <t xml:space="preserve">Fallback match on grand_total when the bank narration lacks the CRN.</t>
  </si>
  <si>
    <t xml:space="preserve">coalesce(utr, cheque_ref_no, reference parsed from description (CRN/TRRN regex)).</t>
  </si>
  <si>
    <t xml:space="preserve">ac1</t>
  </si>
  <si>
    <t xml:space="preserve">ac01_employer + ac01_employee.</t>
  </si>
  <si>
    <t xml:space="preserve">ac10</t>
  </si>
  <si>
    <t xml:space="preserve">Catalogue field EPF_CHALLAN.ac10_employer (Account head table).</t>
  </si>
  <si>
    <t xml:space="preserve">ac21</t>
  </si>
  <si>
    <t xml:space="preserve">Catalogue field EPF_CHALLAN.ac21_employer (Account head table).</t>
  </si>
  <si>
    <t xml:space="preserve">ac2</t>
  </si>
  <si>
    <t xml:space="preserve">Catalogue field EPF_CHALLAN.ac02_admin (Account head table).</t>
  </si>
  <si>
    <t xml:space="preserve">Catalogue field EPF_CHALLAN.payment_date (Payment receipt).</t>
  </si>
  <si>
    <t xml:space="preserve">Catalogue field BANK_STMT.value_date (Line).</t>
  </si>
  <si>
    <t xml:space="preserve">Catalogue field PAYROLL_REG.esic_ip_no (Employee).</t>
  </si>
  <si>
    <t xml:space="preserve">Catalogue field ESIC_RET.ip_number (Row).</t>
  </si>
  <si>
    <t xml:space="preserve">Catalogue field ESIC_RET.contribution_month (Header).</t>
  </si>
  <si>
    <t xml:space="preserve">Catalogue field ESIC_CHALLAN.contribution_period (Header).</t>
  </si>
  <si>
    <t xml:space="preserve">Catalogue field PAYROLL_REG.esi_wages (Wage base).</t>
  </si>
  <si>
    <t xml:space="preserve">Catalogue field ESIC_RET.total_monthly_wages (Row).</t>
  </si>
  <si>
    <t xml:space="preserve">days_paid</t>
  </si>
  <si>
    <t xml:space="preserve">Catalogue field PAYROLL_REG.paid_days (Attendance).</t>
  </si>
  <si>
    <t xml:space="preserve">Catalogue field ESIC_RET.no_of_days (Row).</t>
  </si>
  <si>
    <t xml:space="preserve">Catalogue field PAYROLL_REG.ee_esi (Deductions).</t>
  </si>
  <si>
    <t xml:space="preserve">Catalogue field ESIC_CHALLAN.amount (Amount).</t>
  </si>
  <si>
    <t xml:space="preserve">Catalogue field ESIC_CHALLAN.payment_date (Payment).</t>
  </si>
  <si>
    <t xml:space="preserve">Catalogue field PAYROLL_REG.state_of_work (Employee).</t>
  </si>
  <si>
    <t xml:space="preserve">Catalogue field PT_RET.state (Header).</t>
  </si>
  <si>
    <t xml:space="preserve">Catalogue field PT_RET.registration_no (Header).</t>
  </si>
  <si>
    <t xml:space="preserve">RC-PAY-004, RC-PAY-005</t>
  </si>
  <si>
    <t xml:space="preserve">calendar month of period_from, format 'yyyy-mm' (for monthly returns; for longer periods the range period_from..period_to).</t>
  </si>
  <si>
    <t xml:space="preserve">pt_deducted</t>
  </si>
  <si>
    <t xml:space="preserve">Catalogue field PAYROLL_REG.pt (Deductions).</t>
  </si>
  <si>
    <t xml:space="preserve">slab_tax</t>
  </si>
  <si>
    <t xml:space="preserve">Catalogue field PT_RET.tax_amount (Slab table).</t>
  </si>
  <si>
    <t xml:space="preserve">total</t>
  </si>
  <si>
    <t xml:space="preserve">Catalogue field PT_RET.total_tax_payable (Summary).</t>
  </si>
  <si>
    <t xml:space="preserve">Catalogue field PT_CHALLAN.total_amount (Amount).</t>
  </si>
  <si>
    <t xml:space="preserve">Catalogue field PT_CHALLAN.payment_date (Payment).</t>
  </si>
  <si>
    <t xml:space="preserve">Σ debit - credit on ledgers mapped to payroll component 'salary expense' in period.</t>
  </si>
  <si>
    <t xml:space="preserve">Σ credit on ledgers mapped to 'PF payable' in period.</t>
  </si>
  <si>
    <t xml:space="preserve">Σ credit on ledgers mapped to 'ESI payable' in period.</t>
  </si>
  <si>
    <t xml:space="preserve">Σ credit on ledgers mapped to 'PT payable' in period.</t>
  </si>
  <si>
    <t xml:space="preserve">Σ credit on ledgers mapped to 'TDS on salary payable' in period.</t>
  </si>
  <si>
    <t xml:space="preserve">Σ credit on ledgers mapped to 'salary payable' in period.</t>
  </si>
  <si>
    <t xml:space="preserve">closing_balance of ledger mapped to 'provision for gratuity' (ledger mapping configurable).</t>
  </si>
  <si>
    <t xml:space="preserve">closing_balance of ledger mapped to 'provision for bonus' (ledger mapping configurable).</t>
  </si>
  <si>
    <t xml:space="preserve">Catalogue field BANK_STMT.utr (Line).</t>
  </si>
  <si>
    <t xml:space="preserve">instrument_no where transaction_type = 'e-Fund Transfer'; else UTR parsed from narration (regex).</t>
  </si>
  <si>
    <t xml:space="preserve">cheque_no</t>
  </si>
  <si>
    <t xml:space="preserve">Catalogue field BANK_STMT.cheque_ref_no (Line).</t>
  </si>
  <si>
    <t xml:space="preserve">Catalogue field BANK_BOOK.instrument_no (Line).</t>
  </si>
  <si>
    <t xml:space="preserve">credit - debit (positive = money into bank).</t>
  </si>
  <si>
    <t xml:space="preserve">RC-BNK-001, RC-BNK-002, RC-ACC-010</t>
  </si>
  <si>
    <t xml:space="preserve">debit - credit (positive = money into bank, matching BANK_STMT.amount sign).</t>
  </si>
  <si>
    <t xml:space="preserve">Catalogue field BANK_STMT.txn_date (Line).</t>
  </si>
  <si>
    <t xml:space="preserve">Catalogue field BANK_BOOK.voucher_date (Line).</t>
  </si>
  <si>
    <t xml:space="preserve">Catalogue field BANK_STMT.closing_balance (Header).</t>
  </si>
  <si>
    <t xml:space="preserve">RC-BNK-001, RC-BNK-006</t>
  </si>
  <si>
    <t xml:space="preserve">TB opening_balance of bank_ledger + Σ(debit - credit) up to the date.</t>
  </si>
  <si>
    <t xml:space="preserve">bank_gstin</t>
  </si>
  <si>
    <t xml:space="preserve">Catalogue field PARTY_MASTER.gstin (Row).</t>
  </si>
  <si>
    <t xml:space="preserve">Party record of the bank.</t>
  </si>
  <si>
    <t xml:space="preserve">debit where txn_mode = 'CHARGES'.</t>
  </si>
  <si>
    <t xml:space="preserve">Σ debit on ledgers mapped to 'bank charges'.</t>
  </si>
  <si>
    <t xml:space="preserve">Σ debit on input-GST ledgers in vouchers that also debit a bank-charges ledger.</t>
  </si>
  <si>
    <t xml:space="preserve">tax</t>
  </si>
  <si>
    <t xml:space="preserve">igst_amount + cgst_amount + sgst_amount + cess_amount of the document (RC-BNK-002: summed for docs where supplier_gstin = bank GSTIN, per return_period).</t>
  </si>
  <si>
    <t xml:space="preserve">account_bank_tan</t>
  </si>
  <si>
    <t xml:space="preserve">PARTY_MASTER.tan of the party record for the bank (bank_name / account_no).</t>
  </si>
  <si>
    <t xml:space="preserve">calendar month of txn_date of rows with txn_mode = 'INTEREST', format 'yyyy-mm'</t>
  </si>
  <si>
    <t xml:space="preserve">calendar month of voucher_date, format 'yyyy-mm'</t>
  </si>
  <si>
    <t xml:space="preserve">credit where txn_mode = 'INTEREST'.</t>
  </si>
  <si>
    <t xml:space="preserve">Σ credit on ledgers mapped to 'bank interest income' (per bank, per voucher_month).</t>
  </si>
  <si>
    <t xml:space="preserve">Catalogue field F26AS.tax_deducted (Part I/II/VI transaction).</t>
  </si>
  <si>
    <t xml:space="preserve">RC-BNK-003, RC-BNK-004</t>
  </si>
  <si>
    <t xml:space="preserve">Filtered by deductor_tan (bank) and section_code (194A / 194N) per rule.</t>
  </si>
  <si>
    <t xml:space="preserve">debit on rows whose description matches the configured TDS-on-interest pattern.</t>
  </si>
  <si>
    <t xml:space="preserve">Σ debit - credit on TDS-receivable ledger lines with tds_section = '194N' (rule token tds_receivable_194N).</t>
  </si>
  <si>
    <t xml:space="preserve">Catalogue field BANK_STMT.account_no (Header).</t>
  </si>
  <si>
    <t xml:space="preserve">RC-BNK-005, RC-BNK-006</t>
  </si>
  <si>
    <t xml:space="preserve">txn_date of rows with txn_mode = 'CASH' and credit &gt; 0.</t>
  </si>
  <si>
    <t xml:space="preserve">voucher_date of 'Contra' vouchers on the cash ledger.</t>
  </si>
  <si>
    <t xml:space="preserve">Σ credit where txn_mode = 'CASH' over the FY (per account_no).</t>
  </si>
  <si>
    <t xml:space="preserve">sft_amount</t>
  </si>
  <si>
    <t xml:space="preserve">For SFT cash-deposit information codes.</t>
  </si>
  <si>
    <t xml:space="preserve">credit where txn_mode = 'CASH'.</t>
  </si>
  <si>
    <t xml:space="preserve">RC-BNK-005, RC-ACC-010</t>
  </si>
  <si>
    <t xml:space="preserve">Σ credit on the cash ledger in voucher_type 'Contra' (cash deposited into bank).</t>
  </si>
  <si>
    <t xml:space="preserve">Running balance of the cash ledger immediately before the contra deposit voucher.</t>
  </si>
  <si>
    <t xml:space="preserve">Catalogue field BANK_BOOK.bank_ledger (Header).</t>
  </si>
  <si>
    <t xml:space="preserve">Catalogue field BANK_BOOK.account_no (Header).</t>
  </si>
  <si>
    <t xml:space="preserve">Catalogue field TB.closing_balance (Row).</t>
  </si>
  <si>
    <t xml:space="preserve">Field of new document BRS.</t>
  </si>
  <si>
    <t xml:space="preserve">ledger_id</t>
  </si>
  <si>
    <t xml:space="preserve">RC-ACC-001, RC-ACC-002, RC-ACC-004</t>
  </si>
  <si>
    <t xml:space="preserve">Ledger name used as ID.</t>
  </si>
  <si>
    <t xml:space="preserve">Ledger name used as ID (no ledger code in catalogue).</t>
  </si>
  <si>
    <t xml:space="preserve">Catalogue field TB.debit_total (Row).</t>
  </si>
  <si>
    <t xml:space="preserve">Catalogue field GL.debit (Line).</t>
  </si>
  <si>
    <t xml:space="preserve">Catalogue field TB.credit_total (Row).</t>
  </si>
  <si>
    <t xml:space="preserve">Catalogue field GL.credit (Line).</t>
  </si>
  <si>
    <t xml:space="preserve">closing</t>
  </si>
  <si>
    <t xml:space="preserve">RC-ACC-001, RC-ACC-003</t>
  </si>
  <si>
    <t xml:space="preserve">opening</t>
  </si>
  <si>
    <t xml:space="preserve">Catalogue field TB.opening_balance (Row).</t>
  </si>
  <si>
    <t xml:space="preserve">RC-ACC-001, RC-ACC-002</t>
  </si>
  <si>
    <t xml:space="preserve">fs_line</t>
  </si>
  <si>
    <t xml:space="preserve">Catalogue field TB.fs_head (Mapping).</t>
  </si>
  <si>
    <t xml:space="preserve">prior_year_line</t>
  </si>
  <si>
    <t xml:space="preserve">Catalogue field FS.line_item_code (Row).</t>
  </si>
  <si>
    <t xml:space="preserve">Use previous_year column of the line.</t>
  </si>
  <si>
    <t xml:space="preserve">prior_year_amount</t>
  </si>
  <si>
    <t xml:space="preserve">Catalogue field FS.previous_year (Row).</t>
  </si>
  <si>
    <t xml:space="preserve">fs_line_code</t>
  </si>
  <si>
    <t xml:space="preserve">line_code</t>
  </si>
  <si>
    <t xml:space="preserve">current_year_amount</t>
  </si>
  <si>
    <t xml:space="preserve">Catalogue field FS.current_year (Row).</t>
  </si>
  <si>
    <t xml:space="preserve">current_year of rows that are parents in the configured Schedule III line hierarchy.</t>
  </si>
  <si>
    <t xml:space="preserve">current_year of the row with statement = 'BS' and the configured total-assets line_item_code.</t>
  </si>
  <si>
    <t xml:space="preserve">party_ledger_id</t>
  </si>
  <si>
    <t xml:space="preserve">Catalogue field DEBTORS_AGEING.party_name (Row).</t>
  </si>
  <si>
    <t xml:space="preserve">Party ledger name used as ID.</t>
  </si>
  <si>
    <t xml:space="preserve">Catalogue field CREDITORS_AGEING.party_name (Row).</t>
  </si>
  <si>
    <t xml:space="preserve">Catalogue field DEBTORS_AGEING.pending_amount (Row).</t>
  </si>
  <si>
    <t xml:space="preserve">Σ per party.</t>
  </si>
  <si>
    <t xml:space="preserve">Σ closing_balance where ledger_group = 'Sundry Debtors' (ledger mapping configurable).</t>
  </si>
  <si>
    <t xml:space="preserve">Σ closing_balance where ledger_group = 'Sundry Creditors' (ledger mapping configurable).</t>
  </si>
  <si>
    <t xml:space="preserve">RC-ACC-005, RC-ACC-011</t>
  </si>
  <si>
    <t xml:space="preserve">Could be modelled as a separate PARTY_CONFIRMATION document.</t>
  </si>
  <si>
    <t xml:space="preserve">Running Σ(debit - credit) of the party ledger up to the confirmation date, plus TB opening_balance of that ledger.</t>
  </si>
  <si>
    <t xml:space="preserve">Catalogue field FAR.asset_class (Asset).</t>
  </si>
  <si>
    <t xml:space="preserve">Σ cost where disposal_date is blank or after FY end, per asset_class.</t>
  </si>
  <si>
    <t xml:space="preserve">closing_balance of fixed-asset ledgers mapped to the asset class (ledger mapping configurable).</t>
  </si>
  <si>
    <t xml:space="preserve">Σ (cost - closing_wdv_book) for assets held at FY end, per asset_class.</t>
  </si>
  <si>
    <t xml:space="preserve">Assumes no impairment/revaluation.</t>
  </si>
  <si>
    <t xml:space="preserve">closing_balance of accumulated-depreciation ledgers mapped to the asset class (ledger mapping configurable).</t>
  </si>
  <si>
    <t xml:space="preserve">depreciation_for_year</t>
  </si>
  <si>
    <t xml:space="preserve">Catalogue field FAR.depreciation_book (Book).</t>
  </si>
  <si>
    <t xml:space="preserve">Σ debit - credit on depreciation-expense ledgers mapped to the asset class (FY).</t>
  </si>
  <si>
    <t xml:space="preserve">Σ cost where purchase_date within the FY, per asset_class.</t>
  </si>
  <si>
    <t xml:space="preserve">Σ debit on fixed-asset ledgers mapped to the asset class (FY).</t>
  </si>
  <si>
    <t xml:space="preserve">Σ cost where disposal_date within the FY, per asset_class (gross cost removed).</t>
  </si>
  <si>
    <t xml:space="preserve">Σ credit on fixed-asset ledgers mapped to the asset class (FY).</t>
  </si>
  <si>
    <t xml:space="preserve">Catalogue field STOCK_REG.period_to (Header).</t>
  </si>
  <si>
    <t xml:space="preserve">Catalogue field STOCK_STMT_BANK.statement_date (Header).</t>
  </si>
  <si>
    <t xml:space="preserve">item_class</t>
  </si>
  <si>
    <t xml:space="preserve">Catalogue field STOCK_REG.stock_group (Row).</t>
  </si>
  <si>
    <t xml:space="preserve">Unpivot of inventory_rm / inventory_wip / inventory_fg columns.</t>
  </si>
  <si>
    <t xml:space="preserve">Quarter-end date (30-Jun, 30-Sep, 31-Dec, 31-Mar) at which ledger balances are taken.</t>
  </si>
  <si>
    <t xml:space="preserve">value</t>
  </si>
  <si>
    <t xml:space="preserve">Catalogue field STOCK_REG.closing_value (Row).</t>
  </si>
  <si>
    <t xml:space="preserve">Σ closing balance of stock-in-hand ledgers at quarter_end.</t>
  </si>
  <si>
    <t xml:space="preserve">inventory_&lt;class&gt; for the unpivoted class; inventory_total when compared in aggregate.</t>
  </si>
  <si>
    <t xml:space="preserve">Σ closing balance of ledger_group Sundry Debtors at quarter_end.</t>
  </si>
  <si>
    <t xml:space="preserve">receivables</t>
  </si>
  <si>
    <t xml:space="preserve">Catalogue field STOCK_STMT_BANK.debtors_total (Receivables).</t>
  </si>
  <si>
    <t xml:space="preserve">Σ closing balance of ledger_group Sundry Creditors at quarter_end.</t>
  </si>
  <si>
    <t xml:space="preserve">Catalogue field STOCK_STMT_BANK.creditors_total (Payables).</t>
  </si>
  <si>
    <t xml:space="preserve">allocation</t>
  </si>
  <si>
    <t xml:space="preserve">Bill-wise allocation lines of the payment voucher: array of {bill_ref, amount}; FIFO allocation by the tool when the client uses on-account payments.</t>
  </si>
  <si>
    <t xml:space="preserve">allocation.invoice_no</t>
  </si>
  <si>
    <t xml:space="preserve">Tuple (msme_dues_principal, msme_dues_interest) plus other MSMED s.22 disclosure items (not catalogued).</t>
  </si>
  <si>
    <t xml:space="preserve">Only principal and interest are catalogued.</t>
  </si>
  <si>
    <t xml:space="preserve">rpt_note</t>
  </si>
  <si>
    <t xml:space="preserve">rpt_note.party_name</t>
  </si>
  <si>
    <t xml:space="preserve">rpt_party_name</t>
  </si>
  <si>
    <t xml:space="preserve">related party name in the related-party note</t>
  </si>
  <si>
    <t xml:space="preserve">rpt_note.amount</t>
  </si>
  <si>
    <t xml:space="preserve">rpt_txn_amount</t>
  </si>
  <si>
    <t xml:space="preserve">transaction amount by nature in the note</t>
  </si>
  <si>
    <t xml:space="preserve">rpt_note.outstanding</t>
  </si>
  <si>
    <t xml:space="preserve">rpt_outstanding</t>
  </si>
  <si>
    <t xml:space="preserve">closing balance outstanding with the party</t>
  </si>
  <si>
    <t xml:space="preserve">cash_contra</t>
  </si>
  <si>
    <t xml:space="preserve">GL lines with voucher_type 'Contra' on the cash ledger.</t>
  </si>
  <si>
    <t xml:space="preserve">cash_contra.voucher_date</t>
  </si>
  <si>
    <t xml:space="preserve">cash_contra.amount</t>
  </si>
  <si>
    <t xml:space="preserve">debit - credit on the cash ledger line</t>
  </si>
  <si>
    <t xml:space="preserve">End-of-day running balance of the cash ledger (TB opening_balance + Σ(debit - credit) up to the day).</t>
  </si>
  <si>
    <t xml:space="preserve">Σ debit on the cash ledger in voucher_type 'Contra' (cash withdrawn from bank).</t>
  </si>
  <si>
    <t xml:space="preserve">debit where txn_mode in ('CASH','ATM').</t>
  </si>
  <si>
    <t xml:space="preserve">supplier_id</t>
  </si>
  <si>
    <t xml:space="preserve">Catalogue field PURCH_REG.party_name (Voucher).</t>
  </si>
  <si>
    <t xml:space="preserve">Party ledger name used as party ID (consistent with GL.party_id).</t>
  </si>
  <si>
    <t xml:space="preserve">context</t>
  </si>
  <si>
    <t xml:space="preserve">In rule RC-GST-001 only</t>
  </si>
  <si>
    <t xml:space="preserve">b2b_recipient_gstin | cdnr_recipient_gstin</t>
  </si>
  <si>
    <t xml:space="preserve">In rule RC-GST-008 only</t>
  </si>
  <si>
    <t xml:space="preserve">by EINV.doc_type: INV -&gt; b2b_* (or exp_* for export invoices); CRN/DBN -&gt; cdnr_*</t>
  </si>
  <si>
    <t xml:space="preserve">b2b_invoice_no | exp_invoice_no | cdnr_note_no</t>
  </si>
  <si>
    <t xml:space="preserve">b2b_invoice_no | b2cl_invoice_no | exp_invoice_no</t>
  </si>
  <si>
    <t xml:space="preserve">In rule RC-GST-034 only</t>
  </si>
  <si>
    <t xml:space="preserve">whichever section holds the invoice (POS consistency check across sections)</t>
  </si>
  <si>
    <t xml:space="preserve">In rule RC-GST-002 only</t>
  </si>
  <si>
    <t xml:space="preserve">b2b_invoice_date | exp_invoice_date | cdnr_note_date</t>
  </si>
  <si>
    <t xml:space="preserve">In rule RC-GST-005 only</t>
  </si>
  <si>
    <t xml:space="preserve">b2b_invoice_value | exp_invoice_value | cdnr_note_value</t>
  </si>
  <si>
    <t xml:space="preserve">In rule RC-GST-003 only</t>
  </si>
  <si>
    <t xml:space="preserve">exp_taxable_value (6A) + b2b_taxable_value where b2b_invoice_type in SEWP/SEWOP/DE (6B/6C)</t>
  </si>
  <si>
    <t xml:space="preserve">In rule RC-GST-004 only</t>
  </si>
  <si>
    <t xml:space="preserve">b2b_taxable_value | exp_taxable_value | cdnr_taxable_value</t>
  </si>
  <si>
    <t xml:space="preserve">by EINV.doc_type: INV -&gt; b2b_* (or exp_* for export invoices); CRN/DBN -&gt; cdnr_*; summed over item rows</t>
  </si>
  <si>
    <t xml:space="preserve">exp_igst (6A) + b2b_igst where b2b_invoice_type in SEWP/DE</t>
  </si>
  <si>
    <t xml:space="preserve">b2b_pos | b2cl_pos</t>
  </si>
  <si>
    <t xml:space="preserve">section holding the invoice; exports have no POS key in catalogue</t>
  </si>
  <si>
    <t xml:space="preserve">In rule RC-GST-013 only</t>
  </si>
  <si>
    <t xml:space="preserve">b2b item-level vs impg section</t>
  </si>
  <si>
    <t xml:space="preserve">In rule RC-GST-038 only</t>
  </si>
  <si>
    <t xml:space="preserve">doc_type (EINV codes INV|CRN|DBN)</t>
  </si>
  <si>
    <t xml:space="preserve">In rule RC-GST-009 only</t>
  </si>
  <si>
    <t xml:space="preserve">same voucher_type, different target code list</t>
  </si>
  <si>
    <t xml:space="preserve">doc_type (EWB codes INV|BIL|BOE|CHL|OTH)</t>
  </si>
  <si>
    <t xml:space="preserve">In rule RC-GST-010 only</t>
  </si>
  <si>
    <t xml:space="preserve">Σ taxable_value by (pos, gst_rate, supply_type, ecom_gstin) for B2CS rows</t>
  </si>
  <si>
    <t xml:space="preserve">grouping key differs by rule</t>
  </si>
  <si>
    <t xml:space="preserve">Σ taxable_value by (hsn_sac, gst_rate, b2b_or_b2c)</t>
  </si>
  <si>
    <t xml:space="preserve">In rule RC-GST-011 only</t>
  </si>
  <si>
    <t xml:space="preserve">TCS date of collection may be the receipt date</t>
  </si>
  <si>
    <t xml:space="preserve">voucher_date of the invoice, or of the receipt voucher for receipt-based TCS codes</t>
  </si>
  <si>
    <t xml:space="preserve">In rule RC-TDS-012 only</t>
  </si>
  <si>
    <t xml:space="preserve">MMYYYY of voucher_date (vs GSTR1.return_period)</t>
  </si>
  <si>
    <t xml:space="preserve">In rule RC-GST-039 only</t>
  </si>
  <si>
    <t xml:space="preserve">format differs</t>
  </si>
  <si>
    <t xml:space="preserve">yyyy-mm of voucher_date (vs PAYROLL_REG.wage_month)</t>
  </si>
  <si>
    <t xml:space="preserve">In rule RC-PAY-005 only</t>
  </si>
  <si>
    <t xml:space="preserve">debit - credit on ledgers mapped to the AIS information code</t>
  </si>
  <si>
    <t xml:space="preserve">In rule RC-IT-003 only</t>
  </si>
  <si>
    <t xml:space="preserve">same derivation, different ledger filter</t>
  </si>
  <si>
    <t xml:space="preserve">debit on bank-charges ledger line</t>
  </si>
  <si>
    <t xml:space="preserve">In rule RC-BNK-002 only</t>
  </si>
  <si>
    <t xml:space="preserve">abs(credit) on the party ledger line of the purchase voucher</t>
  </si>
  <si>
    <t xml:space="preserve">In rule RC-ACC-011 only</t>
  </si>
  <si>
    <t xml:space="preserve">tax_deducted where deductor_tan = bank TAN and section_code = '194A'</t>
  </si>
  <si>
    <t xml:space="preserve">In rule RC-BNK-003 only</t>
  </si>
  <si>
    <t xml:space="preserve">filter differs</t>
  </si>
  <si>
    <t xml:space="preserve">tax_deducted where section_code = '194N'</t>
  </si>
  <si>
    <t xml:space="preserve">In rule RC-BNK-004 only</t>
  </si>
  <si>
    <t xml:space="preserve">In rule RC-GST-021 only</t>
  </si>
  <si>
    <t xml:space="preserve">tax_period (and fy(tax_period) when matched to GSTR9.financial_year)</t>
  </si>
  <si>
    <t xml:space="preserve">In rule RC-GST-023 only</t>
  </si>
  <si>
    <t xml:space="preserve">In rule RC-GST-017 only</t>
  </si>
  <si>
    <t xml:space="preserve">supplier_invoice_no (normalised for duplicate detection)</t>
  </si>
  <si>
    <t xml:space="preserve">Income-tax computation, rebate, rounding, presumptive taxation, disallowances, cash-transaction limits, capital gains.  Row 5 holds the YAML key for each column. Research date 13 October 2026. Every rule needs CA validation before use.</t>
  </si>
  <si>
    <t xml:space="preserve">Legal provision (1961 Act → 2025 Act)</t>
  </si>
  <si>
    <t xml:space="preserve">Effective date</t>
  </si>
  <si>
    <t xml:space="preserve">Required input data</t>
  </si>
  <si>
    <t xml:space="preserve">Step-by-step business logic</t>
  </si>
  <si>
    <t xml:space="preserve">Calculation formula</t>
  </si>
  <si>
    <t xml:space="preserve">Thresholds / rates / limits</t>
  </si>
  <si>
    <t xml:space="preserve">Exemptions &amp; exceptions</t>
  </si>
  <si>
    <t xml:space="preserve">Rounding rule &amp; basis</t>
  </si>
  <si>
    <t xml:space="preserve">Due dates</t>
  </si>
  <si>
    <t xml:space="preserve">Validation conditions → flags</t>
  </si>
  <si>
    <t xml:space="preserve">Expected output</t>
  </si>
  <si>
    <t xml:space="preserve">Sample calculation</t>
  </si>
  <si>
    <t xml:space="preserve">Common discrepancies</t>
  </si>
  <si>
    <t xml:space="preserve">Recommended software action / severity</t>
  </si>
  <si>
    <t xml:space="preserve">effective_date</t>
  </si>
  <si>
    <t xml:space="preserve">inputs</t>
  </si>
  <si>
    <t xml:space="preserve">thresholds_rates</t>
  </si>
  <si>
    <t xml:space="preserve">exemptions_exceptions</t>
  </si>
  <si>
    <t xml:space="preserve">rounding</t>
  </si>
  <si>
    <t xml:space="preserve">due_dates</t>
  </si>
  <si>
    <t xml:space="preserve">sample_calc</t>
  </si>
  <si>
    <t xml:space="preserve">IT-001</t>
  </si>
  <si>
    <t xml:space="preserve">statutory_rule</t>
  </si>
  <si>
    <t xml:space="preserve">IT - Law applicability / transition</t>
  </si>
  <si>
    <t xml:space="preserve">Determine governing Act and section map (Income-tax Act 1961 vs Income-tax Act 2025) by period</t>
  </si>
  <si>
    <t xml:space="preserve">Every downstream rule must know whether the period under review is governed by the Income-tax Act, 1961 (FY 2025-26 / AY 2026-27 and earlier) or the Income-tax Act, 2025 (tax year 2026-27 onwards), so that the correct section numbers, forms, rates, due dates and interest provisions are cited in outputs.</t>
  </si>
  <si>
    <t xml:space="preserve">Income-tax Act, 2025 (Act No. 30 of 2025; Presidential assent 21-08-2025; in force 01-04-2026, per CBDT press release). 'Tax year' replaces 'previous year'/'assessment year' (s.3 of 2025 Act - mapping to old s.3 per secondary sources). Income-tax Rules, 2026 notified 20-03-2026. Transitional/savings provision (s.536 repeal and savings) - exact text NOT verified. Verified/secondary mapping used in this file: 16(ia)-&gt;19 (Table Sl.2); 40(a)(i)/(ia)-&gt;35 (sub-clause numbering not verified); 40A(2)-&gt;36(2); 40A(3)-&gt;36(4); 40A(3A)-&gt;36(5) (inferred); 40A(3) transporter limit-&gt;36(6); 43B-&gt;37; 43B(h)-&gt;37(2)(g); 44AB-&gt;63; 44AD/44ADA/44AE-&gt;58; 87A-&gt;156; 111A-&gt;196; 112-&gt;197; 112A-&gt;198; 115BAC-&gt;202; 139-&gt;263 (139(4)-&gt;263(4), 139(5)-&gt;263(5), 139(8A)-&gt;263(6)); 140A-&gt;266 (inferred from s.424(4)); 140B-&gt;267 (inferred from s.424(3)); 143(1)-&gt;270(1) (inferred); 147-&gt;279, 148-&gt;280, 156-&gt;289 (inferred from ss.423/424 cross-refs); 199-&gt;390(5)-(6) (Bill clause numbering, not verified for enacted Act); 207-&gt;403; 208-&gt;404; 209-&gt;405 (inferred); 210-&gt;406/407 (inferred); 211-&gt;408; 234A-&gt;423; 234B-&gt;424; 234C-&gt;425; 234F-&gt;428; 244A-&gt;437; 269SS-&gt;185 (Bill clause, inferred); 269ST-&gt;186; 269T-&gt;188; 288A+288B-&gt;516; Rule 119A-&gt;Rule 269 of Income-tax Rules, 2026; Form 26AS-&gt;Form 168, Form 16-&gt;130, Form 16A-&gt;131 (secondary).</t>
  </si>
  <si>
    <t xml:space="preserve">All assessees; all modules.</t>
  </si>
  <si>
    <t xml:space="preserve">Income-tax Act, 2025 in force from 01-04-2026 (applies to tax year 2026-27 onwards). FY 2025-26 (AY 2026-27) and earlier continue under the Income-tax Act, 1961 (evidenced by CBDT Circular 07/2026 dated 28-09-2026 extending AY 2026-27 due dates by reference to s.139(1) and s.44AB of the 1961 Act).</t>
  </si>
  <si>
    <t xml:space="preserve">Period start and end dates of the engagement / return; nature of data (books, TDS, AIS).</t>
  </si>
  <si>
    <t xml:space="preserve">period_start_date, period_end_date, financial_year, assessee_type, compliance_event_date</t>
  </si>
  <si>
    <t xml:space="preserve">1. Derive financial year FY from period_end_date (FY = year ending 31 March). 2. If FY end &lt;= 31-03-2026 -&gt; governing_act = 'IT Act 1961', label period as 'PY 2025-26 / AY 2026-27' style. 3. If FY start &gt;= 01-04-2026 -&gt; governing_act = 'IT Act 2025', label as 'Tax Year 2026-27'. 4. For procedural events after 01-04-2026 relating to FY 2025-26 (return filing, 234A/B/C, revised return, ITR-U), continue to apply 1961 Act provisions as amended by Finance Act 2026 (Act No. 4 of 2026), unless CA overrides based on s.536 savings clause. 5. Load section-citation map for the governing Act and print both old and new references in reports. 6. Flag any mapping marked 'inferred' or 'not verified' in output footnotes.</t>
  </si>
  <si>
    <t xml:space="preserve">governing_act = '1961' if fy_end &lt;= date(2026,3,31) else '2025'</t>
  </si>
  <si>
    <t xml:space="preserve">Cut-over date: 01-04-2026.</t>
  </si>
  <si>
    <t xml:space="preserve">Proceedings (assessment, reassessment, appeals) for 1961-Act years continue under 1961 Act per savings provision (not independently verified - CA review).</t>
  </si>
  <si>
    <t xml:space="preserve">Not applicable.</t>
  </si>
  <si>
    <t xml:space="preserve">If period spans 31-03-2026 -&gt; Critical flag 'period straddles two Acts - split'. If a section reference supplied by user does not exist in map -&gt; Medium flag.</t>
  </si>
  <si>
    <t xml:space="preserve">governing_act, period_label (e.g. 'AY 2026-27' or 'Tax Year 2026-27'), section_map version, footnote list of unverified mappings.</t>
  </si>
  <si>
    <t xml:space="preserve">Books for 01-04-2025 to 31-03-2026 -&gt; fy_end 31-03-2026 &lt;= 31-03-2026 -&gt; 1961 Act, AY 2026-27; 234B cited as 's.234B (1961)'. Books for 01-04-2026 to 31-03-2027 -&gt; 2025 Act, Tax Year 2026-27; interest cited as 's.424 (2025) [old 234B]'.</t>
  </si>
  <si>
    <t xml:space="preserve">period 01-04-2026..31-03-2027 -&gt; governing_act='2025', label 'Tax Year 2026-27'.</t>
  </si>
  <si>
    <t xml:space="preserve">period 01-01-2026..30-06-2026 -&gt; Critical flag 'straddles two Acts'; no single act returned.</t>
  </si>
  <si>
    <t xml:space="preserve">Citing 1961 sections for tax year 2026-27 TDS/advance tax; using 'AY 2027-28' terminology for 2025-Act years; using Form 26AS name for new-Act data.</t>
  </si>
  <si>
    <t xml:space="preserve">Critical if period straddles; otherwise informational. Maintain section map as configurable table, versioned.</t>
  </si>
  <si>
    <t xml:space="preserve">def governing_act(fy_end):
    return 'IT1961' if fy_end &lt;= date(2026,3,31) else 'IT2025'
label = f'AY {y}-{y+1-2000}' if act=='IT1961' else f'Tax Year {y-1}-{y-2000}'</t>
  </si>
  <si>
    <t xml:space="preserve">CBDT Press Release - Income-tax Act, 2025 comes into force from 01 April 2026 | https://www.incometaxindia.gov.in/documents/d/guest/press-release-income-tax-act-2025-comes-into-force-from-01-april-2026-pdf | Assent 21-08-2025; in force 01-04-2026; Income-tax Rules, 2026 notified 20-03-2026
Income-tax Act, 2025 (Wikipedia) | https://en.wikipedia.org/wiki/Income-tax_Act,_2025 | Act No. 30 of 2025; 536 sections, 23 chapters, 16 schedules; unified 'tax year' (secondary)
eztax.in - Compare old/new section codes | https://eztax.in/income-tax-act-2025/compare-old-new-section-codes | Mapping table: 44AB-&gt;63, 44AD/44ADA-&gt;58, 87A-&gt;156, 111A-&gt;196, 112A-&gt;198, 115BAC-&gt;202, 139-&gt;263, 234A-&gt;423, 234B-&gt;424, 234C-&gt;425, 234F-&gt;428 (secondary)
IncorpX - Income Tax Act 2025 vs 1961 section mapping | https://www.incorpx.io/blog/income-tax-act-2025-vs-1961-section-mapping | 44AD/44ADA -&gt; 58; 139 -&gt; 263; 3 -&gt; 3 (tax year) (secondary)
CBDT Circular No. 07/2026 dated 28-09-2026 | https://incometaxindia.gov.in/documents/d/guest/circular-7-2026-pdf | AY 2026-27: audit report to 21-10-2026; ITR (Expl. 2 to s.139(1) sl. no. 2) 31-10-2026 -&gt; 21-11-2026
ClearTax - Income tax changes from April 2026 | https://cleartax.in/s/income-tax-changes-from-april-2026 | Form 26AS -&gt; Form 168; Form 16 -&gt; 130; STT/TCS/buyback changes (secondary)
Income-tax Rules, 2026 - Rule 269 (procedure for calculating interest) | https://www.incometaxindia.gov.in/w/rule-269-1 | Under s.533(2)(u); part month = full month; amount rounded to Rs 100
TaxHeal - Section 424 Income Tax Act 2025 | https://www.taxheal.com/section-424-income-tax-act-2025.html | s.424(1)-(6) summary (secondary)</t>
  </si>
  <si>
    <t xml:space="preserve">Commencement (01-04-2026), assent (21-08-2025) and Rules 2026 (20-03-2026) verified on official CBDT press release. Act number 30 of 2025 and 536 sections from secondary source. Several old-&gt;new mappings are confirmed by reading the official new-Act section text (ss.19, 36, 37, 58, 63, 156, 197, 202, 263, 403, 404, 408, 423, 424, 425, 428, 437, 516) and matching subject matter; others (185, 186, 188, 266, 267, 270, 279, 280, 289, 390, 405-407) are inferred from cross-references or Bill-stage clause numbers - CA must confirm against official CBDT mapping utility. The s.536 savings clause text was not read.</t>
  </si>
  <si>
    <t xml:space="preserve">IT-002</t>
  </si>
  <si>
    <t xml:space="preserve">IT - Tax computation (rates)</t>
  </si>
  <si>
    <t xml:space="preserve">New tax regime (default) slab rates - FY 2025-26 (s.115BAC(1A)) and Tax Year 2026-27 (s.202(1))</t>
  </si>
  <si>
    <t xml:space="preserve">Recompute tax on total income under the default new regime and compare with the tax figure in the return/computation/working papers.</t>
  </si>
  <si>
    <t xml:space="preserve">Income-tax Act 1961 s.115BAC(1A) as amended by Finance Act 2025 (AY 2026-27) -&gt; Income-tax Act 2025 s.202(1) (Tax Year 2026-27); Finance Act 2026 (Act No. 4 of 2026) left slabs unchanged.</t>
  </si>
  <si>
    <t xml:space="preserve">Individuals, HUFs, AOPs (other than co-operative societies), BOIs, artificial juridical persons - unless opted out (see IT-004). Same slabs for all ages under new regime.</t>
  </si>
  <si>
    <t xml:space="preserve">AY 2026-27 (FY 2025-26) onwards; unchanged for Tax Year 2026-27.</t>
  </si>
  <si>
    <t xml:space="preserve">Total income computed and rounded (IT-011); regime = NEW; special-rate incomes separated (STCG 111A/196, LTCG 112/112A/197/198, casual income etc.).</t>
  </si>
  <si>
    <t xml:space="preserve">total_income_rounded, special_rate_income_breakup, regime_flag, assessee_type, residential_status</t>
  </si>
  <si>
    <t xml:space="preserve">1. normal_income = total_income_rounded - sum(special_rate_incomes). 2. For residents (individual/HUF) where normal_income &lt; 4,00,000, unabsorbed exemption = 4,00,000 - normal_income may be set off against special-rate STCG/LTCG (see IT-024). 3. Apply slab table to normal_income. 4. Add tax on special-rate income at its rates. 5. Pass result to rebate (IT-007), surcharge (IT-005), cess (IT-006).</t>
  </si>
  <si>
    <t xml:space="preserve">tax_normal = 5%*min(max(x-4L,0),4L) + 10%*min(max(x-8L,0),4L) + 15%*min(max(x-12L,0),4L) + 20%*min(max(x-16L,0),4L) + 25%*min(max(x-20L,0),4L) + 30%*max(x-24L,0)</t>
  </si>
  <si>
    <t xml:space="preserve">0-4,00,000 Nil; 4,00,001-8,00,000 5%; 8,00,001-12,00,000 10%; 12,00,001-16,00,000 15%; 16,00,001-20,00,000 20%; 20,00,001-24,00,000 25%; above 24,00,000 30%. Cumulative tax at slab tops: 8L=20,000; 12L=60,000; 16L=1,20,000; 20L=2,00,000; 24L=3,00,000.</t>
  </si>
  <si>
    <t xml:space="preserve">Under new regime most Chapter VI-A (Ch. VIII in 2025 Act) deductions, HRA/LTA, house property loss set-off against other heads etc. are not allowed (s.115BAC(2) / s.202(2)); allowed items include standard deduction Rs 75,000, employer NPS contribution (80CCD(2)), family pension deduction - verify per head. Finance Act 2026 omitted s.202(2)(a)(iii) (reference to s.144) w.e.f. 01-04-2026 (Notes on Clauses) - CA to assess impact.</t>
  </si>
  <si>
    <t xml:space="preserve">Total income rounded to nearest Rs 10 before applying rates (s.288A / s.516); final tax payable rounded to nearest Rs 10 (s.288B / s.516). Intermediate slab computation unrounded.</t>
  </si>
  <si>
    <t xml:space="preserve">Return tax on normal income differs from recomputed by &gt; Rs 10 -&gt; High. Regime flag NEW but disallowed deductions claimed -&gt; High. Non-individual entity types outside list -&gt; route to other rate rule.</t>
  </si>
  <si>
    <t xml:space="preserve">tax_on_normal_income, slab-wise breakup, difference vs return.</t>
  </si>
  <si>
    <t xml:space="preserve">Gross salary 18,75,000; standard deduction 75,000 -&gt; total income 18,00,000. Tax = 20,000 (4-8L) + 40,000 (8-12L) + 60,000 (12-16L) + 20% x 2,00,000 = 40,000 -&gt; 1,60,000. Rebate nil (income &gt; 12L, marginal relief not triggered). Cess 4% = 6,400. Tax payable 1,66,400 (already a multiple of 10).</t>
  </si>
  <si>
    <t xml:space="preserve">total_income 8,00,000 normal -&gt; slab tax 20,000 (rebate then reduces to 0).</t>
  </si>
  <si>
    <t xml:space="preserve">total_income 4,00,000 -&gt; slab tax 0; total_income 24,00,010 -&gt; 3,00,003 (30% applies only on 10).</t>
  </si>
  <si>
    <t xml:space="preserve">Using FY 2024-25 slabs (3/7/10/12/15 lakh) for AY 2026-27; applying slab rates to STCG u/s 111A; computing on unrounded income.</t>
  </si>
  <si>
    <t xml:space="preserve">High if mismatch &gt; Rs 10; Low for rounding-only differences.</t>
  </si>
  <si>
    <t xml:space="preserve">SLABS_NEW=[(400000,0),(800000,.05),(1200000,.10),(1600000,.15),(2000000,.20),(2400000,.25),(float('inf'),.30)]
def slab_tax(x, slabs):
    tax, lo = 0, 0
    for hi, r in slabs:
        if x &gt; lo: tax += (min(x,hi)-lo)*r
        lo = hi
    return tax</t>
  </si>
  <si>
    <t xml:space="preserve">Income Tax e-filing portal - Tax rates (Individual, AY 2026-27) | https://www.incometax.gov.in/iec/foportal/help/individual/return-applicable-1 | Slabs, surcharge, 87A, cess for AY 2026-27
Income-tax Act, 2025 - Section 202 (incometaxindia.gov.in) | https://www.incometaxindia.gov.in/w/section-202-76 | s.202(1) slab table; s.202(4) option
ClearTax - Income tax changes from April 2026 | https://cleartax.in/s/income-tax-changes-from-april-2026 | Form 26AS -&gt; Form 168; Form 16 -&gt; 130; STT/TCS/buyback changes (secondary)
LiveLaw - Centre notifies Finance Act, 2026 | https://www.livelawbiz.com/amp/top-stories/union-budget-central-govt-notifies-finance-act-528353 | Assent 30-03-2026; 4% cess</t>
  </si>
  <si>
    <t xml:space="preserve">Slabs verified on e-filing portal (AY 2026-27) and on s.202(1) text (2025 Act). Finance Act 2026 slabs unchanged per secondary sources (ClearTax); s.202(1) portal text shows same slabs. LiveLaw summary of Finance Act 2026 mentions old-regime basic exemptions 2.5/3/5 lakh - consistent.</t>
  </si>
  <si>
    <t xml:space="preserve">IT-003</t>
  </si>
  <si>
    <t xml:space="preserve">Old tax regime slab rates (individuals by age) - AY 2026-27 and Tax Year 2026-27</t>
  </si>
  <si>
    <t xml:space="preserve">Recompute tax where the assessee has opted out of the default regime.</t>
  </si>
  <si>
    <t xml:space="preserve">Income-tax Act 1961: First Schedule Part I read with Finance Act 2025 (AY 2026-27); Finance Act 2026 (Act No. 4 of 2026) for Tax Year 2026-27 (rates under 2025 Act - schedule reference not verified).</t>
  </si>
  <si>
    <t xml:space="preserve">Individuals (resident/non-resident; senior-citizen slabs for residents only) and HUFs who validly opted out of s.115BAC / s.202.</t>
  </si>
  <si>
    <t xml:space="preserve">AY 2026-27; unchanged for Tax Year 2026-27 per secondary sources.</t>
  </si>
  <si>
    <t xml:space="preserve">Valid opt-out (IT-004); age at any time during the year; residential status.</t>
  </si>
  <si>
    <t xml:space="preserve">total_income_rounded, date_of_birth, residential_status, assessee_type, special_rate_income_breakup</t>
  </si>
  <si>
    <t xml:space="preserve">1. Determine age category: &lt;60, 60-79 (resident), &gt;=80 (resident). HUF and non-residents use &lt;60 table. 2. Apply slabs to normal income. 3. Add special-rate tax. 4. Apply old-regime rebate (IT-008), surcharge, cess.</t>
  </si>
  <si>
    <t xml:space="preserve">&lt;60: 5%*(min(x,5L)-2.5L)+ + 20%*(min(x,10L)-5L)+ + 30%*(x-10L)+ ; 60-79: 5%*(min(x,5L)-3L)+ + 20%*(...)+ + 30%*(...)+ ; &gt;=80: 20%*(min(x,10L)-5L)+ + 30%*(x-10L)+</t>
  </si>
  <si>
    <t xml:space="preserve">Below 60: 0-2.5L nil; 2.5-5L 5%; 5-10L 20% (12,500 + 20% over 5L); &gt;10L 30% (1,12,500 + 30% over 10L). Age 60-79: 0-3L nil; 3-5L 5%; 5-10L 10,000 + 20%; &gt;10L 1,10,000 + 30%. Age 80+: 0-5L nil; 5-10L 20%; &gt;10L 1,00,000 + 30%.</t>
  </si>
  <si>
    <t xml:space="preserve">Senior/super-senior slabs only for residents.</t>
  </si>
  <si>
    <t xml:space="preserve">As IT-002 (s.288A/288B; s.516).</t>
  </si>
  <si>
    <t xml:space="preserve">Senior slab applied to non-resident -&gt; High. Age computed at 31 March only (should be 'at any time during the year') -&gt; Medium.</t>
  </si>
  <si>
    <t xml:space="preserve">tax_on_normal_income_old, age_band used.</t>
  </si>
  <si>
    <t xml:space="preserve">Resident aged 65, total income 8,00,000 (old regime): 10,000 + 20% x 3,00,000 = 70,000; cess 2,800; total 72,800. Resident aged 40, total income 15,00,000: 1,12,500 + 30% x 5,00,000 = 2,62,500; cess 10,500; total 2,73,000.</t>
  </si>
  <si>
    <t xml:space="preserve">age 82, income 9,00,000 -&gt; 20% x 4,00,000 = 80,000.</t>
  </si>
  <si>
    <t xml:space="preserve">non-resident aged 70, income 4,00,000 -&gt; use &lt;60 slab: 5% x 1,50,000 = 7,500 (not 5,000).</t>
  </si>
  <si>
    <t xml:space="preserve">Applying senior slabs to NRIs; ignoring that age 60 attained on 1 April counts (born 1 April) - treat per age rules; HUF given senior slab.</t>
  </si>
  <si>
    <t xml:space="preserve">High for wrong age band; Medium for rounding.</t>
  </si>
  <si>
    <t xml:space="preserve">def old_slabs(age, resident):
    if resident and age&gt;=80: return [(500000,0),(1000000,.2),(inf,.3)]
    if resident and age&gt;=60: return [(300000,0),(500000,.05),(1000000,.2),(inf,.3)]
    return [(250000,0),(500000,.05),(1000000,.2),(inf,.3)]</t>
  </si>
  <si>
    <t xml:space="preserve">Income Tax e-filing portal - Tax rates (Individual, AY 2026-27) | https://www.incometax.gov.in/iec/foportal/help/individual/return-applicable-1 | Slabs, surcharge, 87A, cess for AY 2026-27
LiveLaw - Centre notifies Finance Act, 2026 | https://www.livelawbiz.com/amp/top-stories/union-budget-central-govt-notifies-finance-act-528353 | Assent 30-03-2026; 4% cess
Income Tax Department - Tax on short-term capital gains | https://www.incometaxindia.gov.in/w/tax-on-short-term-capital-gains%E2%80%8B | 111A 15% before / 20% on or after 23-07-2024; holding periods 12/24 months</t>
  </si>
  <si>
    <t xml:space="preserve">Old-regime slabs verified on e-filing portal for AY 2026-27. For Tax Year 2026-27, rates are set by Finance Act 2026 - ITD page/LiveLaw summary indicates no change; the 2025-Act schedule/Part reference for old-regime rates was not verified.</t>
  </si>
  <si>
    <t xml:space="preserve">IT-004</t>
  </si>
  <si>
    <t xml:space="preserve">IT - Tax computation (regime option)</t>
  </si>
  <si>
    <t xml:space="preserve">Regime option validity check (opt-out of default new regime)</t>
  </si>
  <si>
    <t xml:space="preserve">Verify that the regime used in the computation/return is legally available: non-business assessees choose yearly with the return; business/professional assessees must file Form (10-IEA under 1961) by due date and can withdraw only once.</t>
  </si>
  <si>
    <t xml:space="preserve">Income-tax Act 1961 s.115BAC(6) (option, Form 10-IEA) -&gt; Income-tax Act 2025 s.202(4) (form number under Rules 2026 not verified).</t>
  </si>
  <si>
    <t xml:space="preserve">Individuals, HUFs, AOP/BOI/AJP.</t>
  </si>
  <si>
    <t xml:space="preserve">AY 2024-25 onwards (new regime default); s.202(4) for Tax Year 2026-27.</t>
  </si>
  <si>
    <t xml:space="preserve">Regime history for prior years; whether assessee has business/profession income; return filing date; opt-out form filing date.</t>
  </si>
  <si>
    <t xml:space="preserve">has_business_income, regime_claimed, optout_form_filed_date, return_due_date_263_1, prior_years_regime_history, withdrawal_used_flag</t>
  </si>
  <si>
    <t xml:space="preserve">1. If regime_claimed = NEW -&gt; valid. 2. If OLD and no business income -&gt; valid only if return filed on/before due date u/s 139(1)/263(1) (option exercised with return). 3. If OLD and business income -&gt; require opt-out form filed on/before due date u/s 139(1)/263(1); option continues for subsequent years. 4. If business assessee previously opted out and later withdrew (returned to new regime) -&gt; cannot opt out again unless business income ceases. 5. Belated return with OLD regime -&gt; flag (option not available after due date).</t>
  </si>
  <si>
    <t xml:space="preserve">valid_old = (not biz and filed_by_due_date) or (biz and optout_form_date &lt;= due_date and not reentry_after_withdrawal)</t>
  </si>
  <si>
    <t xml:space="preserve">Business assessee who ceases to have business income may exercise option under non-business clause.</t>
  </si>
  <si>
    <t xml:space="preserve">Option by due date u/s 139(1) / 263(1) (see ITR-001/ITR-002).</t>
  </si>
  <si>
    <t xml:space="preserve">OLD regime in belated return -&gt; Critical. Business assessee OLD without form -&gt; Critical. Second opt-out after withdrawal -&gt; Critical.</t>
  </si>
  <si>
    <t xml:space="preserve">regime_valid (bool), reason, recomputed tax under correct regime.</t>
  </si>
  <si>
    <t xml:space="preserve">Salaried individual files ITR on 05-09-2026 (due 31-07-2026) claiming old regime with 80C 1,50,000. Option invalid -&gt; recompute under new regime: deductions 1,50,000 disallowed.</t>
  </si>
  <si>
    <t xml:space="preserve">Professional, Form 10-IEA filed 20-08-2026, due date 31-08-2026, OLD -&gt; valid.</t>
  </si>
  <si>
    <t xml:space="preserve">Professional who opted out in AY 2024-25, withdrew in AY 2025-26, opts out again AY 2026-27 -&gt; invalid (Critical).</t>
  </si>
  <si>
    <t xml:space="preserve">Assuming yearly switching for business assessees; belated returns filed under old regime.</t>
  </si>
  <si>
    <t xml:space="preserve">Critical flag; produce alternate computation.</t>
  </si>
  <si>
    <t xml:space="preserve">def regime_ok(r):
    if r.regime=='NEW': return True
    if not r.has_business_income: return r.filed_date &lt;= r.due_date
    return r.optout_form_date and r.optout_form_date &lt;= r.due_date and not r.reentry_after_withdrawal</t>
  </si>
  <si>
    <t xml:space="preserve">Income-tax Act, 2025 - Section 202 (incometaxindia.gov.in) | https://www.incometaxindia.gov.in/w/section-202-76 | s.202(1) slab table; s.202(4) option</t>
  </si>
  <si>
    <t xml:space="preserve">s.202(4) mechanics verified on official 2025-Act text. 1961 Act s.115BAC(6) and Form 10-IEA from prior knowledge, not re-opened this session. New form number under Income-tax Rules, 2026 not verified.</t>
  </si>
  <si>
    <t xml:space="preserve">IT-005</t>
  </si>
  <si>
    <t xml:space="preserve">IT - Tax computation (surcharge)</t>
  </si>
  <si>
    <t xml:space="preserve">Surcharge on income-tax for individuals/HUF with marginal relief</t>
  </si>
  <si>
    <t xml:space="preserve">Recompute surcharge and marginal relief at each threshold; detect over/under charge.</t>
  </si>
  <si>
    <t xml:space="preserve">Finance Act 2025 First Schedule Part I (AY 2026-27); Finance Act 2026 (Tax Year 2026-27); s.115BAC(1A) proviso capping 25% for new regime (1961) / s.202 regime.</t>
  </si>
  <si>
    <t xml:space="preserve">Individuals, HUF, AOP/BOI/AJP (rates per Finance Act).</t>
  </si>
  <si>
    <t xml:space="preserve">AY 2026-27; Tax Year 2026-27 (unchanged per Finance Act 2026 summaries).</t>
  </si>
  <si>
    <t xml:space="preserve">Tax on total income before rebate/surcharge (IT-002/003, IT-024).</t>
  </si>
  <si>
    <t xml:space="preserve">total_income_rounded, tax_before_surcharge, regime_flag, special_rate_income_111A_112_112A, dividend_income</t>
  </si>
  <si>
    <t xml:space="preserve">1. Pick rate: &gt;50L 10%; &gt;1Cr 15%; &gt;2Cr 25%; &gt;5Cr 37% (old regime) / 25% (new regime). 2. Cap rate at 15% on tax attributable to 111A/112/112A gains and dividend income. 3. surcharge = rate x tax. 4. Marginal relief: at threshold T in {50L,1Cr,2Cr,5Cr} just crossed, tax+surcharge must not exceed (tax+surcharge on T) + (income - T). 5. relief = max(0, (tax+surcharge) - cap). 6. Surcharge payable = surcharge - relief.</t>
  </si>
  <si>
    <t xml:space="preserve">cap = taxsur(T) + (TI - T); surcharge_final = surcharge - max(0, tax + surcharge - cap)</t>
  </si>
  <si>
    <t xml:space="preserve">Up to 50L: nil; 50L-1Cr: 10%; 1-2Cr: 15%; 2-5Cr: 25%; &gt;5Cr: 37% old regime, 25% new regime. Max 15% on tax on 111A/112/112A/dividend.</t>
  </si>
  <si>
    <t xml:space="preserve">Special provisions for 115A/115AB/115AC/115ACA/115E incomes (not modelled).</t>
  </si>
  <si>
    <t xml:space="preserve">Surcharge not separately rounded in law; final tax rounded per s.288B / s.516 - implementation: compute in paise, round only the final payable.</t>
  </si>
  <si>
    <t xml:space="preserve">Surcharge rate 37% in new regime -&gt; Critical. Marginal relief not computed where income marginally above threshold -&gt; High.</t>
  </si>
  <si>
    <t xml:space="preserve">surcharge_rate, surcharge_gross, marginal_relief, surcharge_net.</t>
  </si>
  <si>
    <t xml:space="preserve">New regime, total income 51,00,000 (all normal). Tax = 3,00,000 + 30% x 27,00,000 = 11,10,000. Surcharge 10% = 1,11,000; tax+sur = 12,21,000. Tax on 50,00,000 = 3,00,000 + 30% x 26,00,000 = 10,80,000; cap = 10,80,000 + 1,00,000 = 11,80,000. Marginal relief = 12,21,000 - 11,80,000 = 41,000. Surcharge = 70,000. Cess 4% x 11,80,000 = 47,200. Total 12,27,200.</t>
  </si>
  <si>
    <t xml:space="preserve">Income 60,00,000 new regime: tax 13,80,000; surcharge 1,38,000; cap = 10,80,000 + 10,00,000 = 20,80,000 &gt; 15,18,000 -&gt; no relief.</t>
  </si>
  <si>
    <t xml:space="preserve">Income 50,00,000 exactly -&gt; surcharge nil (threshold is 'exceeds').</t>
  </si>
  <si>
    <t xml:space="preserve">Applying 37% under new regime; missing marginal relief; applying 25%+ to STCG/LTCG.</t>
  </si>
  <si>
    <t xml:space="preserve">High for mismatch &gt; Rs 100.</t>
  </si>
  <si>
    <t xml:space="preserve">TH=[(5e6,.10),(1e7,.15),(2e7,.25),(5e7,.37)]
def surcharge(ti, tax, regime, taxfn):
    rate=0; T=None
    for t,r in TH:
        if ti&gt;t: rate, T = r, t
    if regime=='NEW' and rate&gt;.25: rate=.25
    s = tax*rate
    if T: 
        cap = taxfn(T)*(1+prev_rate(T)) + (ti-T)
        s -= max(0, tax+s-cap)
    return s</t>
  </si>
  <si>
    <t xml:space="preserve">Income Tax e-filing portal - Tax rates (Individual, AY 2026-27) | https://www.incometax.gov.in/iec/foportal/help/individual/return-applicable-1 | Slabs, surcharge, 87A, cess for AY 2026-27
LiveLaw - Centre notifies Finance Act, 2026 | https://www.livelawbiz.com/amp/top-stories/union-budget-central-govt-notifies-finance-act-528353 | Assent 30-03-2026; 4% cess</t>
  </si>
  <si>
    <t xml:space="preserve">Rates verified on e-filing portal for AY 2026-27. Note: prev_rate(T) means surcharge applicable at income exactly T (e.g. at 1Cr use 10%). Computing surcharge when special-rate income is present requires apportioning tax between capped (15%) and uncapped portions - CA to confirm algorithm for mixed cases.</t>
  </si>
  <si>
    <t xml:space="preserve">IT-006</t>
  </si>
  <si>
    <t xml:space="preserve">IT - Tax computation (cess)</t>
  </si>
  <si>
    <t xml:space="preserve">Health and Education Cess @ 4%</t>
  </si>
  <si>
    <t xml:space="preserve">Verify cess on income-tax plus surcharge (after rebate).</t>
  </si>
  <si>
    <t xml:space="preserve">Finance Act 2025 s.2 (AY 2026-27) and Finance Act 2026 (Tax Year 2026-27) - 'Health and Education Cess' 4%.</t>
  </si>
  <si>
    <t xml:space="preserve">All assessees.</t>
  </si>
  <si>
    <t xml:space="preserve">AY 2019-20 onwards at 4%; continued AY 2026-27 and Tax Year 2026-27.</t>
  </si>
  <si>
    <t xml:space="preserve">Tax after rebate and surcharge (net of marginal relief).</t>
  </si>
  <si>
    <t xml:space="preserve">tax_after_rebate, surcharge_net</t>
  </si>
  <si>
    <t xml:space="preserve">1. base = tax_after_rebate + surcharge_net. 2. cess = 4% x base. 3. total = base + cess. 4. Apply reliefs (89/90/91) and credits after cess as per return schema. 5. Round final payable per s.288B/s.516.</t>
  </si>
  <si>
    <t xml:space="preserve">cess = 0.04 * (tax_after_rebate + surcharge_net)</t>
  </si>
  <si>
    <t xml:space="preserve">4%.</t>
  </si>
  <si>
    <t xml:space="preserve">Not charged on interest, fee or penalty.</t>
  </si>
  <si>
    <t xml:space="preserve">Cess not separately rounded; total payable rounded to nearest Rs 10 (s.288B / s.516).</t>
  </si>
  <si>
    <t xml:space="preserve">Cess on interest/fees -&gt; Medium. Cess computed before rebate -&gt; High.</t>
  </si>
  <si>
    <t xml:space="preserve">cess_amount, total_tax_liability.</t>
  </si>
  <si>
    <t xml:space="preserve">Tax 1,60,000 + surcharge 0 -&gt; cess 6,400 -&gt; 1,66,400.</t>
  </si>
  <si>
    <t xml:space="preserve">base 25,000 -&gt; cess 1,000.</t>
  </si>
  <si>
    <t xml:space="preserve">base 0 after full rebate -&gt; cess 0 (not 4% of pre-rebate tax).</t>
  </si>
  <si>
    <t xml:space="preserve">Cess on pre-rebate tax; cess on 234 interest.</t>
  </si>
  <si>
    <t xml:space="preserve">Medium.</t>
  </si>
  <si>
    <t xml:space="preserve">cess = round(0.04*(tax_after_rebate + surcharge_net), 2)</t>
  </si>
  <si>
    <t xml:space="preserve">IT-007</t>
  </si>
  <si>
    <t xml:space="preserve">IT - Rebate</t>
  </si>
  <si>
    <t xml:space="preserve">Rebate u/s 87A (new regime) Rs 60,000 up to Rs 12 lakh with marginal relief - AY 2026-27 / s.156(2) Tax Year 2026-27</t>
  </si>
  <si>
    <t xml:space="preserve">Verify rebate amount claimed by resident individuals under default regime, including marginal relief just above Rs 12 lakh.</t>
  </si>
  <si>
    <t xml:space="preserve">Income-tax Act 1961 s.87A (as amended by Finance Act 2025) -&gt; Income-tax Act 2025 s.156(2)(a),(b) and s.156(3).</t>
  </si>
  <si>
    <t xml:space="preserve">Resident individuals only, taxed under s.115BAC(1A)/s.202(1). Not HUF, not non-residents.</t>
  </si>
  <si>
    <t xml:space="preserve">AY 2026-27 (FY 2025-26) onwards; Tax Year 2026-27 under s.156.</t>
  </si>
  <si>
    <t xml:space="preserve">Total income (rounded); tax on normal income at new-regime slabs; special-rate tax separated.</t>
  </si>
  <si>
    <t xml:space="preserve">residential_status, assessee_type, regime_flag, total_income_rounded, slab_tax_normal_income, special_rate_tax</t>
  </si>
  <si>
    <t xml:space="preserve">1. Eligible only if resident individual and regime NEW. 2. If total_income &lt;= 12,00,000: rebate = min(slab_tax_normal_income, 60,000). 3. If total_income &gt; 12,00,000: excess = total_income - 12,00,000; if slab_tax &gt; excess then rebate = slab_tax - excess else 0 (marginal relief). 4. Rebate cannot exceed tax at s.115BAC(1A)/s.202(1) rates, i.e. not available against special-rate tax (see IT-009). 5. Rebate applied before surcharge and cess.</t>
  </si>
  <si>
    <t xml:space="preserve">rebate = min(T,60000) if TI&lt;=1200000 else max(0, T - (TI-1200000)); T = slab tax on normal income only</t>
  </si>
  <si>
    <t xml:space="preserve">Rs 60,000 max; total income limit Rs 12,00,000; marginal relief effectively up to approx Rs 12,70,588 (where 60,000 + 15%(x-12L) = x-12L).</t>
  </si>
  <si>
    <t xml:space="preserve">Tax on special-rate incomes (111A/196 STCG, 112/197, 112A/198 LTCG, 115BB lottery, 115BBH VDA etc.) not rebated (s.112A(6), s.198, s.156(3)).</t>
  </si>
  <si>
    <t xml:space="preserve">Uses rounded total income (s.288A/s.516); rebate not separately rounded.</t>
  </si>
  <si>
    <t xml:space="preserve">Rebate &gt; 60,000 -&gt; Critical. Rebate claimed by NR/HUF -&gt; Critical. Rebate against special-rate tax -&gt; High. No marginal relief given where income 12,00,010-12,70,580 -&gt; High.</t>
  </si>
  <si>
    <t xml:space="preserve">rebate_eligible, rebate_amount, marginal_relief_flag.</t>
  </si>
  <si>
    <t xml:space="preserve">(a) Salary 13,00,000 - SD 75,000 = 12,25,000. Slab tax = 60,000 + 15% x 25,000 = 63,750. Excess over 12L = 25,000; rebate = 63,750 - 25,000 = 38,750; tax = 25,000; cess 1,000; payable 26,000. (b) Total income 12,10,000: slab tax 61,500; excess 10,000; rebate 51,500; tax 10,000; cess 400; payable 10,400.</t>
  </si>
  <si>
    <t xml:space="preserve">TI 12,00,000 resident individual NEW -&gt; slab tax 60,000, rebate 60,000, tax nil.</t>
  </si>
  <si>
    <t xml:space="preserve">TI 13,00,000 -&gt; slab tax 75,000; excess over 12L = 1,00,000; since 75,000 &lt; 1,00,000, rebate 0, tax 75,000 + cess 3,000 = 78,000.</t>
  </si>
  <si>
    <t xml:space="preserve">Rebate given at 25,000/7L (pre-FA 2025 limits); rebate applied to STCG/LTCG tax; marginal relief ignored; rebate given to HUF.</t>
  </si>
  <si>
    <t xml:space="preserve">Critical for ineligible entity; High for amount mismatch.</t>
  </si>
  <si>
    <t xml:space="preserve">def rebate_new(ti, T, resident, indiv):
    if not(resident and indiv): return 0
    if ti &lt;= 1200000: return min(T, 60000)
    return max(0, T - (ti - 1200000))</t>
  </si>
  <si>
    <t xml:space="preserve">Income Tax e-filing portal - Tax rates (Individual, AY 2026-27) | https://www.incometax.gov.in/iec/foportal/help/individual/return-applicable-1 | Slabs, surcharge, 87A, cess for AY 2026-27
Income-tax Act, 2025 - Section 156 Rebate (incometaxindia.gov.in) | https://www.incometaxindia.gov.in/w/section-156-84 | s.156(1) Rs 12,500 / Rs 5 lakh; s.156(2)(a)/(b) Rs 60,000 / Rs 12 lakh + marginal relief; s.156(3)
TaxGuru - Section 87A &amp; Section 156 rebate: why tax may still be payable below Rs 12 lakh | https://taxguru.in/income-tax/section-87a-section-156-rebate-tax-payable-rs-12-lakh.html | Special-rate income excluded from rebate; s.112A(6) / s.198(7) (secondary)</t>
  </si>
  <si>
    <t xml:space="preserve">Rs 60,000 / Rs 12 lakh verified on e-filing portal (AY 2026-27) and s.156(2) text. Marginal relief mechanism verified on s.156(2)(b) text. Exclusion of special-rate tax: s.156(3) caps deduction to tax at s.202(1) rates (official); 1961 Act equivalent proviso (Finance Act 2025) from secondary source.</t>
  </si>
  <si>
    <t xml:space="preserve">IT-008</t>
  </si>
  <si>
    <t xml:space="preserve">Rebate u/s 87A (old regime) Rs 12,500 up to Rs 5 lakh - s.156(1)</t>
  </si>
  <si>
    <t xml:space="preserve">Verify old-regime rebate.</t>
  </si>
  <si>
    <t xml:space="preserve">Income-tax Act 1961 s.87A (first proviso) -&gt; Income-tax Act 2025 s.156(1).</t>
  </si>
  <si>
    <t xml:space="preserve">Resident individuals under old regime.</t>
  </si>
  <si>
    <t xml:space="preserve">AY 2020-21 onwards; continues AY 2026-27 and Tax Year 2026-27.</t>
  </si>
  <si>
    <t xml:space="preserve">Valid old-regime option (IT-004).</t>
  </si>
  <si>
    <t xml:space="preserve">residential_status, assessee_type, regime_flag, total_income_rounded, tax_before_rebate</t>
  </si>
  <si>
    <t xml:space="preserve">1. If resident individual and TI &lt;= 5,00,000: rebate = min(tax, 12,500). 2. Else 0 - no marginal relief in old regime. 3. Exclude 112A LTCG tax from rebate base (s.112A(6)).</t>
  </si>
  <si>
    <t xml:space="preserve">rebate = min(tax, 12500) if TI &lt;= 500000 else 0</t>
  </si>
  <si>
    <t xml:space="preserve">Rs 12,500; TI &lt;= Rs 5,00,000.</t>
  </si>
  <si>
    <t xml:space="preserve">Not for HUF / non-residents.</t>
  </si>
  <si>
    <t xml:space="preserve">Uses rounded TI.</t>
  </si>
  <si>
    <t xml:space="preserve">Rebate claimed at TI &gt; 5L -&gt; High.</t>
  </si>
  <si>
    <t xml:space="preserve">rebate_amount.</t>
  </si>
  <si>
    <t xml:space="preserve">TI 5,00,000 (&lt;60): tax 12,500 -&gt; rebate 12,500 -&gt; nil. TI 5,00,010: tax = 12,500 + 20% x 10 = 12,502; rebate 0; cess 500.08; total 13,002.08 -&gt; rounded 13,000 (s.288B).</t>
  </si>
  <si>
    <t xml:space="preserve">TI 4,80,000 (&lt;60): tax 11,500 -&gt; rebate 11,500 -&gt; nil.</t>
  </si>
  <si>
    <t xml:space="preserve">TI 5,00,010 -&gt; rebate 0 (no marginal relief).</t>
  </si>
  <si>
    <t xml:space="preserve">Giving marginal relief in old regime; applying 60,000 rebate in old regime.</t>
  </si>
  <si>
    <t xml:space="preserve">High.</t>
  </si>
  <si>
    <t xml:space="preserve">rebate_old = min(tax, 12500) if resident and indiv and ti &lt;= 500000 else 0</t>
  </si>
  <si>
    <t xml:space="preserve">Income Tax e-filing portal - Tax rates (Individual, AY 2026-27) | https://www.incometax.gov.in/iec/foportal/help/individual/return-applicable-1 | Slabs, surcharge, 87A, cess for AY 2026-27
Income-tax Act, 2025 - Section 156 Rebate (incometaxindia.gov.in) | https://www.incometaxindia.gov.in/w/section-156-84 | s.156(1) Rs 12,500 / Rs 5 lakh; s.156(2)(a)/(b) Rs 60,000 / Rs 12 lakh + marginal relief; s.156(3)</t>
  </si>
  <si>
    <t xml:space="preserve">IT-009</t>
  </si>
  <si>
    <t xml:space="preserve">Exclusion of special-rate income tax from rebate (s.87A proviso / s.156(3); s.112A(6) / s.198)</t>
  </si>
  <si>
    <t xml:space="preserve">Ensure rebate is not set off against tax on STCG u/s 111A/196, LTCG u/s 112/112A/197/198, casual income, VDA etc.</t>
  </si>
  <si>
    <t xml:space="preserve">Income-tax Act 1961 s.87A (proviso inserted by Finance Act 2025 restricting rebate to tax under s.115BAC(1A)), s.112A(6) -&gt; Income-tax Act 2025 s.156(3), s.198 (rebate on income excluding 198 LTCG).</t>
  </si>
  <si>
    <t xml:space="preserve">Resident individuals with special-rate income.</t>
  </si>
  <si>
    <t xml:space="preserve">AY 2026-27 onwards (Finance Act 2025).</t>
  </si>
  <si>
    <t xml:space="preserve">Total income split into normal and special-rate components.</t>
  </si>
  <si>
    <t xml:space="preserve">normal_income, stcg_111a, ltcg_112, ltcg_112a, other_special_income, total_income_rounded</t>
  </si>
  <si>
    <t xml:space="preserve">1. Eligibility threshold tested on total income INCLUDING special-rate income (TI &lt;= 12L). 2. Rebate base = slab tax on normal income only. 3. Special-rate tax remains payable. 4. Cess on remaining tax.</t>
  </si>
  <si>
    <t xml:space="preserve">tax_payable = (slab_tax_normal - rebate) + special_rate_tax; rebate &lt;= slab_tax_normal</t>
  </si>
  <si>
    <t xml:space="preserve">As IT-007/IT-024.</t>
  </si>
  <si>
    <t xml:space="preserve">Basic exemption shortfall adjustment against 111A/112A gains for residents (IT-024) still applies before computing special tax.</t>
  </si>
  <si>
    <t xml:space="preserve">As IT-002.</t>
  </si>
  <si>
    <t xml:space="preserve">Return shows nil tax where TI &lt;= 12L but special-rate income &gt; unabsorbed exemption -&gt; High.</t>
  </si>
  <si>
    <t xml:space="preserve">rebate_amount, residual_special_rate_tax.</t>
  </si>
  <si>
    <t xml:space="preserve">Resident, normal income 10,00,000 + STCG 111A 1,00,000 = TI 11,00,000. Slab tax on 10L = 20,000 + 20,000 = 40,000 -&gt; fully rebated. STCG tax 20% x 1,00,000 = 20,000; cess 800; payable 20,800.</t>
  </si>
  <si>
    <t xml:space="preserve">Normal 3,00,000 + STCG 111A 2,00,000: unabsorbed exemption 1,00,000 reduces STCG to 1,00,000 -&gt; tax 20,000 -&gt; rebate nil on it -&gt; 20,800 payable.</t>
  </si>
  <si>
    <t xml:space="preserve">Normal 11,00,000, no special income -&gt; full rebate, nil tax (rule not triggered).</t>
  </si>
  <si>
    <t xml:space="preserve">Software/utilities in AY 2024-25 litigation allowed rebate on 111A STCG; Finance Act 2025 proviso closes this from AY 2026-27.</t>
  </si>
  <si>
    <t xml:space="preserve">rebate = rebate_new(ti, slab_tax(normal_income), ...)
tax = slab_tax(normal_income) - rebate + special_tax</t>
  </si>
  <si>
    <t xml:space="preserve">TaxGuru - Section 87A &amp; Section 156 rebate: why tax may still be payable below Rs 12 lakh | https://taxguru.in/income-tax/section-87a-section-156-rebate-tax-payable-rs-12-lakh.html | Special-rate income excluded from rebate; s.112A(6) / s.198(7) (secondary)
Income-tax Act, 2025 - Section 156 Rebate (incometaxindia.gov.in) | https://www.incometaxindia.gov.in/w/section-156-84 | s.156(1) Rs 12,500 / Rs 5 lakh; s.156(2)(a)/(b) Rs 60,000 / Rs 12 lakh + marginal relief; s.156(3)
eztax.in - Section 198, Income-tax Act 2025 | https://eztax.in/income-tax-act-2025/section-198 | LTCG &gt; Rs 1,25,000 at 12.5%; rebate s.156 excluded (secondary)</t>
  </si>
  <si>
    <t xml:space="preserve">s.156(3) (2025 Act) verified on official site. The Finance Act 2025 proviso to s.87A was confirmed from secondary sources only (TaxGuru); CA to confirm exact wording. Earlier-year litigation (AY 2024-25 rebate on 111A STCG) not verified this session.</t>
  </si>
  <si>
    <t xml:space="preserve">IT-010</t>
  </si>
  <si>
    <t xml:space="preserve">IT - Salary</t>
  </si>
  <si>
    <t xml:space="preserve">Standard deduction from salary: Rs 75,000 (new regime) / Rs 50,000 (old regime)</t>
  </si>
  <si>
    <t xml:space="preserve">Verify standard deduction claimed in Form 16/130 and return against regime.</t>
  </si>
  <si>
    <t xml:space="preserve">Income-tax Act 1961 s.16(ia) (Rs 75,000 under 115BAC(1A) by Finance (No.2) Act 2024) -&gt; Income-tax Act 2025 s.19 Table Sl. No. 2.</t>
  </si>
  <si>
    <t xml:space="preserve">Individuals with income under 'Salaries' (including pensioners).</t>
  </si>
  <si>
    <t xml:space="preserve">Rs 75,000 new regime from AY 2025-26; applies AY 2026-27 and Tax Year 2026-27.</t>
  </si>
  <si>
    <t xml:space="preserve">Gross salary; regime flag.</t>
  </si>
  <si>
    <t xml:space="preserve">gross_salary, regime_flag, number_of_employers, sd_claimed</t>
  </si>
  <si>
    <t xml:space="preserve">1. allowed = min(gross_salary, 75,000 if NEW else 50,000). 2. One deduction per assessee irrespective of number of employers. 3. Compare with claimed; also deduct professional tax (old regime / s.19 Sl.1 - check new-regime allowability).</t>
  </si>
  <si>
    <t xml:space="preserve">sd = min(gross_salary, 75000 if regime=='NEW' else 50000)</t>
  </si>
  <si>
    <t xml:space="preserve">75,000 / 50,000.</t>
  </si>
  <si>
    <t xml:space="preserve">Not available for income under other heads.</t>
  </si>
  <si>
    <t xml:space="preserve">SD claimed &gt; allowed -&gt; High. Two employers each giving SD -&gt; High (duplicate).</t>
  </si>
  <si>
    <t xml:space="preserve">sd_allowed, excess_claim.</t>
  </si>
  <si>
    <t xml:space="preserve">Two Form 16s each showing SD 75,000 (total 1,50,000) in new regime; allowed 75,000; excess 75,000 added back; at 15% slab -&gt; additional tax 11,250 + cess 450.</t>
  </si>
  <si>
    <t xml:space="preserve">Salary 6,00,000 new -&gt; SD 75,000.</t>
  </si>
  <si>
    <t xml:space="preserve">Salary 40,000 old regime -&gt; SD 40,000 (capped at salary).</t>
  </si>
  <si>
    <t xml:space="preserve">Duplicate SD with job change; 75,000 under old regime.</t>
  </si>
  <si>
    <t xml:space="preserve">Income-tax Act, 2025 - Section 19 Deductions from salaries | https://www.incometaxindia.gov.in/w/section-19-206 | Table Sl. 1 professional tax; Sl. 2 standard deduction 75,000 / 50,000</t>
  </si>
  <si>
    <t xml:space="preserve">Verified on s.19 (2025 Act). 1961 Act s.16(ia) amount for AY 2026-27 from established law (not re-opened). Professional tax under new regime: s.202(2) disallows many deductions - confirm whether s.19 Sl.1 is allowed under s.202 (not verified).</t>
  </si>
  <si>
    <t xml:space="preserve">IT-011</t>
  </si>
  <si>
    <t xml:space="preserve">IT - Rounding</t>
  </si>
  <si>
    <t xml:space="preserve">Rounding of total income to nearest Rs 10 (s.288A / s.516)</t>
  </si>
  <si>
    <t xml:space="preserve">Ensure tax is computed on correctly rounded total income.</t>
  </si>
  <si>
    <t xml:space="preserve">Income-tax Act 1961 s.288A -&gt; Income-tax Act 2025 s.516.</t>
  </si>
  <si>
    <t xml:space="preserve">Continuing; s.516 from 01-04-2026.</t>
  </si>
  <si>
    <t xml:space="preserve">Total income computed in rupees and paise.</t>
  </si>
  <si>
    <t xml:space="preserve">total_income_unrounded</t>
  </si>
  <si>
    <t xml:space="preserve">1. Ignore paise (truncate). 2. If last digit &gt;= 5 round up to next multiple of 10; else round down.</t>
  </si>
  <si>
    <t xml:space="preserve">r = int(x); r = r + (10 - r%10) if r%10 &gt;= 5 else r - r%10</t>
  </si>
  <si>
    <t xml:space="preserve">Nearest Rs 10.</t>
  </si>
  <si>
    <t xml:space="preserve">None.</t>
  </si>
  <si>
    <t xml:space="preserve">s.288A (1961) / s.516 (2025): ignore paise, then nearest multiple of ten (5 and above up).</t>
  </si>
  <si>
    <t xml:space="preserve">Tax computed on unrounded income -&gt; Low (unless threshold crossing e.g. 12,00,004 -&gt; 12,00,000 eligible for full rebate -&gt; High).</t>
  </si>
  <si>
    <t xml:space="preserve">total_income_rounded.</t>
  </si>
  <si>
    <t xml:space="preserve">12,34,567.89 -&gt; 12,34,567 -&gt; last digit 7 -&gt; 12,34,570. 12,00,004.99 -&gt; 12,00,004 -&gt; 12,00,000 (full rebate available).</t>
  </si>
  <si>
    <t xml:space="preserve">5,00,005 -&gt; 5,00,010.</t>
  </si>
  <si>
    <t xml:space="preserve">5,00,004.99 -&gt; 5,00,000 (paise ignored first, not 5,00,005).</t>
  </si>
  <si>
    <t xml:space="preserve">Rounding paise first (4.99 -&gt; 5) then to 10.</t>
  </si>
  <si>
    <t xml:space="preserve">Low; High when rounding changes rebate/surcharge eligibility.</t>
  </si>
  <si>
    <t xml:space="preserve">def round10(x):
    r = int(x)
    return r + (10 - r % 10) if r % 10 &gt;= 5 else r - r % 10</t>
  </si>
  <si>
    <t xml:space="preserve">Income-tax Act, 2025 - Section 516 Rounding off | https://www.incometaxindia.gov.in/w/section-516-3 | Rounding of total income and amount payable/refundable to nearest Rs 10
TaxTMI note - Clause 516 (rounding) vs s.288A | https://www.taxtmi.com/tmi_notes?id=2069 | Clause 516 replaces 288A/288B</t>
  </si>
  <si>
    <t xml:space="preserve">IT-012</t>
  </si>
  <si>
    <t xml:space="preserve">Rounding of tax, interest, fee, refund payable to nearest Rs 10 (s.288B / s.516)</t>
  </si>
  <si>
    <t xml:space="preserve">Verify final tax payable/refundable and interest amounts are rounded per law.</t>
  </si>
  <si>
    <t xml:space="preserve">Income-tax Act 1961 s.288B -&gt; Income-tax Act 2025 s.516 ('any amount payable or refundable').</t>
  </si>
  <si>
    <t xml:space="preserve">All assessees; tax, interest, fee, penalty, refund.</t>
  </si>
  <si>
    <t xml:space="preserve">Continuing.</t>
  </si>
  <si>
    <t xml:space="preserve">Final computed amounts.</t>
  </si>
  <si>
    <t xml:space="preserve">amount_payable_or_refundable</t>
  </si>
  <si>
    <t xml:space="preserve">1. Under 2025 Act s.516 apply same algorithm as IT-011 (ignore paise, nearest 10). 2. Under 1961 s.288B the amount is rounded to nearest multiple of 10 (implementation: same algorithm).</t>
  </si>
  <si>
    <t xml:space="preserve">round10(amount)</t>
  </si>
  <si>
    <t xml:space="preserve">Rule 119A/Rule 269 rounding of the BASE amount for interest (to lower Rs 100) is separate - see ADV-007.</t>
  </si>
  <si>
    <t xml:space="preserve">s.288B (1961) / s.516 (2025).</t>
  </si>
  <si>
    <t xml:space="preserve">Difference of up to Rs 5 attributable to rounding -&gt; Info only.</t>
  </si>
  <si>
    <t xml:space="preserve">amount_rounded.</t>
  </si>
  <si>
    <t xml:space="preserve">Tax 2,02,502 + cess 8,100.08 = 2,10,602.08 -&gt; 2,10,602 -&gt; 2,10,600.</t>
  </si>
  <si>
    <t xml:space="preserve">13,002.08 -&gt; 13,000.</t>
  </si>
  <si>
    <t xml:space="preserve">26,005 -&gt; 26,010.</t>
  </si>
  <si>
    <t xml:space="preserve">Rounding each component separately.</t>
  </si>
  <si>
    <t xml:space="preserve">Info.</t>
  </si>
  <si>
    <t xml:space="preserve">final = round10(tax + surcharge + cess - reliefs)</t>
  </si>
  <si>
    <t xml:space="preserve">s.516 (2025) text verified. s.288B (1961) wording ('nearest multiple of ten') not re-opened this session; official ITD search results list s.288B page. Whether paise are ignored under 288B exactly as 288A - implementation choice consistent with s.516.</t>
  </si>
  <si>
    <t xml:space="preserve">IT-013</t>
  </si>
  <si>
    <t xml:space="preserve">IT - Tax audit</t>
  </si>
  <si>
    <t xml:space="preserve">Tax audit applicability u/s 44AB / s.63</t>
  </si>
  <si>
    <t xml:space="preserve">Determine whether accounts must be audited, which drives return due date (31 Oct / 30 Nov) and audit report due date.</t>
  </si>
  <si>
    <t xml:space="preserve">Income-tax Act 1961 s.44AB(a),(b),(d),(e) + provisos -&gt; Income-tax Act 2025 s.63(1) Table, s.63(2), s.63(5).</t>
  </si>
  <si>
    <t xml:space="preserve">Every person carrying on business or profession.</t>
  </si>
  <si>
    <t xml:space="preserve">Rs 10 crore limit from AY 2021-22 (Finance Act 2021); s.63 from Tax Year 2026-27.</t>
  </si>
  <si>
    <t xml:space="preserve">Turnover/gross receipts; cash receipts and cash payments totals (aggregate); presumptive scheme status; profit declared vs deemed.</t>
  </si>
  <si>
    <t xml:space="preserve">business_turnover, professional_gross_receipts, cash_receipts_total, total_receipts, cash_payments_total, total_payments, presumptive_scheme_opted, profit_declared, deemed_profit, total_income, basic_exemption_limit, lockout_flag_44AD_58_7</t>
  </si>
  <si>
    <t xml:space="preserve">1. Business: if turnover &gt; 1 crore -&gt; audit, unless cash receipts &lt;= 5% of total receipts AND cash payments &lt;= 5% of total payments, in which case limit = 10 crore. 2. Profession: gross receipts &gt; 50 lakh -&gt; audit. 3. Presumptive opted (44AD/44ADA/44AE / s.58) and profits declared per scheme -&gt; no audit (s.44AB proviso / s.63(2)). 4. Declared profit lower than presumptive and income &gt; basic exemption -&gt; audit (44AB(d)/(e); s.63 Table Sl.2). 5. 44AD(4)/s.58(7) lockout and income &gt; exemption -&gt; audit (44AB(e) / s.58(8)). 6. Treat non-account-payee cheques/drafts as cash (s.63(5)(b)).</t>
  </si>
  <si>
    <t xml:space="preserve">limit = 10e7 if (cash_rcpt/total_rcpt &lt;= .05 and cash_pay/total_pay &lt;= .05) else 1e7; audit = turnover &gt; limit or prof_receipts &gt; 50e5 or presumptive_lower_profit_case</t>
  </si>
  <si>
    <t xml:space="preserve">Business Rs 1 crore / Rs 10 crore (cash &lt;=5% both sides); profession Rs 50 lakh.</t>
  </si>
  <si>
    <t xml:space="preserve">Persons declaring under 44AD/44ADA/44AE / s.58 within limits; s.44AB not applicable where s.44B/44BB etc. (non-resident presumptive) - check.</t>
  </si>
  <si>
    <t xml:space="preserve">Percentages computed unrounded; compare with &lt;= 5%.</t>
  </si>
  <si>
    <t xml:space="preserve">Audit report: 1 month before return due date i.e. 30 September (s.44AB Explanation / s.63(5)(a)); AY 2026-27 extended to 21-10-2026 by CBDT Circular 07/2026.</t>
  </si>
  <si>
    <t xml:space="preserve">Turnover &gt; threshold and no audit report (Form 3CA/3CB-3CD; new form not verified) -&gt; Critical. Cash % computed only on receipts (ignores payments) -&gt; High.</t>
  </si>
  <si>
    <t xml:space="preserve">audit_required (bool), applicable_limit, reason_code.</t>
  </si>
  <si>
    <t xml:space="preserve">Turnover 6.5 crore; total receipts 6.4 crore of which cash 0.20 crore (3.125%); total payments 6.0 crore of which cash 0.35 crore (5.83%). Payments condition fails -&gt; limit 1 crore -&gt; audit required.</t>
  </si>
  <si>
    <t xml:space="preserve">Turnover 8 crore, cash receipts 2%, cash payments 4% -&gt; limit 10 crore -&gt; no audit (unless other clause).</t>
  </si>
  <si>
    <t xml:space="preserve">Professional receipts 60 lakh, opted 44ADA (cash receipts 3%, under 75 lakh), declared 50% -&gt; no audit despite &gt; 50 lakh.</t>
  </si>
  <si>
    <t xml:space="preserve">Using only cash receipts condition; counting bearer cheques as non-cash; ignoring presumptive lower-profit audit trigger.</t>
  </si>
  <si>
    <t xml:space="preserve">Critical where audit missed.</t>
  </si>
  <si>
    <t xml:space="preserve">def audit_required(d):
    if d.presumptive and d.profit_declared &gt;= d.deemed_profit: return False
    if d.presumptive and d.profit_declared &lt; d.deemed_profit and d.total_income &gt; d.bel: return True
    lim = 1e8 if (d.cash_rcpt &lt;= .05*d.total_rcpt and d.cash_pay &lt;= .05*d.total_pay) else 1e7
    return d.turnover &gt; lim or d.prof_receipts &gt; 5e6</t>
  </si>
  <si>
    <t xml:space="preserve">Income-tax Act, 2025 - Section 63 Tax audit | https://www.incometaxindia.gov.in/w/section-63-134 | s.63(1) Table; s.63(2); s.63(5)(a) specified date; s.63(5)(b) non-a/c-payee cheque = cash
CBDT Circular No. 07/2026 dated 28-09-2026 | https://incometaxindia.gov.in/documents/d/guest/circular-7-2026-pdf | AY 2026-27: audit report to 21-10-2026; ITR (Expl. 2 to s.139(1) sl. no. 2) 31-10-2026 -&gt; 21-11-2026
Income Tax Department - Limit on cash transactions | https://www.incometaxindia.gov.in/w/prohibited-transaction-in-cash/limit-on-cash-transactions%E2%80%8B | 40A(3), 269SS, 269ST, 269SU, 269T and penalties 271D/271DA/271DB/271E (1961 Act)</t>
  </si>
  <si>
    <t xml:space="preserve">s.63 thresholds verified on official 2025-Act text. 1961 s.44AB thresholds identical (established law; CBDT Circular 07/2026 confirms audit report concept for AY 2026-27). Audit report form numbers under Income-tax Rules, 2026 not verified. Finance Act 2026 replaced penalty for failure to get audited (old s.271B) with fee under s.428 for 2025 Act (Rs 75,000 up to 1 month delay, Rs 1,50,000 thereafter) per Notes on Clauses - see ITR-007.</t>
  </si>
  <si>
    <t xml:space="preserve">IT-014</t>
  </si>
  <si>
    <t xml:space="preserve">IT - Presumptive taxation</t>
  </si>
  <si>
    <t xml:space="preserve">Presumptive business income u/s 44AD / s.58(2) Table Sl. 1 (8% / 6%; Rs 2 crore / Rs 3 crore)</t>
  </si>
  <si>
    <t xml:space="preserve">Check eligibility and minimum deemed profit for presumptive business assessees.</t>
  </si>
  <si>
    <t xml:space="preserve">Income-tax Act 1961 s.44AD (limit Rs 3 crore where cash receipts &lt;= 5% by Finance Act 2023) -&gt; Income-tax Act 2025 s.58(2) Table Sl. No.1, s.58(7),(8),(11)(a). Finance Act 2026 omitted s.58(11)(a)(i) w.e.f. 01-04-2026.</t>
  </si>
  <si>
    <t xml:space="preserve">Resident individual, HUF, partnership firm (not LLP); excluded: specified professions, commission/brokerage, agency business, persons claiming certain deductions (Ch. VIII-C / 10AA-type).</t>
  </si>
  <si>
    <t xml:space="preserve">AY 2024-25 onwards for Rs 3 crore; s.58 from Tax Year 2026-27.</t>
  </si>
  <si>
    <t xml:space="preserve">Turnover, digital vs cash receipts, eligibility flags, past 5-year history of opting.</t>
  </si>
  <si>
    <t xml:space="preserve">assessee_type, residential_status, turnover_total, turnover_digital_received_by_due_date, cash_receipts, business_nature_code, prior_years_44AD_history, profit_declared</t>
  </si>
  <si>
    <t xml:space="preserve">1. Eligibility check on entity and business nature. 2. Limit = 3 crore if cash receipts &lt;= 5% of turnover/gross receipts else 2 crore. 3. Deemed profit = 6% of turnover received by banking/electronic mode (received by due date of return per 1961 Act) + 8% of balance. 4. Profit declared must be &gt;= deemed profit; else audit + books (IT-013). 5. 5-year lock: if opted in year X and not declared per scheme in any of next 5 years -&gt; ineligible for next 5 years. 6. Advance tax single instalment by 15 March (ADV-003).</t>
  </si>
  <si>
    <t xml:space="preserve">deemed = 0.06*digital_turnover + 0.08*(turnover - digital_turnover)</t>
  </si>
  <si>
    <t xml:space="preserve">8% / 6%; turnover Rs 2 crore or Rs 3 crore if cash receipts &lt;= 5%.</t>
  </si>
  <si>
    <t xml:space="preserve">Goods carriage owners use s.44AE / s.58 Sl.2 (Rs 1,000 per ton per month heavy; Rs 7,500 per month others; up to 10 vehicles).</t>
  </si>
  <si>
    <t xml:space="preserve">Not specified in law – implementation choice (compute in rupees).</t>
  </si>
  <si>
    <t xml:space="preserve">Return due date: 31 July (AY 2026-27 is 31 August for non-audit business per Finance Act 2026 - ITR-001).</t>
  </si>
  <si>
    <t xml:space="preserve">Turnover &gt; applicable limit with 44AD claimed -&gt; Critical. Declared &lt; deemed without audit -&gt; Critical. Ineligible business (commission/agency) -&gt; High.</t>
  </si>
  <si>
    <t xml:space="preserve">eligible, limit_applied, deemed_profit, shortfall, audit_trigger.</t>
  </si>
  <si>
    <t xml:space="preserve">Turnover 2.6 crore; cash receipts 10 lakh (3.85%) -&gt; limit 3 crore -&gt; eligible. Digital turnover 2.5 crore x 6% = 15,00,000; cash 10 lakh x 8% = 80,000; deemed profit 15,80,000. Declared 16,00,000 -&gt; OK.</t>
  </si>
  <si>
    <t xml:space="preserve">Turnover 1.8 crore, all cash -&gt; limit 2 crore -&gt; eligible, deemed 14,40,000.</t>
  </si>
  <si>
    <t xml:space="preserve">Turnover 2.6 crore with cash receipts 20 lakh (7.7%) -&gt; limit 2 crore -&gt; not eligible (Critical).</t>
  </si>
  <si>
    <t xml:space="preserve">Applying 3 crore limit without checking cash %; 6% on cheques received after due date.</t>
  </si>
  <si>
    <t xml:space="preserve">Critical.</t>
  </si>
  <si>
    <t xml:space="preserve">lim = 3e7 if cash_rcpt &lt;= .05*turnover else 2e7
ok = eligible_entity and turnover &lt;= lim
deemed = .06*digital + .08*(turnover-digital)</t>
  </si>
  <si>
    <t xml:space="preserve">Income-tax Act, 2025 - Section 58 Presumptive taxation | https://www.incometaxindia.gov.in/w/section-58-144 | s.58(2) Table Sl. 1/2/3; s.58(7),(8); s.58(11)(a)(i) omitted by Act No. 4 of 2026 w.e.f. 1-4-2026
IncorpX - Income Tax Act 2025 vs 1961 section mapping | https://www.incorpx.io/blog/income-tax-act-2025-vs-1961-section-mapping | 44AD/44ADA -&gt; 58; 139 -&gt; 263; 3 -&gt; 3 (tax year) (secondary)
eztax.in - Compare old/new section codes | https://eztax.in/income-tax-act-2025/compare-old-new-section-codes | Mapping table: 44AB-&gt;63, 44AD/44ADA-&gt;58, 87A-&gt;156, 111A-&gt;196, 112A-&gt;198, 115BAC-&gt;202, 139-&gt;263, 234A-&gt;423, 234B-&gt;424, 234C-&gt;425, 234F-&gt;428 (secondary)</t>
  </si>
  <si>
    <t xml:space="preserve">s.58 Table verified on official site including amendment by Act No. 4 of 2026. 1961 Act s.44AD figures are identical (established law).</t>
  </si>
  <si>
    <t xml:space="preserve">IT-015</t>
  </si>
  <si>
    <t xml:space="preserve">Presumptive professional income u/s 44ADA / s.58(2) Table Sl. 3 (50%; Rs 50 lakh / Rs 75 lakh)</t>
  </si>
  <si>
    <t xml:space="preserve">Check eligibility and minimum 50% deemed profit for specified professionals.</t>
  </si>
  <si>
    <t xml:space="preserve">Income-tax Act 1961 s.44ADA (Rs 75 lakh where cash receipts &lt;= 5%, Finance Act 2023) -&gt; Income-tax Act 2025 s.58(2) Table Sl. 3 read with s.62(4).</t>
  </si>
  <si>
    <t xml:space="preserve">Resident individual or partnership firm (not LLP) in specified professions (legal, medical, engineering, architecture, accountancy, technical consultancy, interior decoration, notified professions).</t>
  </si>
  <si>
    <t xml:space="preserve">AY 2024-25 onwards; s.58 from Tax Year 2026-27.</t>
  </si>
  <si>
    <t xml:space="preserve">Gross receipts; cash receipts.</t>
  </si>
  <si>
    <t xml:space="preserve">assessee_type, residential_status, profession_code, gross_receipts, cash_receipts, profit_declared</t>
  </si>
  <si>
    <t xml:space="preserve">1. Eligibility. 2. Limit = 75 lakh if cash receipts &lt;= 5% of gross receipts, else 50 lakh. 3. Deemed profit = 50% of gross receipts. 4. Declared &lt; 50% and income &gt; basic exemption -&gt; audit. 5. Advance tax single instalment 15 March.</t>
  </si>
  <si>
    <t xml:space="preserve">deemed = 0.5 * gross_receipts</t>
  </si>
  <si>
    <t xml:space="preserve">50%; Rs 50 lakh / Rs 75 lakh.</t>
  </si>
  <si>
    <t xml:space="preserve">LLPs and non-residents excluded.</t>
  </si>
  <si>
    <t xml:space="preserve">Not specified in law – implementation choice.</t>
  </si>
  <si>
    <t xml:space="preserve">As IT-014.</t>
  </si>
  <si>
    <t xml:space="preserve">Receipts &gt; limit with 44ADA -&gt; Critical.</t>
  </si>
  <si>
    <t xml:space="preserve">eligible, deemed_profit, audit_trigger.</t>
  </si>
  <si>
    <t xml:space="preserve">Gross receipts 70 lakh, cash 2 lakh (2.86%) -&gt; limit 75 lakh -&gt; eligible; deemed 35 lakh.</t>
  </si>
  <si>
    <t xml:space="preserve">Receipts 48 lakh all cash -&gt; limit 50 lakh -&gt; eligible, deemed 24 lakh.</t>
  </si>
  <si>
    <t xml:space="preserve">Receipts 70 lakh, cash 5 lakh (7.1%) -&gt; limit 50 lakh -&gt; ineligible; audit u/s 44AB(b)/s.63 (receipts &gt; 50 lakh).</t>
  </si>
  <si>
    <t xml:space="preserve">LLP claiming 44ADA; non-specified profession (e.g. commission agent).</t>
  </si>
  <si>
    <t xml:space="preserve">lim = 75e5 if cash &lt;= .05*gr else 50e5
ok = entity in ('IND_RES','FIRM_NON_LLP') and spec_prof and gr &lt;= lim</t>
  </si>
  <si>
    <t xml:space="preserve">Income-tax Act, 2025 - Section 58 Presumptive taxation | https://www.incometaxindia.gov.in/w/section-58-144 | s.58(2) Table Sl. 1/2/3; s.58(7),(8); s.58(11)(a)(i) omitted by Act No. 4 of 2026 w.e.f. 1-4-2026</t>
  </si>
  <si>
    <t xml:space="preserve">IT-016</t>
  </si>
  <si>
    <t xml:space="preserve">IT - Business disallowances</t>
  </si>
  <si>
    <t xml:space="preserve">s.43B / s.37 deductions allowed only on actual payment (statutory dues, employer contributions, bank interest, leave encashment)</t>
  </si>
  <si>
    <t xml:space="preserve">Disallow unpaid statutory liabilities outstanding at year-end that are not paid by the due date of filing the return.</t>
  </si>
  <si>
    <t xml:space="preserve">Income-tax Act 1961 s.43B(a)-(g) + first proviso -&gt; Income-tax Act 2025 s.37(1),(2)(a)-(f),(3),(4),(5),(8). Employee PF/ESI contribution is governed separately (s.36(1)(va) 1961; s.37(6) / s.2(49)(o) 2025 - strict due date under relevant Act).</t>
  </si>
  <si>
    <t xml:space="preserve">Assessees computing business income on mercantile basis.</t>
  </si>
  <si>
    <t xml:space="preserve">Continuing; s.37 from Tax Year 2026-27.</t>
  </si>
  <si>
    <t xml:space="preserve">Closing balances of statutory payables; payment dates after year-end; return due date (ITR-001/002).</t>
  </si>
  <si>
    <t xml:space="preserve">liability_type, liability_amount_year_end, payment_date, payment_amount, return_due_date_139_1, expense_debited_to_pl_flag, lender_type</t>
  </si>
  <si>
    <t xml:space="preserve">1. For each 43B-type liability expensed in P&amp;L and unpaid at year-end: if paid on or before due date of return u/s 139(1)/263(1) -&gt; allow in current year. 2. Else disallow; allow in year of payment. 3. Interest to scheduled banks/PFIs/NBFC (notified)/co-op banks converted into loan/debenture is not 'actually paid'. 4. Prior-year disallowed amounts paid this year -&gt; allow (track carry-forward). 5. Do not apply to employee contribution (separate rule).</t>
  </si>
  <si>
    <t xml:space="preserve">disallow = sum(liab_i - paid_i_by_due_date) for 43B items</t>
  </si>
  <si>
    <t xml:space="preserve">No monetary threshold.</t>
  </si>
  <si>
    <t xml:space="preserve">MSME clause (h)/(g) has no due-date-of-return relaxation - see IT-017.</t>
  </si>
  <si>
    <t xml:space="preserve">Due date of return u/s 139(1) for AY 2026-27 (31 Aug / 31 Oct-extended 21 Nov 2026 for audit cases); s.263(1) for Tax Year 2026-27.</t>
  </si>
  <si>
    <t xml:space="preserve">Unpaid GST/PF employer/bonus at year-end not paid by due date and not disallowed in computation/3CD -&gt; High.</t>
  </si>
  <si>
    <t xml:space="preserve">disallowance_amount by liability type; year-of-allowance tracker.</t>
  </si>
  <si>
    <t xml:space="preserve">Year-end payables: GST output 4,00,000 paid 20-04-2026; bonus 2,50,000 paid 15-12-2026; bank interest 1,20,000 converted into term loan 31-03-2026. Return due date (audit) 21-11-2026 (extended). GST allowed; bonus paid after due date -&gt; disallow 2,50,000 in AY 2026-27, allow AY 2027-28 / Tax Year 2026-27; interest converted -&gt; disallow 1,20,000. Total disallowance 3,70,000.</t>
  </si>
  <si>
    <t xml:space="preserve">Professional tax 25,000 payable, paid 10-06-2026 -&gt; allowed.</t>
  </si>
  <si>
    <t xml:space="preserve">Bonus paid 22-11-2026 when due date is 21-11-2026 -&gt; disallowed (CA to decide whether extended due date applies for 43B purposes - see notes).</t>
  </si>
  <si>
    <t xml:space="preserve">Not tracking prior-year 43B disallowances; treating interest conversion as payment.</t>
  </si>
  <si>
    <t xml:space="preserve">for l in liabilities_43B:
    paid = sum(p.amt for p in l.payments if p.date &lt;= return_due_date)
    if l.type=='INTEREST' and l.converted: paid = 0
    disallow += max(0, l.amount - paid)</t>
  </si>
  <si>
    <t xml:space="preserve">Income-tax Act, 2025 - Section 37 Certain deductions allowed on actual payment | https://www.incometaxindia.gov.in/w/section-37-169 | s.37(2)(a)-(g); s.37(3) excludes clause (g)</t>
  </si>
  <si>
    <t xml:space="preserve">s.37 (2025 Act) text verified on official site. Old s.43B clause lettering from established law. Whether a CBDT-extended due date (Circular 07/2026) applies for 43B 'due date' is a CA judgement (generally accepted that extended due date applies) - open question.</t>
  </si>
  <si>
    <t xml:space="preserve">IT-017</t>
  </si>
  <si>
    <t xml:space="preserve">s.43B(h) / s.37(2)(g) - payments to Micro &amp; Small enterprises beyond MSMED Act s.15 time limit</t>
  </si>
  <si>
    <t xml:space="preserve">Identify year-end payables to micro/small suppliers outstanding beyond 15/45 days and disallow until paid.</t>
  </si>
  <si>
    <t xml:space="preserve">Income-tax Act 1961 s.43B(h) (inserted by Finance Act 2023, effective AY 2024-25) -&gt; Income-tax Act 2025 s.37(2)(g), s.37(3) (due-date relaxation excludes clause (g)); MSMED Act 2006 s.15 (and s.2(b) 'appointed day').</t>
  </si>
  <si>
    <t xml:space="preserve">Buyers (any assessee with business income, mercantile basis) purchasing goods/services from enterprises registered (Udyam) as Micro or Small. Medium enterprises excluded.</t>
  </si>
  <si>
    <t xml:space="preserve">AY 2024-25 onwards; s.37(2)(g) from Tax Year 2026-27.</t>
  </si>
  <si>
    <t xml:space="preserve">Supplier master with Udyam classification (micro/small/medium) and whether trader; invoice dates, acceptance dates, written agreement credit days; payment ledger.</t>
  </si>
  <si>
    <t xml:space="preserve">supplier_udyam_no, supplier_category, supplier_activity (manufacturing/services/trading), invoice_date, acceptance_date, agreed_credit_days, payment_dates, outstanding_at_year_end</t>
  </si>
  <si>
    <t xml:space="preserve">1. Filter suppliers with category Micro or Small (exclude Medium; exclude traders - see notes). 2. Compute allowed_days = min(agreed_credit_days, 45) if written agreement else 15. 3. deadline = acceptance_date (or invoice/delivery date if acceptance not recorded) + allowed_days. 4. For each invoice outstanding at 31 March: if paid on or before deadline (even if after year end) -&gt; allowable this year; else disallow full outstanding amount in this year. 5. Allowance in year of actual payment. 6. The due-date-of-return relaxation does NOT apply. 7. Report in tax audit (Form 3CD clause 22/26 equivalent).</t>
  </si>
  <si>
    <t xml:space="preserve">disallow = sum(outstanding_i where payment_date_i &gt; acceptance_i + allowed_days_i or unpaid)</t>
  </si>
  <si>
    <t xml:space="preserve">15 days (no agreement); max 45 days (with written agreement).</t>
  </si>
  <si>
    <t xml:space="preserve">Medium enterprises; payments to non-registered suppliers (status at time of transaction); trader registrations (Udyam for priority sector lending only) - view; capital goods purchases (debated).</t>
  </si>
  <si>
    <t xml:space="preserve">Days counted calendar days - implementation choice per MSMED Act s.2(b) 'day of acceptance'.</t>
  </si>
  <si>
    <t xml:space="preserve">Year-end testing date 31 March; actual payment deadline per invoice.</t>
  </si>
  <si>
    <t xml:space="preserve">Micro/small payable outstanding beyond deadline and not disallowed -&gt; High. Supplier category missing -&gt; Medium (data gap).</t>
  </si>
  <si>
    <t xml:space="preserve">invoice-wise list, days overdue, disallowance amount, carry-forward allowance schedule.</t>
  </si>
  <si>
    <t xml:space="preserve">Micro supplier, agreement 60 days (capped 45). Invoice 01-03-2026, accepted 01-03-2026, 5,00,000 -&gt; deadline 15-04-2026. Paid 30-04-2026 -&gt; late -&gt; disallow 5,00,000 in AY 2026-27; allow in Tax Year 2026-27. Second invoice 20-03-2026 2,00,000, no agreement -&gt; deadline 04-04-2026, paid 02-04-2026 -&gt; allowed.</t>
  </si>
  <si>
    <t xml:space="preserve">Small enterprise invoice 10-02-2026, 30-day agreement, paid 05-03-2026 -&gt; no disallowance.</t>
  </si>
  <si>
    <t xml:space="preserve">Medium enterprise invoice outstanding 120 days -&gt; not covered (no disallowance under this rule).</t>
  </si>
  <si>
    <t xml:space="preserve">Using invoice date instead of acceptance date; applying 45 days without written agreement; including medium enterprises; allowing payment by due date of return.</t>
  </si>
  <si>
    <t xml:space="preserve">for inv in payables_at_ye:
    s = supplier[inv.vendor]
    if s.cat not in ('MICRO','SMALL') or s.is_trader: continue
    days = min(inv.agreed_days, 45) if inv.has_written_agreement else 15
    deadline = (inv.acceptance_date or inv.invoice_date) + timedelta(days)
    if not inv.paid_on or inv.paid_on &gt; deadline: disallow += inv.outstanding</t>
  </si>
  <si>
    <t xml:space="preserve">Income-tax Act, 2025 - Section 37 Certain deductions allowed on actual payment | https://www.incometaxindia.gov.in/w/section-37-169 | s.37(2)(a)-(g); s.37(3) excludes clause (g)
TaxGuru - Finance Ministry clarifies s.43B(h) 45-day MSME payment rule | https://taxguru.in/income-tax/finance-ministry-clarifies-section-43bh-45-day-msme-payment-rule.html | Rajya Sabha Unstarred Q. 242 dated 21-07-2026; 43B(h) -&gt; s.37(2)(g)</t>
  </si>
  <si>
    <t xml:space="preserve">s.37(2)(g) and s.37(3) exclusion verified on official 2025-Act text. 45-day limit confirmed via TaxGuru report of Rajya Sabha reply (21-07-2026). The 15-day default (no agreement) is from MSMED Act s.15 / s.2(b) per established law - not opened this session. Exclusion of traders is a widely-held view based on MSME Ministry OM (2 July 2021) - not verified; CA to decide.</t>
  </si>
  <si>
    <t xml:space="preserve">IT-018</t>
  </si>
  <si>
    <t xml:space="preserve">Cash payment exceeding Rs 10,000 per person per day (Rs 35,000 goods carriage) - s.40A(3)/(3A) / s.36(4)-(6)</t>
  </si>
  <si>
    <t xml:space="preserve">Scan cash-book and bearer/non-account-payee payments for disallowable expenditure.</t>
  </si>
  <si>
    <t xml:space="preserve">Income-tax Act 1961 s.40A(3), (3A), (4) read with Rule 6DD -&gt; Income-tax Act 2025 s.36(4), s.36(5) (inferred = 40A(3A)), s.36(6); Rule 6DD equivalent under Income-tax Rules 2026 not verified. Also s.43(1) proviso / 2025 Bill clause 39: cash &gt; 10,000 excluded from actual cost of asset.</t>
  </si>
  <si>
    <t xml:space="preserve">Assessees with business/profession income.</t>
  </si>
  <si>
    <t xml:space="preserve">Continuing; s.36 from Tax Year 2026-27.</t>
  </si>
  <si>
    <t xml:space="preserve">Payment ledger with mode, payee identifier, date; expense classification.</t>
  </si>
  <si>
    <t xml:space="preserve">payment_date, payee_id, amount, payment_mode, expense_head, is_goods_carriage_payment, rule6dd_exception_code, related_liability_year</t>
  </si>
  <si>
    <t xml:space="preserve">1. Keep payments not by account-payee cheque/draft/ECS/prescribed electronic modes (UPI, cards, net banking etc.). 2. Group by payee_id + date. 3. limit = 35,000 if goods carriage hire/lease else 10,000. 4. If aggregate &gt; limit -&gt; disallow entire aggregate of that day (not just excess) unless Rule 6DD exception. 5. If the expense was allowed in an earlier year on accrual and paid in cash now &gt; limit -&gt; deemed income (40A(3A) / s.36(5)). 6. Capital purchases -&gt; exclude from actual cost (depreciation impact).</t>
  </si>
  <si>
    <t xml:space="preserve">disallow = sum(day_total) for (payee,date) where day_total &gt; limit and no 6DD exception</t>
  </si>
  <si>
    <t xml:space="preserve">Rs 10,000 per person per day; Rs 35,000 for plying/hiring/leasing goods carriages.</t>
  </si>
  <si>
    <t xml:space="preserve">Rule 6DD: payments to RBI/banks/LIC/Government (legal tender), agricultural produce to cultivator, cottage industry producers, village without bank, terminal benefits &lt;= 50,000, book adjustment, etc.</t>
  </si>
  <si>
    <t xml:space="preserve">Splitting into multiple &lt; 10,000 vouchers same payee same day -&gt; High. Payment &gt; limit with no exception -&gt; High.</t>
  </si>
  <si>
    <t xml:space="preserve">payee-day listing, disallowance, exception applied.</t>
  </si>
  <si>
    <t xml:space="preserve">15-07-2025: cash to vendor A 8,000 + 7,000 = 15,000 &gt; 10,000 -&gt; disallow 15,000. Same day cash to truck operator B 30,000 -&gt; within 35,000 -&gt; OK. 20-07-2025: cash to B 40,000 -&gt; disallow 40,000. Total disallowance 55,000.</t>
  </si>
  <si>
    <t xml:space="preserve">Single cash payment 9,999 -&gt; no disallowance.</t>
  </si>
  <si>
    <t xml:space="preserve">Cash 12,000 to farmer for agricultural produce -&gt; exempt (Rule 6DD) -&gt; no disallowance; cash 10,000 exactly -&gt; not 'exceeds' -&gt; OK.</t>
  </si>
  <si>
    <t xml:space="preserve">Disallowing only excess over 10,000; ignoring daily aggregation; treating UPI as cash.</t>
  </si>
  <si>
    <t xml:space="preserve">cash = [p for p in pays if p.mode not in ELECTRONIC_OR_AC_PAYEE]
for (payee, d), grp in groupby(cash, key=lambda p:(p.payee, p.date)):
    tot = sum(p.amt for p in grp)
    lim = 35000 if any(p.goods_carriage for p in grp) else 10000
    if tot &gt; lim and not exempt_6dd(grp): disallow += tot</t>
  </si>
  <si>
    <t xml:space="preserve">Income-tax Act, 2025 - Section 36 Expenses or payments not deductible in certain circumstances | https://www.incometaxindia.gov.in/w/section-36-171 | s.36(2) related party; s.36(4) cash &gt; Rs 10,000; s.36(6) Rs 35,000 goods carriage
Income Tax Department - Limit on cash transactions | https://www.incometaxindia.gov.in/w/prohibited-transaction-in-cash/limit-on-cash-transactions%E2%80%8B | 40A(3), 269SS, 269ST, 269SU, 269T and penalties 271D/271DA/271DB/271E (1961 Act)
TaxHeal - Cash transaction limits under Income Tax Bill 2025 | https://www.taxheal.com/new-cash-transaction-limits-under-the-income-tax-act-2025.html | Clauses 36(4), 36(6), 39, 185, 186, 188 (Bill numbering, secondary)</t>
  </si>
  <si>
    <t xml:space="preserve">s.36(4) and s.36(6) thresholds verified on official 2025-Act text; 1961 position verified on ITD cash-limits page. Rule 6DD equivalent in Income-tax Rules, 2026 not verified.</t>
  </si>
  <si>
    <t xml:space="preserve">IT-019</t>
  </si>
  <si>
    <t xml:space="preserve">IT - Cash transaction restrictions</t>
  </si>
  <si>
    <t xml:space="preserve">Cash receipt of Rs 2 lakh or more - s.269ST / s.186</t>
  </si>
  <si>
    <t xml:space="preserve">Detect receipts in cash of Rs 2,00,000 or more from a person in a day, per transaction, or per event/occasion.</t>
  </si>
  <si>
    <t xml:space="preserve">Income-tax Act 1961 s.269ST; penalty s.271DA (equal to amount) -&gt; Income-tax Act 2025 s.186 (penalty section not verified).</t>
  </si>
  <si>
    <t xml:space="preserve">All persons (receiver).</t>
  </si>
  <si>
    <t xml:space="preserve">01-04-2017 onwards; s.186 from 01-04-2026.</t>
  </si>
  <si>
    <t xml:space="preserve">Receipt ledger with payer id, date, invoice/event reference, mode.</t>
  </si>
  <si>
    <t xml:space="preserve">receipt_date, payer_id, amount, mode, invoice_or_event_id, receiver_type</t>
  </si>
  <si>
    <t xml:space="preserve">1. Filter cash receipts (and non-a/c-payee instruments). 2. Test A: aggregate per payer per day &gt;= 2,00,000. 3. Test B: single transaction (invoice) total cash &gt;= 2,00,000 even across days. 4. Test C: transactions relating to one event/occasion (e.g. wedding) &gt;= 2,00,000. 5. Exclude receivers that are Government, banks, post office, co-op banks, and loans covered by 269SS/s.185.</t>
  </si>
  <si>
    <t xml:space="preserve">flag if max(sum_by_payer_day, sum_by_invoice, sum_by_event) &gt;= 200000</t>
  </si>
  <si>
    <t xml:space="preserve">Rs 2,00,000 or more (note: 'or more', not 'exceeds').</t>
  </si>
  <si>
    <t xml:space="preserve">Government, banking company, post office savings bank, co-op bank, notified persons; transactions under 269SS / s.185.</t>
  </si>
  <si>
    <t xml:space="preserve">Any test met -&gt; Critical (penalty = 100% of receipt).</t>
  </si>
  <si>
    <t xml:space="preserve">violation list with test type, amount, penalty exposure.</t>
  </si>
  <si>
    <t xml:space="preserve">Invoice INV-77 of 3,00,000 settled by cash 1,50,000 on 01-08-2025 and 1,50,000 on 05-08-2025 -&gt; Test B: 3,00,000 &gt;= 2,00,000 -&gt; violation; penalty exposure 3,00,000.</t>
  </si>
  <si>
    <t xml:space="preserve">Cash 1,99,999 from payer X on one day for one invoice -&gt; no flag.</t>
  </si>
  <si>
    <t xml:space="preserve">Cash 2,00,000 exactly from one payer one day -&gt; flag (threshold inclusive).</t>
  </si>
  <si>
    <t xml:space="preserve">Using 'exceeds' instead of 'or more'; only per-day test.</t>
  </si>
  <si>
    <t xml:space="preserve">viol = any(v &gt;= 200000 for v in [by_payer_day, by_invoice, by_event])</t>
  </si>
  <si>
    <t xml:space="preserve">eztax.in - Section 186, Income-tax Act 2025 | https://eztax.in/income-tax-act-2025/section-186 | Receipt of Rs 2,00,000 or more otherwise than by banking mode (secondary)
TaxTMI note - Clause 186 of Income Tax Bill 2025 vs s.269ST | https://www.taxtmi.com/tmi_notes?id=1989 | Bill clause 185 (loans/deposits) and 186 (mode of undertaking transactions)
Income Tax Department - Limit on cash transactions | https://www.incometaxindia.gov.in/w/prohibited-transaction-in-cash/limit-on-cash-transactions%E2%80%8B | 40A(3), 269SS, 269ST, 269SU, 269T and penalties 271D/271DA/271DB/271E (1961 Act)</t>
  </si>
  <si>
    <t xml:space="preserve">1961 position verified on ITD page; s.186 content from eztax (secondary) and mapping from TaxTMI. Penalty section under 2025 Act not verified (TaxHeal cites inconsistent clause numbers).</t>
  </si>
  <si>
    <t xml:space="preserve">IT-020</t>
  </si>
  <si>
    <t xml:space="preserve">Acceptance of loans/deposits/specified sum of Rs 20,000 or more otherwise than by banking mode - s.269SS / s.185</t>
  </si>
  <si>
    <t xml:space="preserve">Detect cash (or non-a/c-payee) acceptance of loans/deposits/advances for immovable property &gt;= Rs 20,000.</t>
  </si>
  <si>
    <t xml:space="preserve">Income-tax Act 1961 s.269SS; penalty s.271D -&gt; Income-tax Act 2025 s.185 (inferred from Bill clause 185 title; penalty section not verified).</t>
  </si>
  <si>
    <t xml:space="preserve">All persons accepting loans/deposits/specified sums.</t>
  </si>
  <si>
    <t xml:space="preserve">Loan ledger including journal entries, opening balances.</t>
  </si>
  <si>
    <t xml:space="preserve">lender_id, date, amount, mode, existing_balance_with_lender, nature (loan/deposit/specified_sum), lender_type</t>
  </si>
  <si>
    <t xml:space="preserve">1. For each acceptance not via a/c payee cheque/draft/ECS/electronic mode: 2. If amount &gt;= 20,000 OR (amount + existing outstanding with that person) &gt;= 20,000 -&gt; violation. 3. Exempt lenders: Govt, banks, post office, co-op bank, statutory corporations, Govt company, notified institutions; both parties agriculturists with no taxable income. 4. Rs 2 lakh threshold for PACS/PCARDB members.</t>
  </si>
  <si>
    <t xml:space="preserve">viol = mode not in BANKING and (amount &gt;= 20000 or amount + outstanding &gt;= 20000)</t>
  </si>
  <si>
    <t xml:space="preserve">Rs 20,000 (Rs 2,00,000 for PACS/PCARDB).</t>
  </si>
  <si>
    <t xml:space="preserve">As above; journal-entry squaring has judicial nuances (CA review).</t>
  </si>
  <si>
    <t xml:space="preserve">Violation -&gt; Critical (penalty = amount).</t>
  </si>
  <si>
    <t xml:space="preserve">violation list, penalty exposure.</t>
  </si>
  <si>
    <t xml:space="preserve">Director lends 15,000 cash on 01-06-2025 (balance nil) -&gt; OK; lends 10,000 cash 10-06-2025 (balance 15,000 -&gt; 25,000) -&gt; violation on 10,000 (aggregate test).</t>
  </si>
  <si>
    <t xml:space="preserve">Loan 50,000 by NEFT -&gt; OK.</t>
  </si>
  <si>
    <t xml:space="preserve">Cash loan 20,000 exactly -&gt; violation.</t>
  </si>
  <si>
    <t xml:space="preserve">Ignoring existing outstanding; journal entries.</t>
  </si>
  <si>
    <t xml:space="preserve">if p.mode not in BANKING and (p.amt &gt;= 20000 or bal[p.lender] + p.amt &gt;= 20000): flag(p)</t>
  </si>
  <si>
    <t xml:space="preserve">Income Tax Department - Limit on cash transactions | https://www.incometaxindia.gov.in/w/prohibited-transaction-in-cash/limit-on-cash-transactions%E2%80%8B | 40A(3), 269SS, 269ST, 269SU, 269T and penalties 271D/271DA/271DB/271E (1961 Act)
TaxTMI note - Clause 186 of Income Tax Bill 2025 vs s.269ST | https://www.taxtmi.com/tmi_notes?id=1989 | Bill clause 185 (loans/deposits) and 186 (mode of undertaking transactions)
TaxHeal - Cash transaction limits under Income Tax Bill 2025 | https://www.taxheal.com/new-cash-transaction-limits-under-the-income-tax-act-2025.html | Clauses 36(4), 36(6), 39, 185, 186, 188 (Bill numbering, secondary)</t>
  </si>
  <si>
    <t xml:space="preserve">1961 position verified on official ITD page; 2025-Act section number 185 inferred from Bill-stage clause titles (secondary) - verify enacted numbering and penalty section.</t>
  </si>
  <si>
    <t xml:space="preserve">IT-021</t>
  </si>
  <si>
    <t xml:space="preserve">Repayment of loans/deposits/specified advances of Rs 20,000 or more otherwise than by banking mode - s.269T / s.188</t>
  </si>
  <si>
    <t xml:space="preserve">Detect cash repayments.</t>
  </si>
  <si>
    <t xml:space="preserve">Income-tax Act 1961 s.269T; penalty s.271E -&gt; Income-tax Act 2025 s.188 (penalty section not verified).</t>
  </si>
  <si>
    <t xml:space="preserve">Banks branches, co-operative banks, companies, co-operative societies, firms, other persons repaying loans/deposits.</t>
  </si>
  <si>
    <t xml:space="preserve">Loan ledger.</t>
  </si>
  <si>
    <t xml:space="preserve">lender_id, repayment_date, amount_incl_interest, mode, aggregate_outstanding_before_repayment</t>
  </si>
  <si>
    <t xml:space="preserve">1. Non-banking-mode repayment. 2. If repayment (incl. interest) &gt;= 20,000 OR aggregate amount held (incl. interest) &gt;= 20,000 -&gt; violation. 3. Exemptions as s.269SS. 4. PACS/PCARDB 2 lakh.</t>
  </si>
  <si>
    <t xml:space="preserve">viol = mode not in BANKING and (amt &gt;= 20000 or aggregate_held &gt;= 20000)</t>
  </si>
  <si>
    <t xml:space="preserve">Rs 20,000 (Rs 2,00,000 PACS/PCARDB).</t>
  </si>
  <si>
    <t xml:space="preserve">Govt, banks, post office, co-op banks, statutory corporations, Govt companies, notified institutions.</t>
  </si>
  <si>
    <t xml:space="preserve">Violation -&gt; Critical.</t>
  </si>
  <si>
    <t xml:space="preserve">Outstanding loan 1,00,000; repays 15,000 in cash -&gt; aggregate held 1,00,000 &gt;= 20,000 -&gt; violation of 15,000.</t>
  </si>
  <si>
    <t xml:space="preserve">Outstanding 18,000 repaid 18,000 cash -&gt; OK.</t>
  </si>
  <si>
    <t xml:space="preserve">Outstanding 19,500 + interest 600 = 20,100 repaid in cash -&gt; violation.</t>
  </si>
  <si>
    <t xml:space="preserve">Testing only the repayment amount, not aggregate held.</t>
  </si>
  <si>
    <t xml:space="preserve">if r.mode not in BANKING and (r.amt &gt;= 20000 or r.agg_held &gt;= 20000): flag(r)</t>
  </si>
  <si>
    <t xml:space="preserve">eztax.in - Section 188, Income-tax Act 2025 | https://eztax.in/income-tax-act-2025/section-188 | Repayment of loans/deposits Rs 20,000 or more (secondary)
Income Tax Department - Limit on cash transactions | https://www.incometaxindia.gov.in/w/prohibited-transaction-in-cash/limit-on-cash-transactions%E2%80%8B | 40A(3), 269SS, 269ST, 269SU, 269T and penalties 271D/271DA/271DB/271E (1961 Act)</t>
  </si>
  <si>
    <t xml:space="preserve">s.188 content from eztax (secondary); 1961 position official.</t>
  </si>
  <si>
    <t xml:space="preserve">IT-022</t>
  </si>
  <si>
    <t xml:space="preserve">IT - Business disallowances (TDS)</t>
  </si>
  <si>
    <t xml:space="preserve">30% disallowance for non-deduction / non-payment of TDS on payments to residents - s.40(a)(ia) / s.35</t>
  </si>
  <si>
    <t xml:space="preserve">Link TDS compliance module to business-income computation: compute 30% disallowance where TDS was deductible but not deducted or not paid by return due date.</t>
  </si>
  <si>
    <t xml:space="preserve">Income-tax Act 1961 s.40(a)(ia) and its provisos (deemed deduction where payee has filed return - s.201(1) first proviso) -&gt; Income-tax Act 2025 s.35 (clause numbering not verified).</t>
  </si>
  <si>
    <t xml:space="preserve">Business/profession assessees making payments to residents subject to Chapter XVII-B (1961) / Chapter XIX-B (2025) TDS.</t>
  </si>
  <si>
    <t xml:space="preserve">30% from AY 2015-16; s.35 from Tax Year 2026-27.</t>
  </si>
  <si>
    <t xml:space="preserve">Expense ledger tagged with TDS section; TDS deduction and deposit (challan) data; due date of return.</t>
  </si>
  <si>
    <t xml:space="preserve">expense_id, payee_pan, payee_residency, tds_section, amount, tds_deductible_flag, tds_deducted_amount, tds_deposit_date, return_due_date, payee_form26A_certificate_flag</t>
  </si>
  <si>
    <t xml:space="preserve">1. For each expense where TDS deductible on resident payee: 2. If not deducted -&gt; disallow 30% of sum. 3. If deducted but deposited after due date of return u/s 139(1)/263(1) -&gt; disallow 30%. 4. If deducted short -&gt; disallow 30% of the sum proportionate? (see notes) 5. Allow in the year TDS is deducted/paid. 6. If payee has filed return and paid tax (accountant certificate, Form 26A under 1961) -&gt; deemed deducted/paid -&gt; no disallowance.</t>
  </si>
  <si>
    <t xml:space="preserve">disallow = 0.30 * amount_i for each non-compliant i</t>
  </si>
  <si>
    <t xml:space="preserve">30% of the sum payable.</t>
  </si>
  <si>
    <t xml:space="preserve">Payee certificate (Form 26A); payments below TDS thresholds.</t>
  </si>
  <si>
    <t xml:space="preserve">TDS must be paid on or before due date of return u/s 139(1) / 263(1).</t>
  </si>
  <si>
    <t xml:space="preserve">Non-deduction with no disallowance in computation -&gt; High.</t>
  </si>
  <si>
    <t xml:space="preserve">disallowance list, carry-forward allowance.</t>
  </si>
  <si>
    <t xml:space="preserve">Contract payment 10,00,000 (s.194C 2%) - no TDS -&gt; disallow 3,00,000. Professional fees 5,00,000 TDS deducted 50,000 in March 2026, deposited 25-12-2026 after due date 31-10/21-11-2026 -&gt; disallow 1,50,000 in AY 2026-27; allow in Tax Year 2026-27.</t>
  </si>
  <si>
    <t xml:space="preserve">TDS deducted March 2026, deposited 30-04-2026 -&gt; no disallowance.</t>
  </si>
  <si>
    <t xml:space="preserve">Payment below s.194C threshold -&gt; TDS not deductible -&gt; no disallowance.</t>
  </si>
  <si>
    <t xml:space="preserve">Disallowing 100% for residents; short deduction treated as non-deduction (debated).</t>
  </si>
  <si>
    <t xml:space="preserve">if exp.tds_deductible and exp.payee_resident:
    if exp.tds_deducted == 0 or exp.deposit_date is None or exp.deposit_date &gt; due_date:
        if not exp.form26A: disallow += 0.30*exp.amount</t>
  </si>
  <si>
    <t xml:space="preserve">eztax.in - Section 35, Income-tax Act 2025 | https://eztax.in/income-tax-act-2025/section-35 | Amounts not deductible: 30% for residents where TDS not deducted/paid (secondary)</t>
  </si>
  <si>
    <t xml:space="preserve">30% for residents under 2025 Act s.35 confirmed via eztax (secondary); 1961 s.40(a)(ia) per established law. Short-deduction treatment is judicially debated - CA to decide. 2025-Act clause numbers and new-Act equivalent of Form 26A not verified.</t>
  </si>
  <si>
    <t xml:space="preserve">IT-023</t>
  </si>
  <si>
    <t xml:space="preserve">100% disallowance for non-deduction / non-payment of TDS on payments to non-residents - s.40(a)(i) / s.35</t>
  </si>
  <si>
    <t xml:space="preserve">Disallow full amount of interest, royalty, FTS or other sums payable outside India or to non-residents where TDS not deducted/paid.</t>
  </si>
  <si>
    <t xml:space="preserve">Income-tax Act 1961 s.40(a)(i) -&gt; Income-tax Act 2025 s.35 (clause numbering not verified).</t>
  </si>
  <si>
    <t xml:space="preserve">Payments to non-residents / foreign companies chargeable in India.</t>
  </si>
  <si>
    <t xml:space="preserve">Foreign payments ledger; TDS (s.195 / new-Act equivalent) data.</t>
  </si>
  <si>
    <t xml:space="preserve">payee_residency, nature_of_payment, amount, tds_deducted, deposit_date, return_due_date</t>
  </si>
  <si>
    <t xml:space="preserve">1. Payment to NR where TDS deductible. 2. Not deducted or not paid by return due date -&gt; disallow 100%. 3. Allow in year deducted and paid.</t>
  </si>
  <si>
    <t xml:space="preserve">disallow = amount</t>
  </si>
  <si>
    <t xml:space="preserve">100%.</t>
  </si>
  <si>
    <t xml:space="preserve">DTAA non-taxable payments (no TDS obligation).</t>
  </si>
  <si>
    <t xml:space="preserve">As IT-022.</t>
  </si>
  <si>
    <t xml:space="preserve">NR payment with no TDS and no DTAA documentation -&gt; High.</t>
  </si>
  <si>
    <t xml:space="preserve">disallowance.</t>
  </si>
  <si>
    <t xml:space="preserve">Royalty to US company 20,00,000; no TDS -&gt; disallow 20,00,000.</t>
  </si>
  <si>
    <t xml:space="preserve">TDS deducted and deposited 07-04-2026 -&gt; no disallowance.</t>
  </si>
  <si>
    <t xml:space="preserve">Import of goods (not chargeable in India) -&gt; no TDS, no disallowance.</t>
  </si>
  <si>
    <t xml:space="preserve">Applying 30% to NR payments.</t>
  </si>
  <si>
    <t xml:space="preserve">if not exp.payee_resident and exp.tds_deductible and noncompliant(exp): disallow += exp.amount</t>
  </si>
  <si>
    <t xml:space="preserve">eztax states 2025 s.35 NR limb is without the 30% cap (full disallowance).</t>
  </si>
  <si>
    <t xml:space="preserve">IT-024</t>
  </si>
  <si>
    <t xml:space="preserve">IT - Capital gains</t>
  </si>
  <si>
    <t xml:space="preserve">Capital gains classification and rates post 23-07-2024 (111A 20%, 112A 12.5% above Rs 1.25 lakh, 112 12.5%; holding 12/24 months)</t>
  </si>
  <si>
    <t xml:space="preserve">Verify capital gains schedule: holding period classification, rate applied, 112A exemption, basic exemption adjustment.</t>
  </si>
  <si>
    <t xml:space="preserve">Income-tax Act 1961 s.2(42A), s.111A, s.112, s.112A (as amended by Finance (No.2) Act 2024) -&gt; Income-tax Act 2025 s.2(101) (short-term capital asset), s.196 (=111A), s.197 (=112), s.198 (=112A).</t>
  </si>
  <si>
    <t xml:space="preserve">All assessees with capital gains.</t>
  </si>
  <si>
    <t xml:space="preserve">Transfers on or after 23-07-2024; continuing AY 2026-27 and Tax Year 2026-27.</t>
  </si>
  <si>
    <t xml:space="preserve">Transaction-level capital gains statement (broker P&amp;L, AIS SFT data).</t>
  </si>
  <si>
    <t xml:space="preserve">asset_type, listed_flag, stt_paid_acq, stt_paid_transfer, acquisition_date, transfer_date, sale_consideration, cost, expenses, residential_status, other_income</t>
  </si>
  <si>
    <t xml:space="preserve">1. Holding period: listed securities/equity MF/UTI/zero-coupon -&gt; LT if &gt; 12 months; all other assets (incl. unlisted shares, immovable property) -&gt; LT if &gt; 24 months. 2. STT-paid equity STCG -&gt; 20% (111A/196) for transfers on/after 23-07-2024 (15% before). 3. STT-paid equity LTCG -&gt; 12.5% on amount exceeding Rs 1,25,000 per year (112A/198). 4. Other LTCG -&gt; 12.5% without indexation (112/197); land/building acquired before 23-07-2024 by resident individual/HUF -&gt; tax limited to 20% with indexation computation (s.197(3)). 5. Residents (ind/HUF): unabsorbed basic exemption may reduce 111A/112/112A gains. 6. Chapter VI-A/VIII deductions not against these gains. 7. Rebate excluded (IT-009). 8. Surcharge capped 15%.</t>
  </si>
  <si>
    <t xml:space="preserve">tax_111A = 0.20*stcg; tax_112A = 0.125*max(0, ltcg_112A - 125000); tax_112 = 0.125*ltcg_112</t>
  </si>
  <si>
    <t xml:space="preserve">STCG 111A 20%; LTCG 112A 12.5% (exemption Rs 1.25 lakh); LTCG 112 12.5%; holding 12 months (listed) / 24 months (others).</t>
  </si>
  <si>
    <t xml:space="preserve">Grandfathering 31-01-2018 FMV for 112A; IFSC exceptions; buyback taxed as capital gains from 01-04-2026 (Finance Act 2026 per secondary source).</t>
  </si>
  <si>
    <t xml:space="preserve">Not specified separately; follow s.288A/288B / s.516 at total level.</t>
  </si>
  <si>
    <t xml:space="preserve">Advance tax: capital gains shortfall exempt from 234C if paid in remaining instalments (ADV-006).</t>
  </si>
  <si>
    <t xml:space="preserve">15% STCG on post-23-07-2024 transfers -&gt; High. 1 lakh exemption used instead of 1.25 lakh -&gt; High. Unlisted shares held 18 months treated LT -&gt; High.</t>
  </si>
  <si>
    <t xml:space="preserve">classification per transaction, rate, tax, mismatches vs return/AIS.</t>
  </si>
  <si>
    <t xml:space="preserve">Listed shares (STT) bought 10-01-2025, sold 15-02-2026 (&gt;12 months) gain 3,00,000 -&gt; LTCG 112A: (3,00,000 - 1,25,000) x 12.5% = 21,875. Shares bought 01-06-2025 sold 01-12-2025 gain 1,00,000 -&gt; STCG 111A 20% = 20,000. Total 41,875 + cess 4% 1,675 = 43,550.</t>
  </si>
  <si>
    <t xml:space="preserve">Unlisted shares held 30 months, gain 10,00,000 -&gt; 112 LTCG 12.5% = 1,25,000.</t>
  </si>
  <si>
    <t xml:space="preserve">Listed shares held exactly 12 months (01-04-2025 to 01-04-2026) -&gt; 'more than 12 months' not met -&gt; STCG.</t>
  </si>
  <si>
    <t xml:space="preserve">Wrong holding period boundaries; applying indexation to post-23-07-2024 transfers by non-eligible persons.</t>
  </si>
  <si>
    <t xml:space="preserve">def classify(a):
    m = 12 if a.listed else 24
    lt = months_between(a.acq, a.sale) &gt; m  # strictly more than
    ...</t>
  </si>
  <si>
    <t xml:space="preserve">Income Tax Department - Tax on short-term capital gains | https://www.incometaxindia.gov.in/w/tax-on-short-term-capital-gains%E2%80%8B | 111A 15% before / 20% on or after 23-07-2024; holding periods 12/24 months
Income-tax Act, 2025 - Section 197 Tax on long-term capital gains | https://www.incometaxindia.gov.in/w/section-197-78 | 12.5%; s.197(3) land/building acquired before 23-07-2024
eztax.in - Section 198, Income-tax Act 2025 | https://eztax.in/income-tax-act-2025/section-198 | LTCG &gt; Rs 1,25,000 at 12.5%; rebate s.156 excluded (secondary)
Ebizfiling - Sections 196 and 198 | https://ebizfiling.com/blog/section-196-and-198-short-term-and-long-term-capital-gains/ | 196 = 111A (20%); 198 = 112A (12.5%) (secondary)
TaxTMI note - Section 2(101) short-term capital asset | https://www.taxtmi.com/tmi_notes?id=2099 | s.2(101) two-tier holding period (secondary)
eztax.in - Compare old/new section codes | https://eztax.in/income-tax-act-2025/compare-old-new-section-codes | Mapping table: 44AB-&gt;63, 44AD/44ADA-&gt;58, 87A-&gt;156, 111A-&gt;196, 112A-&gt;198, 115BAC-&gt;202, 139-&gt;263, 234A-&gt;423, 234B-&gt;424, 234C-&gt;425, 234F-&gt;428 (secondary)
ClearTax - Income tax changes from April 2026 | https://cleartax.in/s/income-tax-changes-from-april-2026 | Form 26AS -&gt; Form 168; Form 16 -&gt; 130; STT/TCS/buyback changes (secondary)</t>
  </si>
  <si>
    <t xml:space="preserve">111A 20% / holding periods verified on ITD official page; s.197 12.5% verified on official 2025-Act page. 112A 12.5% and Rs 1.25 lakh confirmed only via secondary sources (eztax, ebizfiling) - official 112A/198 text not opened. s.2(101) holding period months not visible on source opened. 'More than 12 months' boundary per s.2(42A) wording - CA review.</t>
  </si>
  <si>
    <t xml:space="preserve">IT-025</t>
  </si>
  <si>
    <t xml:space="preserve">IT - Refund</t>
  </si>
  <si>
    <t xml:space="preserve">Interest on refund u/s 244A / s.437 (0.5% per month)</t>
  </si>
  <si>
    <t xml:space="preserve">Verify refund interest in intimation/refund against expected.</t>
  </si>
  <si>
    <t xml:space="preserve">Income-tax Act 1961 s.244A -&gt; Income-tax Act 2025 s.437.</t>
  </si>
  <si>
    <t xml:space="preserve">All assessees receiving refunds.</t>
  </si>
  <si>
    <t xml:space="preserve">Continuing; s.437 from 01-04-2026.</t>
  </si>
  <si>
    <t xml:space="preserve">Refund amount, return filing date, due date, refund grant date, SA tax payment dates.</t>
  </si>
  <si>
    <t xml:space="preserve">refund_amount, refund_source (TDS/advance tax vs SA tax), return_filed_date, due_date, refund_grant_date, tax_determined, delay_attributable_days</t>
  </si>
  <si>
    <t xml:space="preserve">1. Source TDS/TCS/advance tax: if return filed by due date -&gt; period from 1 April of AY (1961) / 1 April following tax year (2025) to grant date; else from filing date. 2. Source SA tax: from later of return filing date or payment date. 3. If refund &lt; 10% of tax determined -&gt; no interest (for these sources). 4. Exclude delay attributable to assessee. 5. Interest = 0.5% x refund x months (part month = full). 6. Base rounded to lower Rs 100 (Rule 119A(c)/Rule 269); interest rounded to Rs 10.</t>
  </si>
  <si>
    <t xml:space="preserve">interest = 0.005 * floor(refund/100)*100 * months</t>
  </si>
  <si>
    <t xml:space="preserve">0.5% per month or part; nil if refund &lt; 10% of tax determined.</t>
  </si>
  <si>
    <t xml:space="preserve">Period of delay attributable to assessee excluded; additional interest 3% p.a. in appeal-effect delays (s.244A(1B)/s.437(4)).</t>
  </si>
  <si>
    <t xml:space="preserve">Rule 119A(c) / Rule 269 for base; s.288B / s.516 for interest.</t>
  </si>
  <si>
    <t xml:space="preserve">Interest received differs &gt; Rs 10 from computed -&gt; Low/Medium.</t>
  </si>
  <si>
    <t xml:space="preserve">expected_interest, variance.</t>
  </si>
  <si>
    <t xml:space="preserve">AY 2026-27: TDS refund 48,750; return filed 25-07-2026 (on time); refund granted 10-10-2026; tax determined 2,00,000 (refund 24% &gt; 10%). Base 48,700. Months April-Oct 2026 = 7. Interest = 48,700 x 0.5% x 7 = 1,704.50 -&gt; 1,700 (rounded to 10; 1,704 last digit 4 -&gt; 1,700).</t>
  </si>
  <si>
    <t xml:space="preserve">Late return filed 15-01-2027, refund granted 20-03-2027 -&gt; months Jan-Mar = 3.</t>
  </si>
  <si>
    <t xml:space="preserve">Refund 15,000 on tax 2,00,000 (7.5%) -&gt; no interest.</t>
  </si>
  <si>
    <t xml:space="preserve">Computing from 1 April for belated returns.</t>
  </si>
  <si>
    <t xml:space="preserve">Low.</t>
  </si>
  <si>
    <t xml:space="preserve">start = date(ay_start,4,1) if filed &lt;= due else filed
m = months_part(start - timedelta(1), grant)
i = 0 if refund &lt; .1*tax_det else round10(.005*(refund//100*100)*m)</t>
  </si>
  <si>
    <t xml:space="preserve">Income-tax Act, 2025 - Section 437 Interest on refunds | https://www.incometaxindia.gov.in/w/section-437-6 | 0.5% per month or part; 10% threshold; exclusions
TaxTMI note - Clause 437 Interest on refunds vs s.244A | https://www.taxtmi.com/tmi_notes?id=1949 | Clause 437 replaces 244A
Income-tax Rules, 1962 - Rule 119A | https://www.incometaxindia.gov.in/w/rule-119a | Clauses (a),(b),(c)
Income-tax Rules, 2026 - Rule 269 (procedure for calculating interest) | https://www.incometaxindia.gov.in/w/rule-269-1 | Under s.533(2)(u); part month = full month; amount rounded to Rs 100</t>
  </si>
  <si>
    <t xml:space="preserve">s.437 verified on official site. 1961 s.244A parameters are identical in substance (established law).</t>
  </si>
  <si>
    <t xml:space="preserve">Advance tax liability, instalments, interest u/s 234A/234B/234C (new s.423/424/425), late fee.  Row 5 holds the YAML key for each column. Research date 13 October 2026. Every rule needs CA validation before use.</t>
  </si>
  <si>
    <t xml:space="preserve">ADV-001</t>
  </si>
  <si>
    <t xml:space="preserve">ADV - Advance tax liability</t>
  </si>
  <si>
    <t xml:space="preserve">Advance tax liability threshold Rs 10,000 and senior-citizen exemption</t>
  </si>
  <si>
    <t xml:space="preserve">Determine whether advance tax was payable at all (precondition for 234B/234C or s.424/425).</t>
  </si>
  <si>
    <t xml:space="preserve">Income-tax Act 1961 s.207(1),(2), s.208, s.209 -&gt; Income-tax Act 2025 s.403(1),(3), s.404, s.405 (current income computation - inferred).</t>
  </si>
  <si>
    <t xml:space="preserve">Continuing; ss.403-404 from FY 2026-27.</t>
  </si>
  <si>
    <t xml:space="preserve">Estimated/returned tax, TDS/TCS for the year, age, business income flag.</t>
  </si>
  <si>
    <t xml:space="preserve">tax_on_total_income, tds_tcs_total, reliefs, mat_amt_credit, date_of_birth, residential_status, has_business_income</t>
  </si>
  <si>
    <t xml:space="preserve">1. If resident individual aged 60+ at any time during the year AND no business/profession income -&gt; not liable (s.207(2) / s.403(3)). 2. net = tax on current income - TDS/TCS (- reliefs/credits). 3. If net &gt;= 10,000 -&gt; liable; else not liable.</t>
  </si>
  <si>
    <t xml:space="preserve">liable = not senior_exempt and (tax - tds_tcs - reliefs) &gt;= 10000</t>
  </si>
  <si>
    <t xml:space="preserve">Rs 10,000.</t>
  </si>
  <si>
    <t xml:space="preserve">Senior citizen (resident, 60+, no business income).</t>
  </si>
  <si>
    <t xml:space="preserve">Not specified in law – implementation choice (compare unrounded).</t>
  </si>
  <si>
    <t xml:space="preserve">See ADV-002/003.</t>
  </si>
  <si>
    <t xml:space="preserve">234B/234C charged where not liable -&gt; High.</t>
  </si>
  <si>
    <t xml:space="preserve">advance_tax_liable (bool), net_tax.</t>
  </si>
  <si>
    <t xml:space="preserve">Resident aged 62 with pension + interest + capital gains, net tax 1,20,000 -&gt; exempt (no business income). Age 45 salaried with net tax after TDS 9,990 -&gt; not liable.</t>
  </si>
  <si>
    <t xml:space="preserve">Freelancer net tax 15,000 -&gt; liable.</t>
  </si>
  <si>
    <t xml:space="preserve">Resident aged 61 with small business income 2,00,000, net tax 50,000 -&gt; liable (business income kills exemption).</t>
  </si>
  <si>
    <t xml:space="preserve">Exempting seniors with business income; ignoring TDS when testing threshold.</t>
  </si>
  <si>
    <t xml:space="preserve">senior = resident and age_at_any_time &gt;= 60 and not has_biz
liable = (not senior) and (tax - tds - reliefs) &gt;= 10000</t>
  </si>
  <si>
    <t xml:space="preserve">Income-tax Act, 2025 - Section 403 Liability for payment of advance tax | https://www.incometaxindia.gov.in/w/section-403-5 | s.403(3) resident senior citizen without business income exempt
Income-tax Act, 2025 - Section 404 Conditions of liability | https://www.incometaxindia.gov.in/w/section-404-5 | Advance tax payable where tax &gt;= Rs 10,000</t>
  </si>
  <si>
    <t xml:space="preserve">2025-Act ss.403, 404 verified on official site; 1961 ss.207/208 identical (established).</t>
  </si>
  <si>
    <t xml:space="preserve">ADV-002</t>
  </si>
  <si>
    <t xml:space="preserve">ADV - Instalments</t>
  </si>
  <si>
    <t xml:space="preserve">Advance tax instalment schedule 15/45/75/100% (15 Jun / 15 Sep / 15 Dec / 15 Mar)</t>
  </si>
  <si>
    <t xml:space="preserve">Compute required cumulative advance tax at each due date and compare with challans (CIN date).</t>
  </si>
  <si>
    <t xml:space="preserve">Income-tax Act 1961 s.211(1)(a), s.211(2) -&gt; Income-tax Act 2025 s.408(1), s.408(3).</t>
  </si>
  <si>
    <t xml:space="preserve">All assessees liable to advance tax other than presumptive (ADV-003).</t>
  </si>
  <si>
    <t xml:space="preserve">Continuing; s.408 from FY 2026-27 (first due date 15-06-2026).</t>
  </si>
  <si>
    <t xml:space="preserve">ADV-001 liable; challan list with deposit dates.</t>
  </si>
  <si>
    <t xml:space="preserve">tax_due_on_returned_income, challans[date, amount, minor_head=100]</t>
  </si>
  <si>
    <t xml:space="preserve">1. Required cumulative: 15% by 15 Jun, 45% by 15 Sep, 75% by 15 Dec, 100% by 15 Mar. 2. Payments up to 31 March count as advance tax of the FY (s.211(2)/s.408(3)). 3. Use challan deposit date (tender date). 4. If due date falls on a holiday, payment on next working day - practice (check). 5. Output shortfalls per instalment for 234C.</t>
  </si>
  <si>
    <t xml:space="preserve">req_k = pct_k * tax_due_returned; paid_k = sum(challans with date &lt;= due_k)</t>
  </si>
  <si>
    <t xml:space="preserve">15%, 45%, 75%, 100%.</t>
  </si>
  <si>
    <t xml:space="preserve">Presumptive single instalment (ADV-003).</t>
  </si>
  <si>
    <t xml:space="preserve">Not specified in law for instalment amounts – implementation choice.</t>
  </si>
  <si>
    <t xml:space="preserve">FY 2025-26: 15-06-2025, 15-09-2025, 15-12-2025, 15-03-2026. FY/Tax Year 2026-27: 15-06-2026, 15-09-2026, 15-12-2026, 15-03-2027.</t>
  </si>
  <si>
    <t xml:space="preserve">Challan minor head 300 (self-assessment) counted as advance tax -&gt; High.</t>
  </si>
  <si>
    <t xml:space="preserve">instalment table: due date, required, paid, shortfall.</t>
  </si>
  <si>
    <t xml:space="preserve">Tax due on returned income 2,00,000: required 30,000 / 90,000 / 1,50,000 / 2,00,000.</t>
  </si>
  <si>
    <t xml:space="preserve">Payment on 31-03-2026 counted as advance tax for FY 2025-26.</t>
  </si>
  <si>
    <t xml:space="preserve">Payment on 01-04-2026 -&gt; not advance tax for FY 2025-26 (counts as SA tax).</t>
  </si>
  <si>
    <t xml:space="preserve">Using challan entry date in books instead of bank tender date.</t>
  </si>
  <si>
    <t xml:space="preserve">DUE=[(date(y,6,15),.15),(date(y,9,15),.45),(date(y,12,15),.75),(date(y+1,3,15),1.0)]</t>
  </si>
  <si>
    <t xml:space="preserve">Income-tax Act, 2025 - Section 408 Instalments of advance tax and due dates | https://www.incometaxindia.gov.in/w/section-408-5 | s.408(1) 15/45/75/100%; s.408(2) presumptive 15 March; s.408(3) 31 March
Income-tax Act, 1961 - Section 234C | https://www.incometaxindia.gov.in/w/section-234c-37 | 234C(1)(a),(b), provisos, Explanation 1</t>
  </si>
  <si>
    <t xml:space="preserve">Holiday roll-over practice not verified this session.</t>
  </si>
  <si>
    <t xml:space="preserve">ADV-003</t>
  </si>
  <si>
    <t xml:space="preserve">Presumptive (44AD / 44ADA / s.58 Sl.1 or 3) - single advance tax instalment by 15 March</t>
  </si>
  <si>
    <t xml:space="preserve">Apply single-instalment rule and 234C(1)(b) / s.425(3) interest.</t>
  </si>
  <si>
    <t xml:space="preserve">Income-tax Act 1961 s.211(1)(b), s.234C(1)(b) -&gt; Income-tax Act 2025 s.408(2), s.425(3).</t>
  </si>
  <si>
    <t xml:space="preserve">Assessees declaring profits under 44AD(1)/44ADA(1) / s.58(2) Table Sl. 1 or 3.</t>
  </si>
  <si>
    <t xml:space="preserve">Presumptive status confirmed (IT-014/015).</t>
  </si>
  <si>
    <t xml:space="preserve">tax_due_on_returned_income, challans</t>
  </si>
  <si>
    <t xml:space="preserve">1. Required 100% by 15 March. 2. Shortfall = tax_due - paid by 15 March. 3. 234C/425(3) interest = 1% x shortfall (one month). 4. 234B/424 still applies if paid &lt; 90% of assessed tax by 31 March.</t>
  </si>
  <si>
    <t xml:space="preserve">int_234C = 0.01 * floor100(max(0, tax_due - paid_by_15Mar))</t>
  </si>
  <si>
    <t xml:space="preserve">100% by 15 March; 1%.</t>
  </si>
  <si>
    <t xml:space="preserve">If presumptive income also includes other incomes (salary, capital gains) - whole tax due follows single instalment (CA review).</t>
  </si>
  <si>
    <t xml:space="preserve">Rule 119A(c) / Rule 269 base to lower Rs 100; interest per s.288B/s.516.</t>
  </si>
  <si>
    <t xml:space="preserve">15 March of FY.</t>
  </si>
  <si>
    <t xml:space="preserve">Quarterly 234C charged on presumptive assessee -&gt; High.</t>
  </si>
  <si>
    <t xml:space="preserve">shortfall, 234C interest.</t>
  </si>
  <si>
    <t xml:space="preserve">Tax due 85,450; paid 15-03-2026: 60,000. Shortfall 25,450 -&gt; 25,400 -&gt; 1% = 254 -&gt; 250 (s.288B).</t>
  </si>
  <si>
    <t xml:space="preserve">Paid full 85,450 on 14-03-2026 -&gt; no 234C.</t>
  </si>
  <si>
    <t xml:space="preserve">Paid 85,450 on 20-03-2026 -&gt; 234C 1% on 85,400 = 854 -&gt; 850; no 234B (paid before 31 March, &gt;= 90%).</t>
  </si>
  <si>
    <t xml:space="preserve">Charging June/Sep/Dec interest to presumptive assessee.</t>
  </si>
  <si>
    <t xml:space="preserve">sf = max(0, tax_due - paid(date(y+1,3,15)))
int234c = round10(0.01 * (sf//100*100))</t>
  </si>
  <si>
    <t xml:space="preserve">Income-tax Act, 2025 - Section 408 Instalments of advance tax and due dates | https://www.incometaxindia.gov.in/w/section-408-5 | s.408(1) 15/45/75/100%; s.408(2) presumptive 15 March; s.408(3) 31 March
Income-tax Act, 2025 - Section 425 Interest for deferment of advance tax | https://www.incometaxindia.gov.in/w/section-425-5 | s.425(1) table; (2) 12%/36%; (3) presumptive; (4) exceptions; (5) tax due on returned income
Income-tax Act, 1961 - Section 234C | https://www.incometaxindia.gov.in/w/section-234c-37 | 234C(1)(a),(b), provisos, Explanation 1</t>
  </si>
  <si>
    <t xml:space="preserve">ADV-004</t>
  </si>
  <si>
    <t xml:space="preserve">ADV - Interest</t>
  </si>
  <si>
    <t xml:space="preserve">Interest u/s 234A / s.423 - default in furnishing return (1% per month)</t>
  </si>
  <si>
    <t xml:space="preserve">Compute interest for late filing on unpaid tax.</t>
  </si>
  <si>
    <t xml:space="preserve">Income-tax Act 1961 s.234A -&gt; Income-tax Act 2025 s.423 (I = 1% x A x T); Rule 119A (1962) / Rule 269 (2026).</t>
  </si>
  <si>
    <t xml:space="preserve">All assessees filing return after due date (or not filing) with tax payable.</t>
  </si>
  <si>
    <t xml:space="preserve">Continuing; s.423 for Tax Year 2026-27 onwards.</t>
  </si>
  <si>
    <t xml:space="preserve">Due date (ITR-001/002); return filing date; tax on total income; advance tax; TDS/TCS; reliefs; SA tax payments with dates.</t>
  </si>
  <si>
    <t xml:space="preserve">due_date_139_1, return_filed_date, tax_on_total_income, advance_tax_paid, tds_tcs, reliefs_89_90_91, sa_tax_paid_before_due_date</t>
  </si>
  <si>
    <t xml:space="preserve">1. If return filed on/before due date -&gt; 0. 2. Base A = tax on total income (as per 143(1)/assessment) - advance tax - TDS/TCS - reliefs/credits - SA tax paid on or before due date (see notes). 3. Round A down to Rs 100. 4. T = months from day after due date to filing date, part month = full. 5. I = 1% x A x T. 6. Round I to nearest Rs 10.</t>
  </si>
  <si>
    <t xml:space="preserve">I = 0.01 * floor100(A) * months_part(due_date, filed_date)</t>
  </si>
  <si>
    <t xml:space="preserve">1% per month or part.</t>
  </si>
  <si>
    <t xml:space="preserve">If due date extended by CBDT, interest may still be computed from original date if circular so provides (Circular 07/2026 silent - open question).</t>
  </si>
  <si>
    <t xml:space="preserve">Base: Rule 119A(c)/Rule 269 (lower Rs 100); months: Rule 119A(b) (part = full); interest: s.288B/s.516.</t>
  </si>
  <si>
    <t xml:space="preserve">AY 2026-27: 31-07-2026 (non-business), 31-08-2026 (non-audit business), 21-11-2026 (audit, extended from 31-10-2026), 30-11-2026 (TP).</t>
  </si>
  <si>
    <t xml:space="preserve">234A computed from 1 April instead of due date -&gt; High.</t>
  </si>
  <si>
    <t xml:space="preserve">234A interest, months, base.</t>
  </si>
  <si>
    <t xml:space="preserve">ITR-2 (due 31-07-2026) filed 10-10-2026. Tax 3,00,000 - TDS 2,40,000 - advance 30,000 = 30,000 unpaid; SA tax paid 10-10-2026. Months: Aug, Sep, Oct = 3. Interest = 30,000 x 1% x 3 = 900.</t>
  </si>
  <si>
    <t xml:space="preserve">Filed 31-08-2026 (due 31-07-2026), base 45,650 -&gt; 45,600 x 1% x 1 = 456 -&gt; 460.</t>
  </si>
  <si>
    <t xml:space="preserve">Base 30,000 but SA tax 30,000 paid 25-07-2026 (before due date), return filed late -&gt; base 0 -&gt; interest 0.</t>
  </si>
  <si>
    <t xml:space="preserve">Not deducting SA tax paid before due date; wrong month counting.</t>
  </si>
  <si>
    <t xml:space="preserve">def months_part(start_excl, end_incl):
    # count months 'for every month or part of a month' from day after start_excl up to end_incl
    a = start_excl + timedelta(days=1)
    if end_incl &lt; a: return 0
    n = (end_incl.year - a.year)*12 + (end_incl.month - a.month)
    if end_incl.day &gt;= a.day: n += 1
    return n
A = tax - adv - tds - reliefs - sa_before_due
I = round10(0.01 * (max(0,A)//100*100) * months_part(due, filed))</t>
  </si>
  <si>
    <t xml:space="preserve">Income-tax Act, 2025 - Section 423 Interest for default in furnishing return | https://www.incometaxindia.gov.in/w/section-423-5 | I = 1% x A x T
Income-tax Rules, 1962 - Rule 119A | https://www.incometaxindia.gov.in/w/rule-119a | Clauses (a),(b),(c)
Income-tax Rules, 2026 - Rule 269 (procedure for calculating interest) | https://www.incometaxindia.gov.in/w/rule-269-1 | Under s.533(2)(u); part month = full month; amount rounded to Rs 100
CBDT Circular No. 07/2026 dated 28-09-2026 | https://incometaxindia.gov.in/documents/d/guest/circular-7-2026-pdf | AY 2026-27: audit report to 21-10-2026; ITR (Expl. 2 to s.139(1) sl. no. 2) 31-10-2026 -&gt; 21-11-2026
eztax.in - Compare old/new section codes | https://eztax.in/income-tax-act-2025/compare-old-new-section-codes | Mapping table: 44AB-&gt;63, 44AD/44ADA-&gt;58, 87A-&gt;156, 111A-&gt;196, 112A-&gt;198, 115BAC-&gt;202, 139-&gt;263, 234A-&gt;423, 234B-&gt;424, 234C-&gt;425, 234F-&gt;428 (secondary)</t>
  </si>
  <si>
    <t xml:space="preserve">s.423 formula verified on official site. Reduction of base by SA tax paid before due date is based on judicial view (CIT v. Pranoy Roy, SC) and CPC practice - not verified this session; s.423 'tax paid' definition lists advance tax/TDS/reliefs - CA review. Whether 234A runs from original or extended due date for AY 2026-27 audit cases is not addressed in Circular 07/2026.</t>
  </si>
  <si>
    <t xml:space="preserve">ADV-005</t>
  </si>
  <si>
    <t xml:space="preserve">Interest u/s 234B / s.424 - default in payment of advance tax (&lt; 90% of assessed tax)</t>
  </si>
  <si>
    <t xml:space="preserve">Compute interest where advance tax paid is less than 90% of assessed tax.</t>
  </si>
  <si>
    <t xml:space="preserve">Income-tax Act 1961 s.234B(1),(2), Explanations 1-3 -&gt; Income-tax Act 2025 s.424(1)-(6); Rule 119A / Rule 269.</t>
  </si>
  <si>
    <t xml:space="preserve">Assessees liable to advance tax (ADV-001).</t>
  </si>
  <si>
    <t xml:space="preserve">Continuing; s.424 for Tax Year 2026-27 (interest from 01-04-2027).</t>
  </si>
  <si>
    <t xml:space="preserve">Assessed tax (tax on total income - TDS/TCS - reliefs - MAT/AMT credit); advance tax challans up to 31 March; SA tax dates.</t>
  </si>
  <si>
    <t xml:space="preserve">tax_on_total_income, tds_tcs, reliefs, mat_credit, advance_tax_paid_by_31Mar, sa_payments[date,amount], determination_date_143_1</t>
  </si>
  <si>
    <t xml:space="preserve">1. assessed = tax - TDS/TCS - reliefs - credits (exclude additional tax 140B / s.267). 2. If assessed &lt; 10,000 -&gt; not liable -&gt; 0 (ADV-001). 3. If advance_paid &gt;= 90% of assessed -&gt; 0. 4. shortfall = assessed - advance_paid; round down to Rs 100. 5. Interest runs from 1 April after FY to date of each SA payment on the outstanding shortfall; after a part payment, on reduced shortfall; up to 143(1)/assessment date for any remaining. 6. 1% per month or part. 7. Round interest to Rs 10.</t>
  </si>
  <si>
    <t xml:space="preserve">I = sum over segments: 0.01 * floor100(outstanding_j) * months_j</t>
  </si>
  <si>
    <t xml:space="preserve">90% of assessed tax; 1% per month or part.</t>
  </si>
  <si>
    <t xml:space="preserve">Senior citizens without business income (not liable u/s 207/403). Presumptive assessees also liable.</t>
  </si>
  <si>
    <t xml:space="preserve">Rule 119A(b),(c) / Rule 269; s.288B / s.516.</t>
  </si>
  <si>
    <t xml:space="preserve">Period starts 01-04-2026 for FY 2025-26; 01-04-2027 for Tax Year 2026-27.</t>
  </si>
  <si>
    <t xml:space="preserve">234B charged when advance &gt;= 90% -&gt; High. Not charged when &lt; 90% -&gt; High.</t>
  </si>
  <si>
    <t xml:space="preserve">234B interest, segments.</t>
  </si>
  <si>
    <t xml:space="preserve">FY 2025-26: assessed tax 2,00,000; advance tax 1,50,000 (75% &lt; 90%). Shortfall 50,000. SA tax 50,000 paid 25-07-2026. Months 1-Apr to 25-Jul = Apr, May, Jun, Jul = 4. Interest = 50,000 x 1% x 4 = 2,000. Part-payment variant: SA 30,000 on 20-05-2026, balance 20,000 on 10-08-2026 -&gt; 50,000 x 1% x 2 (Apr-May) = 1,000 + 20,000 x 1% x 3 (Jun-Aug) = 600 -&gt; total 1,600.</t>
  </si>
  <si>
    <t xml:space="preserve">Assessed 2,00,000, advance 1,80,000 (90%) -&gt; no 234B.</t>
  </si>
  <si>
    <t xml:space="preserve">Assessed 9,500 (below 10,000 threshold) with zero advance tax -&gt; no 234B.</t>
  </si>
  <si>
    <t xml:space="preserve">Using 'tax due on returned income' instead of assessed tax; not reducing TDS; counting SA tax as advance tax.</t>
  </si>
  <si>
    <t xml:space="preserve">def months_part(start_excl, end_incl):
    # count months 'for every month or part of a month' from day after start_excl up to end_incl
    a = start_excl + timedelta(days=1)
    if end_incl &lt; a: return 0
    n = (end_incl.year - a.year)*12 + (end_incl.month - a.month)
    if end_incl.day &gt;= a.day: n += 1
    return n
def int_234b(assessed, adv, sa_payments, fy_end):
    if assessed &lt; 10000 or adv &gt;= 0.9*assessed: return 0
    out = assessed - adv; start = fy_end; i = 0
    for d, amt in sorted(sa_payments):
        i += 0.01*(out//100*100)*months_part(start, d)
        out -= amt; start = d
        if out &lt;= 0: break
    return round10(i)</t>
  </si>
  <si>
    <t xml:space="preserve">Income-tax Act, 1961 - Section 234B | https://www.incometaxindia.gov.in/w/section-234b-37 | 234B(1), Explanations 1-3
Income-tax Act, 2025 - Section 424 Interest for defaults in payment of advance tax | https://www.incometaxindia.gov.in/w/section-424-5 | 90% of assessed tax; 1% per month or part
TaxHeal - Section 424 Income Tax Act 2025 | https://www.taxheal.com/section-424-income-tax-act-2025.html | s.424(1)-(6) summary (secondary)
Income-tax Rules, 1962 - Rule 119A | https://www.incometaxindia.gov.in/w/rule-119a | Clauses (a),(b),(c)
Income-tax Rules, 2026 - Rule 269 (procedure for calculating interest) | https://www.incometaxindia.gov.in/w/rule-269-1 | Under s.533(2)(u); part month = full month; amount rounded to Rs 100</t>
  </si>
  <si>
    <t xml:space="preserve">Segmenting after part payment: the law (s.234B(2) / s.424(4)) computes interest up to the date of SA payment on the full shortfall, then on the balance after reducing the SA tax paid. The 'start' for the next segment begins from the month after the payment month per CPC practice vs. same month - implementation detail, CA to confirm (example above counts from day after payment, hence June).</t>
  </si>
  <si>
    <t xml:space="preserve">ADV-006</t>
  </si>
  <si>
    <t xml:space="preserve">Interest u/s 234C / s.425 - deferment of advance tax (12%/36% tolerance; 3/3/3/1 months)</t>
  </si>
  <si>
    <t xml:space="preserve">Compute instalment-wise deferment interest.</t>
  </si>
  <si>
    <t xml:space="preserve">Income-tax Act 1961 s.234C(1)(a), provisos, Explanation 1 -&gt; Income-tax Act 2025 s.425(1),(2),(4),(5),(6); Rule 119A / Rule 269.</t>
  </si>
  <si>
    <t xml:space="preserve">Assessees liable to advance tax (non-presumptive; see ADV-003).</t>
  </si>
  <si>
    <t xml:space="preserve">Continuing; s.425 from FY 2026-27.</t>
  </si>
  <si>
    <t xml:space="preserve">Tax due on RETURNED income (not assessed) net of TDS/TCS and reliefs; instalment payments (ADV-002).</t>
  </si>
  <si>
    <t xml:space="preserve">tax_due_on_returned_income, challans, capital_gains_dividend_first_business_income_tax_component, payment_dates_of_that_component</t>
  </si>
  <si>
    <t xml:space="preserve">1. June: if paid_by_15Jun &lt; 12% of tax due -&gt; interest = 1% x 3 x (15% x tax due - paid). 2. Sept: if paid_by_15Sep &lt; 36% -&gt; 1% x 3 x (45% - paid). 3. Dec: if paid_by_15Dec &lt; 75% -&gt; 1% x 3 x (75% - paid). 4. Mar: if paid_by_15Mar &lt; 100% -&gt; 1% x (100% - paid). 5. Round each shortfall down to Rs 100. 6. Exclude shortfall arising from capital gains, lottery/casual income (2(24)(ix) / s.2(49)(n)), first-time business income, dividend, provided tax on it paid in remaining instalments / by 31 March (compute 'tax due' for earlier instalments excluding such income accrued later). 7. Sum; round to Rs 10.</t>
  </si>
  <si>
    <t xml:space="preserve">I = 0.03*f(0.15T-P1 if P1&lt;0.12T) + 0.03*f(0.45T-P2 if P2&lt;0.36T) + 0.03*f(0.75T-P3 if P3&lt;0.75T) + 0.01*f(T-P4 if P4&lt;T); f = floor100</t>
  </si>
  <si>
    <t xml:space="preserve">Instalments 15/45/75/100%; tolerance 12% (June) and 36% (Sept); interest 1% per month: 3 months for first three, 1 month for March.</t>
  </si>
  <si>
    <t xml:space="preserve">Capital gains, casual income, first-time business income, dividend - if paid in subsequent instalments.</t>
  </si>
  <si>
    <t xml:space="preserve">Rule 119A(c)/Rule 269 (shortfall to lower Rs 100); s.288B/s.516 for interest.</t>
  </si>
  <si>
    <t xml:space="preserve">15 Jun, 15 Sep, 15 Dec, 15 Mar.</t>
  </si>
  <si>
    <t xml:space="preserve">Tolerance 12/36% not applied -&gt; Medium. 234C computed on assessed tax -&gt; High.</t>
  </si>
  <si>
    <t xml:space="preserve">instalment-wise shortfall and interest; total.</t>
  </si>
  <si>
    <t xml:space="preserve">Tax due on returned income 2,00,000. Paid cumulative: 15-Jun 20,000 (10% &lt; 12%); 15-Sep 80,000 (40% &gt;= 36%); 15-Dec 1,30,000; 15-Mar 1,80,000. June: (30,000-20,000)=10,000 x 3% = 300. Sept: nil (tolerance). Dec: (1,50,000-1,30,000)=20,000 x 3% = 600. Mar: (2,00,000-1,80,000)=20,000 x 1% = 200. Total 234C = 1,100. 234B: advance 1,80,000 = 90% of 2,00,000 -&gt; nil.</t>
  </si>
  <si>
    <t xml:space="preserve">Paid 25,000 by 15-Jun on tax 2,00,000 (12.5% &gt;= 12%) -&gt; June interest nil.</t>
  </si>
  <si>
    <t xml:space="preserve">Capital gain arising in January 2026 with tax 40,000 paid by 15-03-2026 -&gt; no 234C on Dec shortfall attributable to it.</t>
  </si>
  <si>
    <t xml:space="preserve">Applying tolerance to Dec instalment; charging interest on full 15% when 12% met; not rounding shortfall to 100.</t>
  </si>
  <si>
    <t xml:space="preserve">def int_234c(T, P):
    f = lambda x: max(0, x)//100*100
    i = 0
    if P[0] &lt; .12*T: i += .03*f(.15*T - P[0])
    if P[1] &lt; .36*T: i += .03*f(.45*T - P[1])
    if P[2] &lt; .75*T: i += .03*f(.75*T - P[2])
    if P[3] &lt; T:     i += .01*f(T - P[3])
    return round10(i)</t>
  </si>
  <si>
    <t xml:space="preserve">Income-tax Act, 1961 - Section 234C | https://www.incometaxindia.gov.in/w/section-234c-37 | 234C(1)(a),(b), provisos, Explanation 1
Income-tax Act, 2025 - Section 425 Interest for deferment of advance tax | https://www.incometaxindia.gov.in/w/section-425-5 | s.425(1) table; (2) 12%/36%; (3) presumptive; (4) exceptions; (5) tax due on returned income
Income-tax Rules, 1962 - Rule 119A | https://www.incometaxindia.gov.in/w/rule-119a | Clauses (a),(b),(c)
Income-tax Rules, 2026 - Rule 269 (procedure for calculating interest) | https://www.incometaxindia.gov.in/w/rule-269-1 | Under s.533(2)(u); part month = full month; amount rounded to Rs 100</t>
  </si>
  <si>
    <t xml:space="preserve">Finance Act 2026 made consequential changes to s.424/425 replacing references to s.206(1)(m)-(p) with s.206(3),(4) (Notes on Clauses) - no change to rates.</t>
  </si>
  <si>
    <t xml:space="preserve">ADV-007</t>
  </si>
  <si>
    <t xml:space="preserve">ADV - Interest computation conventions</t>
  </si>
  <si>
    <t xml:space="preserve">Rule 119A (1962) / Rule 269 (2026) - month counting and rounding of base amount</t>
  </si>
  <si>
    <t xml:space="preserve">Central utility for all interest computations (234A/B/C, 244A, TDS 201(1A) etc.).</t>
  </si>
  <si>
    <t xml:space="preserve">Income-tax Rules 1962 Rule 119A(a),(b),(c) -&gt; Income-tax Rules 2026 Rule 269 (under s.533(2)(u) of 2025 Act).</t>
  </si>
  <si>
    <t xml:space="preserve">All interest computations.</t>
  </si>
  <si>
    <t xml:space="preserve">Rule 269 from 01-04-2026.</t>
  </si>
  <si>
    <t xml:space="preserve">Base amount and dates.</t>
  </si>
  <si>
    <t xml:space="preserve">base_amount, start_date, end_date, rate_type (monthly/annual)</t>
  </si>
  <si>
    <t xml:space="preserve">1. Base amount rounded to nearest multiple of Rs 100 ignoring fraction (i.e. truncate to lower 100). 2. Monthly-rate interest: part of month = full month. 3. Annual-rate interest: period in whole months, fraction ignored. 4. Final interest amount rounded per s.288B / s.516 (Rs 10).</t>
  </si>
  <si>
    <t xml:space="preserve">base = floor(amount/100)*100</t>
  </si>
  <si>
    <t xml:space="preserve">Rs 100 base rounding.</t>
  </si>
  <si>
    <t xml:space="preserve">Rule 119A(c) / Rule 269(c).</t>
  </si>
  <si>
    <t xml:space="preserve">Base not truncated -&gt; Low.</t>
  </si>
  <si>
    <t xml:space="preserve">base_rounded, months.</t>
  </si>
  <si>
    <t xml:space="preserve">Shortfall 25,450 -&gt; 25,400; 3 months x 1% = 762 -&gt; 760.</t>
  </si>
  <si>
    <t xml:space="preserve">99 -&gt; 0 base.</t>
  </si>
  <si>
    <t xml:space="preserve">25,499.99 -&gt; 25,400 (not 25,500).</t>
  </si>
  <si>
    <t xml:space="preserve">Rounding base to nearest (half up) instead of truncating.</t>
  </si>
  <si>
    <t xml:space="preserve">def months_part(start_excl, end_incl):
    # count months 'for every month or part of a month' from day after start_excl up to end_incl
    a = start_excl + timedelta(days=1)
    if end_incl &lt; a: return 0
    n = (end_incl.year - a.year)*12 + (end_incl.month - a.month)
    if end_incl.day &gt;= a.day: n += 1
    return n
floor100 = lambda x: int(x)//100*100</t>
  </si>
  <si>
    <t xml:space="preserve">Income-tax Rules, 1962 - Rule 119A | https://www.incometaxindia.gov.in/w/rule-119a | Clauses (a),(b),(c)
Income-tax Rules, 2026 - Rule 269 (procedure for calculating interest) | https://www.incometaxindia.gov.in/w/rule-269-1 | Under s.533(2)(u); part month = full month; amount rounded to Rs 100</t>
  </si>
  <si>
    <t xml:space="preserve">Rule 269 text states 'rounded off to the nearest multiple of Rs. 100' with fraction ignored - implemented as truncation.</t>
  </si>
  <si>
    <t xml:space="preserve">ADV-008</t>
  </si>
  <si>
    <t xml:space="preserve">ADV - Fees</t>
  </si>
  <si>
    <t xml:space="preserve">Late filing fee u/s 234F / s.428(a)</t>
  </si>
  <si>
    <t xml:space="preserve">Verify fee for return filed after due date.</t>
  </si>
  <si>
    <t xml:space="preserve">Income-tax Act 1961 s.234F -&gt; Income-tax Act 2025 s.428(a)/(b) (Finance Act 2026 restructured s.428 to add revised-return and audit/report fees per Notes on Clauses).</t>
  </si>
  <si>
    <t xml:space="preserve">Persons required to furnish return u/s 139(1)/263(1) who file after due date.</t>
  </si>
  <si>
    <t xml:space="preserve">AY 2018-19 onwards; s.428 from Tax Year 2026-27.</t>
  </si>
  <si>
    <t xml:space="preserve">Due date; filing date; total income.</t>
  </si>
  <si>
    <t xml:space="preserve">due_date, filed_date, total_income, return_mandatory_flag</t>
  </si>
  <si>
    <t xml:space="preserve">1. If filed_date &gt; due_date and return mandatory -&gt; fee = 1,000 if TI &lt;= 5,00,000 else 5,000. 2. Under 2025 Act s.428(a) wording: 'not exceeding Rs 1,000' where TI &lt;= 5 lakh.</t>
  </si>
  <si>
    <t xml:space="preserve">fee = 1000 if TI &lt;= 500000 else 5000</t>
  </si>
  <si>
    <t xml:space="preserve">Rs 1,000 / Rs 5,000; income cut-off Rs 5 lakh.</t>
  </si>
  <si>
    <t xml:space="preserve">Return not mandatory (income below exemption and no 139(1) proviso trigger) - generally not charged by CPC (CA review).</t>
  </si>
  <si>
    <t xml:space="preserve">As ITR-001/002.</t>
  </si>
  <si>
    <t xml:space="preserve">Fee missing in late return -&gt; Medium.</t>
  </si>
  <si>
    <t xml:space="preserve">fee.</t>
  </si>
  <si>
    <t xml:space="preserve">ITR-2 TI 9,40,000 filed 05-09-2026 (due 31-07-2026) -&gt; fee 5,000.</t>
  </si>
  <si>
    <t xml:space="preserve">TI 4,50,000 filed late -&gt; 1,000.</t>
  </si>
  <si>
    <t xml:space="preserve">Filed on due date -&gt; 0.</t>
  </si>
  <si>
    <t xml:space="preserve">Wrong due date category (31 Jul vs 31 Aug) for business assessees in AY 2026-27.</t>
  </si>
  <si>
    <t xml:space="preserve">fee = 0 if filed &lt;= due or not mandatory else (1000 if ti &lt;= 500000 else 5000)</t>
  </si>
  <si>
    <t xml:space="preserve">Income-tax Act, 2025 - Section 428 Fee for default in furnishing return | https://www.incometaxindia.gov.in/w/section-428-5 | Rs 1,000 (income &lt;= Rs 5 lakh) / Rs 5,000
Notes on Clauses - Finance Bill 2026 | https://incometaxindia.gov.in/Budgets%20and%20Bills/2026/Notes-on-clauses-2026.pdf | Cl. 5 (s.139), 6 (s.140B), 12 (s.234-I), 47 (s.202), 57 (s.263), 81-83 (ss.424, 425, 428)
Income Tax e-filing portal - Tax rates (Individual, AY 2026-27) | https://www.incometax.gov.in/iec/foportal/help/individual/return-applicable-1 | Slabs, surcharge, 87A, cess for AY 2026-27</t>
  </si>
  <si>
    <t xml:space="preserve">s.428 portal text shows (a)/(b) for late return only; Notes on Clauses to Finance Bill 2026 (cl.83) restructures s.428 to add revised-return fee and audit/report fees - final enacted text not opened.</t>
  </si>
  <si>
    <t xml:space="preserve">Return due dates, belated / revised / updated returns, 26AS / AIS / TIS, tax audit report.  Row 5 holds the YAML key for each column. Research date 13 October 2026. Every rule needs CA validation before use.</t>
  </si>
  <si>
    <t xml:space="preserve">ITR-001</t>
  </si>
  <si>
    <t xml:space="preserve">ITR - Due dates</t>
  </si>
  <si>
    <t xml:space="preserve">Return due dates for AY 2026-27 (FY 2025-26) under Income-tax Act 1961 as amended by Finance Act 2026, with CBDT extension</t>
  </si>
  <si>
    <t xml:space="preserve">Drive late-filing, 234A, 234F, 43B, 40(a)(ia), regime option and loss carry-forward checks.</t>
  </si>
  <si>
    <t xml:space="preserve">Income-tax Act 1961 s.139(1) Explanation 2 (substituted by Finance Act 2026 cl.5 - table: 30 Nov / 31 Oct / 31 Aug / 31 Jul); s.44AB specified date; CBDT Circular No. 07/2026 dated 28-09-2026 (F. No. 225/128/2026/ITA-II).</t>
  </si>
  <si>
    <t xml:space="preserve">All assessees for AY 2026-27.</t>
  </si>
  <si>
    <t xml:space="preserve">AY 2026-27.</t>
  </si>
  <si>
    <t xml:space="preserve">Assessee category: TP report required (92E); company / audited; non-audited business/profession (incl. partner of non-audited firm and spouse u/s 5A); others.</t>
  </si>
  <si>
    <t xml:space="preserve">assessee_type, audit_required, tp_report_required_92E, has_business_income, is_partner_of_audited_firm</t>
  </si>
  <si>
    <t xml:space="preserve">1. If 92E applies -&gt; 30-11-2026. 2. Else if company or audit required (or partner of audited firm) -&gt; 31-10-2026, extended to 21-11-2026 by Circular 07/2026. 3. Else if business/profession income (non-audit) -&gt; 31-08-2026. 4. Else -&gt; 31-07-2026. 5. Audit report (44AB) specified date 30-09-2026, extended to 21-10-2026.</t>
  </si>
  <si>
    <t xml:space="preserve">due = lookup(category)</t>
  </si>
  <si>
    <t xml:space="preserve">Interest u/s 234A may still run from the original date if CBDT so specifies (not stated in Circular 07/2026).</t>
  </si>
  <si>
    <t xml:space="preserve">TP: 30-11-2026; audit/company: 21-11-2026 (extended from 31-10-2026); tax audit report: 21-10-2026 (extended from 30-09-2026); non-audit business/profession (ITR-3/ITR-4): 31-08-2026; others (ITR-1/ITR-2): 31-07-2026.</t>
  </si>
  <si>
    <t xml:space="preserve">Business assessee flagged late using 31-07-2026 -&gt; High (wrong). Audit case filed 15-11-2026 -&gt; on time.</t>
  </si>
  <si>
    <t xml:space="preserve">due_date, legal_basis, extension_reference.</t>
  </si>
  <si>
    <t xml:space="preserve">Non-audit freelancer files ITR-4 on 20-08-2026 -&gt; due 31-08-2026 -&gt; on time; no 234F. Same person filing 05-09-2026 -&gt; late by 1 month part -&gt; 234A 1 month; fee 5,000 if TI &gt; 5 lakh.</t>
  </si>
  <si>
    <t xml:space="preserve">Company files 20-11-2026 -&gt; on time (extended).</t>
  </si>
  <si>
    <t xml:space="preserve">Salaried filing 15-08-2026 -&gt; late (due 31-07-2026).</t>
  </si>
  <si>
    <t xml:space="preserve">Treating 31-08-2026 as a CBDT extension rather than statutory; ignoring Circular 07/2026.</t>
  </si>
  <si>
    <t xml:space="preserve">def due_ay2627(c):
    if c.tp_92e: return date(2026,11,30)
    if c.company or c.audit or c.partner_audited_firm: return date(2026,11,21)  # Circular 07/2026
    if c.has_business_income: return date(2026,8,31)
    return date(2026,7,31)</t>
  </si>
  <si>
    <t xml:space="preserve">Notes on Clauses - Finance Bill 2026 | https://incometaxindia.gov.in/Budgets%20and%20Bills/2026/Notes-on-clauses-2026.pdf | Cl. 5 (s.139), 6 (s.140B), 12 (s.234-I), 47 (s.202), 57 (s.263), 81-83 (ss.424, 425, 428)
CBDT Circular No. 07/2026 dated 28-09-2026 | https://incometaxindia.gov.in/documents/d/guest/circular-7-2026-pdf | AY 2026-27: audit report to 21-10-2026; ITR (Expl. 2 to s.139(1) sl. no. 2) 31-10-2026 -&gt; 21-11-2026
KS&amp;K newsletter - ITR deadline AY 2026-27 extended to 21 Nov 2026 | https://ksandk.com/newsletter/income-tax-return-filing-deadline-for-ay-2026-27-extended-to-21-november-2026-tax-audit-deadline-revised/ | Secondary summary of Circular 07/2026
CalcGuru - ITR due dates AY 2026-27: why 31 August applies to ITR-3/ITR-4 | https://calcguru.in/?p=5373 | Explanation 2 to s.139(1) substituted by Finance Act 2026; s.234-I fee (secondary)
IncorpX - ITR due date 31 August 2026 | https://www.incorpx.io/blog/itr-due-date-extended-august-31-2026 | Secondary; internally inconsistent
Taxmann - Finance Act 2026 receives assent of the President | https://www.taxmann.com/post/blog/finance-act-receives-assent-of-the-president/ | Assent 30-03-2026; Act No. 4 of 2026
Finance Act, 2026 (No. 4 of 2026) – official PDF on incometaxindia.gov.in | https://www.incometaxindia.gov.in/documents/d/guest/finance-act-2026-pdf-1 | 
Memorandum explaining provisions of Finance Bill 2026 (indiabudget.gov.in) | https://www.indiabudget.gov.in/doc/memo.pdf | </t>
  </si>
  <si>
    <t xml:space="preserve">[VERIFICATION 13-10-2026] Official Finance Act 2026 (No. 4 of 2026, assent 30-03-2026) s.5(a) substitutes the Explanation 2 table in s.139(1) w.e.f. 01-03-2026. Sl.3 covers an assessee with business/profession income whose accounts need no audit under this Act or any other law, and a partner (or spouse u/s 5A) of such a non-audited firm, where s.92E does not apply: due date 31 August. Other rows: 31 July (any other assessee), 31 October (company / audited, no 92E), 30 November (92E). So the 31-Aug date applies to AY 2026-27. CBDT Circular 07/2026 (28-09-2026, F.No.225/128/2026/ITA-II) extends the return due date for persons at Sl.2 of the table from 31-10-2026 to 21-11-2026, and the audit report specified date to 21-10-2026. Circular 07/2026 verified on official site (it refers to 'Explanation 2 to s.139(1), sl. no. 2' - consistent with the substituted table). Finance Act 2026 Explanation 2 table verified from Notes on Clauses to the Finance Bill (Bill stage); Finance Act 2026 received assent 30-03-2026 (Act No. 4 of 2026) - passage with 30+ amendments; final enacted text of cl.5 not opened. Effective date of the substituted Explanation 2 for AY 2026-27 relies on secondary sources (CalcGuru, StudyCafe, ClearTax). No CBDT extension of 31-07-2026 / 31-08-2026 dates found.</t>
  </si>
  <si>
    <t xml:space="preserve">ITR-002</t>
  </si>
  <si>
    <t xml:space="preserve">Return due dates for Tax Year 2026-27 under Income-tax Act 2025 s.263(1) (as amended by Finance Act 2026)</t>
  </si>
  <si>
    <t xml:space="preserve">Due-date engine for 2025-Act years.</t>
  </si>
  <si>
    <t xml:space="preserve">Income-tax Act 2025 s.263(1) as amended by Finance Act 2026 cl.57 (w.e.f. 01-04-2026); s.63(5)(a) specified date for audit report; s.172 (TP report).</t>
  </si>
  <si>
    <t xml:space="preserve">All assessees from Tax Year 2026-27.</t>
  </si>
  <si>
    <t xml:space="preserve">Tax Year 2026-27 onwards.</t>
  </si>
  <si>
    <t xml:space="preserve">As ITR-001.</t>
  </si>
  <si>
    <t xml:space="preserve">assessee_type, audit_required, s172_applies, has_business_income</t>
  </si>
  <si>
    <t xml:space="preserve">1. s.172 applies -&gt; 30 Nov 2027. 2. Company / audited / partner of audited firm -&gt; 31 Oct 2027. 3. Non-audit business/profession (incl. partners of non-audited firms) -&gt; 31 Aug 2027. 4. Others -&gt; 31 Jul 2027. 5. Audit report: one month before return due date -&gt; 30 Sep 2027.</t>
  </si>
  <si>
    <t xml:space="preserve">due = lookup(category, year=tax_year_end+... )</t>
  </si>
  <si>
    <t xml:space="preserve">CBDT extensions to be layered as override table.</t>
  </si>
  <si>
    <t xml:space="preserve">Tax Year 2026-27: 31-07-2027 / 31-08-2027 / 31-10-2027 / 30-11-2027; audit report 30-09-2027.</t>
  </si>
  <si>
    <t xml:space="preserve">Same as ITR-001.</t>
  </si>
  <si>
    <t xml:space="preserve">due_date.</t>
  </si>
  <si>
    <t xml:space="preserve">Proprietor without audit, Tax Year 2026-27 -&gt; 31-08-2027.</t>
  </si>
  <si>
    <t xml:space="preserve">LLP with audit -&gt; 31-10-2027.</t>
  </si>
  <si>
    <t xml:space="preserve">Salaried -&gt; 31-07-2027 (not 31-08-2027).</t>
  </si>
  <si>
    <t xml:space="preserve">Using unamended portal text of s.263 (which still shows only 31 Oct / 31 Jul / 30 Nov).</t>
  </si>
  <si>
    <t xml:space="preserve">as ITR-001 with year+1 and override table</t>
  </si>
  <si>
    <t xml:space="preserve">Notes on Clauses - Finance Bill 2026 | https://incometaxindia.gov.in/Budgets%20and%20Bills/2026/Notes-on-clauses-2026.pdf | Cl. 5 (s.139), 6 (s.140B), 12 (s.234-I), 47 (s.202), 57 (s.263), 81-83 (ss.424, 425, 428)
Income-tax Act, 2025 - Section 263 Return of income (portal text) | https://www.incometaxindia.gov.in/w/section-263-72 | s.263(1)(c) table; (4) belated; (5) revised; (6) updated 48 months - portal text appears pre-Finance Act 2026
StudyCafe - Revised ITR rules from FY 2026-27 | https://studycafe.in/revised-itr-rules-from-fy-2026-27-fees-deadlines-and-key-changes-explained-409375.html | s.263(5), s.428(b) (secondary; written at Bill stage)
Income-tax Act, 2025 - Section 63 Tax audit | https://www.incometaxindia.gov.in/w/section-63-134 | s.63(1) Table; s.63(2); s.63(5)(a) specified date; s.63(5)(b) non-a/c-payee cheque = cash
Memorandum explaining provisions of Finance Bill 2026 (indiabudget.gov.in) | https://www.indiabudget.gov.in/doc/memo.pdf | </t>
  </si>
  <si>
    <t xml:space="preserve">[VERIFICATION 13-10-2026] Finance Bill 2026 Memorandum (official) proposes, for the 2025 Act w.e.f. 01-04-2026 (tax year 2026-27): due date raised from 31 July to 31 August for business/profession assessees not requiring audit and their non-audited partners (ITR-1/ITR-2 filers stay at 31 July), and revised return to 12 months from end of tax year with fee u/s 428(b). The ITD portal s.263 page still shows the pre-amendment table (no 31-Aug row; 9 months for s.263(4)/(5)). The enacted FA 2026 amendments to the 2025 Act were not in the extracted text. Status unchanged. The ITD portal text of s.263 opened this session does NOT yet show the 31 August row (appears pre-amendment). The amendment is evidenced by Notes on Clauses to Finance Bill 2026 (cl.57) and secondary sources; enacted Finance Act 2026 text not opened - CA to confirm.</t>
  </si>
  <si>
    <t xml:space="preserve">ITR-003</t>
  </si>
  <si>
    <t xml:space="preserve">ITR - Belated and revised returns</t>
  </si>
  <si>
    <t xml:space="preserve">Belated return (s.139(4) / s.263(4)) and revised return (s.139(5) / s.263(5)) time limits and revision fee (s.234-I / s.428)</t>
  </si>
  <si>
    <t xml:space="preserve">Validate whether a belated or revised return is within time and whether the new revision fee applies.</t>
  </si>
  <si>
    <t xml:space="preserve">Income-tax Act 1961 s.139(4) (3 months before end of AY), s.139(5) as amended by Finance Act 2026 (before end of AY or completion of assessment, subject to new s.234-I; w.e.f. 01-03-2026 per Notes on Clauses), s.234F, s.234-I -&gt; Income-tax Act 2025 s.263(4) (9 months from end of tax year), s.263(5) (12 months, Finance Act 2026), s.428 fee.</t>
  </si>
  <si>
    <t xml:space="preserve">AY 2026-27 onwards (1961 changes w.e.f. 01-03-2026); Tax Year 2026-27 onwards (2025 Act).</t>
  </si>
  <si>
    <t xml:space="preserve">Original return date; assessment status.</t>
  </si>
  <si>
    <t xml:space="preserve">original_filed_date, revised_filed_date, belated_filed_date, assessment_completed_date, total_income</t>
  </si>
  <si>
    <t xml:space="preserve">1. Belated AY 2026-27: allowed until 31-12-2026 (or before assessment completion if earlier); 234F fee + 234A interest. 2. Revised AY 2026-27: allowed until 31-03-2027 (or before assessment completion). 3. If revised after 31-12-2026 (9 months from end of PY) -&gt; fee s.234-I: 1,000 if TI &lt;= 5 lakh else 5,000. 4. Tax Year 2026-27: belated until 31-12-2027; revised until 31-03-2028; fee u/s 428 if revised after 31-12-2027. 5. Belated return -&gt; no carry-forward of business/capital losses (s.80 / s.139(3)) - flag.</t>
  </si>
  <si>
    <t xml:space="preserve">rev_ok = rev_date &lt;= min(end_of_AY, assessment_date); fee = (1000 if TI&lt;=5e5 else 5000) if rev_date &gt; date(PYend+9m) else 0</t>
  </si>
  <si>
    <t xml:space="preserve">Fee Rs 1,000 / Rs 5,000 (income cut-off Rs 5 lakh).</t>
  </si>
  <si>
    <t xml:space="preserve">Updated return (ITR-U) separate (ITR-004).</t>
  </si>
  <si>
    <t xml:space="preserve">AY 2026-27: belated 31-12-2026; revised 31-03-2027 (fee if after 31-12-2026). Tax Year 2026-27: belated 31-12-2027; revised 31-03-2028 (fee if after 31-12-2027).</t>
  </si>
  <si>
    <t xml:space="preserve">Revised after deadline -&gt; Critical (invalid). Revision fee missing -&gt; Medium.</t>
  </si>
  <si>
    <t xml:space="preserve">validity, fee.</t>
  </si>
  <si>
    <t xml:space="preserve">AY 2026-27 original filed 25-07-2026; revised 15-02-2027; TI 8,00,000 -&gt; valid; fee 5,000 (s.234-I).</t>
  </si>
  <si>
    <t xml:space="preserve">Revised 20-12-2026 -&gt; valid, no fee.</t>
  </si>
  <si>
    <t xml:space="preserve">Belated return filed 05-01-2027 for AY 2026-27 -&gt; not allowed (only ITR-U possible).</t>
  </si>
  <si>
    <t xml:space="preserve">Assuming revised deadline still 31 December.</t>
  </si>
  <si>
    <t xml:space="preserve">Critical/Medium.</t>
  </si>
  <si>
    <t xml:space="preserve">end_pY = date(2026,3,31)
belated_last = date(2026,12,31)
revised_last = date(2027,3,31)
fee = (1000 if ti&lt;=500000 else 5000) if rev &gt; date(2026,12,31) else 0</t>
  </si>
  <si>
    <t xml:space="preserve">Notes on Clauses - Finance Bill 2026 | https://incometaxindia.gov.in/Budgets%20and%20Bills/2026/Notes-on-clauses-2026.pdf | Cl. 5 (s.139), 6 (s.140B), 12 (s.234-I), 47 (s.202), 57 (s.263), 81-83 (ss.424, 425, 428)
CalcGuru - ITR due dates AY 2026-27: why 31 August applies to ITR-3/ITR-4 | https://calcguru.in/?p=5373 | Explanation 2 to s.139(1) substituted by Finance Act 2026; s.234-I fee (secondary)
StudyCafe - Revised ITR rules from FY 2026-27 | https://studycafe.in/revised-itr-rules-from-fy-2026-27-fees-deadlines-and-key-changes-explained-409375.html | s.263(5), s.428(b) (secondary; written at Bill stage)
Income-tax Act, 2025 - Section 263 Return of income (portal text) | https://www.incometaxindia.gov.in/w/section-263-72 | s.263(1)(c) table; (4) belated; (5) revised; (6) updated 48 months - portal text appears pre-Finance Act 2026
IncorpX - ITR due date 31 August 2026 | https://www.incorpx.io/blog/itr-due-date-extended-august-31-2026 | Secondary; internally inconsistent
Finance Act, 2026 (No. 4 of 2026) – official PDF on incometaxindia.gov.in | https://www.incometaxindia.gov.in/documents/d/guest/finance-act-2026-pdf-1 | 
Memorandum explaining provisions of Finance Bill 2026 (indiabudget.gov.in) | https://www.indiabudget.gov.in/doc/memo.pdf | </t>
  </si>
  <si>
    <t xml:space="preserve">[VERIFICATION 13-10-2026] Partly confirmed, with a new drafting conflict. Official Finance Act 2026: s.139(5) substituted (w.e.f. 01-03-2026) – revised return 'at any time before the end of the relevant assessment year or before the completion of the assessment, whichever is earlier', subject to s.234-I. That is 12 months from the end of the PY, so revised return for AY 2026-27 is allowed up to 31-03-2027. New s.234-I (FA 2026 s.16, w.e.f. 01-03-2026): fee Rs 1,000 (total income up to Rs 5 lakh) / Rs 5,000 where a s.139(5) return is furnished 'beyond nine months but before twelve months from the end of the relevant assessment year'. Read literally ('assessment year', not 'previous year'), the fee window falls after the revision window has closed, so the fee would never apply. The Finance Bill 2026 Memorandum states the intent: a fee for revised returns filed beyond nine months from the end of the tax year/PY, i.e. after 31-12-2026 for AY 2026-27. The rule follows the intent; a CA must decide whether to levy the fee given the literal wording. The same wording was read in two separate copies (official ITD PDF and the gazette copy). Under the 2025 Act the Memorandum (official, Bill stage) proposes s.263(5) at 12 months from end of tax year with fee u/s 428(b). The ITD portal s.263 page still shows 9 months and no 31-Aug row, so it has not been updated – enacted 2025-Act text not read. CORRECTION: Add a flag: 's.234-I as enacted refers to nine to twelve months from end of the relevant ASSESSMENT YEAR – literal reading makes fee inapplicable; rule applies fee to revisions after 31-12 following the PY per Memorandum intent – CA policy choice (config: fee_234I_mode = intent|literal, default intent with warning)'. Based on Notes on Clauses to Finance Bill 2026 (cl.5, cl.12, cl.57, cl.83) and secondary sources reporting enactment; enacted text not opened. Notes on Clauses s.428 wording for revised-return fee refers to 'nine months' while revision window is twelve months - consistent reading is that fee applies to revisions in months 10-12. The s.263 portal text still shows 9-month revision (pre-amendment).</t>
  </si>
  <si>
    <t xml:space="preserve">ITR-004</t>
  </si>
  <si>
    <t xml:space="preserve">ITR - Updated return</t>
  </si>
  <si>
    <t xml:space="preserve">Updated return (ITR-U) time limit and additional tax (s.139(8A)/140B; s.263(6)/s.267)</t>
  </si>
  <si>
    <t xml:space="preserve">Validate ITR-U eligibility, time window and additional tax computation.</t>
  </si>
  <si>
    <t xml:space="preserve">Income-tax Act 1961 s.139(8A) (48 months from end of relevant AY - Finance Act 2025), s.140B(3) additional tax, s.140B(3A) (+10% where filed in response to s.148 notice - Finance Act 2026); -&gt; Income-tax Act 2025 s.263(6) (48 months from end of FY succeeding the tax year), s.267 (additional income-tax - inferred).</t>
  </si>
  <si>
    <t xml:space="preserve">All assessees, subject to exclusions (search/survey, loss return, refund increase, pending proceedings etc.).</t>
  </si>
  <si>
    <t xml:space="preserve">48 months from 01-04-2025; Finance Act 2026 changes w.e.f. 01-03-2026.</t>
  </si>
  <si>
    <t xml:space="preserve">Original/belated return status; dates; proceedings status.</t>
  </si>
  <si>
    <t xml:space="preserve">ay_or_tax_year, itru_filed_date, tax_and_interest_on_updated_income, filed_in_response_to_148, proceedings_flags</t>
  </si>
  <si>
    <t xml:space="preserve">1. Window: 1961 - within 48 months from end of AY (AY 2026-27 -&gt; 31-03-2031). 2025 Act - within 48 months from end of FY succeeding tax year (Tax Year 2026-27 -&gt; 31-03-2032). 2. Barred if: loss return, reduces liability, increases refund, search/survey, pending/completed assessment, etc. (Finance Act 2026 permits ITR-U to reduce loss in specified cases - per Notes on Clauses). 3. Additional tax on aggregate of tax + interest: 25% (&lt;=12 months), 50% (12-24), 60% (24-36), 70% (36-48) from end of AY. 4. +10% where filed in response to s.148 notice within its period (s.140B(3A)).</t>
  </si>
  <si>
    <t xml:space="preserve">addl = rate(months_since_AY_end) * (tax + interest) [+ 0.10*(tax+interest) if u/s 148]</t>
  </si>
  <si>
    <t xml:space="preserve">25% / 50% / 60% / 70%; +10% (148 case).</t>
  </si>
  <si>
    <t xml:space="preserve">As above.</t>
  </si>
  <si>
    <t xml:space="preserve">s.288B / s.516.</t>
  </si>
  <si>
    <t xml:space="preserve">AY 2026-27: 31-03-2031. Tax Year 2026-27: 31-03-2032.</t>
  </si>
  <si>
    <t xml:space="preserve">ITR-U beyond window -&gt; Critical. Refund-increasing ITR-U -&gt; Critical.</t>
  </si>
  <si>
    <t xml:space="preserve">eligibility, additional_tax.</t>
  </si>
  <si>
    <t xml:space="preserve">AY 2026-27 ITR-U filed 15-06-2027 (within 12 months of 31-03-2027): tax 1,00,000 + interest 12,000 = 1,12,000; additional tax 25% = 28,000.</t>
  </si>
  <si>
    <t xml:space="preserve">Filed 10-02-2029 (23rd month) -&gt; 50%.</t>
  </si>
  <si>
    <t xml:space="preserve">Filed 01-04-2031 -&gt; beyond 48 months -&gt; invalid.</t>
  </si>
  <si>
    <t xml:space="preserve">Using 24-month window (pre-FA 2025).</t>
  </si>
  <si>
    <t xml:space="preserve">m = months_part(ay_end, filed)
rate = .25 if m&lt;=12 else .5 if m&lt;=24 else .6 if m&lt;=36 else .7 if m&lt;=48 else None</t>
  </si>
  <si>
    <t xml:space="preserve">Income-tax Act, 2025 - Section 263 Return of income (portal text) | https://www.incometaxindia.gov.in/w/section-263-72 | s.263(1)(c) table; (4) belated; (5) revised; (6) updated 48 months - portal text appears pre-Finance Act 2026
Notes on Clauses - Finance Bill 2026 | https://incometaxindia.gov.in/Budgets%20and%20Bills/2026/Notes-on-clauses-2026.pdf | Cl. 5 (s.139), 6 (s.140B), 12 (s.234-I), 47 (s.202), 57 (s.263), 81-83 (ss.424, 425, 428)
TaxHeal - Section 424 Income Tax Act 2025 | https://www.taxheal.com/section-424-income-tax-act-2025.html | s.424(1)-(6) summary (secondary)</t>
  </si>
  <si>
    <t xml:space="preserve">48-month limit verified on s.263(6)(a) (2025 Act, official). 1961 Act 48-month extension and 60%/70% slabs (Finance Act 2025) from established knowledge - not re-opened this session (Unverified). s.140B(3A) +10% verified only from Notes on Clauses to Finance Bill 2026. s.267 mapping inferred from s.424(3).</t>
  </si>
  <si>
    <t xml:space="preserve">ITR-005</t>
  </si>
  <si>
    <t xml:space="preserve">ITR - 26AS/AIS reconciliation</t>
  </si>
  <si>
    <t xml:space="preserve">TDS/TCS credit reconciliation: Form 26AS / AIS (Form 168 under 2025 Act) vs books vs return (s.199 / Rule 37BA)</t>
  </si>
  <si>
    <t xml:space="preserve">Ensure TDS credit claimed matches deductor statements, is claimed in the year income is offered, and mismatches are flagged for follow-up with deductors.</t>
  </si>
  <si>
    <t xml:space="preserve">Income-tax Act 1961 s.199, Rule 37BA, s.203AA/Rule 31AB (Form 26AS), s.285BB -&gt; Income-tax Act 2025 s.390(5)-(6) (Bill-stage numbering; enacted not verified); Form 168 (Annual Information Statement) under Income-tax Rules 2026 (secondary).</t>
  </si>
  <si>
    <t xml:space="preserve">Continuing; Form 168 from 01-04-2026 (secondary).</t>
  </si>
  <si>
    <t xml:space="preserve">26AS/AIS download (JSON/CSV), books ledger of income with TDS receivable, return schedule TDS.</t>
  </si>
  <si>
    <t xml:space="preserve">tan_deductor, deductor_name, section_code, amount_paid_credited, tds_amount, transaction_date, booking_status, books_income_amount, books_tds_receivable, return_tds_claimed, income_offered_year</t>
  </si>
  <si>
    <t xml:space="preserve">1. Normalise 26AS/AIS rows to (TAN, section, FY, amount_paid, tds). 2. Match with books by TAN + section (fallback PAN/name fuzzy + amount). 3. For each match: income_variance = books_income - 26AS amount_paid; tds_variance = books_tds - 26AS tds. 4. Year check: TDS credit only in year in which corresponding income is assessable (Rule 37BA(3)); if income spread over years, credit proportionately. 5. Unmatched 26AS rows -&gt; potential unrecorded income. 6. Unmatched books TDS -&gt; deductor default/not filed -&gt; follow-up. 7. Return claim &gt; 26AS (status 'F' final) -&gt; credit at risk. 8. Credit transferred to another person only with declaration (Rule 37BA(2)).</t>
  </si>
  <si>
    <t xml:space="preserve">tds_claimable = min(books_tds_for_income_offered, 26AS_tds_matched)</t>
  </si>
  <si>
    <t xml:space="preserve">Tolerance: implementation choice (e.g. Rs 10 or 0.1%).</t>
  </si>
  <si>
    <t xml:space="preserve">TDS on advance receipts where income offered in later year - carry forward credit.</t>
  </si>
  <si>
    <t xml:space="preserve">Return due date; TDS statement due dates of deductors (quarterly).</t>
  </si>
  <si>
    <t xml:space="preserve">26AS income not in books -&gt; High. Books TDS &gt; 26AS -&gt; High. Return TDS claim &gt; 26AS -&gt; Critical. Credit claimed in wrong year -&gt; High.</t>
  </si>
  <si>
    <t xml:space="preserve">match table with status (Matched / Amount mismatch / Only in 26AS / Only in books / Year mismatch), claimable credit, follow-up list.</t>
  </si>
  <si>
    <t xml:space="preserve">26AS: TAN ABCD12345E, 194J, amount 5,00,000, TDS 50,000. Books: fees 4,50,000, TDS receivable 45,000 (one invoice of 50,000 booked in next year). Income variance 50,000 -&gt; verify cut-off; credit claimable 45,000 this year; 5,000 carried to next year when income is offered.</t>
  </si>
  <si>
    <t xml:space="preserve">26AS 1,00,000/10,000 vs books 1,00,000/10,000 -&gt; Matched.</t>
  </si>
  <si>
    <t xml:space="preserve">Books TDS 20,000 for TAN not in 26AS -&gt; 'Only in books' -&gt; deductor follow-up; credit not claimable until reflected.</t>
  </si>
  <si>
    <t xml:space="preserve">Deductor quoting wrong PAN; TDS on GST component; year-end provisions; 194Q vs 206C(1H) overlaps.</t>
  </si>
  <si>
    <t xml:space="preserve">Critical for over-claim; High otherwise.</t>
  </si>
  <si>
    <t xml:space="preserve">m = join(as26, books, on=['tan','section'])
m['inc_var'] = m.books_income - m.as26_amount
m['tds_var'] = m.books_tds - m.as26_tds
claimable = min(m.books_tds_offered, m.as26_tds)</t>
  </si>
  <si>
    <t xml:space="preserve">Income-tax Rules, 1962 - Rule 37BA | https://www.incometaxindia.gov.in/w/rule-37ba | Credit for TDS for s.199
TaxTMI note - Clause 390 Income Tax Bill 2025 vs s.199 | https://www.taxtmi.com/tmi_notes?id=1895 | Clause 390(5)-(6) (old Bill numbering)
ClearTax - Income tax changes from April 2026 | https://cleartax.in/s/income-tax-changes-from-april-2026 | Form 26AS -&gt; Form 168; Form 16 -&gt; 130; STT/TCS/buyback changes (secondary)</t>
  </si>
  <si>
    <t xml:space="preserve">Rule 37BA verified on official site. 2025-Act counterpart of s.199 identified only at Bill-stage (cl.390) via TaxTMI; enacted section and the Rules 2026 counterpart of Rule 37BA not verified. Form 26AS -&gt; Form 168 from ClearTax (secondary).</t>
  </si>
  <si>
    <t xml:space="preserve">ITR-006</t>
  </si>
  <si>
    <t xml:space="preserve">AIS/TIS (SFT, interest, dividend, securities, property) vs books/return income reconciliation</t>
  </si>
  <si>
    <t xml:space="preserve">Detect income reported by third parties in AIS/TIS but not offered in return/books, and vice versa.</t>
  </si>
  <si>
    <t xml:space="preserve">Income-tax Act 1961 s.285BA (SFT), s.285BB / Rule 114-I (Annual Information Statement) -&gt; 2025-Act equivalents not verified; Form 168 (secondary).</t>
  </si>
  <si>
    <t xml:space="preserve">AIS JSON/CSV; taxpayer feedback status; books/return schedules.</t>
  </si>
  <si>
    <t xml:space="preserve">ais_category, info_source, reported_value, derived_value_TIS, feedback_status, books_amount, return_amount</t>
  </si>
  <si>
    <t xml:space="preserve">1. Map AIS categories to return heads (SFT-005 interest -&gt; IFOS; dividend -&gt; IFOS; sale of securities -&gt; CG; rent -&gt; HP/business; GST turnover -&gt; business turnover). 2. Use TIS derived value where feedback given. 3. variance = AIS - return; flag where AIS &gt; return beyond tolerance. 4. Check reverse: return income with no AIS evidence (informational). 5. Record feedback status (accepted/disputed) as evidence.</t>
  </si>
  <si>
    <t xml:space="preserve">variance = ais_value - return_value</t>
  </si>
  <si>
    <t xml:space="preserve">Tolerance - implementation choice.</t>
  </si>
  <si>
    <t xml:space="preserve">Exempt incomes (PPF interest, tax-free bonds) - mapping exclusion list.</t>
  </si>
  <si>
    <t xml:space="preserve">Before return filing.</t>
  </si>
  <si>
    <t xml:space="preserve">AIS interest &gt; return interest -&gt; High. GST turnover &gt; books turnover -&gt; High.</t>
  </si>
  <si>
    <t xml:space="preserve">category-wise reconciliation with status.</t>
  </si>
  <si>
    <t xml:space="preserve">AIS savings interest 42,300; return shows 30,000 -&gt; variance 12,300 -&gt; under-reporting; additional tax at 30% slab = 3,690 + cess.</t>
  </si>
  <si>
    <t xml:space="preserve">AIS dividend 12,000 = return 12,000 -&gt; matched.</t>
  </si>
  <si>
    <t xml:space="preserve">AIS shows duplicate SFT entry, feedback 'duplicate' submitted -&gt; exclude, status 'disputed - evidence on file'.</t>
  </si>
  <si>
    <t xml:space="preserve">Joint accounts; duplicate reporting; accrued vs received interest.</t>
  </si>
  <si>
    <t xml:space="preserve">for cat in ais: var = (cat.tis_value or cat.ais_value) - return_map[cat.head]; flag if var &gt; tol</t>
  </si>
  <si>
    <t xml:space="preserve">ClearTax - Income tax changes from April 2026 | https://cleartax.in/s/income-tax-changes-from-april-2026 | Form 26AS -&gt; Form 168; Form 16 -&gt; 130; STT/TCS/buyback changes (secondary)</t>
  </si>
  <si>
    <t xml:space="preserve">AIS legal basis (s.285BB/Rule 114-I) and category codes taken from established knowledge; not re-verified this session. New-Act/Rules 2026 equivalents not verified.</t>
  </si>
  <si>
    <t xml:space="preserve">ITR-007</t>
  </si>
  <si>
    <t xml:space="preserve">ITR - Tax audit report</t>
  </si>
  <si>
    <t xml:space="preserve">Tax audit report due date and consequence of default (s.44AB / s.271B -&gt; s.63 / s.428 fee)</t>
  </si>
  <si>
    <t xml:space="preserve">Check filing of audit report by specified date; quantify exposure.</t>
  </si>
  <si>
    <t xml:space="preserve">Income-tax Act 1961 s.44AB (specified date), s.271B (penalty 0.5% of turnover max Rs 1,50,000); CBDT Circular 07/2026 -&gt; Income-tax Act 2025 s.63(3),(5)(a); s.428 as amended by Finance Act 2026 (fee Rs 75,000 for delay up to 1 month; Rs 1,50,000 thereafter) - per Notes on Clauses.</t>
  </si>
  <si>
    <t xml:space="preserve">Assessees requiring audit (IT-013).</t>
  </si>
  <si>
    <t xml:space="preserve">AY 2026-27 (1961); Tax Year 2026-27 (2025 Act + Finance Act 2026).</t>
  </si>
  <si>
    <t xml:space="preserve">IT-013 = audit required; audit report upload date.</t>
  </si>
  <si>
    <t xml:space="preserve">audit_required, audit_report_filed_date, specified_date, turnover</t>
  </si>
  <si>
    <t xml:space="preserve">1. AY 2026-27: specified date 21-10-2026 (extended). Late -&gt; penalty exposure s.271B = min(0.5% turnover, 1,50,000) (subject to reasonable cause s.273B). 2. Tax Year 2026-27: specified date 30-09-2027; delay &lt;= 1 month -&gt; fee 75,000; &gt; 1 month -&gt; 1,50,000 (s.428 per FA 2026).</t>
  </si>
  <si>
    <t xml:space="preserve">AY26-27: pen = min(0.005*turnover, 150000); TY26-27: fee = 75000 if delay_days &lt;= 1 month else 150000</t>
  </si>
  <si>
    <t xml:space="preserve">0.5% / Rs 1,50,000 cap (1961); Rs 75,000 / Rs 1,50,000 (2025 + FA 2026).</t>
  </si>
  <si>
    <t xml:space="preserve">Reasonable cause (1961 s.273B) - 2025 equivalent not verified.</t>
  </si>
  <si>
    <t xml:space="preserve">AY 2026-27: 21-10-2026. Tax Year 2026-27: 30-09-2027 (unless extended).</t>
  </si>
  <si>
    <t xml:space="preserve">Audit report after specified date -&gt; High.</t>
  </si>
  <si>
    <t xml:space="preserve">late_flag, exposure.</t>
  </si>
  <si>
    <t xml:space="preserve">AY 2026-27, turnover 4 crore, report filed 05-11-2026 -&gt; late -&gt; exposure min(2,00,000, 1,50,000) = 1,50,000.</t>
  </si>
  <si>
    <t xml:space="preserve">Filed 20-10-2026 -&gt; on time.</t>
  </si>
  <si>
    <t xml:space="preserve">Tax Year 2026-27 report filed 15-10-2027 (15 days late) -&gt; fee 75,000.</t>
  </si>
  <si>
    <t xml:space="preserve">Using 30-09-2026 for AY 2026-27 despite extension.</t>
  </si>
  <si>
    <t xml:space="preserve">late = filed &gt; specified
exposure = min(.005*turnover,150000) if act=='1961' else (75000 if filed &lt;= add_months(specified,1) else 150000)</t>
  </si>
  <si>
    <t xml:space="preserve">CBDT Circular No. 07/2026 dated 28-09-2026 | https://incometaxindia.gov.in/documents/d/guest/circular-7-2026-pdf | AY 2026-27: audit report to 21-10-2026; ITR (Expl. 2 to s.139(1) sl. no. 2) 31-10-2026 -&gt; 21-11-2026
Income-tax Act, 2025 - Section 63 Tax audit | https://www.incometaxindia.gov.in/w/section-63-134 | s.63(1) Table; s.63(2); s.63(5)(a) specified date; s.63(5)(b) non-a/c-payee cheque = cash
Notes on Clauses - Finance Bill 2026 | https://incometaxindia.gov.in/Budgets%20and%20Bills/2026/Notes-on-clauses-2026.pdf | Cl. 5 (s.139), 6 (s.140B), 12 (s.234-I), 47 (s.202), 57 (s.263), 81-83 (ss.424, 425, 428)
Finance Act, 2026 (No. 4 of 2026) – official PDF on incometaxindia.gov.in | https://www.incometaxindia.gov.in/documents/d/guest/finance-act-2026-pdf-1 | 
Memorandum explaining provisions of Finance Bill 2026 (indiabudget.gov.in) | https://www.indiabudget.gov.in/doc/memo.pdf | 
ITD portal – ITA 2025 s.428 | https://www.incometaxindia.gov.in/w/section-428-5 | </t>
  </si>
  <si>
    <t xml:space="preserve">[VERIFICATION 13-10-2026] 1961 Act (AY 2026-27): the official FA 2026 text read contains no amendment to s.271B and no new audit-report fee; the only new fee is s.234-I. So the s.271B penalty (0.5% of turnover, max Rs 1.5 lakh) continues for AY 2026-27, with the audit report date 21-10-2026 (Circular 07/2026). 2025 Act: the Memorandum (official, Bill stage) says the penalty u/s 446 for failing to get accounts audited is converted to a fee u/s 428(c): Rs 75,000 / Rs 1,50,000 depending on delay, from 01-04-2026 (tax year 2026-27 onwards). The ITD portal s.428 page still shows only clauses (a)/(b). Enacted 2025-Act text not seen. CORRECTION: legal_provision (2025 Act limb): the penalty being replaced is ITA 2025 s.446 (not 'old s.271B'); the fee is s.428(c). Note 'per Memorandum to Finance Bill 2026; portal s.428 not yet updated'. Circular 07/2026 and s.63 verified official. s.271B penalty quantum from established law. s.428 audit-report fee from Notes on Clauses (Bill stage) - enacted text not opened.</t>
  </si>
  <si>
    <t xml:space="preserve">TDS sections, thresholds, rates, due dates, interest, late fee, reconciliation (ss.192-206AA → ss.392-398).  Row 5 holds the YAML key for each column. Research date 13 October 2026. Every rule needs CA validation before use.</t>
  </si>
  <si>
    <t xml:space="preserve">TDS-001</t>
  </si>
  <si>
    <t xml:space="preserve">TDS – Framework</t>
  </si>
  <si>
    <t xml:space="preserve">Applicable-law selector (1961 Act vs Income-tax Act, 2025)</t>
  </si>
  <si>
    <t xml:space="preserve">Route each transaction to the correct statute, section code, rate table, form and due-date calendar based on transaction date, so that FY 2025-26 data is tested under the 1961 Act and Tax Year 2026-27 onward under the 2025 Act.</t>
  </si>
  <si>
    <t xml:space="preserve">Income-tax Act, 2025 (assent 21 Aug 2025; in force 1 April 2026 per CBDT Press Release); Income-tax Rules, 2026 notified 20 March 2026. Income-tax Act, 1961 continues for FY 2025-26 and earlier transactions (repeal/savings section number in 2025 Act not verified).</t>
  </si>
  <si>
    <t xml:space="preserve">All TDS/TCS transactions processed by the tool.</t>
  </si>
  <si>
    <t xml:space="preserve">1 April 2026 (2025 Act); transactions credited/paid up to 31 March 2026 remain under 1961 Act.</t>
  </si>
  <si>
    <t xml:space="preserve">Transaction date fields populated; deductor TAN master.</t>
  </si>
  <si>
    <t xml:space="preserve">transaction_id, credit_date, payment_date, deduction_date, nature_of_payment, old_section_code, new_section_code</t>
  </si>
  <si>
    <t xml:space="preserve">1. Determine trigger_date = earlier of credit_date and payment_date (for sections where deduction is at earlier of credit/payment) else payment_date. 2. If trigger_date &lt;= 31-03-2026 -&gt; regime='IT1961', FY label e.g. 'FY 2025-26 / AY 2026-27', forms 24Q/26Q/27Q/27EQ/16/16A/27D. 3. Else regime='IT2025', label 'Tax Year 2026-27', forms 138/140/144/143/130/131/133, section codes 392/393/394 with Table Sl. No. 4. Apply rate/threshold table for regime and date (watch mid-year changes e.g. 1-10-2024 rate cuts, 1-10-2026 Form 141 scope). 5. For March-2026 credits deposited in April 2026, keep 1961 rules (deposit by 30 April 2026, Q4 26Q).</t>
  </si>
  <si>
    <t xml:space="preserve">regime = 'IT1961' if trigger_date &lt; date(2026,4,1) else 'IT2025'</t>
  </si>
  <si>
    <t xml:space="preserve">N/A (selector)</t>
  </si>
  <si>
    <t xml:space="preserve">Transitional/savings provisions of the 2025 Act were not verified – a credit in FY 2025-26 with payment in FY 2026-27 needs CA decision (see open questions).</t>
  </si>
  <si>
    <t xml:space="preserve">Not specified in law – implementation choice. Recommended: compute TDS to paise and round to nearest rupee (≥0.50 up) per deductee line; s.288B (1961) rounds 'amount payable' to nearest ₹10 but CBDT/TRACES practice does not apply ₹10 rounding to individual TDS lines – see TDS-046.</t>
  </si>
  <si>
    <t xml:space="preserve">See TDS-035/TDS-036.</t>
  </si>
  <si>
    <t xml:space="preserve">Flag if section code style mismatches regime (e.g. '194J' quoted on a statement for transaction dated 10-04-2026, or '393' for a 2025-26 transaction).</t>
  </si>
  <si>
    <t xml:space="preserve">regime, tax_year_label, section_code_new/old, form_family</t>
  </si>
  <si>
    <t xml:space="preserve">Invoice credited 28-03-2026, paid 15-04-2026 (194J/393(1) Sl.6(iii)): trigger = 28-03-2026 -&gt; IT1961, Q4 FY 2025-26 26Q, deposit by 30-04-2026. Invoice credited 02-04-2026 -&gt; IT2025, Form 140 Q1 TY 2026-27, deposit by 07-05-2026.</t>
  </si>
  <si>
    <t xml:space="preserve">credit 2026-03-31 -&gt; IT1961; credit 2026-04-01 -&gt; IT2025</t>
  </si>
  <si>
    <t xml:space="preserve">credit date missing and payment 2026-04-05 -&gt; regime IT2025 with warning 'credit date missing'</t>
  </si>
  <si>
    <t xml:space="preserve">Old section codes used in Q1 2026-27 statements; FY 2025-26 March provisions reversed and re-booked in April.</t>
  </si>
  <si>
    <t xml:space="preserve">Medium – flag regime/section mismatch.</t>
  </si>
  <si>
    <t xml:space="preserve">def regime(txn):
    t = min(d for d in [txn.credit_date, txn.payment_date] if d)
    return 'IT1961' if t &lt; date(2026,4,1) else 'IT2025'</t>
  </si>
  <si>
    <t xml:space="preserve">CBDT Press Release – Income-tax Act, 2025 comes into force from 1 April 2026 | https://www.incometaxindia.gov.in/documents/d/guest/press-release-income-tax-act-2025-comes-into-force-from-01-april-2026-pdf | 
Income-tax Act, 2025 – Section 393 (incometaxindia.gov.in) | https://www.incometaxindia.gov.in/w/section-393-6 | 
ClearTax – TDS and TCS changes from April 2026 | https://cleartax.in/s/tds-and-tcs-changes-from-april-2026 | </t>
  </si>
  <si>
    <t xml:space="preserve">Commencement date verified from CBDT press release. Savings/transitional clause for TDS on credit-in-old-year/payment-in-new-year not verified.</t>
  </si>
  <si>
    <t xml:space="preserve">TDS-002</t>
  </si>
  <si>
    <t xml:space="preserve">Section mapping master (1961 -&gt; 2025 Act)</t>
  </si>
  <si>
    <t xml:space="preserve">Maintain a mapping table so books/returns using old section codes can be reconciled with new-Act statements and certificates.</t>
  </si>
  <si>
    <t xml:space="preserve">Income-tax Act, 2025 ss.392, 393, 394, 395, 397, 398, 427, 461; Rules 2026: 211, 213, 215, 218, 219.</t>
  </si>
  <si>
    <t xml:space="preserve">All rules in this file.</t>
  </si>
  <si>
    <t xml:space="preserve">1 April 2026</t>
  </si>
  <si>
    <t xml:space="preserve">Master data table.</t>
  </si>
  <si>
    <t xml:space="preserve">old_section, new_section, new_table_sl_no, old_form, new_form</t>
  </si>
  <si>
    <t xml:space="preserve">1. Load mapping table: 192-&gt;392(1); 192A-&gt;392(7); 193-&gt;393(1) Sl.5(i); 194-&gt;393(1) Sl.7; 194A-&gt;393(1) Sl.5(ii)/(iii); 194B-&gt;393(3) Sl.1; 194BA-&gt;393(3) Sl.2; 194BB-&gt;393(3) Sl.3; 194C-&gt;393(1) Sl.6(i); 194D-&gt;393(1) Sl.1(i); 194DA-&gt;393(1) Sl.8(i); 194EE-&gt;393(3) Sl.6; 194G-&gt;393(3) Sl.4; 194H-&gt;393(1) Sl.1(ii); 194-I-&gt;393(1) Sl.2(ii); 194-IA-&gt;393(1) Sl.3(i); 194-IB-&gt;393(1) Sl.2(i); 194-IC-&gt;393(1) Sl.3(ii); 194J-&gt;393(1) Sl.6(iii); 194K-&gt;393(1) Sl.4(i); 194LA-&gt;393(1) Sl.3(iii); 194LBA-&gt;393(1) Sl.4(ii)/393(2) Sl.6-7; 194LBB-&gt;393(1) Sl.4(iii)/393(2) Sl.8; 194LBC-&gt;393(1) Sl.4(iv)/393(2) Sl.9; 194M-&gt;393(1) Sl.6(ii); 194N-&gt;393(3) Sl.5; 194O-&gt;393(1) Sl.8(v); 194P-&gt;393(1) Sl.8(iii); 194Q-&gt;393(1) Sl.8(ii); 194R-&gt;393(1) Sl.8(iv); 194S-&gt;393(1) Sl.8(vi); 194T-&gt;393(3) Sl.7; 195-&gt;393(2) Sl.17 (other NR sections 194E/194LB/194LC/194LD/196A-196D -&gt; 393(2) Sl.1-16); 197-&gt;395(1)/(2); 197A-&gt;393(6)/(7); 200/200(3)-&gt;397(3); 201-&gt;398; 203-&gt;395(4); 203A-&gt;397(1); 206AA &amp; 206CC-&gt;397(2); 206C-&gt;394; 206C(9)-&gt;395(3); 234E-&gt;427; 271H-&gt;461. 2. Forms: 24Q-&gt;138; 26Q-&gt;140; 27Q-&gt;144; 27EQ-&gt;143; 26QB/26QC/26QD/26QE-&gt;141; 16-&gt;130; 16A-&gt;131; 27D-&gt;133; 13-&gt;128; 15G/15H-&gt;121; 12BB-&gt;124; Rule 30/37CA-&gt;218; Rule 31A/31AA-&gt;219; Rule 31/37D-&gt;215; Rule 29C-&gt;211; Rules 28-29/37G-37H-&gt;213. 3. Use the table to normalise every record to a canonical code.</t>
  </si>
  <si>
    <t xml:space="preserve">canonical_code = MAP[(regime, section, sub_clause)]</t>
  </si>
  <si>
    <t xml:space="preserve">See individual rules.</t>
  </si>
  <si>
    <t xml:space="preserve">Flag unmapped codes; flag 194N mapped as 'no equivalent' (incorrect – s.393(3) Sl.5 exists).</t>
  </si>
  <si>
    <t xml:space="preserve">Normalised section codes on every TDS line.</t>
  </si>
  <si>
    <t xml:space="preserve">Book ledger 'TDS 194J(b) payable' for 12-05-2026 invoice -&gt; canonical '393(1)-6(iii)(b)', statement Form 140.</t>
  </si>
  <si>
    <t xml:space="preserve">('IT1961','194Q') -&gt; '393(1)-8(ii)'</t>
  </si>
  <si>
    <t xml:space="preserve">('IT2025','194N') -&gt; must map to '393(3)-5', not None</t>
  </si>
  <si>
    <t xml:space="preserve">Secondary sources disagree (one blog says 194N 'effectively removed'; official s.393(3) Sl.5 retains cash-withdrawal TDS). Payment-code numbers (e.g. 1005, 1023, 1064) reported by secondary sources are not verified from official FVU/CSI spec.</t>
  </si>
  <si>
    <t xml:space="preserve">High – unmapped code blocks reconciliation.</t>
  </si>
  <si>
    <t xml:space="preserve">MAP = load_csv('section_map.csv')
def canon(regime, sec): return MAP.get((regime, sec)) or raise_flag('UNMAPPED', sec)</t>
  </si>
  <si>
    <t xml:space="preserve">Income-tax Act, 2025 – Section 393 (incometaxindia.gov.in) | https://www.incometaxindia.gov.in/w/section-393-6 | 
Income-tax Act, 2025 – Section 392 (incometaxindia.gov.in) | https://www.incometaxindia.gov.in/w/section-392-6 | 
Income-tax Act, 2025 – Section 394 (incometaxindia.gov.in) | https://www.incometaxindia.gov.in/w/section-394-6 | 
Income-tax Act, 2025 – Section 395 (incometaxindia.gov.in) | https://www.incometaxindia.gov.in/w/section-395-6 | 
Income-tax Act, 2025 – Section 397 (incometaxindia.gov.in) | https://www.incometaxindia.gov.in/w/section-397-6 | 
Income-tax Act, 2025 – Section 398 (incometaxindia.gov.in) | https://www.incometaxindia.gov.in/w/section-398-5 | 
Income-tax Act, 2025 – Section 427 (incometaxindia.gov.in) | https://www.incometaxindia.gov.in/w/section-427-6 | 
Income-tax Act, 2025 – Section 461 (incometaxindia.gov.in) | https://www.incometaxindia.gov.in/w/section-461-6 | 
Income-tax Rules, 2026 – Rule 218 (incometaxindia.gov.in) | https://www.incometaxindia.gov.in/w/rule-218-1 | 
Income-tax Rules, 2026 – Rule 219 (incometaxindia.gov.in) | https://www.incometaxindia.gov.in/w/rule-219-1 | 
CBDT FAQs – Form No. 130 (erstwhile Form 16) | https://www.incometaxindia.gov.in/documents/d/guest/form-130-faqs | 
CBDT FAQs – Form No. 128 (erstwhile Form 13) | https://www.incometaxindia.gov.in/documents/d/guest/form-128-faqs | 
CBDT FAQs – Form No. 121 (erstwhile Forms 15G/15H) | https://www.incometaxindia.gov.in/documents/d/guest/form-121-faqs | 
TaxGuru – Q1 Tax Year 2026-27 TDS/TCS return forms and due dates | https://taxguru.in/income-tax/q1-tax-year-2026-27-tds-tcs-return-filing-forms-due-dates.html | 
CA Surekha Ahuja – TDS rewritten: 1961 vs 2025 Act | https://www.casahuja.com/2026/04/tds-rewritten-income-tax-act-1961-vs.html | 
CalcGuru – Section mapping 1961 to 2025 | https://calcguru.in/?p=5458 | 
India Briefing – Section 393 of Income-tax Act 2025 | https://india-briefing.com/news/section-393-income-tax-act-2025-tds-rules-rates-compliance-guide-44450.html/ | </t>
  </si>
  <si>
    <t xml:space="preserve">Table Sl. Nos. verified from official s.393 text summary; individual 1961-&gt;2025 pairings derived by matching nature of payment (official CBDT mapping table not opened). Rule mappings for 215/211/213 verified from CBDT form FAQs; Rule 218/219 mapping inferred from content. Form 12BA replacement not verified. 40(a)(ia) equivalent not verified.</t>
  </si>
  <si>
    <t xml:space="preserve">TDS-003</t>
  </si>
  <si>
    <t xml:space="preserve">Salary TDS at average rate (s.192 / s.392(1))</t>
  </si>
  <si>
    <t xml:space="preserve">Verify monthly salary TDS = estimated annual tax / months, with adjustment for prior excess/short deduction, and reconcile with 24Q/Form 138 and Form 16/Form 130.</t>
  </si>
  <si>
    <t xml:space="preserve">IT Act 1961 s.192(1), (2B), (3); Rule 26A/26B/26C, Form 12BA, Form 16 (Rule 31). IT Act 2025 s.392(1)-(5); Form 130 (Rule 215(1) Sl.1); Form 124 (erstwhile 12BB); Form 138 (erstwhile 24Q).</t>
  </si>
  <si>
    <t xml:space="preserve">Employers paying 'salary' chargeable under the head Salaries; employee resident or non-resident.</t>
  </si>
  <si>
    <t xml:space="preserve">FY 2025-26 under s.192; Tax Year 2026-27 under s.392.</t>
  </si>
  <si>
    <t xml:space="preserve">Employee master with PAN, regime choice (old/new), Form 12BB/124 declarations, previous-employer Form 12B data, perquisite valuation.</t>
  </si>
  <si>
    <t xml:space="preserve">employee_pan, tax_regime, gross_salary_ytd, projected_salary_rest_of_year, perquisites_value, exempt_allowances, standard_deduction, chapter_via_deductions, other_income_declared, previous_employer_salary, previous_employer_tds, tds_deducted_ytd, months_remaining</t>
  </si>
  <si>
    <t xml:space="preserve">1. Project annual taxable salary = actual YTD + projected remaining + perquisites + previous employer salary – exempt allowances – standard deduction – allowable deductions (old regime only for most deductions). 2. Compute tax on slab rates of the regime chosen, less rebate s.87A (where applicable), plus surcharge and 4% Health &amp; Education cess. 3. Remaining tax = annual tax – TDS already deducted (this + previous employer). 4. Monthly TDS = remaining tax / months_remaining (incl. current). 5. Compare with actual monthly TDS; flag variance &gt; ₹10. 6. Year-end: total TDS per Form 16/130 Part A = sum of 24Q/138 annexure; Part B tax computation must equal tax payable.</t>
  </si>
  <si>
    <t xml:space="preserve">TDS_m = max(0, (Tax(annual_taxable_income) + surcharge + cess – TDS_YTD)) / months_remaining</t>
  </si>
  <si>
    <t xml:space="preserve">No fixed threshold – TDS only if estimated income exceeds amount not chargeable. FY 2025-26 new regime slabs (Finance Act 2025, recalled – not re-verified in this research): 0-4L nil; 4-8L 5%; 8-12L 10%; 12-16L 15%; 16-20L 20%; 20-24L 25%; &gt;24L 30%; standard deduction ₹75,000; rebate s.87A up to ₹60,000 for total income ≤ ₹12 lakh. No-PAN: higher of average rate or 20% (s.206AA/397(2)).</t>
  </si>
  <si>
    <t xml:space="preserve">Employer may pay tax on non-monetary perquisites itself (s.192(1A) / s.392(2)) – that tax is treated as TDS. Deduction can be reduced only for house-property loss and TDS under other provisions (s.392(4)).</t>
  </si>
  <si>
    <t xml:space="preserve">Deposit by 7th of next month (March: 30 April; govt without challan same day). 24Q/138 quarterly: 31 Jul, 31 Oct, 31 Jan, 31 May. Form 16/130: by 15 June after the year.</t>
  </si>
  <si>
    <t xml:space="preserve">Annual TDS &lt; computed tax by &gt; ₹100 -&gt; SHORT DEDUCTION; employee PAN missing and TDS rate &lt; 20% -&gt; 206AA flag; Form 130 Part A total ≠ statement total -&gt; flag; regime mismatch between declaration and computation -&gt; flag.</t>
  </si>
  <si>
    <t xml:space="preserve">Per-employee monthly expected vs actual TDS, annual variance, Form 16/130 consistency flag.</t>
  </si>
  <si>
    <t xml:space="preserve">New regime FY 2025-26, gross salary ₹18,00,000, no other income. Taxable = 18,00,000 – 75,000 = 17,25,000. Tax: 4L-8L 4,00,000×5% = 20,000; 8L-12L ×10% = 40,000; 12L-16L ×15% = 60,000; 16L-17.25L 1,25,000×20% = 25,000; total 1,45,000. Cess 4% = 5,800. Annual tax 1,50,800. Monthly TDS = 1,50,800/12 = 12,566.67 -&gt; ₹12,567.</t>
  </si>
  <si>
    <t xml:space="preserve">Taxable 17,25,000, TDS deducted 1,50,800 -&gt; PASS</t>
  </si>
  <si>
    <t xml:space="preserve">Taxable 11,90,000 new regime -&gt; rebate makes tax nil -&gt; expected TDS 0; if employer deducted 4,000/month -&gt; flag EXCESS DEDUCTION (Low).</t>
  </si>
  <si>
    <t xml:space="preserve">Previous-employer income ignored; perquisites not added; arrears relief s.89 not considered; old-regime deductions applied under new regime; Form 16 Part B differs from 24Q Annexure II.</t>
  </si>
  <si>
    <t xml:space="preserve">High for short deduction (s.201 exposure); Low for excess deduction.</t>
  </si>
  <si>
    <t xml:space="preserve">def salary_tds(e):
    ti = e.proj_gross + e.perqs + e.prev_sal - e.exempt - e.std_ded - (e.deds if e.regime=='old' else e.nps_80ccd2)
    tax = slab_tax(ti, e.regime, fy) ; tax = apply_87A(tax, ti) ; tax += surcharge(tax, ti) ; tax *= 1.04
    rem = max(0, tax - e.tds_ytd - e.prev_tds)
    return round(rem / e.months_remaining)</t>
  </si>
  <si>
    <t xml:space="preserve">Income-tax Act, 2025 – Section 392 (incometaxindia.gov.in) | https://www.incometaxindia.gov.in/w/section-392-6 | 
CBDT FAQs – Form No. 130 (erstwhile Form 16) | https://www.incometaxindia.gov.in/documents/d/guest/form-130-faqs | 
ClearTax – TDS and TCS changes from April 2026 | https://cleartax.in/s/tds-and-tcs-changes-from-april-2026 | 
TaxGuru – Q1 Tax Year 2026-27 TDS/TCS return forms and due dates | https://taxguru.in/income-tax/q1-tax-year-2026-27-tds-tcs-return-filing-forms-due-dates.html | </t>
  </si>
  <si>
    <t xml:space="preserve">Average-rate method and s.392 structure verified (official). Slab rates/rebate for FY 2025-26 taken from known Finance Act 2025 position but not re-opened in this research – CA to confirm, and confirm Tax Year 2026-27 slabs (Finance Act 2026). Replacement form for 12BA (perquisite statement) not verified.</t>
  </si>
  <si>
    <t xml:space="preserve">TDS-004</t>
  </si>
  <si>
    <t xml:space="preserve">EPF accumulated balance withdrawal (s.192A / s.392(7))</t>
  </si>
  <si>
    <t xml:space="preserve">Check TDS on taxable premature EPF withdrawals.</t>
  </si>
  <si>
    <t xml:space="preserve">IT Act 1961 s.192A; IT Act 2025 s.392(7) (Schedule XI Part A para 8/9).</t>
  </si>
  <si>
    <t xml:space="preserve">Trustees of EPF Scheme 1952 paying accumulated balance taxable because of premature withdrawal (&lt;5 years continuous service).</t>
  </si>
  <si>
    <t xml:space="preserve">FY 2025-26 / Tax Year 2026-27</t>
  </si>
  <si>
    <t xml:space="preserve">Service period data; PAN.</t>
  </si>
  <si>
    <t xml:space="preserve">member_pan, withdrawal_amount, continuous_service_years, form_15g_15h_or_121</t>
  </si>
  <si>
    <t xml:space="preserve">1. If continuous service ≥ 5 years or other exemption -&gt; no TDS. 2. If withdrawal_amount &lt; ₹50,000 -&gt; no TDS. 3. Else TDS = 10% of amount (no-PAN: 20% – under 1961 s.192A proviso had max marginal rate; verify). 4. Form 15G/15H/121 accepted -&gt; nil.</t>
  </si>
  <si>
    <t xml:space="preserve">TDS = 10% × withdrawal_amount if amount ≥ 50,000</t>
  </si>
  <si>
    <t xml:space="preserve">₹50,000 (≥); 10%.</t>
  </si>
  <si>
    <t xml:space="preserve">Declaration under s.197A/393(6) (Form 15G/15H/121).</t>
  </si>
  <si>
    <t xml:space="preserve">Deposit: 7th of following month (March: 30 April) – Rule 30 (1962) / Rule 218(2) (2026). Statement: 26Q/Form 140 – 31 Jul, 31 Oct, 31 Jan, 31 May. Certificate: 16A/Form 131 within 15 days of statement due date. Reported in 26Q / Form 140 (s.392(7) is reported in Form 140/144 per Rule 219).</t>
  </si>
  <si>
    <t xml:space="preserve">Amount ≥ 50,000 and TDS = 0 without declaration -&gt; flag.</t>
  </si>
  <si>
    <t xml:space="preserve">Expected TDS and flag.</t>
  </si>
  <si>
    <t xml:space="preserve">Withdrawal ₹1,20,000, service 3 years, PAN available: TDS = 1,20,000 × 10% = ₹12,000.</t>
  </si>
  <si>
    <t xml:space="preserve">amount 50,000 -&gt; TDS 5,000</t>
  </si>
  <si>
    <t xml:space="preserve">amount 49,999 -&gt; TDS 0</t>
  </si>
  <si>
    <t xml:space="preserve">Reported in 24Q instead of 26Q/140.</t>
  </si>
  <si>
    <t xml:space="preserve">Medium</t>
  </si>
  <si>
    <t xml:space="preserve">tds = round(0.10*amt) if amt &gt;= 50000 and not exempt else 0</t>
  </si>
  <si>
    <t xml:space="preserve">Income-tax Act, 2025 – Section 392 (incometaxindia.gov.in) | https://www.incometaxindia.gov.in/w/section-392-6 | 
India Briefing – TDS rates FY 2025-26 | https://www.india-briefing.com/news/a-guide-to-indias-tds-rates-for-fy-2025-26-36999.html/ | 
Income-tax Rules, 2026 – Rule 219 (incometaxindia.gov.in) | https://www.incometaxindia.gov.in/w/rule-219-1 | </t>
  </si>
  <si>
    <t xml:space="preserve">Threshold wording in s.392(7) per official summary is 'Rs 50,000 or more'.</t>
  </si>
  <si>
    <t xml:space="preserve">TDS-005</t>
  </si>
  <si>
    <t xml:space="preserve">Interest on securities (s.193 / s.393(1) Sl.5(i))</t>
  </si>
  <si>
    <t xml:space="preserve">Verify TDS on interest on debentures/securities with ₹10,000 threshold.</t>
  </si>
  <si>
    <t xml:space="preserve">IT Act 1961 s.193 (threshold raised to ₹10,000 by Finance Act 2025 w.e.f. 1-4-2025 per secondary sources); IT Act 2025 s.393(1) Table Sl.5(i).</t>
  </si>
  <si>
    <t xml:space="preserve">Any person paying interest on securities to a resident.</t>
  </si>
  <si>
    <t xml:space="preserve">1 April 2025 (threshold); 1 April 2026 (new Act).</t>
  </si>
  <si>
    <t xml:space="preserve">Security holder master, PAN, exemption status.</t>
  </si>
  <si>
    <t xml:space="preserve">payee_pan, payee_type, interest_amount, security_type, listed_flag, declaration_flag</t>
  </si>
  <si>
    <t xml:space="preserve">1. Exclude exempt securities (s.393(4) Sl.6 – e.g., interest paid to LIC/GIC/insurers; notified bonds). 2. If interest ≤ ₹10,000 in the year -&gt; no TDS (check exact wording 'exceeds'). 3. Else TDS at rates in force (10% for residents per Finance Act Part II). 4. No PAN -&gt; 20%.</t>
  </si>
  <si>
    <t xml:space="preserve">TDS = 10% × interest</t>
  </si>
  <si>
    <t xml:space="preserve">₹10,000; 10% (rates in force).</t>
  </si>
  <si>
    <t xml:space="preserve">s.393(4) Sl.6; declaration Form 15G/15H/121.</t>
  </si>
  <si>
    <t xml:space="preserve">Deposit: 7th of following month (March: 30 April) – Rule 30 (1962) / Rule 218(2) (2026). Statement: 26Q/Form 140 – 31 Jul, 31 Oct, 31 Jan, 31 May. Certificate: 16A/Form 131 within 15 days of statement due date.</t>
  </si>
  <si>
    <t xml:space="preserve">Interest &gt; 10,000 and TDS = 0 without exemption -&gt; flag.</t>
  </si>
  <si>
    <t xml:space="preserve">Expected vs actual TDS.</t>
  </si>
  <si>
    <t xml:space="preserve">Debenture interest ₹45,000 to resident individual with PAN: TDS = 45,000 × 10% = ₹4,500.</t>
  </si>
  <si>
    <t xml:space="preserve">45,000 -&gt; 4,500</t>
  </si>
  <si>
    <t xml:space="preserve">9,000 -&gt; 0</t>
  </si>
  <si>
    <t xml:space="preserve">Threshold mis-applied from old ₹5,000.</t>
  </si>
  <si>
    <t xml:space="preserve">tds = round(0.10*amt) if amt &gt; 10000 and not exempt else 0</t>
  </si>
  <si>
    <t xml:space="preserve">Income-tax Act, 2025 – Section 393 (incometaxindia.gov.in) | https://www.incometaxindia.gov.in/w/section-393-6 | 
RSM India Newsflash – Changes in TDS/TCS w.e.f. 1 April 2025 | https://www.rsm.global/india/sites/default/files/media/publications/2025/RSM%20India%20Newsflash%20-%20Overview%20of%20Changes%20in%20TDS%20and%20TCS%20provisions%20w.e.f.%201st%20April%202025.pdf | 
TDSMAN – TDS/TCS changes w.e.f. 1 April 2025 | https://blog.tdsman.com/2025/03/tds-tcs-changes-w-e-f-1st-april-2025/ | </t>
  </si>
  <si>
    <t xml:space="preserve">Rate 10% from 'rates in force' (Finance Act Part II) – not opened directly. Some sources quote ₹5,000 for physical debentures; s.393 official text shows single ₹10,000 threshold.</t>
  </si>
  <si>
    <t xml:space="preserve">TDS-006</t>
  </si>
  <si>
    <t xml:space="preserve">TDS – Dividend</t>
  </si>
  <si>
    <t xml:space="preserve">Dividend (s.194 / s.393(1) Sl.7)</t>
  </si>
  <si>
    <t xml:space="preserve">Verify TDS on dividends by domestic company.</t>
  </si>
  <si>
    <t xml:space="preserve">IT Act 1961 s.194 (threshold ₹10,000 for individual, cash-other-than mode, from 1-4-2025); IT Act 2025 s.393(1) Table Sl.7 read with s.393(4) Sl.10.</t>
  </si>
  <si>
    <t xml:space="preserve">Domestic company declaring dividend to resident shareholders.</t>
  </si>
  <si>
    <t xml:space="preserve">1 April 2025 / 1 April 2026</t>
  </si>
  <si>
    <t xml:space="preserve">Shareholder register with PAN, category.</t>
  </si>
  <si>
    <t xml:space="preserve">shareholder_pan, shareholder_type, dividend_amount_fy, payment_mode, declaration_flag</t>
  </si>
  <si>
    <t xml:space="preserve">1. If payee is LIC/GIC/insurer/notified -&gt; no TDS. 2. If individual and dividend paid other than in cash and aggregate in FY ≤ ₹10,000 -&gt; no TDS. 3. Else TDS 10% before distribution/payment. 4. No PAN -&gt; 20%.</t>
  </si>
  <si>
    <t xml:space="preserve">TDS = 10% × dividend</t>
  </si>
  <si>
    <t xml:space="preserve">₹10,000 (individual, non-cash); 10%.</t>
  </si>
  <si>
    <t xml:space="preserve">s.393(4) Sl.10; Form 121/15G/15H.</t>
  </si>
  <si>
    <t xml:space="preserve">Dividend &gt; 10,000 to individual with TDS 0 -&gt; flag.</t>
  </si>
  <si>
    <t xml:space="preserve">Expected TDS per shareholder.</t>
  </si>
  <si>
    <t xml:space="preserve">Dividend ₹25,000 to resident individual: TDS = 25,000 × 10% = ₹2,500.</t>
  </si>
  <si>
    <t xml:space="preserve">25,000 -&gt; 2,500</t>
  </si>
  <si>
    <t xml:space="preserve">10,000 (aggregate, non-cash) -&gt; 0</t>
  </si>
  <si>
    <t xml:space="preserve">Old ₹5,000 threshold applied.</t>
  </si>
  <si>
    <t xml:space="preserve">tds = 0 if (indiv and noncash and agg &lt;= 10000) else round(0.10*amt)</t>
  </si>
  <si>
    <t xml:space="preserve">TDS-007</t>
  </si>
  <si>
    <t xml:space="preserve">Interest other than on securities (s.194A / s.393(1) Sl.5(ii)-(iii))</t>
  </si>
  <si>
    <t xml:space="preserve">Verify interest TDS with differing thresholds for bank/co-op/post office vs others and senior citizens.</t>
  </si>
  <si>
    <t xml:space="preserve">IT Act 1961 s.194A (thresholds amended by Finance Act 2025 w.e.f. 1-4-2025); IT Act 2025 s.393(1) Table Sl.5(ii), 5(iii), Notes 1-2.</t>
  </si>
  <si>
    <t xml:space="preserve">Any person (other than individual/HUF not covered) paying interest other than on securities to a resident.</t>
  </si>
  <si>
    <t xml:space="preserve">Payee DOB (for senior citizen ≥60), payer type, branch/CBS flag.</t>
  </si>
  <si>
    <t xml:space="preserve">payer_type, payee_pan, payee_dob, interest_amount_fy, branch_code, cbs_flag, declaration_flag</t>
  </si>
  <si>
    <t xml:space="preserve">1. Identify payer: bank/co-op bank/post office (Sl.5(ii)) vs other specified person (Sl.5(iii)). 2. Threshold: Sl.5(ii) – ₹1,00,000 if payee is senior citizen, else ₹50,000; Sl.5(iii) – ₹10,000. 3. Aggregate interest per payee per FY (per branch only if non-CBS). 4. If aggregate exceeds threshold -&gt; TDS 10% on whole interest credited/paid. 5. Exemptions per s.393(4) Sl.7 (interest to banks, insurers, firm to partner – now covered by 194T, etc.).</t>
  </si>
  <si>
    <t xml:space="preserve">TDS = 10% × interest if aggregate_interest &gt; threshold</t>
  </si>
  <si>
    <t xml:space="preserve">Bank/co-op/PO: ₹1,00,000 (senior) / ₹50,000 (others); others: ₹10,000; rate 10%; no PAN 20%.</t>
  </si>
  <si>
    <t xml:space="preserve">Interest paid to banks/insurers; MACT interest to individuals fully exempt from TDS from 1-4-2026 (Finance Act 2026 substituted s.393(4) Sl.7(c)(iv)); Form 121/15G/15H.</t>
  </si>
  <si>
    <t xml:space="preserve">Aggregate &gt; threshold and TDS 0 -&gt; flag; senior threshold applied to non-senior -&gt; flag.</t>
  </si>
  <si>
    <t xml:space="preserve">Expected TDS per payee, threshold used.</t>
  </si>
  <si>
    <t xml:space="preserve">Bank FD interest ₹72,000 to non-senior: &gt; 50,000 -&gt; TDS 7,200. Same to senior (age 64): ≤ 1,00,000 -&gt; TDS 0. Company paying ₹12,000 ICD interest to resident: &gt; 10,000 -&gt; TDS 1,200.</t>
  </si>
  <si>
    <t xml:space="preserve">bank, non-senior, 72,000 -&gt; 7,200</t>
  </si>
  <si>
    <t xml:space="preserve">bank, senior, 95,000 -&gt; 0</t>
  </si>
  <si>
    <t xml:space="preserve">Old ₹40,000/₹5,000 thresholds; senior status not captured; per-branch aggregation in CBS banks.</t>
  </si>
  <si>
    <t xml:space="preserve">High</t>
  </si>
  <si>
    <t xml:space="preserve">th = (100000 if senior else 50000) if payer in BANKS else 10000
tds = round(0.10*agg) if agg &gt; th and not exempt else 0</t>
  </si>
  <si>
    <t xml:space="preserve">Income-tax Act, 2025 – Section 393 (incometaxindia.gov.in) | https://www.incometaxindia.gov.in/w/section-393-6 | 
RSM India Newsflash – Changes in TDS/TCS w.e.f. 1 April 2025 | https://www.rsm.global/india/sites/default/files/media/publications/2025/RSM%20India%20Newsflash%20-%20Overview%20of%20Changes%20in%20TDS%20and%20TCS%20provisions%20w.e.f.%201st%20April%202025.pdf | 
TDSMAN – TDS/TCS changes w.e.f. 1 April 2025 | https://blog.tdsman.com/2025/03/tds-tcs-changes-w-e-f-1st-april-2025/ | 
TDSMAN – Key TDS/TCS proposed changes Budget 2026-27 | https://blog.tdsman.com/2026/02/key-tds-tcs-proposed-changes-in-budget-2026-27/ | </t>
  </si>
  <si>
    <t xml:space="preserve">TDS-008</t>
  </si>
  <si>
    <t xml:space="preserve">TDS – Winnings</t>
  </si>
  <si>
    <t xml:space="preserve">Lottery / crossword / game winnings (s.194B / s.393(3) Sl.1)</t>
  </si>
  <si>
    <t xml:space="preserve">Verify TDS on winnings exceeding ₹10,000 per single transaction.</t>
  </si>
  <si>
    <t xml:space="preserve">IT Act 1961 s.194B (per-transaction threshold from 1-4-2025); IT Act 2025 s.393(3) Table Sl.1, Note 2.</t>
  </si>
  <si>
    <t xml:space="preserve">Any person paying winnings from lottery, crossword puzzle, card game or other game (other than online games).</t>
  </si>
  <si>
    <t xml:space="preserve">1 April 2025</t>
  </si>
  <si>
    <t xml:space="preserve">Transaction-level winnings data.</t>
  </si>
  <si>
    <t xml:space="preserve">payee_pan, winning_amount, txn_date, in_kind_flag</t>
  </si>
  <si>
    <t xml:space="preserve">1. For each single transaction, if winning &gt; ₹10,000 -&gt; TDS at rates in force (30% + cess/surcharge as applicable). 2. Winnings in kind -&gt; payer to ensure tax paid before release. 3. Do not aggregate across transactions.</t>
  </si>
  <si>
    <t xml:space="preserve">TDS = 30% × winning (plus cess where applicable)</t>
  </si>
  <si>
    <t xml:space="preserve">₹10,000 per single transaction; 30% (rates in force).</t>
  </si>
  <si>
    <t xml:space="preserve">Single winning &gt; 10,000 with no TDS -&gt; Critical.</t>
  </si>
  <si>
    <t xml:space="preserve">Per-transaction expected TDS.</t>
  </si>
  <si>
    <t xml:space="preserve">Prize ₹50,000: TDS = 50,000 × 30% = ₹15,000 (cess treatment per rates in force).</t>
  </si>
  <si>
    <t xml:space="preserve">50,000 -&gt; 15,000</t>
  </si>
  <si>
    <t xml:space="preserve">three prizes of 8,000 each -&gt; 0 (per-transaction test)</t>
  </si>
  <si>
    <t xml:space="preserve">Aggregating multiple small winnings.</t>
  </si>
  <si>
    <t xml:space="preserve">Critical</t>
  </si>
  <si>
    <t xml:space="preserve">tds = round(0.30*w) if w &gt; 10000 else 0</t>
  </si>
  <si>
    <t xml:space="preserve">30% is the 'rates in force' rate (Finance Act Part II) – not opened directly. Online games (s.194BA -&gt; s.393(3) Sl.2) taxed on net winnings, no threshold – see notes in TDS-010.</t>
  </si>
  <si>
    <t xml:space="preserve">TDS-009</t>
  </si>
  <si>
    <t xml:space="preserve">Horse race winnings (s.194BB / s.393(3) Sl.3)</t>
  </si>
  <si>
    <t xml:space="preserve">Verify TDS by bookmakers/licensed wagering operators.</t>
  </si>
  <si>
    <t xml:space="preserve">IT Act 1961 s.194BB; IT Act 2025 s.393(3) Table Sl.3.</t>
  </si>
  <si>
    <t xml:space="preserve">Bookmaker or person holding licence for horse racing/wagering.</t>
  </si>
  <si>
    <t xml:space="preserve">payee_pan, winning_amount, txn_date</t>
  </si>
  <si>
    <t xml:space="preserve">1. Per single transaction &gt; ₹10,000 -&gt; TDS at rates in force (30%).</t>
  </si>
  <si>
    <t xml:space="preserve">TDS = 30% × winning</t>
  </si>
  <si>
    <t xml:space="preserve">₹10,000 per single transaction; 30%.</t>
  </si>
  <si>
    <t xml:space="preserve">As TDS-008.</t>
  </si>
  <si>
    <t xml:space="preserve">Winning ₹20,000 -&gt; 6,000.</t>
  </si>
  <si>
    <t xml:space="preserve">20,000 -&gt; 6,000</t>
  </si>
  <si>
    <t xml:space="preserve">10,000 -&gt; 0</t>
  </si>
  <si>
    <t xml:space="preserve">Income-tax Act, 2025 – Section 393 (incometaxindia.gov.in) | https://www.incometaxindia.gov.in/w/section-393-6 | 
RSM India Newsflash – Changes in TDS/TCS w.e.f. 1 April 2025 | https://www.rsm.global/india/sites/default/files/media/publications/2025/RSM%20India%20Newsflash%20-%20Overview%20of%20Changes%20in%20TDS%20and%20TCS%20provisions%20w.e.f.%201st%20April%202025.pdf | </t>
  </si>
  <si>
    <t xml:space="preserve">Rate from rates in force, not opened.</t>
  </si>
  <si>
    <t xml:space="preserve">TDS-010</t>
  </si>
  <si>
    <t xml:space="preserve">Online games net winnings (s.194BA / s.393(3) Sl.2)</t>
  </si>
  <si>
    <t xml:space="preserve">Verify TDS on net winnings from online games at withdrawal and year-end.</t>
  </si>
  <si>
    <t xml:space="preserve">IT Act 1961 s.194BA; IT Act 2025 s.393(3) Table Sl.2, Note 1.</t>
  </si>
  <si>
    <t xml:space="preserve">Online gaming intermediaries/payers.</t>
  </si>
  <si>
    <t xml:space="preserve">FY 2025-26 / TY 2026-27</t>
  </si>
  <si>
    <t xml:space="preserve">User-account ledger of deposits, winnings, withdrawals.</t>
  </si>
  <si>
    <t xml:space="preserve">user_pan, withdrawal_amount, net_winnings_computed, year_end_balance</t>
  </si>
  <si>
    <t xml:space="preserve">1. On each withdrawal compute net winnings per prescribed rule; TDS at rates in force (30%). 2. At year-end deduct on remaining net winnings. 3. No threshold.</t>
  </si>
  <si>
    <t xml:space="preserve">TDS = 30% × net_winnings</t>
  </si>
  <si>
    <t xml:space="preserve">No threshold; 30%.</t>
  </si>
  <si>
    <t xml:space="preserve">Withdrawal with positive net winnings and TDS 0 -&gt; flag.</t>
  </si>
  <si>
    <t xml:space="preserve">Expected TDS.</t>
  </si>
  <si>
    <t xml:space="preserve">Net winnings in withdrawal ₹5,000 -&gt; TDS 1,500.</t>
  </si>
  <si>
    <t xml:space="preserve">5,000 -&gt; 1,500</t>
  </si>
  <si>
    <t xml:space="preserve">net winnings ≤ 0 -&gt; 0</t>
  </si>
  <si>
    <t xml:space="preserve">Net-winnings formula (Rule) not applied.</t>
  </si>
  <si>
    <t xml:space="preserve">tds = round(0.30*max(0, net))</t>
  </si>
  <si>
    <t xml:space="preserve">Income-tax Act, 2025 – Section 393 (incometaxindia.gov.in) | https://www.incometaxindia.gov.in/w/section-393-6 | </t>
  </si>
  <si>
    <t xml:space="preserve">Net-winnings computation rule under 2026 Rules not verified. Regulatory status of real-money online gaming after 2025 legislation not researched.</t>
  </si>
  <si>
    <t xml:space="preserve">TDS-011</t>
  </si>
  <si>
    <t xml:space="preserve">TDS – Contractors</t>
  </si>
  <si>
    <t xml:space="preserve">Payments to contractors (s.194C / s.393(1) Sl.6(i))</t>
  </si>
  <si>
    <t xml:space="preserve">Verify contractor TDS with single-payment and aggregate thresholds, transporter exemption and rate by payee status.</t>
  </si>
  <si>
    <t xml:space="preserve">IT Act 1961 s.194C; IT Act 2025 s.393(1) Table Sl.6(i), Note (material excluded if separately shown), s.393(4) Sl.8. Finance Act 2026: manpower supply treated as 'work' (secondary source).</t>
  </si>
  <si>
    <t xml:space="preserve">Designated/specified persons (companies, firms, govt, individuals/HUF liable to audit etc.) paying resident contractors.</t>
  </si>
  <si>
    <t xml:space="preserve">Vendor master: PAN, entity type (4th character of PAN), transporter flag &amp; declaration, number of goods carriages.</t>
  </si>
  <si>
    <t xml:space="preserve">vendor_pan, pan_4th_char, invoice_date, invoice_amount, material_value_separately_shown, gst_amount, aggregate_paid_fy, transporter_flag, carriages_owned, declaration_received</t>
  </si>
  <si>
    <t xml:space="preserve">1. Base = invoice value excluding GST shown separately (Circular 23/2017) and excluding material value if separately shown (for manufacturing-to-specification work). 2. If single sum ≤ ₹30,000 AND aggregate in FY ≤ ₹1,00,000 -&gt; no TDS yet. 3. When aggregate first exceeds ₹1,00,000, TDS on entire aggregate (incl. earlier sums not yet deducted). 4. Rate: 1% if payee individual/HUF (PAN 4th char P/H), else 2%. 5. Transporter owning ≤10 goods carriages furnishing declaration with PAN -&gt; nil (payer must report in statement). 6. Individual/HUF paying for personal purposes -&gt; nil. 7. No PAN -&gt; 20%.</t>
  </si>
  <si>
    <t xml:space="preserve">TDS = rate × base; rate = 1% if pan[3] in ('P','H') else 2%</t>
  </si>
  <si>
    <t xml:space="preserve">Single ₹30,000; aggregate ₹1,00,000; 1% / 2%; no PAN 20%.</t>
  </si>
  <si>
    <t xml:space="preserve">Transporter ≤10 goods carriages with declaration; personal-purpose payments by individual/HUF; payments covered by 194J/393 Sl.6(iii) take priority for professional services.</t>
  </si>
  <si>
    <t xml:space="preserve">Aggregate &gt; 1,00,000 and cumulative TDS &lt; expected -&gt; SHORT DEDUCTION; rate 1% applied to company PAN -&gt; flag; GST included in base -&gt; Low flag (excess).</t>
  </si>
  <si>
    <t xml:space="preserve">Expected cumulative TDS per vendor per FY, shortfall.</t>
  </si>
  <si>
    <t xml:space="preserve">Vendor company: invoices 25,000 (Apr), 28,000 (Jun), 29,000 (Aug), 26,000 (Oct) – all &lt; 30,000. Aggregate after Oct = 1,08,000 &gt; 1,00,000 -&gt; TDS 2% × 1,08,000 = ₹2,160 deducted in Oct. Vendor individual: 1% -&gt; ₹1,080.</t>
  </si>
  <si>
    <t xml:space="preserve">company, single invoice 35,000 -&gt; 700</t>
  </si>
  <si>
    <t xml:space="preserve">transporter with 8 trucks + declaration + PAN, 5,00,000 -&gt; 0 (but must be reported)</t>
  </si>
  <si>
    <t xml:space="preserve">TDS on GST portion; earlier small invoices missed when aggregate crossed; manpower contracts deducted under 194J instead of 194C from TY 2026-27.</t>
  </si>
  <si>
    <t xml:space="preserve">agg += base
if base &gt; 30000 or agg &gt; 100000:
    due = rate*agg_undeducted ; agg_undeducted = 0</t>
  </si>
  <si>
    <t xml:space="preserve">Income-tax Act, 2025 – Section 393 (incometaxindia.gov.in) | https://www.incometaxindia.gov.in/w/section-393-6 | 
India Briefing – TDS rates FY 2025-26 | https://www.india-briefing.com/news/a-guide-to-indias-tds-rates-for-fy-2025-26-36999.html/ | 
TDSMAN – Key TDS/TCS proposed changes Budget 2026-27 | https://blog.tdsman.com/2026/02/key-tds-tcs-proposed-changes-in-budget-2026-27/ | 
ClearTax – TDS and TCS changes from April 2026 | https://cleartax.in/s/tds-and-tcs-changes-from-april-2026 | 
TaxGuru – CBDT Circular 23/2017: no TDS on GST component | https://taxguru.in/income-tax/tds-deductible-gst-component-cbdt.html | </t>
  </si>
  <si>
    <t xml:space="preserve">Manpower-supply clarification is from Finance Act 2026 per secondary sources; enacted text not opened.</t>
  </si>
  <si>
    <t xml:space="preserve">TDS-012</t>
  </si>
  <si>
    <t xml:space="preserve">TDS – Commission</t>
  </si>
  <si>
    <t xml:space="preserve">Insurance commission (s.194D / s.393(1) Sl.1(i))</t>
  </si>
  <si>
    <t xml:space="preserve">Verify TDS on insurance commission.</t>
  </si>
  <si>
    <t xml:space="preserve">IT Act 1961 s.194D (threshold ₹20,000 from 1-4-2025); IT Act 2025 s.393(1) Table Sl.1(i) – rate 'rates in force'.</t>
  </si>
  <si>
    <t xml:space="preserve">Any person paying insurance commission to resident.</t>
  </si>
  <si>
    <t xml:space="preserve">Agent PAN and status.</t>
  </si>
  <si>
    <t xml:space="preserve">agent_pan, agent_type, commission_amount_fy</t>
  </si>
  <si>
    <t xml:space="preserve">1. If aggregate commission in FY ≤ ₹20,000 -&gt; nil. 2. Rate by payment/credit date: on or after 1-4-2025 – person other than company 2%, domestic company 10%; up to 31-3-2025 – non-company 5%. 3. No PAN -&gt; 20%.</t>
  </si>
  <si>
    <t xml:space="preserve">TDS = rate × commission</t>
  </si>
  <si>
    <t xml:space="preserve">₹20,000 aggregate in FY; person other than company 2% (w.e.f. 1-4-2025, Finance (No.2) Act 2024; 5% applies only to payments/credits up to 31-3-2025); domestic company 10%; no PAN 20%.</t>
  </si>
  <si>
    <t xml:space="preserve">Form 121/15G/15H allowed (s.393(6)).</t>
  </si>
  <si>
    <t xml:space="preserve">Non-company payee, credit/payment on or after 1-4-2025, rate ≠ 2% -&gt; RATE_MISMATCH (High). Aggregate &gt; ₹20,000 and TDS = 0 -&gt; NOT_DEDUCTED (High).</t>
  </si>
  <si>
    <t xml:space="preserve">Agent (individual) commission ₹1,00,000 credited 15-6-2025: TDS = 1,00,000 × 2% = ₹2,000.</t>
  </si>
  <si>
    <t xml:space="preserve">1,00,000 individual -&gt; 2,000 (configured 2%)</t>
  </si>
  <si>
    <t xml:space="preserve">18,000 -&gt; 0</t>
  </si>
  <si>
    <t xml:space="preserve">Old 5% rate retained by insurers.</t>
  </si>
  <si>
    <t xml:space="preserve">Medium – rate under CA review</t>
  </si>
  <si>
    <t xml:space="preserve">rate = CFG['194D_noncompany']  # 0.02 default</t>
  </si>
  <si>
    <t xml:space="preserve">Income-tax Act, 2025 – Section 393 (incometaxindia.gov.in) | https://www.incometaxindia.gov.in/w/section-393-6 | 
Income Tax Department – TDS Rates chart (AY 2026-27, as amended by Finance Act 2026) | https://incometaxindia.gov.in/w/tds-rates-1 | 
India Briefing – TDS rates FY 2025-26 | https://www.india-briefing.com/news/a-guide-to-indias-tds-rates-for-fy-2025-26-36999.html/ | 
RSM India Newsflash – Changes in TDS/TCS w.e.f. 1 April 2025 | https://www.rsm.global/india/sites/default/files/media/publications/2025/RSM%20India%20Newsflash%20-%20Overview%20of%20Changes%20in%20TDS%20and%20TCS%20provisions%20w.e.f.%201st%20April%202025.pdf | 
TDSMAN – TDS on insurance commission s.393(1) (194D) | https://blog.tdsman.com/2026/04/tds-on-insurance-commission-or-brokerage-section-3931-section-194d/ | 
ClearTax – Section 194D/194DA | https://cleartax.in/s/section-194d-194da-income-tax | 
Memorandum explaining provisions of Finance (No.2) Bill 2024 (indiabudget.gov.in) | https://www.indiabudget.gov.in/budget2024-25/doc/memo.pdf | 
Memorandum explaining provisions of Finance Bill 2025 (indiabudget.gov.in) | https://www.indiabudget.gov.in/budget2025-26/doc/memo.pdf | </t>
  </si>
  <si>
    <t xml:space="preserve">[VERIFICATION 13-10-2026] Conflict resolved in favour of 2%. The official Budget July-2024 Memorandum (Finance (No.2) Bill 2024) lists s.194D (insurance commission to a person other than a company) as reduced from 5% to 2% w.e.f. 1-4-2025. The Budget 2025 Memorandum separately raises the s.194D threshold from Rs 15,000 to Rs 20,000 w.e.f. 1-4-2025. The incometaxindia 'TDS rates' chart (labelled AY 2026-27, 'as amended by Finance Act 2026') still shows 5% for non-company and 10% for company – this row is stale and should not be relied on. Under the 2025 Act, s.393(1) Sl.1(i) says only 'Rates in force' with threshold Rs 20,000; the Finance Act 2026 says s.393 rates are those in Part II of its First Schedule, which I could not read in the extracted text, and the Finance Bill 2026 Memorandum excerpt read shows no proposal to change the s.194D rate. So 2% (non-company) / 10% (company) continues for Tax Year 2026-27 – CA to glance at FA 2026 First Schedule Part II to close the last gap.</t>
  </si>
  <si>
    <t xml:space="preserve">TDS-013</t>
  </si>
  <si>
    <t xml:space="preserve">TDS – Insurance</t>
  </si>
  <si>
    <t xml:space="preserve">Life insurance policy payout (s.194DA / s.393(1) Sl.8(i))</t>
  </si>
  <si>
    <t xml:space="preserve">Verify 2% TDS on income component of taxable life insurance payouts.</t>
  </si>
  <si>
    <t xml:space="preserve">IT Act 1961 s.194DA (rate 2% from 1-10-2024); IT Act 2025 s.393(1) Table Sl.8(i).</t>
  </si>
  <si>
    <t xml:space="preserve">Any person paying sums under life insurance policy (incl. bonus) not exempt under Schedule II Sl.2 / s.10(10D).</t>
  </si>
  <si>
    <t xml:space="preserve">1 October 2024 (rate); 1 April 2026 (new Act)</t>
  </si>
  <si>
    <t xml:space="preserve">Premium paid data to compute income component.</t>
  </si>
  <si>
    <t xml:space="preserve">payee_pan, gross_payout, total_premium_paid, exempt_flag</t>
  </si>
  <si>
    <t xml:space="preserve">1. If exempt -&gt; nil. 2. If payout aggregate &lt; ₹1,00,000 -&gt; nil. 3. Income component = payout – premiums paid. 4. TDS = 2% × income component.</t>
  </si>
  <si>
    <t xml:space="preserve">TDS = 2% × (payout – premium_paid)</t>
  </si>
  <si>
    <t xml:space="preserve">₹1,00,000; 2%.</t>
  </si>
  <si>
    <t xml:space="preserve">Exempt policies; Form 121/15G/15H.</t>
  </si>
  <si>
    <t xml:space="preserve">TDS on gross payout -&gt; excess flag.</t>
  </si>
  <si>
    <t xml:space="preserve">Payout 6,00,000, premiums 4,50,000 -&gt; income 1,50,000 × 2% = ₹3,000.</t>
  </si>
  <si>
    <t xml:space="preserve">as above -&gt; 3,000</t>
  </si>
  <si>
    <t xml:space="preserve">payout 90,000 -&gt; 0</t>
  </si>
  <si>
    <t xml:space="preserve">TDS at old 5% rate pre-Oct-2024 entries.</t>
  </si>
  <si>
    <t xml:space="preserve">tds = round(0.02*max(0,payout-prem)) if payout &gt;= 100000 and not exempt else 0</t>
  </si>
  <si>
    <t xml:space="preserve">Income-tax Act, 2025 – Section 393 (incometaxindia.gov.in) | https://www.incometaxindia.gov.in/w/section-393-6 | 
TDSMAN – Reduction of TDS rates w.e.f. 1 Oct 2024 | https://blog.tdsman.com/2024/09/reduction-optimization-of-tds-rates-w-e-f-1st-october-24 | 
Income Tax Department – TDS Rates chart (AY 2026-27, as amended by Finance Act 2026) | https://incometaxindia.gov.in/w/tds-rates-1 | </t>
  </si>
  <si>
    <t xml:space="preserve">TDS-014</t>
  </si>
  <si>
    <t xml:space="preserve">Commission on lottery tickets (s.194G / s.393(3) Sl.4)</t>
  </si>
  <si>
    <t xml:space="preserve">Verify TDS on lottery ticket commission.</t>
  </si>
  <si>
    <t xml:space="preserve">IT Act 1961 s.194G (2% from 1-10-2024; threshold ₹20,000 from 1-4-2025); IT Act 2025 s.393(3) Table Sl.4.</t>
  </si>
  <si>
    <t xml:space="preserve">Any person paying commission/remuneration/prize to lottery stockists/distributors/sellers.</t>
  </si>
  <si>
    <t xml:space="preserve">payee_pan, commission_amount_fy</t>
  </si>
  <si>
    <t xml:space="preserve">1. Aggregate &gt; ₹20,000 -&gt; TDS 2% at earlier of credit/payment.</t>
  </si>
  <si>
    <t xml:space="preserve">TDS = 2% × commission</t>
  </si>
  <si>
    <t xml:space="preserve">₹20,000; 2%.</t>
  </si>
  <si>
    <t xml:space="preserve">Commission 60,000 -&gt; 1,200.</t>
  </si>
  <si>
    <t xml:space="preserve">60,000 -&gt; 1,200</t>
  </si>
  <si>
    <t xml:space="preserve">20,000 -&gt; 0</t>
  </si>
  <si>
    <t xml:space="preserve">Old 5%/₹15,000.</t>
  </si>
  <si>
    <t xml:space="preserve">Low</t>
  </si>
  <si>
    <t xml:space="preserve">tds = round(0.02*c) if c &gt; 20000 else 0</t>
  </si>
  <si>
    <t xml:space="preserve">Income-tax Act, 2025 – Section 393 (incometaxindia.gov.in) | https://www.incometaxindia.gov.in/w/section-393-6 | 
TDSMAN – Reduction of TDS rates w.e.f. 1 Oct 2024 | https://blog.tdsman.com/2024/09/reduction-optimization-of-tds-rates-w-e-f-1st-october-24 | 
RSM India Newsflash – Changes in TDS/TCS w.e.f. 1 April 2025 | https://www.rsm.global/india/sites/default/files/media/publications/2025/RSM%20India%20Newsflash%20-%20Overview%20of%20Changes%20in%20TDS%20and%20TCS%20provisions%20w.e.f.%201st%20April%202025.pdf | </t>
  </si>
  <si>
    <t xml:space="preserve">TDS-015</t>
  </si>
  <si>
    <t xml:space="preserve">Commission or brokerage (s.194H / s.393(1) Sl.1(ii))</t>
  </si>
  <si>
    <t xml:space="preserve">Verify TDS on commission/brokerage (non-insurance).</t>
  </si>
  <si>
    <t xml:space="preserve">IT Act 1961 s.194H (2% from 1-10-2024; threshold ₹20,000 from 1-4-2025); IT Act 2025 s.393(1) Table Sl.1(ii).</t>
  </si>
  <si>
    <t xml:space="preserve">Specified persons paying commission/brokerage to residents.</t>
  </si>
  <si>
    <t xml:space="preserve">payee_pan, commission_amount_fy, gst_amount</t>
  </si>
  <si>
    <t xml:space="preserve">1. Base excl. GST shown separately. 2. Aggregate &gt; ₹20,000 -&gt; 2%. 3. BSNL/MTNL PCO commission exempt (s.393(4) Sl.1). 4. No PAN 20%.</t>
  </si>
  <si>
    <t xml:space="preserve">TDS = 2% × base</t>
  </si>
  <si>
    <t xml:space="preserve">PCO franchisee commission by BSNL/MTNL.</t>
  </si>
  <si>
    <t xml:space="preserve">Aggregate &gt; 20,000 no TDS -&gt; flag.</t>
  </si>
  <si>
    <t xml:space="preserve">Brokerage 1,50,000 + GST 27,000 -&gt; TDS 2% × 1,50,000 = 3,000.</t>
  </si>
  <si>
    <t xml:space="preserve">1,50,000 -&gt; 3,000</t>
  </si>
  <si>
    <t xml:space="preserve">19,500 -&gt; 0</t>
  </si>
  <si>
    <t xml:space="preserve">5% rate still used; ₹15,000 threshold.</t>
  </si>
  <si>
    <t xml:space="preserve">tds = round(0.02*base) if agg &gt; 20000 else 0</t>
  </si>
  <si>
    <t xml:space="preserve">Income-tax Act, 2025 – Section 393 (incometaxindia.gov.in) | https://www.incometaxindia.gov.in/w/section-393-6 | 
TDSMAN – Reduction of TDS rates w.e.f. 1 Oct 2024 | https://blog.tdsman.com/2024/09/reduction-optimization-of-tds-rates-w-e-f-1st-october-24 | 
RSM India Newsflash – Changes in TDS/TCS w.e.f. 1 April 2025 | https://www.rsm.global/india/sites/default/files/media/publications/2025/RSM%20India%20Newsflash%20-%20Overview%20of%20Changes%20in%20TDS%20and%20TCS%20provisions%20w.e.f.%201st%20April%202025.pdf | 
TaxGuru – CBDT Circular 23/2017: no TDS on GST component | https://taxguru.in/income-tax/tds-deductible-gst-component-cbdt.html | </t>
  </si>
  <si>
    <t xml:space="preserve">TDS-016</t>
  </si>
  <si>
    <t xml:space="preserve">TDS – Rent</t>
  </si>
  <si>
    <t xml:space="preserve">Rent by specified persons (s.194-I / s.393(1) Sl.2(ii))</t>
  </si>
  <si>
    <t xml:space="preserve">Verify rent TDS at 2% (P&amp;M) / 10% (land, building, furniture) with ₹50,000 per month threshold.</t>
  </si>
  <si>
    <t xml:space="preserve">IT Act 1961 s.194-I (threshold ₹50,000 per month or part from 1-4-2025); IT Act 2025 s.393(1) Table Sl.2(ii).</t>
  </si>
  <si>
    <t xml:space="preserve">Specified persons (other than individuals/HUF not liable to audit) paying rent to residents.</t>
  </si>
  <si>
    <t xml:space="preserve">Lease master: asset class, monthly rent.</t>
  </si>
  <si>
    <t xml:space="preserve">landlord_pan, asset_class, monthly_rent, gst_amount, months_in_fy</t>
  </si>
  <si>
    <t xml:space="preserve">1. Base excludes GST shown separately. 2. If rent for a month or part of month &gt; ₹50,000 -&gt; TDS on that month's rent. 3. Rate 2% for plant/machinery/equipment; 10% for land/building/furniture/fittings. 4. Rent paid to REIT for directly-held assets exempt.</t>
  </si>
  <si>
    <t xml:space="preserve">TDS_month = rate × rent_month if rent_month &gt; 50000</t>
  </si>
  <si>
    <t xml:space="preserve">₹50,000 per month or part; 2% / 10%.</t>
  </si>
  <si>
    <t xml:space="preserve">REIT (s.393(4) Sl.2); Form 121/15G/15H for individuals.</t>
  </si>
  <si>
    <t xml:space="preserve">Monthly rent &gt; 50,000 no TDS -&gt; High; wrong asset rate -&gt; Medium.</t>
  </si>
  <si>
    <t xml:space="preserve">Monthly expected TDS.</t>
  </si>
  <si>
    <t xml:space="preserve">Office rent ₹60,000/month + GST: TDS 10% × 60,000 = ₹6,000 per month; annual 72,000. Rent ₹45,000/month (₹5.4 lakh p.a.) -&gt; nil under new monthly test (would have been TDS under old ₹2.4 lakh p.a. rule).</t>
  </si>
  <si>
    <t xml:space="preserve">60,000/month building -&gt; 6,000</t>
  </si>
  <si>
    <t xml:space="preserve">45,000/month -&gt; 0</t>
  </si>
  <si>
    <t xml:space="preserve">Annual ₹2.4 lakh test still applied; GST included.</t>
  </si>
  <si>
    <t xml:space="preserve">tds = round(rate*r) if r &gt; 50000 else 0</t>
  </si>
  <si>
    <t xml:space="preserve">Income-tax Act, 2025 – Section 393 (incometaxindia.gov.in) | https://www.incometaxindia.gov.in/w/section-393-6 | 
RSM India Newsflash – Changes in TDS/TCS w.e.f. 1 April 2025 | https://www.rsm.global/india/sites/default/files/media/publications/2025/RSM%20India%20Newsflash%20-%20Overview%20of%20Changes%20in%20TDS%20and%20TCS%20provisions%20w.e.f.%201st%20April%202025.pdf | 
India Briefing – TDS rates FY 2025-26 | https://www.india-briefing.com/news/a-guide-to-indias-tds-rates-for-fy-2025-26-36999.html/ | </t>
  </si>
  <si>
    <t xml:space="preserve">'Per month or part of a month' interpretation for annual lump-sum rent: CA to decide (open question).</t>
  </si>
  <si>
    <t xml:space="preserve">TDS-017</t>
  </si>
  <si>
    <t xml:space="preserve">TDS – Property</t>
  </si>
  <si>
    <t xml:space="preserve">Purchase of immovable property (s.194-IA / s.393(1) Sl.3(i))</t>
  </si>
  <si>
    <t xml:space="preserve">Verify 1% TDS on higher of consideration and stamp duty value where ≥ ₹50 lakh.</t>
  </si>
  <si>
    <t xml:space="preserve">IT Act 1961 s.194-IA (SDV from 1-4-2022; aggregation of multiple transferors/transferees from 1-10-2024); IT Act 2025 s.393(1) Table Sl.3(i) Notes 1-3; s.397(1) TAN exemption; Form 26QB -&gt; Form 141.</t>
  </si>
  <si>
    <t xml:space="preserve">Transferee (other than in compulsory acquisition) of immovable property other than agricultural land from resident transferor.</t>
  </si>
  <si>
    <t xml:space="preserve">1 Oct 2024 (aggregation); 1 April 2026 (new Act)</t>
  </si>
  <si>
    <t xml:space="preserve">Sale deed values, SDV, all buyers/sellers.</t>
  </si>
  <si>
    <t xml:space="preserve">buyer_pans, seller_pans, consideration_total, stamp_duty_value, payment_schedule, buyer_share, seller_share</t>
  </si>
  <si>
    <t xml:space="preserve">1. Aggregate consideration of all transferees to all transferors. 2. If both consideration and SDV &lt; ₹50 lakh -&gt; nil. 3. TDS = 1% × higher of (consideration, SDV), apportioned per payment instalment and per buyer/seller share. 4. No TAN required; file Form 26QB/141 per buyer-seller pair. 5. Seller no PAN -&gt; 20%.</t>
  </si>
  <si>
    <t xml:space="preserve">TDS = 1% × max(consideration, SDV)</t>
  </si>
  <si>
    <t xml:space="preserve">₹50 lakh; 1%.</t>
  </si>
  <si>
    <t xml:space="preserve">Agricultural land; compulsory acquisition (→194LA). Non-resident seller -&gt; s.195/393(2).</t>
  </si>
  <si>
    <t xml:space="preserve">Within 30 days from end of month of deduction with challan-cum-statement 26QB/Form 141; Form 16B equivalent from TRACES within 15 days thereafter.</t>
  </si>
  <si>
    <t xml:space="preserve">SDV ≥ 50 lakh but consideration &lt; 50 lakh and no TDS -&gt; High.</t>
  </si>
  <si>
    <t xml:space="preserve">Expected TDS per instalment per pair.</t>
  </si>
  <si>
    <t xml:space="preserve">Consideration ₹48,00,000; SDV ₹55,00,000 -&gt; TDS 1% × 55,00,000 = ₹55,000. Two buyers 50:50, one seller -&gt; ₹27,500 each in two Form 141 filings.</t>
  </si>
  <si>
    <t xml:space="preserve">consid 60L SDV 58L -&gt; 60,000</t>
  </si>
  <si>
    <t xml:space="preserve">consid 45L SDV 49L -&gt; 0</t>
  </si>
  <si>
    <t xml:space="preserve">Per-buyer share &lt; 50 lakh wrongly treated as exempt (aggregation post 1-10-2024); TDS on consideration where SDV higher.</t>
  </si>
  <si>
    <t xml:space="preserve">base = max(consid, sdv)
tds = round(0.01*base) if base &gt;= 5000000 else 0</t>
  </si>
  <si>
    <t xml:space="preserve">Income-tax Act, 2025 – Section 393 (incometaxindia.gov.in) | https://www.incometaxindia.gov.in/w/section-393-6 | 
Income-tax Act, 1961 – Section 194-IA (incometaxindia.gov.in) | https://www.incometaxindia.gov.in/w/section-194ia-10 | 
Income-tax Rules, 2026 – Rule 219 (incometaxindia.gov.in) | https://www.incometaxindia.gov.in/w/rule-219-1 | 
TaxGuru – Q1 Tax Year 2026-27 TDS/TCS return forms and due dates | https://taxguru.in/income-tax/q1-tax-year-2026-27-tds-tcs-return-filing-forms-due-dates.html | </t>
  </si>
  <si>
    <t xml:space="preserve">Threshold condition: 1961 Act 'both less than fifty lakh'; 2025 Act Note 3 'consideration or SDV is ₹50 lakh or more'.</t>
  </si>
  <si>
    <t xml:space="preserve">TDS-018</t>
  </si>
  <si>
    <t xml:space="preserve">Rent by individuals/HUF not under audit (s.194-IB / s.393(1) Sl.2(i))</t>
  </si>
  <si>
    <t xml:space="preserve">Verify 2% TDS deducted once in last month of year/tenancy.</t>
  </si>
  <si>
    <t xml:space="preserve">IT Act 1961 s.194-IB (2% from 1-10-2024); IT Act 2025 s.393(1) Table Sl.2(i), Note 1; s.397(2) proviso cap.</t>
  </si>
  <si>
    <t xml:space="preserve">Individuals/HUF (not specified persons) paying rent &gt; ₹50,000 per month.</t>
  </si>
  <si>
    <t xml:space="preserve">1 Oct 2024 (rate)</t>
  </si>
  <si>
    <t xml:space="preserve">tenant_pan, landlord_pan, monthly_rent, tenancy_end_date</t>
  </si>
  <si>
    <t xml:space="preserve">1. If monthly rent &gt; ₹50,000 -&gt; TDS 2% of rent for the year/tenancy, deducted at earlier of credit/payment of last month's rent of tax year or tenancy. 2. No PAN: 20% but capped at last month's rent. 3. No TAN; Form 26QC/141.</t>
  </si>
  <si>
    <t xml:space="preserve">TDS = min(2% × total_rent, last_month_rent if no PAN)</t>
  </si>
  <si>
    <t xml:space="preserve">₹50,000 per month; 2%; no PAN 20% capped at 1 month's rent.</t>
  </si>
  <si>
    <t xml:space="preserve">30 days from end of month of deduction (Form 26QC / 141).</t>
  </si>
  <si>
    <t xml:space="preserve">Expected TDS at year end.</t>
  </si>
  <si>
    <t xml:space="preserve">Rent ₹60,000 × 12 = 7,20,000 × 2% = ₹14,400 in March. Without PAN: 20% × 7,20,000 = 1,44,000 capped at 60,000.</t>
  </si>
  <si>
    <t xml:space="preserve">60,000 × 12 -&gt; 14,400</t>
  </si>
  <si>
    <t xml:space="preserve">50,000/month -&gt; 0</t>
  </si>
  <si>
    <t xml:space="preserve">Monthly deduction instead of annual; Form 26QC not filed.</t>
  </si>
  <si>
    <t xml:space="preserve">tds = round(0.02*total) if rent_m &gt; 50000 else 0</t>
  </si>
  <si>
    <t xml:space="preserve">Income-tax Act, 2025 – Section 393 (incometaxindia.gov.in) | https://www.incometaxindia.gov.in/w/section-393-6 | 
Income-tax Act, 2025 – Section 397 (incometaxindia.gov.in) | https://www.incometaxindia.gov.in/w/section-397-6 | 
TDSMAN – Reduction of TDS rates w.e.f. 1 Oct 2024 | https://blog.tdsman.com/2024/09/reduction-optimization-of-tds-rates-w-e-f-1st-october-24 | 
Income-tax Rules, 2026 – Rule 219 (incometaxindia.gov.in) | https://www.incometaxindia.gov.in/w/rule-219-1 | </t>
  </si>
  <si>
    <t xml:space="preserve">TDS-019</t>
  </si>
  <si>
    <t xml:space="preserve">Joint development agreement consideration (s.194-IC / s.393(1) Sl.3(ii))</t>
  </si>
  <si>
    <t xml:space="preserve">Verify 10% TDS on monetary consideration under JDA.</t>
  </si>
  <si>
    <t xml:space="preserve">IT Act 1961 s.194-IC; IT Act 2025 s.393(1) Table Sl.3(ii) (agreement under s.67(14)), Note 2.</t>
  </si>
  <si>
    <t xml:space="preserve">Any person paying non-kind consideration under specified agreement.</t>
  </si>
  <si>
    <t xml:space="preserve">payee_pan, cash_consideration</t>
  </si>
  <si>
    <t xml:space="preserve">1. TDS 10% on monetary consideration, no threshold. 2. If both 3(i) and 3(ii) apply, only 3(ii).</t>
  </si>
  <si>
    <t xml:space="preserve">TDS = 10% × cash consideration</t>
  </si>
  <si>
    <t xml:space="preserve">Nil threshold; 10%.</t>
  </si>
  <si>
    <t xml:space="preserve">₹40,00,000 -&gt; 4,00,000.</t>
  </si>
  <si>
    <t xml:space="preserve">40L -&gt; 4L</t>
  </si>
  <si>
    <t xml:space="preserve">in-kind only -&gt; 0</t>
  </si>
  <si>
    <t xml:space="preserve">194-IA applied instead.</t>
  </si>
  <si>
    <t xml:space="preserve">tds = round(0.10*cash)</t>
  </si>
  <si>
    <t xml:space="preserve">Income-tax Act, 2025 – Section 393 (incometaxindia.gov.in) | https://www.incometaxindia.gov.in/w/section-393-6 | 
India Briefing – TDS rates FY 2025-26 | https://www.india-briefing.com/news/a-guide-to-indias-tds-rates-for-fy-2025-26-36999.html/ | </t>
  </si>
  <si>
    <t xml:space="preserve">TDS-020</t>
  </si>
  <si>
    <t xml:space="preserve">TDS – Professional</t>
  </si>
  <si>
    <t xml:space="preserve">Fees for professional/technical services (s.194J / s.393(1) Sl.6(iii))</t>
  </si>
  <si>
    <t xml:space="preserve">Verify 194J(a) 2% and 194J(b) 10% with ₹50,000 threshold per category.</t>
  </si>
  <si>
    <t xml:space="preserve">IT Act 1961 s.194J (threshold ₹50,000 from 1-4-2025); IT Act 2025 s.393(1) Table Sl.6(iii)(a)/(b).</t>
  </si>
  <si>
    <t xml:space="preserve">Specified persons paying resident payees.</t>
  </si>
  <si>
    <t xml:space="preserve">Classification of service: technical/royalty-film/call-centre vs professional/royalty/non-compete/director fee.</t>
  </si>
  <si>
    <t xml:space="preserve">payee_pan, service_category, amount_fy_by_category, gst_amount, director_flag</t>
  </si>
  <si>
    <t xml:space="preserve">1. Classify: (a) fees for technical services (not professional), royalty for sale/distribution/exhibition of cinematographic films, call-centre payee -&gt; 2%; (b) professional fees, other royalty, non-compete sums (s.28(va)/26(2)(h)) -&gt; 10%. 2. Threshold ₹50,000 per category per FY (each type separately); director remuneration (non-salary) – nil threshold. 3. Base excl. GST. 4. No PAN 20%. 5. Individual/HUF paying for personal purposes – nil.</t>
  </si>
  <si>
    <t xml:space="preserve">TDS = (2% if cat_a else 10%) × base, if agg_cat &gt; 50000 or director</t>
  </si>
  <si>
    <t xml:space="preserve">₹50,000 per category; director fee nil; 2%/10%.</t>
  </si>
  <si>
    <t xml:space="preserve">Personal-purpose payments by individuals/HUF (s.393(4) Sl.9).</t>
  </si>
  <si>
    <t xml:space="preserve">Professional fee taxed at 2% -&gt; SHORT DEDUCTION; technical at 10% -&gt; excess.</t>
  </si>
  <si>
    <t xml:space="preserve">Expected TDS per payee per category.</t>
  </si>
  <si>
    <t xml:space="preserve">CA firm fee ₹80,000 + GST 14,400 -&gt; 10% × 80,000 = 8,000. IT support (technical) ₹60,000 -&gt; 2% = 1,200. Director sitting fee ₹20,000 -&gt; 10% = 2,000.</t>
  </si>
  <si>
    <t xml:space="preserve">professional 80,000 -&gt; 8,000</t>
  </si>
  <si>
    <t xml:space="preserve">professional 45,000 (only payment in FY) -&gt; 0</t>
  </si>
  <si>
    <t xml:space="preserve">Old ₹30,000 threshold; misclassification technical vs professional; TDS on GST.</t>
  </si>
  <si>
    <t xml:space="preserve">rate = 0.02 if cat in ('FTS','FILM_ROYALTY','CALL_CENTRE') else 0.10
if director or agg[cat] &gt; 50000: tds = round(rate*base)</t>
  </si>
  <si>
    <t xml:space="preserve">TDS-021</t>
  </si>
  <si>
    <t xml:space="preserve">TDS – Investment</t>
  </si>
  <si>
    <t xml:space="preserve">Income from mutual fund units (s.194K / s.393(1) Sl.4(i))</t>
  </si>
  <si>
    <t xml:space="preserve">Verify 10% TDS on MF income &gt; ₹10,000.</t>
  </si>
  <si>
    <t xml:space="preserve">IT Act 1961 s.194K (threshold ₹10,000 from 1-4-2025); IT Act 2025 s.393(1) Table Sl.4(i).</t>
  </si>
  <si>
    <t xml:space="preserve">Any person paying income on MF units to residents.</t>
  </si>
  <si>
    <t xml:space="preserve">unitholder_pan, income_amount_fy, capital_gain_flag</t>
  </si>
  <si>
    <t xml:space="preserve">1. Exclude capital gains (s.393(4) Sl.4). 2. Aggregate &gt; ₹10,000 -&gt; 10%.</t>
  </si>
  <si>
    <t xml:space="preserve">TDS = 10% × income</t>
  </si>
  <si>
    <t xml:space="preserve">₹10,000; 10%.</t>
  </si>
  <si>
    <t xml:space="preserve">Capital gains; Form 121.</t>
  </si>
  <si>
    <t xml:space="preserve">IDCW ₹30,000 -&gt; 3,000.</t>
  </si>
  <si>
    <t xml:space="preserve">30,000 -&gt; 3,000</t>
  </si>
  <si>
    <t xml:space="preserve">redemption gain -&gt; 0</t>
  </si>
  <si>
    <t xml:space="preserve">tds = round(0.10*inc) if inc &gt; 10000 else 0</t>
  </si>
  <si>
    <t xml:space="preserve">TDS-022</t>
  </si>
  <si>
    <t xml:space="preserve">Compensation on compulsory acquisition (s.194LA / s.393(1) Sl.3(iii))</t>
  </si>
  <si>
    <t xml:space="preserve">Verify 10% TDS on compensation &gt; ₹5 lakh.</t>
  </si>
  <si>
    <t xml:space="preserve">IT Act 1961 s.194LA (threshold ₹5 lakh from 1-4-2025); IT Act 2025 s.393(1) Table Sl.3(iii).</t>
  </si>
  <si>
    <t xml:space="preserve">Any person paying compensation/enhanced compensation on compulsory acquisition of immovable property (non-agricultural).</t>
  </si>
  <si>
    <t xml:space="preserve">payee_pan, compensation_amount, rfctlarr_exempt_flag</t>
  </si>
  <si>
    <t xml:space="preserve">1. Exempt if under s.96 RFCTLARR Act 2013. 2. If &gt; ₹5,00,000 -&gt; 10%.</t>
  </si>
  <si>
    <t xml:space="preserve">TDS = 10% × compensation</t>
  </si>
  <si>
    <t xml:space="preserve">₹5,00,000; 10%.</t>
  </si>
  <si>
    <t xml:space="preserve">RFCTLARR s.96 compensation.</t>
  </si>
  <si>
    <t xml:space="preserve">₹12,00,000 -&gt; 1,20,000.</t>
  </si>
  <si>
    <t xml:space="preserve">12L -&gt; 1.2L</t>
  </si>
  <si>
    <t xml:space="preserve">4.5L -&gt; 0</t>
  </si>
  <si>
    <t xml:space="preserve">Old ₹2.5 lakh threshold.</t>
  </si>
  <si>
    <t xml:space="preserve">tds = round(0.10*c) if c &gt; 500000 else 0</t>
  </si>
  <si>
    <t xml:space="preserve">TDS-023</t>
  </si>
  <si>
    <t xml:space="preserve">Business trust / investment fund / securitisation trust income (s.194LBA, 194LBB, 194LBC; brief)</t>
  </si>
  <si>
    <t xml:space="preserve">Flag pass-through vehicle distributions for TDS at 10% (residents) or specified NR rates.</t>
  </si>
  <si>
    <t xml:space="preserve">IT Act 1961 ss.194LBA, 194LBB, 194LBC; IT Act 2025 s.393(1) Sl.4(ii)-(iv) (residents) and s.393(2) Sl.6-9 (non-residents). Other NR sections 194LB/194LC/194LD -&gt; s.393(2) Sl.2-5.</t>
  </si>
  <si>
    <t xml:space="preserve">Business trusts (REIT/InvIT), AIFs, securitisation trusts.</t>
  </si>
  <si>
    <t xml:space="preserve">Distribution component breakup.</t>
  </si>
  <si>
    <t xml:space="preserve">unitholder_pan, residency, distribution_component, amount</t>
  </si>
  <si>
    <t xml:space="preserve">1. Resident: 10%, no threshold. 2. Non-resident: business trust Sch V Sl.3.B(a) 5%, 3.B(b) 10%, Sl.4 rates in force; investment fund/securitisation trust – rates in force. 3. Exempt components excluded (s.393(4) Sl.5, 13, 14).</t>
  </si>
  <si>
    <t xml:space="preserve">TDS = rate(component, residency) × amount</t>
  </si>
  <si>
    <t xml:space="preserve">Resident 10%; NR 5%/10%/rates in force.</t>
  </si>
  <si>
    <t xml:space="preserve">Exempt components.</t>
  </si>
  <si>
    <t xml:space="preserve">Deposit: 7th of following month (March: 30 April) – Rule 30 (1962) / Rule 218(2) (2026). Statement: 26Q/Form 140 – 31 Jul, 31 Oct, 31 Jan, 31 May. Certificate: 16A/Form 131 within 15 days of statement due date. NR -&gt; 27Q/Form 144.</t>
  </si>
  <si>
    <t xml:space="preserve">InvIT interest component ₹50,000 to resident -&gt; 5,000.</t>
  </si>
  <si>
    <t xml:space="preserve">resident 50,000 -&gt; 5,000</t>
  </si>
  <si>
    <t xml:space="preserve">exempt dividend component (SPV not opted) -&gt; 0</t>
  </si>
  <si>
    <t xml:space="preserve">tds = round(rate*amt)</t>
  </si>
  <si>
    <t xml:space="preserve">Income-tax Act, 2025 – Section 393 (incometaxindia.gov.in) | https://www.incometaxindia.gov.in/w/section-393-6 | 
India Briefing – TDS rates FY 2025-26 | https://www.india-briefing.com/news/a-guide-to-indias-tds-rates-for-fy-2025-26-36999.html/ | 
Income Tax Department – TDS Rates chart (AY 2026-27, as amended by Finance Act 2026) | https://incometaxindia.gov.in/w/tds-rates-1 | </t>
  </si>
  <si>
    <t xml:space="preserve">Brief coverage only.</t>
  </si>
  <si>
    <t xml:space="preserve">TDS-024</t>
  </si>
  <si>
    <t xml:space="preserve">Payments by individuals/HUF to contractors/professionals (s.194M / s.393(1) Sl.6(ii))</t>
  </si>
  <si>
    <t xml:space="preserve">Verify 2% TDS by non-audit individuals/HUF when aggregate &gt; ₹50 lakh.</t>
  </si>
  <si>
    <t xml:space="preserve">IT Act 1961 s.194M (2% from 1-10-2024); IT Act 2025 s.393(1) Table Sl.6(ii); Form 26QD -&gt; Form 141 (Rule 218(3)/219, from 1-10-2026).</t>
  </si>
  <si>
    <t xml:space="preserve">Individual/HUF not required to deduct under 194C/194H/194J.</t>
  </si>
  <si>
    <t xml:space="preserve">1 Oct 2024</t>
  </si>
  <si>
    <t xml:space="preserve">payer_pan, payee_pan, amount_fy</t>
  </si>
  <si>
    <t xml:space="preserve">1. Aggregate contract work + professional fees + commission in FY &gt; ₹50 lakh -&gt; 2%. 2. No TAN needed.</t>
  </si>
  <si>
    <t xml:space="preserve">TDS = 2% × amount</t>
  </si>
  <si>
    <t xml:space="preserve">₹50,00,000; 2%.</t>
  </si>
  <si>
    <t xml:space="preserve">30 days from end of month (26QD/141).</t>
  </si>
  <si>
    <t xml:space="preserve">Home renovation contract ₹60 lakh -&gt; 1,20,000.</t>
  </si>
  <si>
    <t xml:space="preserve">60L -&gt; 1.2L</t>
  </si>
  <si>
    <t xml:space="preserve">45L -&gt; 0</t>
  </si>
  <si>
    <t xml:space="preserve">tds = round(0.02*amt) if agg &gt; 5000000 else 0</t>
  </si>
  <si>
    <t xml:space="preserve">Income-tax Act, 2025 – Section 393 (incometaxindia.gov.in) | https://www.incometaxindia.gov.in/w/section-393-6 | 
TDSMAN – Reduction of TDS rates w.e.f. 1 Oct 2024 | https://blog.tdsman.com/2024/09/reduction-optimization-of-tds-rates-w-e-f-1st-october-24 | 
Income-tax Rules, 2026 – Rule 218 (incometaxindia.gov.in) | https://www.incometaxindia.gov.in/w/rule-218-1 | 
Income-tax Rules, 2026 – Rule 219 (incometaxindia.gov.in) | https://www.incometaxindia.gov.in/w/rule-219-1 | </t>
  </si>
  <si>
    <t xml:space="preserve">TDS-025</t>
  </si>
  <si>
    <t xml:space="preserve">TDS – Cash</t>
  </si>
  <si>
    <t xml:space="preserve">Cash withdrawal (s.194N / s.393(3) Sl.5)</t>
  </si>
  <si>
    <t xml:space="preserve">Verify TDS by banks on large cash withdrawals and reconcile deductee 26AS.</t>
  </si>
  <si>
    <t xml:space="preserve">IT Act 1961 s.194N incl. non-filer proviso; IT Act 2025 s.393(3) Table Sl.5; s.393(4) Sl.18.</t>
  </si>
  <si>
    <t xml:space="preserve">Banking company, co-operative bank, post office paying cash.</t>
  </si>
  <si>
    <t xml:space="preserve">FY 2025-26 (1961); TY 2026-27 (2025)</t>
  </si>
  <si>
    <t xml:space="preserve">Aggregate cash withdrawals per account holder across accounts with that bank; ITR filing status (1961 only).</t>
  </si>
  <si>
    <t xml:space="preserve">customer_pan, customer_type, cash_withdrawn_fy, itr_filed_last_3_years</t>
  </si>
  <si>
    <t xml:space="preserve">1. Threshold ₹1 crore (₹3 crore co-operative society). 2. TDS 2% on amount exceeding threshold. 3. FY 2025-26 only: if non-filer for 3 preceding AYs: 2% on amount &gt; ₹20 lakh up to ₹1 cr (₹3 cr co-op), 5% above. 4. TY 2026-27: non-filer proviso not seen in s.393(3) Sl.5 – treat as not applicable unless CA confirms.</t>
  </si>
  <si>
    <t xml:space="preserve">TDS = 2% × max(0, cash – threshold)</t>
  </si>
  <si>
    <t xml:space="preserve">₹1 cr / ₹3 cr (co-op); 2%; non-filer (FY 25-26) 2%/5% from ₹20 lakh.</t>
  </si>
  <si>
    <t xml:space="preserve">Govt, banks, business correspondents, white-label ATM operators, notified persons.</t>
  </si>
  <si>
    <t xml:space="preserve">Company withdraws ₹1,20,00,000 in FY: TDS = 2% × 20,00,000 = ₹40,000. FY 2025-26 non-filer withdrawing ₹50,00,000: 2% × 30,00,000 = ₹60,000.</t>
  </si>
  <si>
    <t xml:space="preserve">1.2 cr -&gt; 40,000</t>
  </si>
  <si>
    <t xml:space="preserve">co-op society 2.5 cr -&gt; 0</t>
  </si>
  <si>
    <t xml:space="preserve">Software applying non-filer rates in TY 2026-27.</t>
  </si>
  <si>
    <t xml:space="preserve">th = 30000000 if coop else 10000000
tds = round(0.02*max(0, cash-th))</t>
  </si>
  <si>
    <t xml:space="preserve">Income-tax Act, 2025 – Section 393 (incometaxindia.gov.in) | https://www.incometaxindia.gov.in/w/section-393-6 | 
Income Tax Dept tutorial – Section 194N | https://incometaxindia.gov.in/Tutorials/52.Section-194N.pdf | 
Income Tax Department – TDS Rates chart (AY 2026-27, as amended by Finance Act 2026) | https://incometaxindia.gov.in/w/tds-rates-1 | 
TaxHeal – TDS on cash withdrawal under new Rules 2026 | https://www.taxheal.com/?p=128626 | </t>
  </si>
  <si>
    <t xml:space="preserve">Official s.393 summary does not show non-filer proviso; one secondary blog wrongly says no equivalent to 194N. Whether 2% applies on excess or entire amount under new Act: secondary source says excess.</t>
  </si>
  <si>
    <t xml:space="preserve">TDS-026</t>
  </si>
  <si>
    <t xml:space="preserve">TDS – E-commerce</t>
  </si>
  <si>
    <t xml:space="preserve">E-commerce operator (s.194-O / s.393(1) Sl.8(v))</t>
  </si>
  <si>
    <t xml:space="preserve">Verify 0.1% TDS by e-commerce operators on gross sales.</t>
  </si>
  <si>
    <t xml:space="preserve">IT Act 1961 s.194-O (0.1% from 1-10-2024); IT Act 2025 s.393(1) Table Sl.8(v), Notes 3-4; s.393(4) Sl.11; s.397(2) 5% no-PAN.</t>
  </si>
  <si>
    <t xml:space="preserve">E-commerce operators facilitating sale of goods/services of e-commerce participants.</t>
  </si>
  <si>
    <t xml:space="preserve">participant_pan, gross_sales, participant_type</t>
  </si>
  <si>
    <t xml:space="preserve">1. Gross amount of sales/services incl. payments made directly by buyer. 2. Individual/HUF participant with gross ≤ ₹5 lakh and PAN/Aadhaar furnished -&gt; nil. 3. TDS 0.1%. 4. No PAN -&gt; 5%. 5. Excludes other TDS sections on the same transaction.</t>
  </si>
  <si>
    <t xml:space="preserve">TDS = 0.1% × gross_amount</t>
  </si>
  <si>
    <t xml:space="preserve">0.1%; ₹5 lakh (ind/HUF exemption); no PAN 5%.</t>
  </si>
  <si>
    <t xml:space="preserve">s.393(4) Sl.11.</t>
  </si>
  <si>
    <t xml:space="preserve">Gross sales ₹80,00,000 -&gt; 8,000.</t>
  </si>
  <si>
    <t xml:space="preserve">80L -&gt; 8,000</t>
  </si>
  <si>
    <t xml:space="preserve">individual 4L with PAN -&gt; 0</t>
  </si>
  <si>
    <t xml:space="preserve">1% old rate.</t>
  </si>
  <si>
    <t xml:space="preserve">tds = round(0.001*gross)</t>
  </si>
  <si>
    <t xml:space="preserve">Income-tax Act, 2025 – Section 393 (incometaxindia.gov.in) | https://www.incometaxindia.gov.in/w/section-393-6 | 
Income-tax Act, 2025 – Section 397 (incometaxindia.gov.in) | https://www.incometaxindia.gov.in/w/section-397-6 | 
TDSMAN – Reduction of TDS rates w.e.f. 1 Oct 2024 | https://blog.tdsman.com/2024/09/reduction-optimization-of-tds-rates-w-e-f-1st-october-24 | </t>
  </si>
  <si>
    <t xml:space="preserve">TDS-027</t>
  </si>
  <si>
    <t xml:space="preserve">TDS – Senior citizen</t>
  </si>
  <si>
    <t xml:space="preserve">Specified bank TDS for senior citizens 75+ (s.194P / s.393(1) Sl.8(iii))</t>
  </si>
  <si>
    <t xml:space="preserve">Check that specified bank computes TDS on total income of specified senior citizen.</t>
  </si>
  <si>
    <t xml:space="preserve">IT Act 1961 s.194P; IT Act 2025 s.393(1) Table Sl.8(iii), Note 5; Form 130 Annexure II.</t>
  </si>
  <si>
    <t xml:space="preserve">Resident senior citizen ≥75 with only pension and interest from same specified bank.</t>
  </si>
  <si>
    <t xml:space="preserve">Declaration from senior citizen.</t>
  </si>
  <si>
    <t xml:space="preserve">pan, pension, interest, deductions, rebate</t>
  </si>
  <si>
    <t xml:space="preserve">1. Compute total income after Chapter VIA deductions &amp; rebate; 2. Tax at rates in force; 3. Overrides other TDS sections.</t>
  </si>
  <si>
    <t xml:space="preserve">TDS = tax_on(total_income)</t>
  </si>
  <si>
    <t xml:space="preserve">Rates in force.</t>
  </si>
  <si>
    <t xml:space="preserve">Reported in 24Q/Form 138; certificate Form 16/130.</t>
  </si>
  <si>
    <t xml:space="preserve">Pension 6,00,000 + interest 2,00,000, new regime FY25-26: 8,00,000 – 75,000 SD (if applicable) -&gt; tax within rebate -&gt; nil.</t>
  </si>
  <si>
    <t xml:space="preserve">tds = slab_tax(ti)</t>
  </si>
  <si>
    <t xml:space="preserve">Income-tax Act, 2025 – Section 393 (incometaxindia.gov.in) | https://www.incometaxindia.gov.in/w/section-393-6 | 
CBDT FAQs – Form No. 130 (erstwhile Form 16) | https://www.incometaxindia.gov.in/documents/d/guest/form-130-faqs | 
Income Tax Department – TDS Rates chart (AY 2026-27, as amended by Finance Act 2026) | https://incometaxindia.gov.in/w/tds-rates-1 | </t>
  </si>
  <si>
    <t xml:space="preserve">Brief; example uses unverified slab assumptions.</t>
  </si>
  <si>
    <t xml:space="preserve">TDS-028</t>
  </si>
  <si>
    <t xml:space="preserve">TDS – Purchase of goods</t>
  </si>
  <si>
    <t xml:space="preserve">Purchase of goods (s.194Q / s.393(1) Sl.8(ii))</t>
  </si>
  <si>
    <t xml:space="preserve">Verify 0.1% TDS by buyer on purchases from a seller exceeding ₹50 lakh in FY.</t>
  </si>
  <si>
    <t xml:space="preserve">IT Act 1961 s.194Q (buyer = turnover &gt; ₹10 crore in preceding FY); IT Act 2025 s.393(1) Table Sl.8(ii), Note 1; s.397(2) 5% no-PAN. 206C(1H) omitted from 1-4-2025 so 194Q is the only provision for such goods.</t>
  </si>
  <si>
    <t xml:space="preserve">Buyer whose total sales/turnover exceeded ₹10 crore in preceding FY, purchasing from resident seller.</t>
  </si>
  <si>
    <t xml:space="preserve">1 July 2021; 206C(1H) overlap removed 1 April 2025</t>
  </si>
  <si>
    <t xml:space="preserve">Buyer prior-year turnover; seller-wise cumulative purchases; GST treatment.</t>
  </si>
  <si>
    <t xml:space="preserve">buyer_prev_year_turnover, seller_pan, purchase_value_cum_fy, gst_amount, credit_or_payment_date, other_tds_applicable</t>
  </si>
  <si>
    <t xml:space="preserve">1. If buyer turnover ≤ ₹10 crore in preceding FY -&gt; not applicable. 2. Cumulative purchases from seller in FY; TDS only on amount exceeding ₹50 lakh. 3. Rate 0.1%; no PAN 5%. 4. Not applicable where tax deductible under any other provision. 5. Time: earlier of credit or payment (advance payments counted).</t>
  </si>
  <si>
    <t xml:space="preserve">TDS = 0.1% × max(0, cum_purchases – 50,00,000)</t>
  </si>
  <si>
    <t xml:space="preserve">₹50 lakh; turnover ₹10 cr; 0.1%; no-PAN 5%.</t>
  </si>
  <si>
    <t xml:space="preserve">Transactions covered by other TDS/TCS sections; non-resident seller.</t>
  </si>
  <si>
    <t xml:space="preserve">Cum &gt; 50L and no TDS -&gt; High; TDS on first 50L -&gt; excess.</t>
  </si>
  <si>
    <t xml:space="preserve">Expected TDS per seller.</t>
  </si>
  <si>
    <t xml:space="preserve">Buyer turnover FY 2024-25 ₹15 cr. Purchases from Seller X: ₹30L (Jun), ₹40L (Sep). Cum 70L; excess 20L -&gt; TDS 0.1% × 20,00,000 = ₹2,000 in Sep.</t>
  </si>
  <si>
    <t xml:space="preserve">cum 70L -&gt; 2,000</t>
  </si>
  <si>
    <t xml:space="preserve">buyer turnover 9 cr -&gt; 0</t>
  </si>
  <si>
    <t xml:space="preserve">Seller still collecting 206C(1H) TCS after 1-4-2025 (omitted); GST inclusion inconsistent.</t>
  </si>
  <si>
    <t xml:space="preserve">if prev_turnover &gt; 1e8:
    excess = max(0, cum - 5e6) - already_taxed
    tds = round(0.001*excess)</t>
  </si>
  <si>
    <t xml:space="preserve">Income-tax Act, 2025 – Section 393 (incometaxindia.gov.in) | https://www.incometaxindia.gov.in/w/section-393-6 | 
Income-tax Act, 2025 – Section 397 (incometaxindia.gov.in) | https://www.incometaxindia.gov.in/w/section-397-6 | 
RSM India Newsflash – Changes in TDS/TCS w.e.f. 1 April 2025 | https://www.rsm.global/india/sites/default/files/media/publications/2025/RSM%20India%20Newsflash%20-%20Overview%20of%20Changes%20in%20TDS%20and%20TCS%20provisions%20w.e.f.%201st%20April%202025.pdf | 
India Briefing – TDS rates FY 2025-26 | https://www.india-briefing.com/news/a-guide-to-indias-tds-rates-for-fy-2025-26-36999.html/ | </t>
  </si>
  <si>
    <t xml:space="preserve">₹10 crore buyer-turnover condition is from 1961 Act; definition of 'buyer' in 2025 Act not opened. GST: CBDT Circular 13/2021 (TDS on amount excluding GST where credited at that amount) known but not opened – flag.</t>
  </si>
  <si>
    <t xml:space="preserve">TDS-029</t>
  </si>
  <si>
    <t xml:space="preserve">TDS – Perquisites</t>
  </si>
  <si>
    <t xml:space="preserve">Business perquisites/benefits (s.194R / s.393(1) Sl.8(iv))</t>
  </si>
  <si>
    <t xml:space="preserve">Verify 10% TDS on benefits &gt; ₹20,000 provided to resident business payees.</t>
  </si>
  <si>
    <t xml:space="preserve">IT Act 1961 s.194R; IT Act 2025 s.393(1) Table Sl.8(iv), Notes 2, 6.</t>
  </si>
  <si>
    <t xml:space="preserve">Specified persons providing benefit/perquisite to residents arising from business/profession.</t>
  </si>
  <si>
    <t xml:space="preserve">FMV of benefits.</t>
  </si>
  <si>
    <t xml:space="preserve">recipient_pan, benefit_value_fy, in_kind_flag</t>
  </si>
  <si>
    <t xml:space="preserve">1. Aggregate value &gt; ₹20,000 -&gt; 10% of value. 2. In-kind: ensure tax paid before release.</t>
  </si>
  <si>
    <t xml:space="preserve">TDS = 10% × value</t>
  </si>
  <si>
    <t xml:space="preserve">₹20,000; 10%.</t>
  </si>
  <si>
    <t xml:space="preserve">Dealer incentive trip worth ₹1,50,000 -&gt; 15,000.</t>
  </si>
  <si>
    <t xml:space="preserve">1.5L -&gt; 15,000</t>
  </si>
  <si>
    <t xml:space="preserve">tds = round(0.10*v) if v &gt; 20000 else 0</t>
  </si>
  <si>
    <t xml:space="preserve">TDS-030</t>
  </si>
  <si>
    <t xml:space="preserve">TDS – VDA</t>
  </si>
  <si>
    <t xml:space="preserve">Virtual digital asset transfer (s.194S / s.393(1) Sl.8(vi))</t>
  </si>
  <si>
    <t xml:space="preserve">Verify 1% TDS on VDA consideration.</t>
  </si>
  <si>
    <t xml:space="preserve">IT Act 1961 s.194S; IT Act 2025 s.393(1) Table Sl.8(vi), s.393(4) Sl.12; Form 26QE -&gt; Form 141.</t>
  </si>
  <si>
    <t xml:space="preserve">Any person paying consideration for VDA transfer to resident.</t>
  </si>
  <si>
    <t xml:space="preserve">payer_type, consideration_fy, seller_pan</t>
  </si>
  <si>
    <t xml:space="preserve">1. Threshold: ₹50,000 if payer is specified individual/HUF; ₹10,000 others. 2. TDS 1%.</t>
  </si>
  <si>
    <t xml:space="preserve">TDS = 1% × consideration</t>
  </si>
  <si>
    <t xml:space="preserve">₹50,000 / ₹10,000; 1%.</t>
  </si>
  <si>
    <t xml:space="preserve">30 days from month end (Form 26QE/141) for specified persons; else monthly.</t>
  </si>
  <si>
    <t xml:space="preserve">₹3,00,000 -&gt; 3,000.</t>
  </si>
  <si>
    <t xml:space="preserve">3L -&gt; 3,000</t>
  </si>
  <si>
    <t xml:space="preserve">specified person 40,000 -&gt; 0</t>
  </si>
  <si>
    <t xml:space="preserve">tds = round(0.01*c) if c &gt; th else 0</t>
  </si>
  <si>
    <t xml:space="preserve">Income-tax Act, 2025 – Section 393 (incometaxindia.gov.in) | https://www.incometaxindia.gov.in/w/section-393-6 | 
Income Tax Department – TDS Rates chart (AY 2026-27, as amended by Finance Act 2026) | https://incometaxindia.gov.in/w/tds-rates-1 | 
Income-tax Rules, 2026 – Rule 219 (incometaxindia.gov.in) | https://www.incometaxindia.gov.in/w/rule-219-1 | </t>
  </si>
  <si>
    <t xml:space="preserve">India Briefing quotes ₹20,000 for specified persons – conflicts with official ₹50,000; official preferred.</t>
  </si>
  <si>
    <t xml:space="preserve">TDS-031</t>
  </si>
  <si>
    <t xml:space="preserve">TDS – Partners</t>
  </si>
  <si>
    <t xml:space="preserve">Payments by firm to partners (s.194T / s.393(3) Sl.7) – NEW</t>
  </si>
  <si>
    <t xml:space="preserve">Verify 10% TDS on partner salary, remuneration, commission, bonus, interest &gt; ₹20,000.</t>
  </si>
  <si>
    <t xml:space="preserve">IT Act 1961 s.194T (inserted by Finance (No.2) Act 2024, effective 1-4-2025); IT Act 2025 s.393(3) Table Sl.7.</t>
  </si>
  <si>
    <t xml:space="preserve">Firms (incl. LLPs – CA to confirm) paying/crediting partners, including credit to capital account.</t>
  </si>
  <si>
    <t xml:space="preserve">Partner-wise ledger.</t>
  </si>
  <si>
    <t xml:space="preserve">partner_pan, salary, remuneration, commission, bonus, interest_on_capital, credit_date</t>
  </si>
  <si>
    <t xml:space="preserve">1. Aggregate all specified payments to a partner in FY. 2. If &gt; ₹20,000 -&gt; 10% of entire aggregate at earlier of credit (incl. capital account) or payment. 3. Interest to partner removed from 194A scope.</t>
  </si>
  <si>
    <t xml:space="preserve">TDS = 10% × aggregate</t>
  </si>
  <si>
    <t xml:space="preserve">Drawings and share of profit (exempt) not covered.</t>
  </si>
  <si>
    <t xml:space="preserve">Deposit: 7th of following month (March: 30 April) – Rule 30 (1962) / Rule 218(2) (2026). Statement: 26Q/Form 140 – 31 Jul, 31 Oct, 31 Jan, 31 May. Certificate: 16A/Form 131 within 15 days of statement due date. Year-end credit on 31 March -&gt; deposit by 30 April.</t>
  </si>
  <si>
    <t xml:space="preserve">Partner interest/remuneration credited on 31 March without TDS -&gt; High.</t>
  </si>
  <si>
    <t xml:space="preserve">Expected TDS per partner.</t>
  </si>
  <si>
    <t xml:space="preserve">Partner remuneration 3,00,000 + interest on capital 1,00,000 = 4,00,000 &gt; 20,000 -&gt; TDS 40,000.</t>
  </si>
  <si>
    <t xml:space="preserve">4L -&gt; 40,000</t>
  </si>
  <si>
    <t xml:space="preserve">profit share 10L -&gt; 0</t>
  </si>
  <si>
    <t xml:space="preserve">Firms unaware of new section; deducting under 194A/194J.</t>
  </si>
  <si>
    <t xml:space="preserve">agg = sum(p.items) ; tds = round(0.10*agg) if agg &gt; 20000 else 0</t>
  </si>
  <si>
    <t xml:space="preserve">Income-tax Act, 2025 – Section 393 (incometaxindia.gov.in) | https://www.incometaxindia.gov.in/w/section-393-6 | 
Income Tax Department – TDS Rates chart (AY 2026-27, as amended by Finance Act 2026) | https://incometaxindia.gov.in/w/tds-rates-1 | 
RSM India Newsflash – Changes in TDS/TCS w.e.f. 1 April 2025 | https://www.rsm.global/india/sites/default/files/media/publications/2025/RSM%20India%20Newsflash%20-%20Overview%20of%20Changes%20in%20TDS%20and%20TCS%20provisions%20w.e.f.%201st%20April%202025.pdf | 
India Briefing – TDS rates FY 2025-26 | https://www.india-briefing.com/news/a-guide-to-indias-tds-rates-for-fy-2025-26-36999.html/ | </t>
  </si>
  <si>
    <t xml:space="preserve">TDS-032</t>
  </si>
  <si>
    <t xml:space="preserve">TDS – Non-resident</t>
  </si>
  <si>
    <t xml:space="preserve">Payments to non-residents (s.195 / s.393(2) Sl.17) – brief</t>
  </si>
  <si>
    <t xml:space="preserve">Flag NR payments for TDS at rates in force/DTAA rate and Form 15CA/CB process.</t>
  </si>
  <si>
    <t xml:space="preserve">IT Act 1961 s.195, 195(6) Form 15CA/15CB (Rule 37BB); IT Act 2025 s.393(2) Table Sl.17 &amp; Notes; s.397(3)(d) information on payments to NR; s.395(2) determination of chargeable proportion. Form 15CB reportedly -&gt; Form 146 (secondary; not verified).</t>
  </si>
  <si>
    <t xml:space="preserve">Any person paying NR (not company) or foreign company any sum chargeable (other than salary).</t>
  </si>
  <si>
    <t xml:space="preserve">TRC, Form 10F, DTAA article, PE status.</t>
  </si>
  <si>
    <t xml:space="preserve">payee_country, trc_flag, form_10f_flag, nature, amount, dtaa_rate, pan_flag</t>
  </si>
  <si>
    <t xml:space="preserve">1. Determine chargeability. 2. Rate = rates in force (+surcharge+cess) or DTAA rate if TRC/10F available (lower). 3. No PAN: s.397(2) 20% – except NR excluded cases (long-term bonds; prescribed payments e.g. Rule 217 with TRC etc.). 4. File 27Q/Form 144; information in Form 15CA/CB or new forms.</t>
  </si>
  <si>
    <t xml:space="preserve">TDS = min(rate_in_force, dtaa_rate if eligible) × amount</t>
  </si>
  <si>
    <t xml:space="preserve">No threshold. Per official chart: other income NR non-company 30%, foreign co 35%; LTCG 12.5%; STCG 111A 20%; dividend 20%; interest on FC borrowing 20%; royalty/FTS 20%.</t>
  </si>
  <si>
    <t xml:space="preserve">Not chargeable sums; s.395(2) order.</t>
  </si>
  <si>
    <t xml:space="preserve">Deposit: 7th of following month (March: 30 April) – Rule 30 (1962) / Rule 218(2) (2026). Statement: 26Q/Form 140 – 31 Jul, 31 Oct, 31 Jan, 31 May. Certificate: 16A/Form 131 within 15 days of statement due date. Statement 27Q/Form 144.</t>
  </si>
  <si>
    <t xml:space="preserve">DTAA rate applied without TRC/10F -&gt; High.</t>
  </si>
  <si>
    <t xml:space="preserve">Royalty USD to UK co ₹10,00,000; DTAA 15% vs domestic 20%+SC+cess -&gt; 15% = 1,50,000 with TRC.</t>
  </si>
  <si>
    <t xml:space="preserve">no TRC -&gt; domestic rate</t>
  </si>
  <si>
    <t xml:space="preserve">rate = min(dom, dtaa) if trc and f10f else dom</t>
  </si>
  <si>
    <t xml:space="preserve">Income-tax Act, 2025 – Section 393 (incometaxindia.gov.in) | https://www.incometaxindia.gov.in/w/section-393-6 | 
CBDT FAQs on higher rate of TDS under section 397 | https://www.incometaxindia.gov.in/documents/d/guest/faqs-on-higher-rate-of-tds-under-section-397 | 
Income Tax Department – TDS Rates chart (AY 2026-27, as amended by Finance Act 2026) | https://incometaxindia.gov.in/w/tds-rates-1 | </t>
  </si>
  <si>
    <t xml:space="preserve">Brief only. Form 15CA/CB replacement under 2026 Rules not verified.</t>
  </si>
  <si>
    <t xml:space="preserve">TDS-033</t>
  </si>
  <si>
    <t xml:space="preserve">TDS – PAN</t>
  </si>
  <si>
    <t xml:space="preserve">Higher rate where PAN not furnished/invalid (s.206AA / s.397(2))</t>
  </si>
  <si>
    <t xml:space="preserve">Recompute expected TDS at higher rate for missing/invalid PAN and flag short deduction.</t>
  </si>
  <si>
    <t xml:space="preserve">IT Act 1961 s.206AA; IT Act 2025 s.397(2)(b)-(f) (merges 206AA and 206CC), CBDT FAQs on s.397.</t>
  </si>
  <si>
    <t xml:space="preserve">All deductees except excluded NR cases.</t>
  </si>
  <si>
    <t xml:space="preserve">1 April 2026 (s.397); s.206AA for earlier</t>
  </si>
  <si>
    <t xml:space="preserve">PAN validation status (valid/invalid/inoperative – Aadhaar linkage).</t>
  </si>
  <si>
    <t xml:space="preserve">deductee_pan, pan_status, section, normal_rate, amount</t>
  </si>
  <si>
    <t xml:space="preserve">1. If PAN missing/invalid/not belonging to deductee -&gt; higher rate. 2. Rate = max(section rate, rates in force, 20%) – but 5% for 194O/194Q (393(1) Sl.8(v)/8(ii)). 3. 194-IB/Sl.2(i) rent: cap at last month's rent. 4. Declaration (15G/15H/121) without PAN invalid. 5. Salary: higher of average rate and 20%.</t>
  </si>
  <si>
    <t xml:space="preserve">rate = max(normal_rate, rate_in_force, 0.05 if sec in ('194O','194Q') else 0.20)</t>
  </si>
  <si>
    <t xml:space="preserve">20%; 5% for 194O/194Q.</t>
  </si>
  <si>
    <t xml:space="preserve">NR interest on long-term bonds (393(2) Sl.2-4); prescribed NR payments.</t>
  </si>
  <si>
    <t xml:space="preserve">PAN invalid/'PANNOTAVBL' and rate &lt; 20% -&gt; SHORT DEDUCTION (TRACES default).</t>
  </si>
  <si>
    <t xml:space="preserve">Expected rate, short deduction amount.</t>
  </si>
  <si>
    <t xml:space="preserve">194J professional fee ₹1,00,000, no PAN: 20% = 20,000; deducted 10,000 -&gt; short deduction 10,000; interest @1% p.m. from deductible date.</t>
  </si>
  <si>
    <t xml:space="preserve">194C ind no PAN 50,000 -&gt; 10,000</t>
  </si>
  <si>
    <t xml:space="preserve">194Q no PAN excess 10L -&gt; 5% = 50,000 (not 20%)</t>
  </si>
  <si>
    <t xml:space="preserve">Inoperative PAN treatment (CBDT circulars on PAN-Aadhaar linking) – not verified in this research.</t>
  </si>
  <si>
    <t xml:space="preserve">if not pan_valid: rate = max(rate, 0.05 if sec in ('194O','194Q') else 0.20)</t>
  </si>
  <si>
    <t xml:space="preserve">Income-tax Act, 2025 – Section 397 (incometaxindia.gov.in) | https://www.incometaxindia.gov.in/w/section-397-6 | 
CBDT FAQs on higher rate of TDS under section 397 | https://www.incometaxindia.gov.in/documents/d/guest/faqs-on-higher-rate-of-tds-under-section-397 | 
Income Tax Dept – Higher deduction of TDS in certain cases (s.206AA and s.206AB) | https://www.incometaxindia.gov.in/w/higher-deduction-of-tax-at-source-in-certain-cases-section-206aa-and-section-206ab- | 
TDSMAN – Higher rate for non-furnishing of PAN s.397(2) | https://blog.tdsman.com/2026/05/higher-rate-of-tds-for-non-furnishing-of-pan-section-3972-206aa-206cc/ | </t>
  </si>
  <si>
    <t xml:space="preserve">Inoperative PAN consequences not researched – CA to confirm.</t>
  </si>
  <si>
    <t xml:space="preserve">TDS-034</t>
  </si>
  <si>
    <t xml:space="preserve">s.206AB / s.206CCA non-filer higher rate – OMITTED</t>
  </si>
  <si>
    <t xml:space="preserve">Ensure software no longer applies twice-rate/5% for non-filers from 1-4-2025; recompute only for earlier periods.</t>
  </si>
  <si>
    <t xml:space="preserve">IT Act 1961 s.206AB and s.206CCA omitted by Finance Act 2025 w.e.f. 1-4-2025 (official 206AA/206AB page notes omission). No equivalent in s.397 of 2025 Act.</t>
  </si>
  <si>
    <t xml:space="preserve">Transactions on/after 1 April 2025.</t>
  </si>
  <si>
    <t xml:space="preserve">transaction_date, specified_person_flag</t>
  </si>
  <si>
    <t xml:space="preserve">1. If transaction_date ≥ 1-4-2025 -&gt; ignore 206AB/206CCA; flag any excess deduction attributable to them. 2. For FY 2024-25 and earlier -&gt; apply 206AB (higher of twice section rate, twice rates in force, 5%).</t>
  </si>
  <si>
    <t xml:space="preserve">Omitted.</t>
  </si>
  <si>
    <t xml:space="preserve">Twice-rate deduction after 1-4-2025 -&gt; EXCESS (Low).</t>
  </si>
  <si>
    <t xml:space="preserve">194C 2% deducted at 5% under 206AB on 10-05-2025 invoice ₹1,00,000 -&gt; excess ₹3,000.</t>
  </si>
  <si>
    <t xml:space="preserve">2025-05-10, 206AB applied -&gt; flag</t>
  </si>
  <si>
    <t xml:space="preserve">2025-03-15 non-filer -&gt; 206AB applies</t>
  </si>
  <si>
    <t xml:space="preserve">ERP still running 'compliance check for 206AB' utility.</t>
  </si>
  <si>
    <t xml:space="preserve">if d &gt;= date(2025,4,1): sec206AB = False</t>
  </si>
  <si>
    <t xml:space="preserve">Income Tax Dept – Higher deduction of TDS in certain cases (s.206AA and s.206AB) | https://www.incometaxindia.gov.in/w/higher-deduction-of-tax-at-source-in-certain-cases-section-206aa-and-section-206ab- | 
TaxHeal – Removal of higher TDS/TCS for non-filers (Finance Bill 2025) | https://www.taxheal.com/?p=98720 | 
RSM India Newsflash – Changes in TDS/TCS w.e.f. 1 April 2025 | https://www.rsm.global/india/sites/default/files/media/publications/2025/RSM%20India%20Newsflash%20-%20Overview%20of%20Changes%20in%20TDS%20and%20TCS%20provisions%20w.e.f.%201st%20April%202025.pdf | 
TDSMAN – TDS/TCS changes w.e.f. 1 April 2025 | https://blog.tdsman.com/2025/03/tds-tcs-changes-w-e-f-1st-april-2025/ | 
Memorandum explaining provisions of Finance Bill 2025 (indiabudget.gov.in) | https://www.indiabudget.gov.in/budget2025-26/doc/memo.pdf | </t>
  </si>
  <si>
    <t xml:space="preserve">[VERIFICATION 13-10-2026] Reconfirmed: Budget 2025 Memorandum (official) – ss.206AB and 206CCA omitted w.e.f. 01-04-2025.</t>
  </si>
  <si>
    <t xml:space="preserve">TDS-035</t>
  </si>
  <si>
    <t xml:space="preserve">TDS – Process</t>
  </si>
  <si>
    <t xml:space="preserve">Due dates for deposit of TDS (Rule 30 / Rule 218)</t>
  </si>
  <si>
    <t xml:space="preserve">Compute deposit due date per deduction and flag late payment.</t>
  </si>
  <si>
    <t xml:space="preserve">IT Rules 1962 Rule 30 (TDS), Rule 37CA (TCS); IT Rules 2026 Rule 218 (TDS &amp; TCS) incl. 218(3) Form 141 (inserted w.e.f. 1-10-2026), 218(4) quarterly.</t>
  </si>
  <si>
    <t xml:space="preserve">FY 2025-26 (Rule 30); TY 2026-27 (Rule 218)</t>
  </si>
  <si>
    <t xml:space="preserve">Deduction date, deductor type (govt/non-govt), section.</t>
  </si>
  <si>
    <t xml:space="preserve">deductor_type, deduction_date, credit_date, section, challan_date, challan_mode (book_entry/challan)</t>
  </si>
  <si>
    <t xml:space="preserve">1. Govt without challan (book entry) -&gt; same day. 2. Govt with challan -&gt; 7th of next month. 3. Non-govt: month of deduction = March -&gt; 30 April; else 7th of next month. 4. Specified payments (194-IA/IB/M/S; new Act Sl.2(i), 3(i), 6(ii), 8(vi), 393(2) Sl.17 by ind/HUF) -&gt; 30 days from end of month with challan-cum-statement. 5. AO-approved quarterly (salary/interest/commission): 7 Jul, 7 Oct, 7 Jan, 30 Apr. 6. If due date is a holiday – no statutory extension found; treat as implementation choice.</t>
  </si>
  <si>
    <t xml:space="preserve">due = date(y,m+1,7) unless m==3 -&gt; date(y,4,30)</t>
  </si>
  <si>
    <t xml:space="preserve">7th of next month; 30 April for March; govt book entry same day; 30 days for 141/26QB-QE.</t>
  </si>
  <si>
    <t xml:space="preserve">challan_date &gt; due -&gt; LATE PAYMENT (interest 1.5% p.m. from deduction date).</t>
  </si>
  <si>
    <t xml:space="preserve">due_date, days_late, flag.</t>
  </si>
  <si>
    <t xml:space="preserve">Deducted 26-06-2026 -&gt; due 07-07-2026. Deducted 15-03-2026 -&gt; due 30-04-2026. 194-IA deducted 10-08-2026 -&gt; due 30-09-2026.</t>
  </si>
  <si>
    <t xml:space="preserve">2026-06-26 -&gt; 2026-07-07</t>
  </si>
  <si>
    <t xml:space="preserve">March deduction -&gt; 30 April not 7 April</t>
  </si>
  <si>
    <t xml:space="preserve">Challan date = bank tender date vs realisation date.</t>
  </si>
  <si>
    <t xml:space="preserve">def due(d, sec, govt, book):
    if govt and book: return d
    if sec in SPECIAL30: return end_of_month(d)+timedelta(30)
    return date(d.year,4,30) if d.month==3 else first_of_next(d).replace(day=7)</t>
  </si>
  <si>
    <t xml:space="preserve">Income-tax Rules, 2026 – Rule 218 (incometaxindia.gov.in) | https://www.incometaxindia.gov.in/w/rule-218-1 | 
TaxHeal – Due dates for deposit of TDS AY 2026-27 | https://www.taxheal.com/?p=129187 | </t>
  </si>
  <si>
    <t xml:space="preserve">Rule 218(3) inserted w.e.f. 1-10-2026; position for Apr-Sep 2026 for these specified payments (whether 26QB etc. continued or Form 141 earlier) not verified.</t>
  </si>
  <si>
    <t xml:space="preserve">TDS-036</t>
  </si>
  <si>
    <t xml:space="preserve">Quarterly TDS/TCS statement due dates and forms (Rule 31A/31AA / Rule 219)</t>
  </si>
  <si>
    <t xml:space="preserve">Flag late filing and drive s.234E/427 late fee.</t>
  </si>
  <si>
    <t xml:space="preserve">IT Rules 1962 Rule 31A (24Q/26Q/27Q), Rule 31AA (27EQ); IT Act 2025 s.397(3)(b); IT Rules 2026 Rule 219 (Forms 138/140/143/144/141/142).</t>
  </si>
  <si>
    <t xml:space="preserve">TY 2026-27 for Rule 219</t>
  </si>
  <si>
    <t xml:space="preserve">form_type, quarter, filing_date, regime</t>
  </si>
  <si>
    <t xml:space="preserve">1. TDS (24Q/26Q/27Q; 138/140/144): Q1 31 Jul, Q2 31 Oct, Q3 31 Jan, Q4 31 May. 2. TCS 27EQ (FY 2025-26, Rule 31AA): Q1 15 Jul, Q2 15 Oct, Q3 15 Jan, Q4 15 May. 3. TCS Form 143 (TY 2026-27, Rule 219): same as TDS – 31 Jul/31 Oct/31 Jan/31 May. 4. Form 141: 30 days from end of month of deduction. 5. Form 144 covers NR and RNOR deductees; Form 138 covers salary and 393(1) Sl.8(iii).</t>
  </si>
  <si>
    <t xml:space="preserve">TDS: 31 Jul, 31 Oct, 31 Jan, 31 May. TCS: 15th (old) / 31st (new).</t>
  </si>
  <si>
    <t xml:space="preserve">filing_date &gt; due -&gt; LATE FILING.</t>
  </si>
  <si>
    <t xml:space="preserve">due_date, days_late.</t>
  </si>
  <si>
    <t xml:space="preserve">27EQ Q4 FY 2025-26 due 15-05-2026; Form 143 Q1 TY 2026-27 due 31-07-2026.</t>
  </si>
  <si>
    <t xml:space="preserve">Form 143 Q1 filed 25-07-2026 -&gt; on time</t>
  </si>
  <si>
    <t xml:space="preserve">27EQ Q4 FY25-26 filed 25-05-2026 -&gt; 10 days late</t>
  </si>
  <si>
    <t xml:space="preserve">Using 15th for Form 143.</t>
  </si>
  <si>
    <t xml:space="preserve">DUE_TDS = {1:(7,31),2:(10,31),3:(1,31),4:(5,31)}</t>
  </si>
  <si>
    <t xml:space="preserve">Income-tax Rules, 2026 – Rule 219 (incometaxindia.gov.in) | https://www.incometaxindia.gov.in/w/rule-219-1 | 
TaxGuru – Q1 Tax Year 2026-27 TDS/TCS return forms and due dates | https://taxguru.in/income-tax/q1-tax-year-2026-27-tds-tcs-return-filing-forms-due-dates.html | 
ClearTax – TDS and TCS changes from April 2026 | https://cleartax.in/s/tds-and-tcs-changes-from-april-2026 | </t>
  </si>
  <si>
    <t xml:space="preserve">27EQ 15th dates from TaxGuru reference to old Rule 31AA (secondary).</t>
  </si>
  <si>
    <t xml:space="preserve">TDS-037</t>
  </si>
  <si>
    <t xml:space="preserve">Interest for late deduction / late payment (s.201(1A) / s.398(3); TCS s.206C(7))</t>
  </si>
  <si>
    <t xml:space="preserve">Compute statutory interest exactly as TRACES would.</t>
  </si>
  <si>
    <t xml:space="preserve">IT Act 1961 s.201(1A)(i) 1%, (ii) 1.5% per month or part; s.206C(7) TCS; IT Act 2025 s.398(3)(a)(i)/(ii) (covers TDS and TCS).</t>
  </si>
  <si>
    <t xml:space="preserve">Dates: deductible (credit/payment), actual deduction, actual payment.</t>
  </si>
  <si>
    <t xml:space="preserve">tax_amount, date_deductible, date_deducted, date_paid</t>
  </si>
  <si>
    <t xml:space="preserve">1. Late deduction: interest 1% per month or part from date deductible to date deducted. 2. Late payment: 1.5% per month or part from date deducted to date paid (NOT from due date). 3. Month counting: TRACES practice – calendar months, part of month = full month (TDSMAN); alternative statutory reading – periods of a month from start date. Make configurable; default calendar-month. 4. Interest must be paid before filing statement. 5. If payee filed return and paid tax (accountant certificate), 1% interest runs to date of payee's return.</t>
  </si>
  <si>
    <t xml:space="preserve">months_cal(d1,d2) = (d2.year-d1.year)*12 + d2.month-d1.month + 1; interest = tax × rate × months</t>
  </si>
  <si>
    <t xml:space="preserve">1% / 1.5% per month or part.</t>
  </si>
  <si>
    <t xml:space="preserve">If paid on or before due date -&gt; nil interest even though deduction date earlier.</t>
  </si>
  <si>
    <t xml:space="preserve">Interest computed in rupees; TRACES demand rounding behaviour not verified (s.288B/new-Act equivalent rounds 'amount payable' to ₹10 – applicability to TRACES interest not verified).</t>
  </si>
  <si>
    <t xml:space="preserve">Pay with/before statement.</t>
  </si>
  <si>
    <t xml:space="preserve">paid &gt; due -&gt; compute interest; deducted &gt; deductible -&gt; compute 1% interest.</t>
  </si>
  <si>
    <t xml:space="preserve">interest_late_deduction, interest_late_payment, months used.</t>
  </si>
  <si>
    <t xml:space="preserve">TDS ₹10,000. Deductible 15-05-2025 (credit), deducted 20-06-2025, paid 10-08-2025 (due 07-07-2025). Late deduction: calendar months May, June = 2 -&gt; 10,000×1%×2 = ₹200. Late payment: June, July, Aug = 3 -&gt; 10,000×1.5%×3 = ₹450. Total ₹650. Alternative period method: 20-06 to 10-08 = 1 month 21 days = 2 months -&gt; ₹300 (difference flagged). TDSMAN example: deducted 26 June, paid 9 July -&gt; 2 months -&gt; 3%.</t>
  </si>
  <si>
    <t xml:space="preserve">ded 2025-06-26 paid 2025-07-09 tax 10,000 -&gt; 300</t>
  </si>
  <si>
    <t xml:space="preserve">ded 2025-06-26 paid 2025-07-07 -&gt; 0 (on time)</t>
  </si>
  <si>
    <t xml:space="preserve">Counting from due date instead of deduction date; counting days/30.</t>
  </si>
  <si>
    <t xml:space="preserve">def months(a,b): return (b.year-a.year)*12 + b.month - a.month + 1
int_pay = tax*0.015*months(ded, paid) if paid &gt; due else 0</t>
  </si>
  <si>
    <t xml:space="preserve">Income-tax Act, 1961 – Section 201 (incometaxindia.gov.in) | https://www.incometaxindia.gov.in/w/section-201-60 | 
Income-tax Act, 2025 – Section 398 (incometaxindia.gov.in) | https://www.incometaxindia.gov.in/w/section-398-5 | 
TDSMAN – Interest calculation for delayed payment of TDS | https://blog.tdsman.com/2015/04/interest-calculation-delayed-payment-tds/ | 
TDSMAN – Section 398 consequences of TDS defaults | https://blog.tdsman.com/2026/07/section-398-of-the-income-tax-act-2025-consequences-of-tds-defaults/ | 
TaxHeal – TCS rates FY 2026-27 (pre-Finance Act 2026 table) | https://www.taxheal.com/?p=120775 | 
Memorandum explaining provisions of Finance (No.2) Bill 2024 (indiabudget.gov.in) | https://www.indiabudget.gov.in/budget2024-25/doc/memo.pdf | </t>
  </si>
  <si>
    <t xml:space="preserve">[VERIFICATION 13-10-2026] The TCS limb conflict is resolved: the official Budget July-2024 Memorandum confirms s.206C(7) collected-but-not-paid interest is 1.5% per month or part w.e.f. 01-04-2025. TDS limb (1%/1.5%) and s.398 were already official. CORRECTION: Replace the s.206C(7) conflict note with: '1.5% p.m. for collected-not-paid from 01-04-2025 (Finance (No.2) Act 2024).' Rates and 'month or part of a month' verified (official). Calendar-month counting is practice per secondary source (a commenter noted TRACES showing one month less in a case) – CA review. s.206C(7) TCS late-payment rate: official 1961 page shows 1%; secondary sources say raised to 1.5% from 1-4-2025 – conflict; s.398 (TY 2026-27) clearly 1%/1.5% for both. TCS s.206C(7): 1.5% per month for collected-not-paid from 01-04-2025 (Finance (No.2) Act 2024).</t>
  </si>
  <si>
    <t xml:space="preserve">TDS-038</t>
  </si>
  <si>
    <t xml:space="preserve">TDS – Fees</t>
  </si>
  <si>
    <t xml:space="preserve">Late filing fee (s.234E / s.427)</t>
  </si>
  <si>
    <t xml:space="preserve">Compute late fee for delayed TDS/TCS statements.</t>
  </si>
  <si>
    <t xml:space="preserve">IT Act 1961 s.234E; IT Act 2025 s.427(1).</t>
  </si>
  <si>
    <t xml:space="preserve">All statements under s.200(3)/206C(3) / s.397(3)(b), incl. Form 141.</t>
  </si>
  <si>
    <t xml:space="preserve">due_date, filing_date, tds_amount_in_statement, fee_paid</t>
  </si>
  <si>
    <t xml:space="preserve">1. days = filing_date – due_date. 2. fee = 200 × days. 3. cap = TDS/TCS deductible/collectible in statement. 4. Must be paid before filing.</t>
  </si>
  <si>
    <t xml:space="preserve">fee = min(200 × days_late, tds_amount)</t>
  </si>
  <si>
    <t xml:space="preserve">₹200 per day; capped at TDS amount.</t>
  </si>
  <si>
    <t xml:space="preserve">fee_paid &lt; fee -&gt; flag (TRACES demand).</t>
  </si>
  <si>
    <t xml:space="preserve">late_fee</t>
  </si>
  <si>
    <t xml:space="preserve">26Q Q1 FY 2025-26 due 31-07-2025, filed 15-09-2025: days = 46 -&gt; 9,200; TDS in statement 6,000 -&gt; fee ₹6,000.</t>
  </si>
  <si>
    <t xml:space="preserve">10 days, TDS 50,000 -&gt; 2,000</t>
  </si>
  <si>
    <t xml:space="preserve">20 days, TDS 1,500 -&gt; 1,500</t>
  </si>
  <si>
    <t xml:space="preserve">Fee computed on correction statements (fee applies to original).</t>
  </si>
  <si>
    <t xml:space="preserve">fee = min(200*max(0,(filed-due).days), tds_total)</t>
  </si>
  <si>
    <t xml:space="preserve">Income-tax Act, 2025 – Section 427 (incometaxindia.gov.in) | https://www.incometaxindia.gov.in/w/section-427-6 | 
TaxHeal – Late fee under section 427 | https://www.taxheal.com/?p=122445 | </t>
  </si>
  <si>
    <t xml:space="preserve">TDS-039</t>
  </si>
  <si>
    <t xml:space="preserve">TDS – Penalty</t>
  </si>
  <si>
    <t xml:space="preserve">Penalty for failure to furnish statement (s.271H / s.461)</t>
  </si>
  <si>
    <t xml:space="preserve">Flag penalty exposure ₹10,000–₹1,00,000.</t>
  </si>
  <si>
    <t xml:space="preserve">IT Act 1961 s.271H; IT Act 2025 s.461.</t>
  </si>
  <si>
    <t xml:space="preserve">Non-filing or incorrect statements.</t>
  </si>
  <si>
    <t xml:space="preserve">due_date, filing_date, tax_paid_flag, fee_interest_paid_flag</t>
  </si>
  <si>
    <t xml:space="preserve">1. If filed after due date: penalty protection if tax + fee + interest paid and statement filed within one month of due date (s.461(2); 271H(3) as amended – one month per secondary source from 1-4-2025; official 1961 page still shows one year). 2. Else exposure ₹10,000–₹1,00,000. 3. Incorrect information also attracts.</t>
  </si>
  <si>
    <t xml:space="preserve">exposure = (10000, 100000) if late &gt; grace or incorrect</t>
  </si>
  <si>
    <t xml:space="preserve">₹10,000 – ₹1,00,000.</t>
  </si>
  <si>
    <t xml:space="preserve">Reasonable cause.</t>
  </si>
  <si>
    <t xml:space="preserve">Penalty risk flag.</t>
  </si>
  <si>
    <t xml:space="preserve">Q2 26Q due 31-10-2025 filed 20-11-2025 with fee/interest paid -&gt; within one month -&gt; no penalty.</t>
  </si>
  <si>
    <t xml:space="preserve">filed 10 days late, all paid -&gt; no penalty</t>
  </si>
  <si>
    <t xml:space="preserve">filed 45 days late -&gt; penalty exposure</t>
  </si>
  <si>
    <t xml:space="preserve">Medium (advisory)</t>
  </si>
  <si>
    <t xml:space="preserve">risk = not(all_paid and filed &lt;= add_months(due,1))</t>
  </si>
  <si>
    <t xml:space="preserve">Income-tax Act, 2025 – Section 461 (incometaxindia.gov.in) | https://www.incometaxindia.gov.in/w/section-461-6 | 
Income-tax Act, 1961 – Section 271H (incometaxindia.gov.in) | https://www.incometaxindia.gov.in/w/section-271h-1 | 
TDSMAN – Section 461 penalty for not filing TDS/TCS returns | https://blog.tdsman.com/2026/02/section-271h-penalty-on-taxpayers-for-not-filing-tds-or-tcs-returns/ | </t>
  </si>
  <si>
    <t xml:space="preserve">Grace period for FY 2025-26 under 271H: secondary says reduced from one year to one month (Finance (No.2) Act 2024 w.e.f. 1-4-2025); official 1961 page not updated. s.461 one month verified.</t>
  </si>
  <si>
    <t xml:space="preserve">TDS-040</t>
  </si>
  <si>
    <t xml:space="preserve">TDS certificates (Form 16/16A; Form 130/131; 27D/133)</t>
  </si>
  <si>
    <t xml:space="preserve">Check timely issuance from TRACES.</t>
  </si>
  <si>
    <t xml:space="preserve">IT Act 1961 s.203, Rule 31; IT Act 2025 s.395(4); IT Rules 2026 Rule 215(1) Table Sl.1 (Form 130) and Sl.2 (Form 131).</t>
  </si>
  <si>
    <t xml:space="preserve">All deductors.</t>
  </si>
  <si>
    <t xml:space="preserve">Statement processed by TRACES.</t>
  </si>
  <si>
    <t xml:space="preserve">certificate_type, quarter, issue_date</t>
  </si>
  <si>
    <t xml:space="preserve">1. Form 16/130: annual, by 15 June following the year. 2. Form 16A/131: quarterly, within 15 days of statement due date – 15 Aug, 15 Nov, 15 Feb, 15 Jun. 3. Must be downloaded from TRACES. 4. Form 16B/C/D/E equivalents: within 15 days of Form 26QB etc. due date.</t>
  </si>
  <si>
    <t xml:space="preserve">Form 16/130 – 15 June; 16A/131 – 15 Aug/15 Nov/15 Feb/15 Jun; 27D/133 – similar (new-Act dates not verified).</t>
  </si>
  <si>
    <t xml:space="preserve">Certificate not generated from TRACES -&gt; flag; issue &gt; due -&gt; penalty u/s 272A(2)(g) (old; ₹100/day – not verified here).</t>
  </si>
  <si>
    <t xml:space="preserve">Q3 FY 2025-26 26Q due 31-01-2026 -&gt; Form 16A by 15-02-2026.</t>
  </si>
  <si>
    <t xml:space="preserve">Self-generated Form 16A not valid.</t>
  </si>
  <si>
    <t xml:space="preserve">CBDT FAQs – Form No. 130 (erstwhile Form 16) | https://www.incometaxindia.gov.in/documents/d/guest/form-130-faqs | 
TaxGuru – Form 131 TDS certificate u/s 395(4) | https://taxguru.in/income-tax/income-tax-form-131-tds-certificate-u-s-395-4-non-salary-pension-senior-citizen-interest.html | 
TaxGuru – Q1 Tax Year 2026-27 TDS/TCS return forms and due dates | https://taxguru.in/income-tax/q1-tax-year-2026-27-tds-tcs-return-filing-forms-due-dates.html | </t>
  </si>
  <si>
    <t xml:space="preserve">Form 133 (TCS certificate) due dates not verified; penalty section for late certificate not verified.</t>
  </si>
  <si>
    <t xml:space="preserve">TDS-041</t>
  </si>
  <si>
    <t xml:space="preserve">Lower / nil deduction certificate (s.197 / s.395(1); Form 13 -&gt; Form 128)</t>
  </si>
  <si>
    <t xml:space="preserve">Apply certificate rate within validity and amount limit; flag deduction beyond limit.</t>
  </si>
  <si>
    <t xml:space="preserve">IT Act 1961 s.197, s.206C(9); IT Act 2025 s.395(1), (3), (5), (6); Rule 213 (2026); Form 128.</t>
  </si>
  <si>
    <t xml:space="preserve">Deductees holding AO certificate.</t>
  </si>
  <si>
    <t xml:space="preserve">Certificate master: number, deductor TAN, section, rate, amount limit, validity dates.</t>
  </si>
  <si>
    <t xml:space="preserve">cert_no, cert_rate, cert_limit, valid_from, valid_to, txn_date, amount, cumulative_under_cert</t>
  </si>
  <si>
    <t xml:space="preserve">1. Validate certificate: matches deductor TAN, deductee PAN, section; txn date within validity. 2. Apply certificate rate until cumulative amount reaches limit; balance at normal rate. 3. Report with flag 'A' (lower deduction) in statement.</t>
  </si>
  <si>
    <t xml:space="preserve">tds = cert_rate × min(amount, limit_remaining) + normal_rate × max(0, amount – limit_remaining)</t>
  </si>
  <si>
    <t xml:space="preserve">As per certificate.</t>
  </si>
  <si>
    <t xml:space="preserve">Lower rate used after expiry or beyond limit -&gt; SHORT DEDUCTION.</t>
  </si>
  <si>
    <t xml:space="preserve">Certificate 1% limit ₹20 lakh u/s 194J; payments to date 18 lakh; new invoice 5 lakh: 1%×2L + 10%×3L = 2,000 + 30,000 = 32,000.</t>
  </si>
  <si>
    <t xml:space="preserve">as above -&gt; 32,000</t>
  </si>
  <si>
    <t xml:space="preserve">expired certificate -&gt; full 10%</t>
  </si>
  <si>
    <t xml:space="preserve">Certificate limit exhausted unnoticed.</t>
  </si>
  <si>
    <t xml:space="preserve">rem = cert.limit - cert.used
tds = cert.rate*min(a,rem) + rate*max(0,a-rem)</t>
  </si>
  <si>
    <t xml:space="preserve">Income-tax Act, 2025 – Section 395 (incometaxindia.gov.in) | https://www.incometaxindia.gov.in/w/section-395-6 | 
CBDT FAQs – Form No. 128 (erstwhile Form 13) | https://www.incometaxindia.gov.in/documents/d/guest/form-128-faqs | </t>
  </si>
  <si>
    <t xml:space="preserve">TDS-042</t>
  </si>
  <si>
    <t xml:space="preserve">TDS – Declarations</t>
  </si>
  <si>
    <t xml:space="preserve">Form 15G/15H declarations (s.197A / s.393(6)-(7); Form 121)</t>
  </si>
  <si>
    <t xml:space="preserve">Validate non-deduction based on declarations and payer's quarterly upload.</t>
  </si>
  <si>
    <t xml:space="preserve">IT Act 1961 s.197A, Rule 29C; IT Act 2025 s.393(6)(a), (7) (substituted by Finance Act 2026 w.e.f. 1-4-2026), (6)(b) depository route from 1-4-2027; Rule 211; Form 121.</t>
  </si>
  <si>
    <t xml:space="preserve">Resident individuals (and other non-company/non-firm persons) for specified incomes: interest, dividend, rent, insurance commission, MF income, EPF, 194DA.</t>
  </si>
  <si>
    <t xml:space="preserve">declarant_pan, age, estimated_income, aggregate_specified_income, uin, quarter_upload_date</t>
  </si>
  <si>
    <t xml:space="preserve">1. PAN mandatory. 2. Non-senior: estimated tax nil AND aggregate incomes ≤ basic exemption. 3. Senior (≥60): estimated tax nil. 4. Payer allots UIN (D+9 digits + tax year + TAN). 5. Payer uploads quarterly by 7th of month after quarter. 6. Report nil-deduction in statement with flag.</t>
  </si>
  <si>
    <t xml:space="preserve">Not available to companies/firms.</t>
  </si>
  <si>
    <t xml:space="preserve">Upload by 7th of month following quarter.</t>
  </si>
  <si>
    <t xml:space="preserve">Declaration without PAN -&gt; invalid (20%); non-senior aggregate income &gt; exemption -&gt; invalid.</t>
  </si>
  <si>
    <t xml:space="preserve">Senior aged 66, FD interest ₹1,40,000, total income within rebate -&gt; Form 121 valid -&gt; nil TDS.</t>
  </si>
  <si>
    <t xml:space="preserve">Form 15G by firm -&gt; invalid</t>
  </si>
  <si>
    <t xml:space="preserve">Uploads missed; UIN missing.</t>
  </si>
  <si>
    <t xml:space="preserve">CBDT FAQs – Form No. 121 (erstwhile Forms 15G/15H) | https://www.incometaxindia.gov.in/documents/d/guest/form-121-faqs | 
Income-tax Act, 2025 – Section 393 (incometaxindia.gov.in) | https://www.incometaxindia.gov.in/w/section-393-6 | </t>
  </si>
  <si>
    <t xml:space="preserve">TDS-043</t>
  </si>
  <si>
    <t xml:space="preserve">TDS – Reconciliation</t>
  </si>
  <si>
    <t xml:space="preserve">Deductor reconciliation: books TDS ledger vs challans vs statements</t>
  </si>
  <si>
    <t xml:space="preserve">Three-way match of TDS ledger, OLTAS/CIN challans and filed statements (24Q/26Q/27Q or 138/140/144).</t>
  </si>
  <si>
    <t xml:space="preserve">ss.200/201 (1961); ss.397/398 (2025); Rules 30/31A; 218/219.</t>
  </si>
  <si>
    <t xml:space="preserve">Deductor (client) audits.</t>
  </si>
  <si>
    <t xml:space="preserve">Books ledger export, challan data (BSR code, date, serial no.), statement (FVU/consolidated file from TRACES).</t>
  </si>
  <si>
    <t xml:space="preserve">ledger_entries(section, deductee_pan, amount_paid, tds_amount, date), challans(bsr_code, challan_date, challan_serial, minor_head, section, amount_tax, interest, fee), statement_rows(pan, section, amount_paid, tds, challan_ref)</t>
  </si>
  <si>
    <t xml:space="preserve">1. Normalise section codes (TDS-002). 2. Match ledger to statement on (PAN, section, date ±3 days, amount ±₹1). 3. Sum statement TDS by challan; compare with challan tax amount (unconsumed balance / overbooking). 4. Ledger TDS payable month-total vs challans of that month. 5. Check interest and fee paid vs computed (TDS-037/038). 6. Unmatched: in books not in return; in return not in books; PAN mismatch; section mismatch.</t>
  </si>
  <si>
    <t xml:space="preserve">diff_challan = challan.tax – Σ statement.tds(challan)</t>
  </si>
  <si>
    <t xml:space="preserve">Tolerance ₹1 per line (configurable).</t>
  </si>
  <si>
    <t xml:space="preserve">diff_challan &lt; 0 -&gt; OVERBOOKED CHALLAN (Critical); ledger TDS not in statement -&gt; High.</t>
  </si>
  <si>
    <t xml:space="preserve">Exception report by category.</t>
  </si>
  <si>
    <t xml:space="preserve">Challan 0510308/07-07-2025/12345 ₹48,000; statement rows tagged 46,500 -&gt; unconsumed ₹1,500. Ledger July 194C TDS ₹49,200 vs challan ₹48,000 -&gt; short paid ₹1,200.</t>
  </si>
  <si>
    <t xml:space="preserve">Challan under wrong minor head (200 vs 400); wrong AY/FY; section code in challan differs.</t>
  </si>
  <si>
    <t xml:space="preserve">for ch in challans: ch.diff = ch.tax - sum(r.tds for r in rows if r.challan==ch.id)</t>
  </si>
  <si>
    <t xml:space="preserve">Income-tax Rules, 2026 – Rule 218 (incometaxindia.gov.in) | https://www.incometaxindia.gov.in/w/rule-218-1 | 
Income-tax Rules, 2026 – Rule 219 (incometaxindia.gov.in) | https://www.incometaxindia.gov.in/w/rule-219-1 | 
Income-tax Act, 2025 – Section 397 (incometaxindia.gov.in) | https://www.incometaxindia.gov.in/w/section-397-6 | </t>
  </si>
  <si>
    <t xml:space="preserve">Match logic is implementation design, not law.</t>
  </si>
  <si>
    <t xml:space="preserve">TDS-044</t>
  </si>
  <si>
    <t xml:space="preserve">Deductee reconciliation: Form 26AS/AIS vs books</t>
  </si>
  <si>
    <t xml:space="preserve">Match TDS credits in 26AS/AIS with income and TDS receivable in deductee's books.</t>
  </si>
  <si>
    <t xml:space="preserve">IT Act 1961 s.199 / Rule 37BA (credit for TDS); 2025 Act equivalent not verified.</t>
  </si>
  <si>
    <t xml:space="preserve">Deductee (client) reconciliation before ITR.</t>
  </si>
  <si>
    <t xml:space="preserve">26AS/AIS download, customer-wise receipts.</t>
  </si>
  <si>
    <t xml:space="preserve">tan_deductor, section, amount_paid_credited, tds_deposited, transaction_date, customer_tan_in_books, income_booked, tds_receivable</t>
  </si>
  <si>
    <t xml:space="preserve">1. Map deductor TAN to customer. 2. Compare amount credited in 26AS with income booked (timing differences). 3. Compare TDS in 26AS with TDS receivable. 4. Flag: missing in 26AS (follow up customer), extra in 26AS (unbooked income), rate mismatch.</t>
  </si>
  <si>
    <t xml:space="preserve">gap = tds_receivable_books – tds_26AS</t>
  </si>
  <si>
    <t xml:space="preserve">gap &gt; 0 -&gt; credit at risk (High).</t>
  </si>
  <si>
    <t xml:space="preserve">Customer-wise variance.</t>
  </si>
  <si>
    <t xml:space="preserve">Books TDS receivable from Customer A ₹25,000; 26AS ₹20,000 -&gt; ₹5,000 missing.</t>
  </si>
  <si>
    <t xml:space="preserve">Deductor quoted wrong PAN; deducted but not deposited.</t>
  </si>
  <si>
    <t xml:space="preserve">Income-tax Act, 2025 – Section 397 (incometaxindia.gov.in) | https://www.incometaxindia.gov.in/w/section-397-6 | </t>
  </si>
  <si>
    <t xml:space="preserve">Credit rule section under 2025 Act not verified.</t>
  </si>
  <si>
    <t xml:space="preserve">TDS-045</t>
  </si>
  <si>
    <t xml:space="preserve">Default computation as in TRACES justification report</t>
  </si>
  <si>
    <t xml:space="preserve">Replicate TRACES default categories: short deduction, short payment, interest on late deduction, interest on late payment, late filing fee.</t>
  </si>
  <si>
    <t xml:space="preserve">ss.201(1), 201(1A), 234E, 206AA (1961); ss.398, 427, 397(2) (2025).</t>
  </si>
  <si>
    <t xml:space="preserve">Processed statements.</t>
  </si>
  <si>
    <t xml:space="preserve">Statement rows, challans, PAN status, certificate master.</t>
  </si>
  <si>
    <t xml:space="preserve">row(pan, section, amount, date_credit, date_deducted, tds_deducted, rate_applied, flag_lower), challan(date, amount)</t>
  </si>
  <si>
    <t xml:space="preserve">1. Short deduction = expected TDS (section rate, 20% if PAN invalid, cert rate if valid) – deducted. 2. Short payment = deducted – consumed challan amount. 3. Interest late deduction (1%) and late payment (1.5%) per TDS-037. 4. Interest on short payment = 1.5% months from deduction to date of computation. 5. Late fee 234E/427 per TDS-038. 6. Net payable = sum – interest/fee already paid.</t>
  </si>
  <si>
    <t xml:space="preserve">default = SD + SP + I_ld + I_lp + fee – paid</t>
  </si>
  <si>
    <t xml:space="preserve">Default summary per statement mirroring TRACES categories.</t>
  </si>
  <si>
    <t xml:space="preserve">Row: 194J fee ₹1,00,000, PAN invalid, deducted 10% = 10,000 on 15-04-2025, paid 07-05-2025. SD = 20,000 – 10,000 = 10,000. Interest on SD (1% from 15-04-2025 to computation 31-07-2025: Apr–Jul = 4 months) = 400. Total default ₹10,400.</t>
  </si>
  <si>
    <t xml:space="preserve">TRACES uses its own month-count logic.</t>
  </si>
  <si>
    <t xml:space="preserve">Critical for SD/SP</t>
  </si>
  <si>
    <t xml:space="preserve">Income-tax Act, 1961 – Section 201 (incometaxindia.gov.in) | https://www.incometaxindia.gov.in/w/section-201-60 | 
Income-tax Act, 2025 – Section 398 (incometaxindia.gov.in) | https://www.incometaxindia.gov.in/w/section-398-5 | 
Income-tax Act, 2025 – Section 427 (incometaxindia.gov.in) | https://www.incometaxindia.gov.in/w/section-427-6 | 
Income-tax Act, 2025 – Section 397 (incometaxindia.gov.in) | https://www.incometaxindia.gov.in/w/section-397-6 | </t>
  </si>
  <si>
    <t xml:space="preserve">Exact TRACES algorithm not published in sources opened.</t>
  </si>
  <si>
    <t xml:space="preserve">TDS-046</t>
  </si>
  <si>
    <t xml:space="preserve">TDS – Rounding</t>
  </si>
  <si>
    <t xml:space="preserve">Rounding of TDS amounts</t>
  </si>
  <si>
    <t xml:space="preserve">Avoid false variances from rounding.</t>
  </si>
  <si>
    <t xml:space="preserve">IT Act 1961 s.288B (amount payable/refund to nearest ₹10); 2025 Act equivalent reportedly clause 516 of Bill – final section not verified. No specific TDS rounding rule verified.</t>
  </si>
  <si>
    <t xml:space="preserve">All TDS computations.</t>
  </si>
  <si>
    <t xml:space="preserve">computed_tds</t>
  </si>
  <si>
    <t xml:space="preserve">1. Compute TDS to paise. 2. Round to nearest rupee (implementation default). 3. Allow tolerance ₹1 per line / ₹10 per challan in matching. 4. Do not round each line to ₹10.</t>
  </si>
  <si>
    <t xml:space="preserve">tds = floor(x + 0.5)</t>
  </si>
  <si>
    <t xml:space="preserve">s.288B rounds 'amount payable' to ₹10 – applicability to TDS lines not established; old Rule 26B/CBDT rupee-rounding instruction NOT verified. Not specified in law – implementation choice.</t>
  </si>
  <si>
    <t xml:space="preserve">|deducted – expected| ≤ 1 -&gt; PASS.</t>
  </si>
  <si>
    <t xml:space="preserve">2% × 12,345 = 246.90 -&gt; ₹247.</t>
  </si>
  <si>
    <t xml:space="preserve">246.90 -&gt; 247</t>
  </si>
  <si>
    <t xml:space="preserve">difference ₹1 not flagged</t>
  </si>
  <si>
    <t xml:space="preserve">ERP rounds up always.</t>
  </si>
  <si>
    <t xml:space="preserve">tds = int(Decimal(x).quantize(Decimal('1'), ROUND_HALF_UP))</t>
  </si>
  <si>
    <t xml:space="preserve">Income-tax Act, 1961 – Section 288B (incometaxindia.gov.in) | https://www.incometaxindia.gov.in/w/section-288b-59 | </t>
  </si>
  <si>
    <t xml:space="preserve">CA to confirm firm policy.</t>
  </si>
  <si>
    <t xml:space="preserve">TDS-047</t>
  </si>
  <si>
    <t xml:space="preserve">TDS – Base</t>
  </si>
  <si>
    <t xml:space="preserve">Exclusion of GST from TDS base (CBDT Circular 23/2017)</t>
  </si>
  <si>
    <t xml:space="preserve">Avoid flagging short deduction when GST is shown separately.</t>
  </si>
  <si>
    <t xml:space="preserve">CBDT Circular No. 23/2017 dated 19-07-2017 (F.No.275/59/2012-IT(B)) modifying Circular 1/2014.</t>
  </si>
  <si>
    <t xml:space="preserve">All Chapter XVII-B payments to residents where GST on services is indicated separately in the agreement/invoice.</t>
  </si>
  <si>
    <t xml:space="preserve">1 July 2017</t>
  </si>
  <si>
    <t xml:space="preserve">Invoice GST split.</t>
  </si>
  <si>
    <t xml:space="preserve">taxable_value, cgst, sgst, igst, utgst, gst_separately_shown</t>
  </si>
  <si>
    <t xml:space="preserve">1. If GST shown separately -&gt; base = taxable value. 2. Else base = gross invoice.</t>
  </si>
  <si>
    <t xml:space="preserve">base = taxable_value if gst_separately_shown else gross</t>
  </si>
  <si>
    <t xml:space="preserve">194Q – separate CBDT guidance (Circular 13/2021) not verified.</t>
  </si>
  <si>
    <t xml:space="preserve">TDS on gross where GST shown -&gt; EXCESS (Low).</t>
  </si>
  <si>
    <t xml:space="preserve">Invoice 1,00,000 + 18,000 GST, 194J 10% -&gt; 10,000 (not 11,800).</t>
  </si>
  <si>
    <t xml:space="preserve">GST not shown separately -&gt; 11,800</t>
  </si>
  <si>
    <t xml:space="preserve">base = inv.taxable if inv.gst_sep else inv.gross</t>
  </si>
  <si>
    <t xml:space="preserve">TaxGuru – CBDT Circular 23/2017: no TDS on GST component | https://taxguru.in/income-tax/tds-deductible-gst-component-cbdt.html | </t>
  </si>
  <si>
    <t xml:space="preserve">Circular text read via TaxGuru (official PDF not readable). Applicability under 2025 Act – circular continuation not verified (CBDT guidelines under s.400 not checked).</t>
  </si>
  <si>
    <t xml:space="preserve">TDS-048</t>
  </si>
  <si>
    <t xml:space="preserve">Correction statements &amp; limitation for default orders</t>
  </si>
  <si>
    <t xml:space="preserve">Know which periods can still be corrected and the AO's limitation window.</t>
  </si>
  <si>
    <t xml:space="preserve">IT Act 1961 s.200(3) proviso, s.201(3) (seven years); IT Act 2025 s.397(3)(f) (two years from end of tax year in which statement due), s.398(5) (six years / two years from correction).</t>
  </si>
  <si>
    <t xml:space="preserve">statement_quarter, fy, today</t>
  </si>
  <si>
    <t xml:space="preserve">1. TY 2026-27 onward: correction allowed up to 2 years from end of tax year in which statement was due. 2. Earlier: per 1961 proviso (secondary: six years from end of FY of statement, from 1-4-2025). 3. Default order: 1961 – 7 years from end of FY of payment; 2025 – 6 years from end of tax year.</t>
  </si>
  <si>
    <t xml:space="preserve">Correction attempted beyond window -&gt; warn.</t>
  </si>
  <si>
    <t xml:space="preserve">Q4 TY 2026-27 statement due 31-05-2027 (TY 2027-28) -&gt; correction till 31-03-2030 (per reading).</t>
  </si>
  <si>
    <t xml:space="preserve">Income-tax Act, 2025 – Section 397 (incometaxindia.gov.in) | https://www.incometaxindia.gov.in/w/section-397-6 | 
Income-tax Act, 2025 – Section 398 (incometaxindia.gov.in) | https://www.incometaxindia.gov.in/w/section-398-5 | 
Income-tax Act, 1961 – Section 201 (incometaxindia.gov.in) | https://www.incometaxindia.gov.in/w/section-201-60 | 
ClearTax – TDS and TCS changes from April 2026 | https://cleartax.in/s/tds-and-tcs-changes-from-april-2026 | 
TDSMAN – TDS/TCS changes w.e.f. 1 April 2025 | https://blog.tdsman.com/2025/03/tds-tcs-changes-w-e-f-1st-april-2025/ | </t>
  </si>
  <si>
    <t xml:space="preserve">Exact counting under 397(3)(f) and transitional application to old statements: CA review.</t>
  </si>
  <si>
    <t xml:space="preserve">TDS-049</t>
  </si>
  <si>
    <t xml:space="preserve">TDS – Consequences</t>
  </si>
  <si>
    <t xml:space="preserve">Disallowance for non-deduction (s.40(a)(i)/(ia))</t>
  </si>
  <si>
    <t xml:space="preserve">Flag expense disallowance risk (30% for residents) when TDS not deducted/paid by ITR due date.</t>
  </si>
  <si>
    <t xml:space="preserve">IT Act 1961 s.40(a)(i), 40(a)(ia); 2025 Act equivalent section not verified.</t>
  </si>
  <si>
    <t xml:space="preserve">Business deductors.</t>
  </si>
  <si>
    <t xml:space="preserve">expense_amount, tds_default_flag, payment_date, itr_due_date</t>
  </si>
  <si>
    <t xml:space="preserve">1. If TDS not deducted or deducted but not paid by ITR due date: disallow 30% (resident) / 100% (NR). 2. Allowed in year of payment.</t>
  </si>
  <si>
    <t xml:space="preserve">disallow = 0.30 × expense</t>
  </si>
  <si>
    <t xml:space="preserve">30% / 100%.</t>
  </si>
  <si>
    <t xml:space="preserve">Rent ₹7,20,000 without TDS -&gt; disallowance ₹2,16,000.</t>
  </si>
  <si>
    <t xml:space="preserve">High (tax-audit clause)</t>
  </si>
  <si>
    <t xml:space="preserve">ClearTax – TDS and TCS changes from April 2026 | https://cleartax.in/s/tds-and-tcs-changes-from-april-2026 | </t>
  </si>
  <si>
    <t xml:space="preserve">Not verified from official source in this research; new-Act section and Form 26 (tax audit, replacing 3CD) clauses 49-51 per ClearTax only.</t>
  </si>
  <si>
    <t xml:space="preserve">TCS on goods, licences, motor vehicles / luxury goods, LRS, tour packages (s.206C → s.394).  Row 5 holds the YAML key for each column. Research date 13 October 2026. Every rule needs CA validation before use.</t>
  </si>
  <si>
    <t xml:space="preserve">TCS-001</t>
  </si>
  <si>
    <t xml:space="preserve">TCS – Goods</t>
  </si>
  <si>
    <t xml:space="preserve">TCS on specified goods: liquor, tendu, timber/forest produce, scrap, minerals (s.206C(1) / s.394(1) Sl.1-5)</t>
  </si>
  <si>
    <t xml:space="preserve">Verify TCS on sale of specified goods at correct rate for the period.</t>
  </si>
  <si>
    <t xml:space="preserve">IT Act 1961 s.206C(1) (timber/forest produce reduced 2.5%-&gt;2% by Finance Act 2025 per secondary sources); IT Act 2025 s.394(1) Table Sl.1-5 (rates amended by Finance Act 2026, Act No. 4 of 2026, w.e.f. 1-4-2026).</t>
  </si>
  <si>
    <t xml:space="preserve">Sellers (as defined) selling to buyers (other than for manufacturing etc. with declaration).</t>
  </si>
  <si>
    <t xml:space="preserve">Item classification, buyer declaration.</t>
  </si>
  <si>
    <t xml:space="preserve">buyer_pan, goods_category, sale_amount, debit_date, receipt_date, declaration_flag</t>
  </si>
  <si>
    <t xml:space="preserve">1. Trigger: earlier of debit to buyer and receipt. 2. Rate by period: FY 2025-26 – liquor 1%, tendu 5%, timber/forest produce 2%, scrap 1%, coal/lignite/iron ore 1%. TY 2026-27 – liquor 2%, tendu 2%, timber/forest 2%, scrap 2%, coal/lignite/iron ore 2%. 3. No threshold. 4. Declaration for manufacturing use (Sl.1-5) -&gt; nil; copy to authority by 7th of next month. 5. No PAN -&gt; higher of twice rate or 5% (cap 20% under 2025 Act).</t>
  </si>
  <si>
    <t xml:space="preserve">TCS = rate(period, item) × amount</t>
  </si>
  <si>
    <t xml:space="preserve">As listed; no threshold.</t>
  </si>
  <si>
    <t xml:space="preserve">Resident buyer declaration (Form 27C; new-Act form not verified) for manufacturing/processing/power generation.</t>
  </si>
  <si>
    <t xml:space="preserve">Deposit: 7th of next month (March: 30 April) – Rule 37CA (1962) / Rule 218 (2026). Statement: 27EQ – 15 Jul/15 Oct/15 Jan/15 May (FY 2025-26); Form 143 – 31 Jul/31 Oct/31 Jan/31 May (TY 2026-27). Certificate 27D / Form 133.</t>
  </si>
  <si>
    <t xml:space="preserve">Old 1% rate on scrap after 1-4-2026 -&gt; SHORT COLLECTION.</t>
  </si>
  <si>
    <t xml:space="preserve">Scrap sale ₹5,00,000 on 10-03-2026 -&gt; 1% = 5,000; on 10-04-2026 -&gt; 2% = 10,000.</t>
  </si>
  <si>
    <t xml:space="preserve">scrap 2026-04-10 5L -&gt; 10,000</t>
  </si>
  <si>
    <t xml:space="preserve">scrap with valid manufacturing declaration -&gt; 0</t>
  </si>
  <si>
    <t xml:space="preserve">Rate tables not updated for 1-4-2026.</t>
  </si>
  <si>
    <t xml:space="preserve">rate = RATES[regime][item]</t>
  </si>
  <si>
    <t xml:space="preserve">Income-tax Act, 2025 – Section 394 (incometaxindia.gov.in) | https://www.incometaxindia.gov.in/w/section-394-6 | 
Income-tax Act, 1961 – Section 206C (incometaxindia.gov.in) | https://www.incometaxindia.gov.in/w/section-206c-37 | 
RSM India Newsflash – Changes in TDS/TCS w.e.f. 1 April 2025 | https://www.rsm.global/india/sites/default/files/media/publications/2025/RSM%20India%20Newsflash%20-%20Overview%20of%20Changes%20in%20TDS%20and%20TCS%20provisions%20w.e.f.%201st%20April%202025.pdf | 
TDSMAN – Key TDS/TCS proposed changes Budget 2026-27 | https://blog.tdsman.com/2026/02/key-tds-tcs-proposed-changes-in-budget-2026-27/ | 
ClearTax – TDS and TCS changes from April 2026 | https://cleartax.in/s/tds-and-tcs-changes-from-april-2026 | 
Memorandum explaining provisions of Finance Bill 2025 (indiabudget.gov.in) | https://www.indiabudget.gov.in/budget2025-26/doc/memo.pdf | </t>
  </si>
  <si>
    <t xml:space="preserve">[VERIFICATION 13-10-2026] The ITD s.394 page (official) shows the s.394(1) rates and footnotes 86-89: 'substituted by Act No. 4 of 2026' w.e.f. 01-04-2026. Liquor 2% (was 1%), tendu leaves 2% (was 5%), scrap 2% (was 1%), coal/lignite/iron ore 2% (was 1%), timber/forest produce 2% (no FA 2026 footnote). The Budget 2025 Memorandum confirms timber/forest produce cut from 2.5% to 2% w.e.f. 01-04-2025. This resolves the note that the official 1961 s.206C page still showing 2.5% is stale. Timber 2% from 1-4-2025 per RSM/TDSMAN; official 1961 s.206C page still shows 2.5% (likely not updated).</t>
  </si>
  <si>
    <t xml:space="preserve">TCS-002</t>
  </si>
  <si>
    <t xml:space="preserve">TCS – Licence</t>
  </si>
  <si>
    <t xml:space="preserve">Parking lot, toll plaza, mine/quarry (s.206C(1C) / s.394(1) Sl.9)</t>
  </si>
  <si>
    <t xml:space="preserve">Verify 2% TCS on licence/lease consideration.</t>
  </si>
  <si>
    <t xml:space="preserve">IT Act 1961 s.206C(1C); IT Act 2025 s.394(1) Table Sl.9.</t>
  </si>
  <si>
    <t xml:space="preserve">Licensor/lessor granting right to use parking lot, toll plaza, mine or quarry (excl. mineral oil).</t>
  </si>
  <si>
    <t xml:space="preserve">licensee_pan, amount</t>
  </si>
  <si>
    <t xml:space="preserve">1. TCS 2% at earlier of debit or receipt.</t>
  </si>
  <si>
    <t xml:space="preserve">TCS = 2% × amount</t>
  </si>
  <si>
    <t xml:space="preserve">2%.</t>
  </si>
  <si>
    <t xml:space="preserve">Mineral oil (petroleum, natural gas).</t>
  </si>
  <si>
    <t xml:space="preserve">Toll licence ₹50,00,000 -&gt; 1,00,000.</t>
  </si>
  <si>
    <t xml:space="preserve">Income-tax Act, 2025 – Section 394 (incometaxindia.gov.in) | https://www.incometaxindia.gov.in/w/section-394-6 | 
Income-tax Act, 1961 – Section 206C (incometaxindia.gov.in) | https://www.incometaxindia.gov.in/w/section-206c-37 | </t>
  </si>
  <si>
    <t xml:space="preserve">TCS-003</t>
  </si>
  <si>
    <t xml:space="preserve">TCS – Motor vehicle &amp; luxury</t>
  </si>
  <si>
    <t xml:space="preserve">Motor vehicle and notified luxury goods &gt; ₹10 lakh (s.206C(1F) / s.394(1) Sl.6)</t>
  </si>
  <si>
    <t xml:space="preserve">Verify 1% TCS on high-value motor vehicles and notified luxury goods.</t>
  </si>
  <si>
    <t xml:space="preserve">IT Act 1961 s.206C(1F); CBDT Notifications 35/2025 &amp; 36/2025 dated 22-04-2025 (luxury goods); IT Act 2025 s.394(1) Table Sl.6(a)/(b).</t>
  </si>
  <si>
    <t xml:space="preserve">Seller receiving consideration &gt; ₹10 lakh for motor vehicle or notified goods.</t>
  </si>
  <si>
    <t xml:space="preserve">Luxury goods: 22 April 2025</t>
  </si>
  <si>
    <t xml:space="preserve">Item-level value.</t>
  </si>
  <si>
    <t xml:space="preserve">buyer_pan, item_type, item_value, receipt_date</t>
  </si>
  <si>
    <t xml:space="preserve">1. If item is motor vehicle or notified good (wrist watches; art pieces/antiques/paintings/sculptures; collectibles – coins, stamps; yachts, rowing boats, canoes, helicopters; sunglasses; handbags/purses; shoes; sportswear &amp; equipment – golf kits, ski-wear; home theatre systems; horses for racing/polo). 2. If value &gt; ₹10,00,000 (per item for luxury goods) -&gt; TCS 1% of entire consideration at receipt. 3. Excluded buyers (govt, embassies, local authority, PSU passenger transport).</t>
  </si>
  <si>
    <t xml:space="preserve">TCS = 1% × consideration</t>
  </si>
  <si>
    <t xml:space="preserve">&gt; ₹10 lakh; 1%.</t>
  </si>
  <si>
    <t xml:space="preserve">Specified buyers; where buyer deducts TDS under another provision.</t>
  </si>
  <si>
    <t xml:space="preserve">Car ₹12 lakh no TCS -&gt; High.</t>
  </si>
  <si>
    <t xml:space="preserve">Car ₹12,00,000 -&gt; 12,000. Watch ₹15,00,000 -&gt; 15,000. Two watches ₹6,00,000 each -&gt; nil (per-item test – verify).</t>
  </si>
  <si>
    <t xml:space="preserve">12L car -&gt; 12,000</t>
  </si>
  <si>
    <t xml:space="preserve">10L exactly -&gt; 0</t>
  </si>
  <si>
    <t xml:space="preserve">tcs = round(0.01*v) if v &gt; 1000000 and item in NOTIFIED else 0</t>
  </si>
  <si>
    <t xml:space="preserve">Income-tax Act, 2025 – Section 394 (incometaxindia.gov.in) | https://www.incometaxindia.gov.in/w/section-394-6 | 
Income-tax Act, 1961 – Section 206C (incometaxindia.gov.in) | https://www.incometaxindia.gov.in/w/section-206c-37 | 
BDO India – CBDT notifies luxury goods for TCS u/s 206C(1F) | https://www.bdo.in/en-gb/insights/alerts-updates/direct-tax-alert-cbdt-notifies-luxury-goods-for-levy-of-tcs-under-section-206c(1f)-of-the-it-act | 
Memorandum explaining provisions of Finance (No.2) Bill 2024 (indiabudget.gov.in) | https://www.indiabudget.gov.in/budget2024-25/doc/memo.pdf | </t>
  </si>
  <si>
    <t xml:space="preserve">[VERIFICATION 13-10-2026] Budget July-2024 Memorandum (official) confirms s.206C(1F) was extended to other notified luxury goods above Rs 10 lakh at 1%, w.e.f. 01-01-2025. The ITD s.394 page shows Sl.6 at 1% for motor vehicles or other notified goods above Rs 10 lakh. The list of notified luxury goods was still not opened. Luxury goods list from BDO (secondary); notification text not opened. Continuation of notification under s.394 Sl.6(b) not verified.</t>
  </si>
  <si>
    <t xml:space="preserve">TCS-004</t>
  </si>
  <si>
    <t xml:space="preserve">TCS – LRS</t>
  </si>
  <si>
    <t xml:space="preserve">Foreign remittance under LRS (s.206C(1G)(a) / s.394(1) Sl.7)</t>
  </si>
  <si>
    <t xml:space="preserve">Verify TCS by authorised dealers on LRS remittances above ₹10 lakh.</t>
  </si>
  <si>
    <t xml:space="preserve">IT Act 1961 s.206C(1G) (threshold ₹7 lakh -&gt; ₹10 lakh and nil for education loan from 1-4-2025, Finance Act 2025); IT Act 2025 s.394(1) Table Sl.7, s.394(4)-(5) (education/medical rate 5%-&gt;2% by Finance Act 2026 w.e.f. 1-4-2026).</t>
  </si>
  <si>
    <t xml:space="preserve">Authorised dealers receiving amount for LRS remittance.</t>
  </si>
  <si>
    <t xml:space="preserve">Purpose code, aggregate LRS per remitter per FY.</t>
  </si>
  <si>
    <t xml:space="preserve">remitter_pan, purpose, amount, aggregate_fy, loan_funded_flag</t>
  </si>
  <si>
    <t xml:space="preserve">1. Education funded by loan from financial institution -&gt; nil. 2. Aggregate up to ₹10 lakh -&gt; nil. 3. On amount exceeding ₹10 lakh: FY 2025-26 – 5% education/medical, 20% others; TY 2026-27 – 2% education/medical, 20% others. 4. No collection on amounts already subject to tour-package TCS.</t>
  </si>
  <si>
    <t xml:space="preserve">TCS = rate × max(0, aggregate_after – max(aggregate_before, 10,00,000))</t>
  </si>
  <si>
    <t xml:space="preserve">₹10 lakh; 20% / 5% (FY 25-26) / 2% (TY 26-27).</t>
  </si>
  <si>
    <t xml:space="preserve">Education loan funded; tour package already TCS'd.</t>
  </si>
  <si>
    <t xml:space="preserve">FY 2025-26 investment remittance ₹15 lakh (first in year): 20% × 5,00,000 = ₹1,00,000. TY 2026-27 medical ₹14 lakh: 2% × 4,00,000 = ₹8,000.</t>
  </si>
  <si>
    <t xml:space="preserve">9 lakh -&gt; 0</t>
  </si>
  <si>
    <t xml:space="preserve">ex = max(0, agg_after - max(agg_before, 1000000))</t>
  </si>
  <si>
    <t xml:space="preserve">Income-tax Act, 2025 – Section 394 (incometaxindia.gov.in) | https://www.incometaxindia.gov.in/w/section-394-6 | 
RSM India Newsflash – Changes in TDS/TCS w.e.f. 1 April 2025 | https://www.rsm.global/india/sites/default/files/media/publications/2025/RSM%20India%20Newsflash%20-%20Overview%20of%20Changes%20in%20TDS%20and%20TCS%20provisions%20w.e.f.%201st%20April%202025.pdf | 
TDSMAN – TDS/TCS changes w.e.f. 1 April 2025 | https://blog.tdsman.com/2025/03/tds-tcs-changes-w-e-f-1st-april-2025/ | 
ClearTax – TDS and TCS changes from April 2026 | https://cleartax.in/s/tds-and-tcs-changes-from-april-2026 | 
TDSMAN – Key TDS/TCS proposed changes Budget 2026-27 | https://blog.tdsman.com/2026/02/key-tds-tcs-proposed-changes-in-budget-2026-27/ | </t>
  </si>
  <si>
    <t xml:space="preserve">[VERIFICATION 13-10-2026] ITD s.394(1): LRS above Rs 10 lakh – education or medical 2% (substituted by Act 4 of 2026 w.e.f. 01-04-2026; earlier 5%); other purposes 20%. The 2025 rates (5%/20%, Rs 10 lakh threshold) are consistent with the FY 2025-26 position. The official summary still does not settle whether TCS applies to the excess over Rs 10 lakh or to the whole amount, so the excess-only base remains a CA point. 'Excess over ₹10 lakh' base is the 1961 proviso position; s.394 official summary does not say whether rate applies to excess only – CA review.</t>
  </si>
  <si>
    <t xml:space="preserve">TCS-005</t>
  </si>
  <si>
    <t xml:space="preserve">TCS – Tour package</t>
  </si>
  <si>
    <t xml:space="preserve">Overseas tour programme package (s.206C(1G)(b) / s.394(1) Sl.8)</t>
  </si>
  <si>
    <t xml:space="preserve">Verify TCS by tour operators.</t>
  </si>
  <si>
    <t xml:space="preserve">IT Act 1961 s.206C(1G)(b); IT Act 2025 s.394(1) Table Sl.8 (substituted by Finance Act 2026 w.e.f. 1-4-2026).</t>
  </si>
  <si>
    <t xml:space="preserve">Sellers of overseas tour packages.</t>
  </si>
  <si>
    <t xml:space="preserve">1 April 2026 (flat 2%)</t>
  </si>
  <si>
    <t xml:space="preserve">buyer_pan, package_amount, aggregate_fy</t>
  </si>
  <si>
    <t xml:space="preserve">1. FY 2025-26: 5% up to ₹10 lakh aggregate, 20% above. 2. TY 2026-27: flat 2%, no threshold.</t>
  </si>
  <si>
    <t xml:space="preserve">FY25-26: 5%×min(agg,10L) + 20%×max(0,agg–10L); TY26-27: 2%×amount</t>
  </si>
  <si>
    <t xml:space="preserve">As stated.</t>
  </si>
  <si>
    <t xml:space="preserve">Buyer deducting TDS under another provision.</t>
  </si>
  <si>
    <t xml:space="preserve">Package ₹12,00,000: FY 2025-26 -&gt; 5%×10L + 20%×2L = 50,000 + 40,000 = 90,000. TY 2026-27 -&gt; 2% = 24,000.</t>
  </si>
  <si>
    <t xml:space="preserve">Old slab rates continued after 1-4-2026.</t>
  </si>
  <si>
    <t xml:space="preserve">Income-tax Act, 2025 – Section 394 (incometaxindia.gov.in) | https://www.incometaxindia.gov.in/w/section-394-6 | 
ClearTax – TDS and TCS changes from April 2026 | https://cleartax.in/s/tds-and-tcs-changes-from-april-2026 | 
TDSMAN – Key TDS/TCS proposed changes Budget 2026-27 | https://blog.tdsman.com/2026/02/key-tds-tcs-proposed-changes-in-budget-2026-27/ | 
TaxHeal – TCS rates FY 2026-27 (pre-Finance Act 2026 table) | https://www.taxheal.com/?p=120775 | </t>
  </si>
  <si>
    <t xml:space="preserve">[VERIFICATION 13-10-2026] Reconfirmed on ITD s.394: overseas tour programme package 2% flat w.e.f. 01-04-2026 (Act No. 4 of 2026). Earlier rate per footnote 89: 5% up to Rs 10 lakh and 20% above.</t>
  </si>
  <si>
    <t xml:space="preserve">TCS-006</t>
  </si>
  <si>
    <t xml:space="preserve">TCS on sale of goods s.206C(1H) – OMITTED; interplay with 194Q</t>
  </si>
  <si>
    <t xml:space="preserve">Stop expecting 0.1% TCS on sale of goods &gt; ₹50 lakh from 1-4-2025.</t>
  </si>
  <si>
    <t xml:space="preserve">IT Act 1961 s.206C(1H) omitted by Finance Act 2025 w.e.f. 1-4-2025; no equivalent in s.394.</t>
  </si>
  <si>
    <t xml:space="preserve">Sellers with turnover &gt; ₹10 crore.</t>
  </si>
  <si>
    <t xml:space="preserve">receipt_date, tcs_collected</t>
  </si>
  <si>
    <t xml:space="preserve">1. Receipts on/after 1-4-2025 -&gt; no 206C(1H) TCS; flag any collected as excess. 2. Receipts up to 31-3-2025 -&gt; old rule (0.1% on receipts &gt; ₹50 lakh, 1% no PAN).</t>
  </si>
  <si>
    <t xml:space="preserve">TCS under 1H after 1-4-2025 -&gt; flag (Low/Medium).</t>
  </si>
  <si>
    <t xml:space="preserve">Receipt 15-05-2025 ₹80 lakh, TCS 3,000 collected -&gt; excess.</t>
  </si>
  <si>
    <t xml:space="preserve">Sellers continued collecting.</t>
  </si>
  <si>
    <t xml:space="preserve">RSM India Newsflash – Changes in TDS/TCS w.e.f. 1 April 2025 | https://www.rsm.global/india/sites/default/files/media/publications/2025/RSM%20India%20Newsflash%20-%20Overview%20of%20Changes%20in%20TDS%20and%20TCS%20provisions%20w.e.f.%201st%20April%202025.pdf | 
India Briefing – TDS rates FY 2025-26 | https://www.india-briefing.com/news/a-guide-to-indias-tds-rates-for-fy-2025-26-36999.html/ | 
Income-tax Act, 2025 – Section 394 (incometaxindia.gov.in) | https://www.incometaxindia.gov.in/w/section-394-6 | 
Memorandum explaining provisions of Finance Bill 2025 (indiabudget.gov.in) | https://www.indiabudget.gov.in/budget2025-26/doc/memo.pdf | </t>
  </si>
  <si>
    <t xml:space="preserve">[VERIFICATION 13-10-2026] Budget 2025 Memorandum (official): s.206C(1H) (0.1% TCS on sale of goods above Rs 50 lakh) to stop applying from 01-04-2025 because it overlaps with s.194Q. The s.394 table has no sale-of-goods entry. Omission from RSM/India Briefing; s.394 table (official) contains no sale-of-goods entry – consistent.</t>
  </si>
  <si>
    <t xml:space="preserve">TCS-007</t>
  </si>
  <si>
    <t xml:space="preserve">TCS – PAN</t>
  </si>
  <si>
    <t xml:space="preserve">Higher TCS where PAN not furnished (s.206CC / s.397(2)(c))</t>
  </si>
  <si>
    <t xml:space="preserve">Recompute TCS at higher rate for missing PAN.</t>
  </si>
  <si>
    <t xml:space="preserve">IT Act 1961 s.206CC; IT Act 2025 s.397(2) (TCS: higher of twice rate or 5%, not exceeding 20%).</t>
  </si>
  <si>
    <t xml:space="preserve">Collectees without valid PAN, except NR without PE in India.</t>
  </si>
  <si>
    <t xml:space="preserve">collectee_pan_status, normal_rate, amount, residency, pe_flag</t>
  </si>
  <si>
    <t xml:space="preserve">1. rate = min(20%, max(2×normal_rate, 5%)). 2. Exempt: NR without PE.</t>
  </si>
  <si>
    <t xml:space="preserve">rate = min(0.20, max(2*r, 0.05))</t>
  </si>
  <si>
    <t xml:space="preserve">Twice rate / 5%; cap 20% (2025 Act).</t>
  </si>
  <si>
    <t xml:space="preserve">NR without PE.</t>
  </si>
  <si>
    <t xml:space="preserve">Scrap TY 2026-27 2%, no PAN: max(4%,5%) = 5%; ₹5,00,000 -&gt; 25,000. LRS 20% no PAN: min(20%, 40%) = 20%.</t>
  </si>
  <si>
    <t xml:space="preserve">Income-tax Act, 2025 – Section 397 (incometaxindia.gov.in) | https://www.incometaxindia.gov.in/w/section-397-6 | 
TDSMAN – Higher rate for non-furnishing of PAN s.397(2) | https://blog.tdsman.com/2026/05/higher-rate-of-tds-for-non-furnishing-of-pan-section-3972-206aa-206cc/ | 
TaxHeal – TCS rates FY 2026-27 (pre-Finance Act 2026 table) | https://www.taxheal.com/?p=120775 | </t>
  </si>
  <si>
    <t xml:space="preserve">Cap of 20% verified for 2025 Act; 1961 s.206CC cap not opened.</t>
  </si>
  <si>
    <t xml:space="preserve">TCS-008</t>
  </si>
  <si>
    <t xml:space="preserve">TCS – Process</t>
  </si>
  <si>
    <t xml:space="preserve">TCS deposit, statement, certificate and interest</t>
  </si>
  <si>
    <t xml:space="preserve">Compliance calendar and interest for TCS.</t>
  </si>
  <si>
    <t xml:space="preserve">IT Act 1961 s.206C(3), (7); Rules 37CA, 31AA, 37D; IT Act 2025 s.397(3), s.398(3), s.427; Rules 218, 219; Forms 27EQ-&gt;143, 27D-&gt;133.</t>
  </si>
  <si>
    <t xml:space="preserve">Collectors.</t>
  </si>
  <si>
    <t xml:space="preserve">collection_date, challan_date, statement_filing_date, tcs_amount</t>
  </si>
  <si>
    <t xml:space="preserve">1. Deposit by 7th of next month (30 April for March). 2. Statement: 27EQ by 15th after quarter (FY 2025-26) / Form 143 by 31st after quarter (tax year 2026-27). 3. Interest: 1% per month or part from date collectible to date collected; 1.5% per month or part from date collected to date paid. 4. Late fee ₹200/day capped at TCS (s.234E / s.427).</t>
  </si>
  <si>
    <t xml:space="preserve">interest = tcs × rate × months</t>
  </si>
  <si>
    <t xml:space="preserve">s.206C(7) / s.398(3): failure to collect 1% per month or part; collected but not paid 1.5% per month or part (w.e.f. 01-04-2025, Finance (No.2) Act 2024).</t>
  </si>
  <si>
    <t xml:space="preserve">TCS ₹20,000 collected 12-05-2026, paid 20-06-2026 (due 07-06-2026): months May, June = 2 -&gt; 20,000×1.5%×2 = ₹600.</t>
  </si>
  <si>
    <t xml:space="preserve">Income-tax Rules, 2026 – Rule 218 (incometaxindia.gov.in) | https://www.incometaxindia.gov.in/w/rule-218-1 | 
Income-tax Rules, 2026 – Rule 219 (incometaxindia.gov.in) | https://www.incometaxindia.gov.in/w/rule-219-1 | 
Income-tax Act, 2025 – Section 398 (incometaxindia.gov.in) | https://www.incometaxindia.gov.in/w/section-398-5 | 
Income-tax Act, 1961 – Section 206C (incometaxindia.gov.in) | https://www.incometaxindia.gov.in/w/section-206c-37 | 
TaxGuru – Q1 Tax Year 2026-27 TDS/TCS return forms and due dates | https://taxguru.in/income-tax/q1-tax-year-2026-27-tds-tcs-return-filing-forms-due-dates.html | 
TDSMAN – TDS/TCS changes w.e.f. 1 April 2025 | https://blog.tdsman.com/2025/03/tds-tcs-changes-w-e-f-1st-april-2025/ | 
Memorandum explaining provisions of Finance (No.2) Bill 2024 (indiabudget.gov.in) | https://www.indiabudget.gov.in/budget2024-25/doc/memo.pdf | </t>
  </si>
  <si>
    <t xml:space="preserve">[VERIFICATION 13-10-2026] Conflict resolved: the Budget July-2024 Memorandum (official) raises s.206C(7) interest for collected-but-not-paid TCS from 1% to 1.5% per month or part, w.e.f. 01-04-2025, in line with s.201(1A). So 1.5% applies for FY 2025-26; the 1% on the official 1961 s.206C page is stale. Late collection stays 1%. Statement and certificate dates not re-checked. Rate conflict resolved: 1.5% for collected-not-paid from 01-04-2025 (Budget 2024 Memorandum); official page showing 1% is out of date.</t>
  </si>
  <si>
    <t xml:space="preserve">TCS-009</t>
  </si>
  <si>
    <t xml:space="preserve">TCS – Reconciliation</t>
  </si>
  <si>
    <t xml:space="preserve">TCS reconciliation: books vs 27EQ/143 vs challans vs collectee 26AS</t>
  </si>
  <si>
    <t xml:space="preserve">Three-way/four-way match for collectors and collectees.</t>
  </si>
  <si>
    <t xml:space="preserve">As TCS process rule.</t>
  </si>
  <si>
    <t xml:space="preserve">Collectors and buyers.</t>
  </si>
  <si>
    <t xml:space="preserve">sales_ledger(tcs_item, amount, tcs), challans, statement_rows, form26as_tcs</t>
  </si>
  <si>
    <t xml:space="preserve">1. Recompute expected TCS per invoice using period rate table. 2. Match to statement; 3. Challan consumption; 4. Buyer: 26AS TCS vs TCS receivable in books (claimable as tax credit).</t>
  </si>
  <si>
    <t xml:space="preserve">Exception report.</t>
  </si>
  <si>
    <t xml:space="preserve">TCS shown in GST taxable value confusion.</t>
  </si>
  <si>
    <t xml:space="preserve">Income-tax Act, 2025 – Section 394 (incometaxindia.gov.in) | https://www.incometaxindia.gov.in/w/section-394-6 | 
Income-tax Rules, 2026 – Rule 219 (incometaxindia.gov.in) | https://www.incometaxindia.gov.in/w/rule-219-1 | </t>
  </si>
  <si>
    <t xml:space="preserve">Match logic is implementation design. Whether TCS forms part of GST value not researched.</t>
  </si>
  <si>
    <t xml:space="preserve">GSTIN, registration, place of supply, rates (GST 2.0), returns, ITC, reversals, RCM, interest, late fees, due dates.  Row 5 holds the YAML key for each column. Research date 13 October 2026. Every rule needs CA validation before use.</t>
  </si>
  <si>
    <t xml:space="preserve">GST-001</t>
  </si>
  <si>
    <t xml:space="preserve">GST – Master data / Identity</t>
  </si>
  <si>
    <t xml:space="preserve">GSTIN format and check-digit validation</t>
  </si>
  <si>
    <t xml:space="preserve">Reject or flag malformed/typo GSTINs of suppliers and customers before any matching, so that 2B matching, place-of-supply and B2B reporting run on clean keys.</t>
  </si>
  <si>
    <t xml:space="preserve">CGST Rules, 2017 Rule 10 / FORM GST REG-06 (GSTIN issued on registration); state codes per Census-2011/GSTN state code list. Check-digit algorithm is a GSTN technical design (Luhn mod-36), not prescribed in the Act or Rules.</t>
  </si>
  <si>
    <t xml:space="preserve">All GSTINs in sales register, purchase register, GSTR-1, GSTR-2B, e-invoice and e-way bill data. Does NOT apply to UIN holders/TDS/TCS/NRTP/OIDAR formats without separate patterns (see exceptions).</t>
  </si>
  <si>
    <t xml:space="preserve">1 July 2017 (unchanged through FY 2025-26 and FY 2026-27)</t>
  </si>
  <si>
    <t xml:space="preserve">State code master (01-38 plus 97 Other Territory, 96 Foreign/OIDAR per GSTN usage – maintain as configurable master).</t>
  </si>
  <si>
    <t xml:space="preserve">gstin, party_name, party_state_code (from books), pan (if captured)</t>
  </si>
  <si>
    <t xml:space="preserve">1. Trim, remove spaces/hyphens, upper-case. 2. Length must be 15. 3. Regex ^[0-9]{2}[A-Z]{5}[0-9]{4}[A-Z][1-9A-Z]Z[0-9A-Z]$ for normal taxpayers. 4. First 2 digits must exist in state code master. 5. Characters 3-12 = PAN; 4th char of PAN (position 6 in GSTIN) indicates holder type (P individual, C company, F firm/LLP, H HUF, A AOP, T trust, B BOI, L local authority, J artificial juridical person, G government). 6. Position 13 = entity number (1-9 then A-Z) for same PAN in the same state. 7. Position 14 = 'Z' (default) for normal registrations. 8. Compute Luhn mod-36 check digit over first 14 characters and compare with position 15. 9. If PAN separately captured, compare with GSTIN[2:12]. 10. Optionally call GST portal public search API for active/cancelled status (outside scope of offline validation).</t>
  </si>
  <si>
    <t xml:space="preserve">Alphabet A='0123456789ABCDEFGHIJKLMNOPQRSTUVWXYZ'. For i=0..13 (left to right): v=index(c_i); f = 1 if i even else 2; p=v*f; sum += (p // 36) + (p % 36). check = A[(36 - sum % 36) % 36].</t>
  </si>
  <si>
    <t xml:space="preserve">UIN (UN bodies/embassies), TDS deductor (s.51), TCS (ECO s.52), NRTP and OIDAR GSTINs use different 13th/14th character conventions (e.g., 14th char 'D' for TDS, 'C' for TCS is commonly observed) – unverified from official source; route to 'special registration' validation rather than fail hard.</t>
  </si>
  <si>
    <t xml:space="preserve">Length != 15 -&gt; INVALID_LENGTH; regex fail -&gt; INVALID_FORMAT; unknown state code -&gt; INVALID_STATE; check digit mismatch -&gt; INVALID_CHECKSUM; PAN mismatch with master -&gt; PAN_MISMATCH; state code of GSTIN != state in party master address -&gt; STATE_MISMATCH (warning).</t>
  </si>
  <si>
    <t xml:space="preserve">Per GSTIN: valid flag, error code, decoded state name, PAN, holder type, entity number.</t>
  </si>
  <si>
    <t xml:space="preserve">GSTIN 27AAPFU0939F1ZV. Values: 2,7,10,10,25,15,30,0,9,3,9,15,1,35. Factors 1,2,1,2,... Products: 2,14,10,20,25,30,30,0,9,6,9,30,1,70. Sum of (p//36 + p%36): 2+14+10+20+25+30+30+0+9+6+9+30+1+(1+34=35) = 221. 221 % 36 = 5. (36-5)%36 = 31 -&gt; A[31] = 'V'. Matches 15th char -&gt; valid. (Verified by running the algorithm; also 29AAGCB7383J1Z4 -&gt; '4' valid.)</t>
  </si>
  <si>
    <t xml:space="preserve">27AAPFU0939F1ZV -&gt; VALID, state=Maharashtra, PAN=AAPFU0939F, holder type F (firm).</t>
  </si>
  <si>
    <t xml:space="preserve">27AAPFU0939F1ZO -&gt; INVALID_CHECKSUM; 27AAPFU0939F1Z -&gt; INVALID_LENGTH; 99AAPFU0939F1ZV -&gt; INVALID_STATE; 27AAPFU0939F0ZV -&gt; INVALID_FORMAT (entity char 0).</t>
  </si>
  <si>
    <t xml:space="preserve">O vs 0 and I vs 1 typos; lower-case entry; old Andhra Pradesh code 28 vs new 37 after bifurcation; Dadra &amp; Nagar Haveli and Daman &amp; Diu merged (code 26 used post-merger – verify); customer's GSTIN of another state of same PAN used on invoice.</t>
  </si>
  <si>
    <t xml:space="preserve">Invalid checksum/format: Critical (block from 2B matching key; send to master-data cleanup). State mismatch: Medium.</t>
  </si>
  <si>
    <t xml:space="preserve">A='0123456789ABCDEFGHIJKLMNOPQRSTUVWXYZ'
import re
def gstin_check(g):
    g=g.replace(' ','').replace('-','').upper()
    if len(g)!=15: return 'INVALID_LENGTH'
    if not re.match(r'^[0-9]{2}[A-Z]{5}[0-9]{4}[A-Z][1-9A-Z]Z[0-9A-Z]$', g): return 'INVALID_FORMAT'
    if g[:2] not in STATE_CODES: return 'INVALID_STATE'
    s=0
    for i,c in enumerate(g[:14]):
        p=A.index(c)*(1 if i%2==0 else 2)
        s+=p//36+p%36
    return 'VALID' if A[(36-s%36)%36]==g[14] else 'INVALID_CHECKSUM'</t>
  </si>
  <si>
    <t xml:space="preserve">python-stdnum gstin.py (Luhn mod 36 check digit) | https://arthurdejong.org/git/python-stdnum/plain/stdnum/in_/gstin.py | Code inspected from PyPI package python-stdnum 2.2
GSTIN format explained (AI Accountant) | https://www.aiaccountant.com/blog/gstin-format | structure positions 1-15</t>
  </si>
  <si>
    <t xml:space="preserve">Check-digit algorithm verified by inspecting open-source python-stdnum (Luhn mod 36) and executing it against known valid GSTINs; GSTN has not published the algorithm on an official page I could open. State code list in python-stdnum stops at 37 and lacks 38 (Ladakh) and 97 (Other Territory) – maintain the master from GST portal. Not verified on official domain.</t>
  </si>
  <si>
    <t xml:space="preserve">GST-002</t>
  </si>
  <si>
    <t xml:space="preserve">GST – Registration</t>
  </si>
  <si>
    <t xml:space="preserve">Registration threshold monitoring (s.22 / Notification 10/2019-CT)</t>
  </si>
  <si>
    <t xml:space="preserve">Flag clients (or their unregistered vendors) whose aggregate turnover crosses the registration threshold, and identify compulsory-registration cases.</t>
  </si>
  <si>
    <t xml:space="preserve">CGST Act s.22(1) and proviso (special category states), s.2(6) aggregate turnover, s.24 compulsory registration, s.23 exemptions; Notification 10/2019-Central Tax dt 07.03.2019 (Rs 40 lakh for exclusive suppliers of goods, effective 01.04.2019).</t>
  </si>
  <si>
    <t xml:space="preserve">Persons not yet registered; also vendor master checks (unregistered vendor crossing threshold).</t>
  </si>
  <si>
    <t xml:space="preserve">Rs 40 lakh goods: 1 April 2019; Rs 20 lakh / Rs 10 lakh: CGST Amendment Act 2018 effective 1 Feb 2019 (not re-verified)</t>
  </si>
  <si>
    <t xml:space="preserve">PAN-level all-India aggregate turnover (taxable + exempt + exports + inter-state of same PAN, excluding inward RCM and taxes); state of principal place of business; nature of supply (goods only vs services/mixed).</t>
  </si>
  <si>
    <t xml:space="preserve">pan, state_code, fy, month, taxable_turnover, exempt_turnover, export_turnover, interstate_supply_flag, supplies_through_eco_flag, goods_only_flag, notified_goods_flag (ice cream, pan masala, tobacco)</t>
  </si>
  <si>
    <t xml:space="preserve">1. Compute running aggregate turnover for the FY at PAN level (all-India). 2. Determine threshold from state + nature: goods-only intra-state suppliers in states that adopted N.10/2019 -&gt; Rs 40 lakh; otherwise Rs 20 lakh; special category states under s.22 proviso -&gt; Rs 10 lakh. 3. Exclude from Rs 40 lakh: persons supplying ice cream/edible ice, pan masala, tobacco products; and persons in excluded states. 4. If any s.24 trigger (inter-state taxable supply of goods, casual taxable person, RCM liability, ECO supplier for goods, TDS deductor, ISD, NRTP, OIDAR) -&gt; registration compulsory regardless of turnover (note: inter-state services up to threshold exempted by Notification 10/2017-IT – not re-verified). 5. Flag the month in which threshold is crossed; registration application due within 30 days (s.25(1)).</t>
  </si>
  <si>
    <t xml:space="preserve">aggregate_turnover = Σ(taxable + exempt + export + interstate supplies of same PAN) ; flag if aggregate_turnover &gt; threshold(state, nature)</t>
  </si>
  <si>
    <t xml:space="preserve">Goods-only: Rs 40 lakh (most states) / Rs 20 lakh (states not adopting N.10/2019) / Rs 10 lakh (special category under s.22 proviso). Services or mixed: Rs 20 lakh / Rs 10 lakh special category. Configure per state in a master table.</t>
  </si>
  <si>
    <t xml:space="preserve">Persons exclusively supplying non-taxable or wholly exempt supplies (s.23); agriculturists for produce from cultivation; s.24 compulsory cases override thresholds.</t>
  </si>
  <si>
    <t xml:space="preserve">Apply within 30 days from the date liable (s.25(1)).</t>
  </si>
  <si>
    <t xml:space="preserve">Unregistered vendor whose purchase value from this client alone exceeds threshold -&gt; Medium flag; Client unregistered with turnover &gt; threshold -&gt; Critical.</t>
  </si>
  <si>
    <t xml:space="preserve">Threshold status per PAN-state per month; date of crossing; compulsory-registration triggers list.</t>
  </si>
  <si>
    <t xml:space="preserve">Trader in Maharashtra, goods only, intra-state. Apr-Dec turnover cumulative Rs 38.5 lakh; January sales Rs 2.2 lakh -&gt; cumulative 40.7 lakh &gt; 40 lakh -&gt; flag Jan; apply by 30 days from date of crossing.</t>
  </si>
  <si>
    <t xml:space="preserve">Services provider in Karnataka, cumulative Rs 20.4 lakh -&gt; REGISTRATION_REQUIRED.</t>
  </si>
  <si>
    <t xml:space="preserve">Goods-only supplier in Telangana (state did not adopt Rs 40 lakh per common understanding) with Rs 25 lakh -&gt; REQUIRED (Rs 20 lakh limit) – CA to confirm state list; Supplier with only exempt supplies Rs 60 lakh -&gt; NOT REQUIRED (s.23).</t>
  </si>
  <si>
    <t xml:space="preserve">Using taxable turnover only (exempt must be included); state-wise rather than PAN-level turnover; ignoring inter-state supplies.</t>
  </si>
  <si>
    <t xml:space="preserve">def reg_threshold(state, goods_only, notified_goods):
    if state in SPECIAL_10L: return 10_00_000
    if goods_only and not notified_goods and state in ADOPTED_40L: return 40_00_000
    return 20_00_000
flag = agg_turnover &gt; reg_threshold(...) or any(s24_triggers)</t>
  </si>
  <si>
    <t xml:space="preserve">Special category states GST registration (VJM Global) | https://www.vjmglobal.com/feeds/blog/special-category-states-gst-registration | secondary; partial
CBIC – CGST s.22 | https://taxinformation.cbic.gov.in/content/html/tax_repository/gst/acts/2017_CGST_act/active/chapter6/section22_v1.00.html | </t>
  </si>
  <si>
    <t xml:space="preserve">[VERIFICATION 13-10-2026] CBIC s.22 (official): threshold Rs 20 lakh; Rs 10 lakh for special category States. Explanation (iii) defines these as the Art.279A(4)(g) States other than J&amp;K, Arunachal Pradesh, Assam, Himachal Pradesh, Meghalaya, Sikkim and Uttarakhand, which leaves Manipur, Mizoram, Nagaland and Tripura at Rs 10 lakh. The Rs 40 lakh goods-only option comes from the Finance (No.2) Act 2019 proviso (from 01-01-2020). The list of States not adopting Rs 40 lakh (N.10/2019) is still not confirmed officially. Exact list of states that opted out of Rs 40 lakh (commonly cited: Arunachal Pradesh, Manipur, Meghalaya, Mizoram, Nagaland, Puducherry, Sikkim, Telangana, Tripura, Uttarakhand) and the Rs 10 lakh states (commonly: Manipur, Mizoram, Nagaland, Tripura) could not be confirmed on an official page; the secondary source opened was internally inconsistent. Keep as a configurable master; CA review needed. 57th Council (08.10.2026) recommended registration simplifications – not yet law.</t>
  </si>
  <si>
    <t xml:space="preserve">GST-003</t>
  </si>
  <si>
    <t xml:space="preserve">IGST vs CGST+SGST validation using GSTIN state code and place of supply</t>
  </si>
  <si>
    <t xml:space="preserve">Detect wrong tax-type charging (IGST charged on intra-state supply or CGST/SGST on inter-state), which makes ITC unavailable to recipient and requires s.77 refund/re-payment.</t>
  </si>
  <si>
    <t xml:space="preserve">IGST Act s.7 (inter-state), s.8 (intra-state), s.10 (POS goods), s.12/13 (POS services); CGST Act s.77 / IGST s.19 (tax wrongly paid); Rule 46(n) (POS on invoice for inter-state); Circular 170/02/2022 (Table 3.2). FA 2026 omitted IGST s.13(8)(b) (intermediary) – POS of intermediary services becomes recipient's location from 30.03.2026 per secondary source.</t>
  </si>
  <si>
    <t xml:space="preserve">Every B2B and B2C invoice in sales register / GSTR-1 / e-invoice; every purchase invoice in purchase register / GSTR-2B.</t>
  </si>
  <si>
    <t xml:space="preserve">1 July 2017; intermediary change 30.03.2026 (unverified on Gazette)</t>
  </si>
  <si>
    <t xml:space="preserve">Supplier GSTIN state code, recipient GSTIN state code (B2B), declared place of supply (POS), supply type (goods/services, SEZ, export, import), bill-to/ship-to addresses.</t>
  </si>
  <si>
    <t xml:space="preserve">supplier_gstin, recipient_gstin, pos_state_code, supply_type, sez_flag, export_flag, igst_amount, cgst_amount, sgst_amount, ship_to_state, bill_to_state, service_category</t>
  </si>
  <si>
    <t xml:space="preserve">1. supplier_state = supplier_gstin[0:2]. 2. Determine expected POS: B2B goods with movement -&gt; state where movement terminates (s.10(1)(a)); bill-to-ship-to -&gt; state of the third person (bill-to) (s.10(1)(b)); services general B2B -&gt; recipient's registered location (s.12(2)); B2C services -&gt; recipient address on record else supplier location; immovable property, restaurant, events, transport, etc. -&gt; special s.12 rules (maintain category master). 3. If supply to/by SEZ or export/import -&gt; always inter-state (IGST) (IGST s.7(5), 7(2)). 4. If supplier_state == POS -&gt; expected CGST+SGST/UTGST; else IGST. 5. Compare with tax charged. 6. For B2B, also check declared POS vs recipient GSTIN state; difference is allowed (e.g., hotel accommodation in another state) but flag for review. 7. For purchases: if supplier charged CGST+SGST but recipient GSTIN state != supplier state -&gt; ITC not available (GSTR-2B shows as ineligible due to POS; s.16 read with IGST s.8) – route to 3B Table 4(D)(2).</t>
  </si>
  <si>
    <t xml:space="preserve">expected_type = 'IGST' if (sez or export or import or supplier_state != pos_state) else 'CGST_SGST'</t>
  </si>
  <si>
    <t xml:space="preserve">CGST = SGST = rate/2; IGST = full rate.</t>
  </si>
  <si>
    <t xml:space="preserve">Supplies in the course of import till customs frontier; OIDAR B2C; intermediary (pre/post FA 2026); SEZ developer/unit supplies always IGST even if same state.</t>
  </si>
  <si>
    <t xml:space="preserve">CGST Act s.170: tax, interest, penalty, fine or any other sum payable, and refund, rounded off to the nearest rupee; 50 paise or more raised to Re 1, less than 50 paise ignored. Apply per tax head (CGST/SGST/IGST/cess) on the payable amount; invoice-line tax may be kept to 2 decimals (implementation choice) – compare with tolerance of Re 1 per head.</t>
  </si>
  <si>
    <t xml:space="preserve">Correction via credit note + fresh invoice or GSTR-1A/amendment within s.37(3)/s.34 time limits.</t>
  </si>
  <si>
    <t xml:space="preserve">tax_type != expected_type -&gt; WRONG_TAX_TYPE (Critical); POS != recipient state for B2B -&gt; POS_REVIEW (Medium); intra-state purchase where recipient in other state -&gt; ITC_INELIGIBLE_POS (High); both IGST and CGST/SGST on same line -&gt; MIXED_TAX (Critical).</t>
  </si>
  <si>
    <t xml:space="preserve">Per invoice: expected tax type, charged tax type, POS used, status.</t>
  </si>
  <si>
    <t xml:space="preserve">Supplier 27 (Maharashtra) ships goods to buyer GSTIN 29 (Karnataka), POS 29, taxable Rs 1,00,000 at 18%: expected IGST 18,000. Invoice shows CGST 9,000 + SGST 9,000 -&gt; WRONG_TAX_TYPE. Buyer's ITC on that invoice not available; supplier must pay IGST and claim refund of CGST/SGST under s.77.</t>
  </si>
  <si>
    <t xml:space="preserve">Supplier 07, recipient 07, POS 07, CGST 900 + SGST 900 on 10,000 @18% -&gt; OK.</t>
  </si>
  <si>
    <t xml:space="preserve">Supplier 24 to SEZ unit with GSTIN 24, CGST+SGST charged -&gt; WRONG_TAX_TYPE (SEZ supplies are inter-state).</t>
  </si>
  <si>
    <t xml:space="preserve">Bill-to-ship-to wrongly using ship-to state; hotel/event services in another state; POS left as supplier state for B2C online sales; UT codes (Ladakh 38, Chandigarh 04) needing UTGST not SGST.</t>
  </si>
  <si>
    <t xml:space="preserve">Critical for wrong tax type; Medium for POS review.</t>
  </si>
  <si>
    <t xml:space="preserve">def check_pos(inv):
    s=inv.supplier_gstin[:2]
    inter = inv.sez or inv.export or inv.import_ or s != inv.pos
    exp = 'IGST' if inter else 'CGST_SGST'
    got = 'IGST' if inv.igst&gt;0 else ('CGST_SGST' if inv.cgst&gt;0 else 'NIL')
    return 'OK' if got in (exp,'NIL') else 'WRONG_TAX_TYPE'</t>
  </si>
  <si>
    <t xml:space="preserve">Circular 170/02/2022-GST (gstcouncil.gov.in) | https://www.gstcouncil.gov.in/sites/default/files/2024-06/cir-170-02-2022-cgst.pdf | GSTR-3B Table 4 &amp; 3.2 reporting
GST Amendments proposed through Finance Bill, 2026 (ICAI CA Journal) | https://cajournal.icai.org/article-details/gst-amendments-proposed-through-the-finance-bill-2026 | Clauses 137-141
31.03.2026: Finance Act, 2026 enacted on 30.03.2026 (TaxO) | https://taxo.online/latest-news/31-03-2026-finance-act-2026-enacted-on-30-03-2026-key-amendments-in-valuation-refunds-and-place-of-supply/ | commencement status</t>
  </si>
  <si>
    <t xml:space="preserve">Core POS provisions stated from statute knowledge; only the intermediary amendment (FA 2026) and Table 3.2 reporting were checked against sources opened. Category-specific POS rules for services (s.12/s.13 IGST) should be a configurable master reviewed by a CA.</t>
  </si>
  <si>
    <t xml:space="preserve">GST-004</t>
  </si>
  <si>
    <t xml:space="preserve">GST – Returns / HSN</t>
  </si>
  <si>
    <t xml:space="preserve">HSN/SAC digits and GSTR-1 Table 12 (B2B/B2C split) validation</t>
  </si>
  <si>
    <t xml:space="preserve">Ensure HSN summary in GSTR-1 uses the mandatory number of digits and that Table 12 B2B and B2C tabs reconcile with invoice-level data.</t>
  </si>
  <si>
    <t xml:space="preserve">CGST Rule 46 (HSN on tax invoice) read with Notification 78/2020-Central Tax dt 15.10.2020 (effective 01.04.2021); Rule 59 / FORM GSTR-1 Table 12; GSTN advisories on Phase-III HSN (Jan 2025) – Table 12 split into B2B and B2C tabs with dropdown HSN selection.</t>
  </si>
  <si>
    <t xml:space="preserve">All GSTR-1/GSTR-1A filers; e-invoices.</t>
  </si>
  <si>
    <t xml:space="preserve">Digits: 1 April 2021. Table 12 B2B/B2C split and dropdown: from tax period January 2025 (Phase-III advisory; exact period per GSTN – verify).</t>
  </si>
  <si>
    <t xml:space="preserve">AATO of preceding FY; HSN master (with valid codes); invoice-level HSN, UQC, quantity, taxable value, tax.</t>
  </si>
  <si>
    <t xml:space="preserve">aato_preceding_fy, invoice_type (B2B/B2C), hsn_code, uqc, quantity, taxable_value, igst, cgst, sgst, cess, gstr1_table12_b2b, gstr1_table12_b2c</t>
  </si>
  <si>
    <t xml:space="preserve">1. Determine digits required: AATO &lt;= Rs 5 crore -&gt; at least 4 digits for B2B invoices (B2C optional on invoice per N.78/2020 proviso); AATO &gt; Rs 5 crore -&gt; 6 digits for all. 2. For GSTR-1 Table 12 from Phase-III: minimum digits as per AATO for both tabs as enforced by portal (secondary sources say 4 digits mandatory in B2C too for &lt;= 5 cr – verify). 3. Validate HSN exists in master (dropdown codes). 4. Services must use SAC (starting 99). 5. Aggregate invoice data by (tab, HSN, UQC, rate) and compare with Table 12 rows. 6. Check sum of Table 12 B2B taxable value = sum of B2B invoice tables (4A,4B,6B,6C, 9 amendments net) and B2C = 5, 7, etc.</t>
  </si>
  <si>
    <t xml:space="preserve">diff = Σ invoice_taxable(tab,hsn,rate) − table12_taxable(tab,hsn,rate); flag if |diff| &gt; tolerance (Re 1 per row recommended)</t>
  </si>
  <si>
    <t xml:space="preserve">AATO &lt;= Rs 5 crore: 4 digits; &gt; Rs 5 crore: 6 digits (N.78/2020-CT). E-way bill also enforces 4/6 digits from 01.02.2024 (seen in search results only).</t>
  </si>
  <si>
    <t xml:space="preserve">B2C invoices of taxpayers with AATO &lt;= Rs 5 crore: HSN optional on the invoice (N.78/2020 proviso) but GSTR-1 Table 12 still requires HSN summary.</t>
  </si>
  <si>
    <t xml:space="preserve">Values in Table 12 to 2 decimals; tax rounding per s.170 applies to payable amounts, not HSN rows – implementation choice.</t>
  </si>
  <si>
    <t xml:space="preserve">With GSTR-1 (11th monthly / 13th quarterly).</t>
  </si>
  <si>
    <t xml:space="preserve">hsn length &lt; required -&gt; HSN_DIGITS_SHORT (High); hsn not in master -&gt; HSN_INVALID (High); B2B/B2C mismatch with invoice tables -&gt; TABLE12_MISMATCH (Medium); rate in Table 12 not in rate master for that HSN -&gt; RATE_HSN_MISMATCH (High).</t>
  </si>
  <si>
    <t xml:space="preserve">HSN-wise reconciliation sheet: invoice-derived vs Table 12, per tab.</t>
  </si>
  <si>
    <t xml:space="preserve">AATO FY 2024-25 = Rs 7.2 crore -&gt; 6 digits. Invoice line HSN '8471' -&gt; HSN_DIGITS_SHORT. B2B invoices for HSN 847130 @18% total Rs 12,40,000; Table 12 B2B shows Rs 12,10,000 -&gt; diff Rs 30,000 -&gt; TABLE12_MISMATCH.</t>
  </si>
  <si>
    <t xml:space="preserve">AATO Rs 3 crore, B2B line HSN 3004 -&gt; OK (4 digits).</t>
  </si>
  <si>
    <t xml:space="preserve">AATO Rs 3 crore, B2B line HSN '30' -&gt; HSN_DIGITS_SHORT; service line with HSN 8471 instead of SAC 9983xx -&gt; SAC_EXPECTED.</t>
  </si>
  <si>
    <t xml:space="preserve">Credit notes not netted in Table 12; B2C sales reported under B2B tab; UQC 'OTH' misuse; HSN codes pre-2022 amendments of HS nomenclature.</t>
  </si>
  <si>
    <t xml:space="preserve">req = 6 if aato_prev &gt; 5e7 else 4
for line in lines:
    if len(line.hsn) &lt; req and (line.b2b or aato_prev&gt;5e7): flag('HSN_DIGITS_SHORT')
agg = groupby(lines, ['tab','hsn','rate']).sum('taxable')
compare(agg, table12)</t>
  </si>
  <si>
    <t xml:space="preserve">09.01.2025 Advisory – Phase III HSN in GSTR-1/1A (TaxO) | https://taxo.online/latest-news/09-01-2025-advisory-issued-relating-implementation-of-phase-iii-for-mentioning-of-hsn-codes-in-gstr-1-gstr-1a/ | Table 12 B2B/B2C split; dropdown
HSN code mandatory for B2C – turnover threshold (TaxHeal) | https://www.taxheal.com/?p=97083 | 4/6 digit rule
Notification 78/2020-Central Tax dt 15.10.2020 (IRIS GST) | https://irisgst.com/for-taxpayer-with-turnover-upto-rs-5-cr-mention-4-digit-hsn-code-and-for-turnover-above-rs-5-cr-mention-6-digit-hsn-code/ | seen in search results</t>
  </si>
  <si>
    <t xml:space="preserve">Notification 78/2020 table confirmed only via secondary summaries (official text not opened). Whether portal enforces HSN digits for B2C tab for AATO &lt;= 5 cr was not confirmed from the GSTN advisory itself. Phase-III validations were warnings initially (not blocking) per advisory summary.</t>
  </si>
  <si>
    <t xml:space="preserve">GST-005</t>
  </si>
  <si>
    <t xml:space="preserve">GST – Rates</t>
  </si>
  <si>
    <t xml:space="preserve">Tax rate validation per HSN – master table (GST 2.0, w.e.f. 22.09.2025, and 01.02.2026 tobacco changes)</t>
  </si>
  <si>
    <t xml:space="preserve">Validate the GST rate charged on each invoice line against the rate master effective on the invoice's time of supply, catching wrong rate after GST rate rationalisation.</t>
  </si>
  <si>
    <t xml:space="preserve">Goods: Notification 9/2025-Central Tax (Rate) and 9/2025-Integrated Tax (Rate) dt 17.09.2025 (supersede 1/2017-CT(Rate)/IT(Rate)), effective 22.09.2025; amended by 19/2025-CT(Rate)/19/2025-IT(Rate) dt 31.12.2025 effective 01.02.2026 (biris to 18%; pan masala, tobacco, inhalation products to 40%; Schedule VII 28% omitted). Services: Notification 15/2025-CT(Rate) dt 17.09.2025 amending 11/2017-CT(Rate), effective 22.09.2025. Exemptions: separate notification dt 17.09.2025 (number reported as 10/2025-CT(Rate) by secondary source – not verified). Time of supply: CGST s.12/13 and s.14 (change in rate).</t>
  </si>
  <si>
    <t xml:space="preserve">All outward supplies (sales register, e-invoice, GSTR-1) and inward supplies (purchase register, GSTR-2B) with HSN/SAC.</t>
  </si>
  <si>
    <t xml:space="preserve">22 September 2025 (most goods &amp; services); 1 February 2026 (tobacco/pan masala/biris). Pre-22.09.2025 rates under 1/2017-CT(Rate) remain for earlier time of supply.</t>
  </si>
  <si>
    <t xml:space="preserve">Effective-dated rate master: (hsn_prefix, description_condition, rate_igst, cgst, sgst, cess_rate, valid_from, valid_to, conditions e.g. 'without ITC', 'value &lt;= 7500'). Time-of-supply date per line.</t>
  </si>
  <si>
    <t xml:space="preserve">invoice_date, time_of_supply_date, payment_receipt_date, hsn_code, description, unit_value, taxable_value, rate_charged, cess_rate_charged, supply_type, itc_option_flag (for GTA/hotel/passenger transport)</t>
  </si>
  <si>
    <t xml:space="preserve">1. Determine applicable date: per s.14 for supplies straddling 22.09.2025 (if supply completed before change: rate = old if invoice &amp; payment both before; new if both after...; per Council FAQ 4: supply before, invoice after, payment after -&gt; earlier of invoice/payment). 2. Look up master by longest matching HSN prefix (8 -&gt; 6 -&gt; 4 -&gt; 2) valid on that date, applying description/value conditions. 3. Compare rate_charged with master rate; for IGST compare full rate, for CGST/SGST compare half each. 4. For services with options (GTA: 5% without ITC or 18% with full ITC; passenger road transport 5% w/o ITC or 18% with ITC; hotel accommodation &lt;= Rs 7,500/unit/day 5% without ITC) check the option flag and that ITC is not claimed when 5% option used. 5. Flag lines still at 12% or 28% after 22.09.2025 (28% valid only for tobacco/pan masala till 31.01.2026 under Schedule VII). 6. Flag cess charged after its removal date.</t>
  </si>
  <si>
    <t xml:space="preserve">expected_rate = master.lookup(hsn, date, conditions); variance = rate_charged − expected_rate; expected_tax = round(taxable_value × expected_rate/100, 2)</t>
  </si>
  <si>
    <t xml:space="preserve">IGST schedules (N.9/2025-IT(Rate)): Sch I 5%, Sch II 18%, Sch III 40%, Sch IV 3%, Sch V 0.25%, Sch VI 1.5%, Sch VII 28% (omitted w.e.f. 01.02.2026). CGST = half (2.5/9/20/1.5/0.125/0.75/14). Services: hotel accommodation &lt;= Rs 7,500 per unit per day 5% without ITC; GTA 5% (no ITC) or 18% with ITC; individual life &amp; health insurance exempt; beauty/gym/salon 5% (Council press release).</t>
  </si>
  <si>
    <t xml:space="preserve">Exempt goods/services (Nil) under separate exemption notifications; petroleum crude etc. outside GST; tobacco items kept at old rate + cess until 31.01.2026.</t>
  </si>
  <si>
    <t xml:space="preserve">Line tax to 2 decimals; payable rounding per CGST s.170. Tolerance Re 1 per line recommended (implementation choice).</t>
  </si>
  <si>
    <t xml:space="preserve">rate_charged != expected -&gt; WRONG_RATE (High; Critical if under-charged); 12% or 28% after 21.09.2025 for non-tobacco -&gt; OBSOLETE_SLAB (High); hotel/GTA 5% with ITC claimed in purchase books -&gt; ITC_ON_NO_ITC_OPTION (High); HSN not found -&gt; RATE_MASTER_GAP (Medium).</t>
  </si>
  <si>
    <t xml:space="preserve">Line-level rate check with expected rate, charged rate, tax difference.</t>
  </si>
  <si>
    <t xml:space="preserve">Invoice dt 25.09.2025, HSN 8415 (air conditioner) taxable Rs 40,000, charged 28% = 11,200. Master (post 22.09.2025, Sch II 18%) -&gt; expected 7,200; under-reporting? No: over-charged by 4,000 -&gt; WRONG_RATE. (Example HSN-to-rate mapping is illustrative; load actual schedule entries from the notification.)</t>
  </si>
  <si>
    <t xml:space="preserve">Invoice dt 15.09.2025 at old 28% for an item moved to 18% from 22.09.2025, goods removed and invoiced 15.09.2025 -&gt; OK (old rate applies).</t>
  </si>
  <si>
    <t xml:space="preserve">Invoice dt 23.09.2025, packaged item moved to 5%, charged 12% -&gt; OBSOLETE_SLAB; cigarettes invoiced 05.02.2026 at 28% + cess -&gt; WRONG_RATE (40%, cess Nil from 01.02.2026).</t>
  </si>
  <si>
    <t xml:space="preserve">ERP item masters not updated on 22.09.2025; straddling transactions; advance receipts; GTA continuing 12% option (removed); cess still charged on motor vehicles after 22.09.2025.</t>
  </si>
  <si>
    <t xml:space="preserve">High (Critical where tax under-charged).</t>
  </si>
  <si>
    <t xml:space="preserve">def expected_rate(hsn, dt, ctx):
    for k in (8,6,4,2):
        row = MASTER.get((hsn[:k],), dt, ctx)
        if row: return row.rate
    return None
if abs(line.rate - expected_rate(...))&gt;0: flag('WRONG_RATE')</t>
  </si>
  <si>
    <t xml:space="preserve">Notification No. 9/2025-Integrated Tax (Rate) dt 17.09.2025 (TaxHeal reproduction) | https://www.taxheal.com/?p=104994 | Sch I 5%, II 18%, III 40%, IV 3%, V 0.25%, VI 1.5%, VII 28%; supersedes 1/2017-IT(Rate)
Notification No. 9/2025-Central Tax (Rate) – new CGST rates from 22.09.2025 (TaxHeal) | https://www.taxheal.com/?p=104997 | 9/2025-CT(Rate)
17.09.2025: CBIC issued notifications for 56th Council goods rates (TaxO) | https://taxo.online/latest-news/17-09-2025-cbic-issued-various-notifications-to-give-effect-to-the-recommendations-of-the-56th-council-meeting-in-respect-to-rate-on-goods/ | 9/2025-CT(Rate) effective 22.09.2025
PIB press release – recommendations of 56th GST Council (hosted on gstcouncil.gov.in) | https://gstcouncil.gov.in/sites/default/files/2025-09/press_release_press_information_bureau.pdf | 2-rate structure 5%/18% + 40%; effective 22.09.2025; tobacco deferred
GST Council FAQs on 56th Council rate changes | https://gstcouncil.gov.in/sites/default/files/2025-09/faq.pdf | FAQ 1, 4-10, 60-62, 71
PIB FAQ document on GST rate changes w.e.f. 22.09.2025 | https://static.pib.gov.in/WriteReadData/specificdocs/documents/2025/sep/doc2025921642801.pdf | Q10-Q20
West Bengal CTD – GST Updates Dec 2025 | https://comtax.wb.gov.in/GST/GST_PPU/GST_Updates_Dec_2025.pdf | 19/2025-CT(Rate), 03/2025-CC(Rate), 19/2025-CT, 20/2025-CT dt 31.12.2025, effective 01.02.2026
Notification 15/2025-Central Tax (Rate) – services rates amended w.e.f. 22.09.2025 (TaxHeal) | https://www.taxheal.com/?p=105314 | amends 11/2017-CT(Rate); G.S.R. 663(E)
ITC treatment under GST rate rationalisation (India Briefing) | https://www.india-briefing.com/news/gst-itc-rules-2025-rate-rationalization-guide-39988.html | hotel 5% w/o ITC; multimodal
GST 2.0 Notifications in Action (GSTZen) | https://gstzen.in/a/gst-2-0-notifications-in-action-key-updates-on-rates-refunds-compliance.html | List of 17.09.2025 notifications (contains numbering inconsistencies)
CBIC – N.9/2025-IT(Rate) | https://courier.cbic.gov.in/ECCS/advisory/2025/NOTIFICATION%20NO.%209_2025-INTEGRATED%20TAX%20(RATE)%20-1759486719.pdf | 
PIB – 56th GST Council recommendations | https://www.pib.gov.in/PressReleasePage.aspx?PRID=2163555&amp;reg=48&amp;lang=2 | 
GST Council newsletter April 2026 | https://gstcouncil.gov.in/sites/default/files/2026-05/newsletter_april_issue.pdf | N.01/2026-CT(Rate)</t>
  </si>
  <si>
    <t xml:space="preserve">[VERIFICATION 13-10-2026] Official CBIC copy of N.9/2025-Integrated Tax (Rate) dt 17-09-2025 (corrigendum 18-09-2025): Sch I 5%, II 18%, III 40%, IV 3%, V 0.25%, VI 1.5%, VII 28%; supersedes N.1/2017-IT(Rate). PIB (56th Council): goods and services changes from 22-09-2025; hotels up to Rs 7,500/unit/day 5%; individual life and health insurance exempt; gym/salon/yoga 5%. NEW: N.01/2026-CT(Rate) dt 30-04-2026 (GST Council newsletter) amends N.09/2025-CT(Rate) to match Finance Act 2026: fruit-juice/milk-based drinks (2202 99 21/29/31/39) in Sch I 5%; other non-alcoholic/caffeinated beverages (2202 99 90/91/99) in Sch III 40%; matching UTGST/IGST 01/2026. The HSN mapping must still be loaded from the schedules. CORRECTION: Add to rate master: N.01/2026-CT(Rate) / 01/2026-IT(Rate) / 01/2026-UT(Rate) dt 30.04.2026 – tariff 2202 99 21/29/31/39 -&gt; Sch I (5%); 2202 99 90/91/99 -&gt; Sch III (40%). Notification numbers 9/2025-CT(Rate), 9/2025-IT(Rate), 15/2025-CT(Rate), 19/2025-CT(Rate) &amp; IT(Rate) verified via secondary reproductions of the notification text; official CBIC PDF not opened. The full HSN-to-schedule mapping is NOT reproduced here – load it from the notification schedules. Exemption notification number (10/2025-CT(Rate)?) and other rate notifications 11-17/2025-CT(Rate) reported inconsistently by GSTZen – unverified.</t>
  </si>
  <si>
    <t xml:space="preserve">GST-006</t>
  </si>
  <si>
    <t xml:space="preserve">GST – Rates / Cess</t>
  </si>
  <si>
    <t xml:space="preserve">Compensation cess validation after GST 2.0</t>
  </si>
  <si>
    <t xml:space="preserve">Flag compensation cess charged after its removal for most goods (22.09.2025) and for tobacco/pan masala (01.02.2026); handle legacy cess ITC balance.</t>
  </si>
  <si>
    <t xml:space="preserve">GST (Compensation to States) Act 2017; Notification 1/2017-Compensation Cess (Rate) as amended by 02/2025-Compensation Cess (Rate) dt 17.09.2025 (Nil for S.Nos. 2, 3, 4, 4A, 4B, 39-42, 47, 48, 50, 51, 52, 52A, 52B, 53-55 from 22.09.2025) and 03/2025-Compensation Cess (Rate) dt 31.12.2025 (Nil for pan masala &amp; tobacco HSN 2106 90 20, 2401, 2402, 2403, 2404 11 00, 2404 19 00 from 01.02.2026).</t>
  </si>
  <si>
    <t xml:space="preserve">Invoices with cess (motor vehicles, aerated beverages, coal, tobacco, pan masala etc.).</t>
  </si>
  <si>
    <t xml:space="preserve">22.09.2025 and 01.02.2026</t>
  </si>
  <si>
    <t xml:space="preserve">Cess rate master by HSN with validity dates.</t>
  </si>
  <si>
    <t xml:space="preserve">invoice_date, hsn_code, cess_amount, cess_rate, taxable_value, quantity (for specific cess)</t>
  </si>
  <si>
    <t xml:space="preserve">1. Lookup cess rate on time-of-supply date. 2. If master says Nil and cess_amount &gt; 0 -&gt; flag. 3. For purchases, cess ITC claimed on invoices after removal -&gt; flag. 4. Report closing cess credit balance in electronic credit ledger for CA decision (utilisation of legacy cess credit is unclear – see notes).</t>
  </si>
  <si>
    <t xml:space="preserve">expected_cess = taxable_value × ad_valorem_rate + quantity × specific_rate (per master); diff = cess_charged − expected_cess</t>
  </si>
  <si>
    <t xml:space="preserve">Nil for listed entries from 22.09.2025; Nil for tobacco/pan masala from 01.02.2026. Before 01.02.2026 tobacco cess continued at old rates (e.g., ad valorem 290%/204% for certain items per secondary source).</t>
  </si>
  <si>
    <t xml:space="preserve">Entries not listed in 02/2025-CC(Rate) retained cess until 31.01.2026 (tobacco-related).</t>
  </si>
  <si>
    <t xml:space="preserve">cess&gt;0 on/after Nil date -&gt; CESS_NOT_APPLICABLE (High); cess ITC on such invoice -&gt; CESS_ITC_INVALID (High).</t>
  </si>
  <si>
    <t xml:space="preserve">Invoice list with cess variance; cess ledger balance report.</t>
  </si>
  <si>
    <t xml:space="preserve">Car invoice 30.09.2025, taxable Rs 8,00,000, GST 18% = 1,44,000 + cess 15% = 1,20,000 charged -&gt; expected cess Nil (if entry in nil list) -&gt; CESS_NOT_APPLICABLE 1,20,000.</t>
  </si>
  <si>
    <t xml:space="preserve">Cigarettes invoiced 10.01.2026 with cess at old rate -&gt; OK (cess continued till 31.01.2026).</t>
  </si>
  <si>
    <t xml:space="preserve">Cigarettes invoiced 03.02.2026 with cess -&gt; CESS_NOT_APPLICABLE.</t>
  </si>
  <si>
    <t xml:space="preserve">ERP cess field not reset; stock-in-trade with cess paid pre-22.09.2025 sold later (cess credit stuck).</t>
  </si>
  <si>
    <t xml:space="preserve">if line.cess&gt;0 and CESS_MASTER.rate(line.hsn, line.date)==0: flag('CESS_NOT_APPLICABLE')</t>
  </si>
  <si>
    <t xml:space="preserve">Notification 02/2025-Compensation Cess (Rate) dt 17.09.2025 (CAclubindia) | https://www.caclubindia.com/notice_circulars/substitution-of-compensation-cess-rates-with-nil-on-specified-goods-effective-22nd-september-2025--11496.asp | Nil cess on S.No. 2,3,4,4A,4B,39-42,47,48,50-55 of 1/2017-CC(Rate) from 22.09.2025
Zero Compensation Cess on pan masala &amp; tobacco (TaxHeal) | https://www.taxheal.com/zero-compensation-cess-major-shift-for-pan-masala-tobacco.html | 03/2025-CC(Rate) dt 31.12.2025, w.e.f. 01.02.2026
West Bengal CTD – GST Updates Dec 2025 | https://comtax.wb.gov.in/GST/GST_PPU/GST_Updates_Dec_2025.pdf | 19/2025-CT(Rate), 03/2025-CC(Rate), 19/2025-CT, 20/2025-CT dt 31.12.2025, effective 01.02.2026
PIB press release – recommendations of 56th GST Council (hosted on gstcouncil.gov.in) | https://gstcouncil.gov.in/sites/default/files/2025-09/press_release_press_information_bureau.pdf | 2-rate structure 5%/18% + 40%; effective 22.09.2025; tobacco deferred
GST Council FAQs on 56th Council rate changes | https://gstcouncil.gov.in/sites/default/files/2025-09/faq.pdf | FAQ 1, 4-10, 60-62, 71</t>
  </si>
  <si>
    <t xml:space="preserve">Mapping of S.Nos. in 02/2025-CC(Rate) to specific goods not verified (needs the gazette PDF). Treatment of accumulated compensation cess ITC after cess removal is unresolved (commentary e.g. Bar &amp; Bench 'From levy to lapse' seen in search results) – CA decision. Any replacement levy (e.g., Central Excise on tobacco from Feb 2026) was not verified and is outside GST.</t>
  </si>
  <si>
    <t xml:space="preserve">GST-007</t>
  </si>
  <si>
    <t xml:space="preserve">GST – Returns reconciliation</t>
  </si>
  <si>
    <t xml:space="preserve">Books (sales register) vs GSTR-1/GSTR-1A/IFF reconciliation</t>
  </si>
  <si>
    <t xml:space="preserve">Ensure every outward supply in the books is reported in GSTR-1/1A/IFF in the correct table, period, GSTIN, value and tax, and vice versa.</t>
  </si>
  <si>
    <t xml:space="preserve">CGST Act s.37 (GSTR-1), s.37(3) amendments, s.37(5) 3-year bar; Rule 59 (GSTR-1/IFF), Rule 59(4) tables; GSTR-1A (Rule 59(7) inserted 2024 – not re-verified); s.31 &amp; Rule 46 (tax invoice), Rule 46(b) invoice serial (max 16 characters, unique per FY).</t>
  </si>
  <si>
    <t xml:space="preserve">All regular taxpayers (monthly GSTR-1 or quarterly with IFF under QRMP).</t>
  </si>
  <si>
    <t xml:space="preserve">Ongoing; GSTR-1A available from July 2024 tax period (secondary knowledge – verify).</t>
  </si>
  <si>
    <t xml:space="preserve">Sales register with document type (INV/CN/DN/advance), GSTR-1 JSON/Excel downloaded for the period, e-invoice data.</t>
  </si>
  <si>
    <t xml:space="preserve">doc_type, doc_no, doc_date, recipient_gstin, pos, taxable_value, rate, igst, cgst, sgst, cess, gstr1_table (4A,4B,5,6A,6B,6C,7,8,9A,9B,9C,10,11,12,13,14,15), period</t>
  </si>
  <si>
    <t xml:space="preserve">1. Normalise doc numbers (trim, upper, remove leading zeros only if client config allows; keep '/' '-'). 2. Map book transactions to GSTR-1 tables: B2B -&gt; 4A/4B/6B/6C; B2CL (inter-state B2C &gt; Rs 1 lakh per invoice – limit reduced from 2.5 lakh to 1 lakh from Aug 2024, not re-verified) -&gt; 5; exports -&gt; 6A; B2CS -&gt; 7 (summary by POS &amp; rate); nil/exempt/non-GST -&gt; 8; CN/DN -&gt; 9B; advances -&gt; 11; HSN -&gt; 12; documents -&gt; 13; ECO supplies -&gt; 14/15. 3. Match B2B at invoice level on (recipient_gstin, doc_no, doc_date, doc_type). 4. Match B2CS at (POS, rate) aggregate. 5. Compute differences in taxable value and each tax head. 6. Classify: Matched / Value mismatch / Tax mismatch / In books not in GSTR-1 / In GSTR-1 not in books / Wrong period / Wrong GSTIN / Duplicate doc no. in FY. 7. For differences found before GSTR-3B is filed, suggest GSTR-1A; after, suggest amendment in next GSTR-1 (Table 9A/10/11) within s.37(3) limit (30 Nov following FY or annual return date, whichever earlier).</t>
  </si>
  <si>
    <t xml:space="preserve">diff_value = books_taxable − gstr1_taxable; diff_tax_head = books_tax − gstr1_tax (per head)</t>
  </si>
  <si>
    <t xml:space="preserve">Tolerance: Re 1 per tax head per invoice (implementation choice).</t>
  </si>
  <si>
    <t xml:space="preserve">Composition taxpayers file CMP-08/GSTR-4, not GSTR-1.</t>
  </si>
  <si>
    <t xml:space="preserve">Compare at 2 decimals with Re 1 tolerance; s.170 rounding for payable totals.</t>
  </si>
  <si>
    <t xml:space="preserve">GSTR-1: 11th of next month (monthly); 13th of month after quarter (QRMP); IFF 1st-13th of month for M1/M2. Amendments: by 30 Nov following FY or annual return filing, whichever earlier (s.37(3) – not re-verified).</t>
  </si>
  <si>
    <t xml:space="preserve">Missing in GSTR-1 -&gt; Critical (recipient ITC impact &amp; liability); value/tax mismatch -&gt; High; duplicate document number in FY -&gt; High (Rule 46(b)); wrong period -&gt; Medium.</t>
  </si>
  <si>
    <t xml:space="preserve">Invoice-level reconciliation with status, difference, suggested correction route (GSTR-1A / next-period amendment).</t>
  </si>
  <si>
    <t xml:space="preserve">Books: INV/25-26/0458, 27ABCDE1234F1Z5, taxable 2,50,000, CGST 22,500, SGST 22,500. GSTR-1: same invoice, taxable 2,05,000, tax 18,450+18,450 -&gt; diff value 45,000, tax 4,050 each -&gt; VALUE_MISMATCH; propose GSTR-1A (if before 3B filing) – liability underreported by 8,100.</t>
  </si>
  <si>
    <t xml:space="preserve">Invoice present in both, all heads equal -&gt; MATCHED.</t>
  </si>
  <si>
    <t xml:space="preserve">Same invoice number used twice in FY with different customers -&gt; DUPLICATE_DOC_NO; B2C invoice of Rs 1,20,000 inter-state reported in Table 7 instead of 5 -&gt; WRONG_TABLE (if B2CL limit is Rs 1 lakh – verify).</t>
  </si>
  <si>
    <t xml:space="preserve">Credit notes booked but not reported; date cut-off differences; advances; reverse-charge outward supplies flagged wrongly; invoice series per branch not unique.</t>
  </si>
  <si>
    <t xml:space="preserve">Critical for missing; High for value/tax mismatch.</t>
  </si>
  <si>
    <t xml:space="preserve">key = lambda r:(r.gstin, norm(r.doc_no), r.doc_date, r.doc_type)
b = {key(r):r for r in books_b2b}; g = {key(r):r for r in gstr1_b2b}
for k in b.keys()|g.keys():
    status = 'MISSING_IN_GSTR1' if k not in g else 'NOT_IN_BOOKS' if k not in b else compare(b[k],g[k])</t>
  </si>
  <si>
    <t xml:space="preserve">GST return filing changes from July 2025 – GSTR-3B hard lock, 3-year bar (ClearTax) | https://cleartax.in/s/gst-return-filing-rule-changes-from-july-2025 | GSTN advisories 07.06.2025, 18.06.2025, 29.10.2025
GSTN warns pending GST returns cannot be filed after 3 years (Taxmann) | https://www.taxmann.com/post/blog/gstn-warns-pending-gst-returns-cannot-be-filed-after-3-years | N.28/2023-CT; advisory 25.09.2025</t>
  </si>
  <si>
    <t xml:space="preserve">Table structure from the GSTR-1 form as generally known; B2CL threshold change (Rs 2.5 lakh to Rs 1 lakh, Notification 12/2024-CT) and GSTR-1A start date not re-verified in this session (search budget exhausted).</t>
  </si>
  <si>
    <t xml:space="preserve">GST-008</t>
  </si>
  <si>
    <t xml:space="preserve">GSTR-1/1A/IFF vs GSTR-3B liability reconciliation and hard-lock</t>
  </si>
  <si>
    <t xml:space="preserve">Reconcile outward liability reported in GSTR-1/1A/IFF with GSTR-3B Table 3.1/3.2 and identify short-payment (interest exposure, DRC-01B notice) given that Table 3 is auto-populated and non-editable.</t>
  </si>
  <si>
    <t xml:space="preserve">CGST Act s.37, s.39, s.39(1) 'subject to conditions and restrictions' (FA 2025, from 01.10.2025); Rule 88C (DRC-01B intimation for liability difference); GSTN advisory 07.06.2025 (Table 3 locked from July 2025 tax period); GSTN advisory 05.12.2025 (Table 3.2 non-editable from Nov 2025 tax period).</t>
  </si>
  <si>
    <t xml:space="preserve">All GSTR-3B filers (monthly and QRMP).</t>
  </si>
  <si>
    <t xml:space="preserve">Hard-lock of Table 3 auto-populated values: tax period July 2025 onwards; Table 3.2: tax period November 2025 onwards.</t>
  </si>
  <si>
    <t xml:space="preserve">GSTR-1/1A/IFF summary per period; GSTR-3B filed/draft data; books liability.</t>
  </si>
  <si>
    <t xml:space="preserve">period, gstr1_taxable_by_table, gstr1_tax_by_head, gstr1a_adjustments, gstr3b_3_1a..e, gstr3b_3_2_by_pos, rcm_liability_3_1d, books_liability</t>
  </si>
  <si>
    <t xml:space="preserve">1. Aggregate GSTR-1 + GSTR-1A for the period (net of CN/DN and amendments). 2. Map to 3B: 3.1(a) taxable outward (B2B, B2C, CN/DN, amendments, advances net), 3.1(b) zero-rated, 3.1(c) nil/exempt, 3.1(d) inward RCM (from books, not GSTR-1), 3.1(e) non-GST; 3.1.1 ECO s.9(5). 3. Compute difference per tax head. 4. From July 2025, 3B Table 3 values are locked to GSTR-1/1A/IFF; any correction must be via GSTR-1A before filing 3B or via next GSTR-1 amendment. 5. For 3.2, compare inter-state B2C/composition/UIN supplies by POS. 6. Cumulative difference beyond threshold triggers DRC-01B (Rule 88C) – thresholds configurable. 7. Short payment -&gt; compute s.50(1) interest on cash component (see interest rule).</t>
  </si>
  <si>
    <t xml:space="preserve">liability_gap(head) = Σ GSTR1(head) + Σ GSTR1A(head) − GSTR3B_3.1(head) ; pct_gap = liability_gap / GSTR1(head)</t>
  </si>
  <si>
    <t xml:space="preserve">Rule 88C threshold: difference exceeding amount and/or percentage notified on Council recommendation (portal commonly cited as Rs 25 lakh and 20% – NOT verified in this session).</t>
  </si>
  <si>
    <t xml:space="preserve">RCM inward liability (3.1(d)) is not in GSTR-1; advances adjustments; QRMP M1/M2 IFF vs quarterly 3B.</t>
  </si>
  <si>
    <t xml:space="preserve">GSTR-3B 20th (monthly); 22nd/24th (QRMP by state); GSTR-1A must be filed before 3B of same period.</t>
  </si>
  <si>
    <t xml:space="preserve">3B &lt; GSTR-1 -&gt; SHORT_LIABILITY (Critical); 3B &gt; GSTR-1 -&gt; EXCESS_3B (Medium – check unreported invoices); 3.2 POS mismatch -&gt; POS_32_MISMATCH (Medium); pre-July 2025 manual edits -&gt; EDITED_3B (info).</t>
  </si>
  <si>
    <t xml:space="preserve">Period-wise reconciliation per head; cumulative gap; DRC-01B risk flag; interest estimate.</t>
  </si>
  <si>
    <t xml:space="preserve">Aug 2025: GSTR-1 IGST 4,20,000; GSTR-1A +15,000; 3B IGST 4,35,000 (locked) -&gt; gap 0. Pre-lock period Mar 2025: GSTR-1 CGST 3,10,000 vs 3B 2,80,000 -&gt; gap 30,000 -&gt; SHORT_LIABILITY; interest @18% for days after due date 20.04.2025 up to payment 30.06.2025 (71 days) = 30,000 × 18% × 71/365 = 1,050.41 -&gt; Rs 1,050.</t>
  </si>
  <si>
    <t xml:space="preserve">GSTR-1+1A equals 3B for all heads -&gt; MATCHED.</t>
  </si>
  <si>
    <t xml:space="preserve">QRMP taxpayer IFF M1 invoices omitted from quarterly GSTR-1 -&gt; 3B auto-populated lower -&gt; flag OMITTED_IFF.</t>
  </si>
  <si>
    <t xml:space="preserve">Credit notes in GSTR-1 not netted in books; advances; RCM wrongly reported in GSTR-1; amendments of earlier periods hitting current 3B.</t>
  </si>
  <si>
    <t xml:space="preserve">Critical for short liability; Medium otherwise.</t>
  </si>
  <si>
    <t xml:space="preserve">for head in HEADS:
    gap = g1[head]+g1a[head]-g3b[head]
    if gap&gt;1: flag('SHORT_LIABILITY', gap)
    elif gap&lt;-1: flag('EXCESS_3B', -gap)</t>
  </si>
  <si>
    <t xml:space="preserve">GST return filing changes from July 2025 – GSTR-3B hard lock, 3-year bar (ClearTax) | https://cleartax.in/s/gst-return-filing-rule-changes-from-july-2025 | GSTN advisories 07.06.2025, 18.06.2025, 29.10.2025
Hard-locking GSTR-3B: a new compliance milestone (LKS) | https://www.lkslaw.com/insights/articles/hard-locking-gstr-3b-a-new-compliance-milestone-and-its-pitfalls | seen in search results
GSTN issues 4 advisories December 2025 (TaxGuru) | https://taxguru.in/goods-and-service-tax/gstn-issues-4-advisories-december-2025-clarify-key-compliance-procedures.html | Advisories 05.12.2025, 18.12.2025, 29.12.2025
GST amendments of Finance Act 2025 effective 1 Oct 2025 notified (TaxGuru) | https://taxguru.in/goods-and-service-tax/gst-amendments-finance-act-2025-effective-oct-1-2025-notified.html | Notification 16/2025-CT, S.O. 4206(E)
57th GST Council Meeting 2026: key decisions (Startup Movers) | https://www.startup-movers.com/57th-gst-council-meeting-2026-key-decisions | recommendations only
GSTN FAQ – Form GSTR-3B | https://tutorial.gst.gov.in/userguide/returns/GSTR3B.htm | </t>
  </si>
  <si>
    <t xml:space="preserve">[VERIFICATION 13-10-2026] Not upgraded. An official GSTN FAQ page (tutorial.gst.gov.in GSTR3B.htm) still says 'as of now, the auto-populated values in GSTR-3B are kept editable', with warnings on edits. This conflicts with the secondary reports of a hard-lock of Table 3 from July 2025 (advisory 07-06-2025). The FAQ page may be stale. The GSTN advisory PDF (mahagst copy) was blocked by robots. Same FAQ: from the Oct-2025 tax period, advances data no longer flows into Table 3.2. Rule 88C thresholds not opened (robots). Hard-lock (Table 3 from July 2025; 3.2 from Nov 2025) verified via secondary reproductions of GSTN advisories. Rule 88C thresholds not verified. 57th Council (08.10.2026) recommended a liability correction mechanism proposed for April 2027 return – recommendation only, not law.</t>
  </si>
  <si>
    <t xml:space="preserve">GST-009</t>
  </si>
  <si>
    <t xml:space="preserve">GST – E-invoice / E-way bill</t>
  </si>
  <si>
    <t xml:space="preserve">E-invoice (IRN) vs GSTR-1 and e-invoice applicability/30-day reporting check</t>
  </si>
  <si>
    <t xml:space="preserve">Verify that all B2B/export invoices of e-invoice-mandated taxpayers have valid IRNs, were reported to IRP within 30 days where AATO &gt;= Rs 10 crore, and match GSTR-1 auto-populated data.</t>
  </si>
  <si>
    <t xml:space="preserve">CGST Rule 48(4)-(6); Notification 13/2020-Central Tax as amended by Notification 10/2023-Central Tax (threshold AATO &gt; Rs 5 crore from 01.08.2023); GSTN advisory (Nov 2024) – 30-day time limit for reporting on IRP extended to AATO &gt;= Rs 10 crore from 01.04.2025 (earlier &gt;= Rs 100 crore from 01.11.2023). Rule 48(5): invoice not issued as per Rule 48(4) is not a valid invoice.</t>
  </si>
  <si>
    <t xml:space="preserve">Taxpayers with AATO &gt; Rs 5 crore in any FY from 2017-18, for B2B, exports, SEZ, and CN/DN.</t>
  </si>
  <si>
    <t xml:space="preserve">Threshold Rs 5 crore: 1 August 2023. 30-day limit for AATO &gt;= Rs 10 crore: 1 April 2025.</t>
  </si>
  <si>
    <t xml:space="preserve">AATO history from FY 2017-18; IRP data (IRN, ack date, doc no, doc date); GSTR-1 data; exemption category.</t>
  </si>
  <si>
    <t xml:space="preserve">aato_by_fy, exempt_entity_type, doc_no, doc_date, doc_type, irn, ack_no, ack_date, irn_status (active/cancelled), recipient_gstin, taxable_value, tax_heads, gstr1_record</t>
  </si>
  <si>
    <t xml:space="preserve">1. If max AATO of any FY from 2017-18 &gt; Rs 5 crore and entity not exempt -&gt; e-invoice mandatory. 2. For each B2B/export/SEZ/CN/DN in books -&gt; must have IRN. 3. If AATO &gt;= Rs 10 crore: ack_date − doc_date must be &lt;= 30 days (IRP rejects later; applies to invoices and CN/DN – debit notes excluded per advisory? verify). 4. Match IRN data to GSTR-1 on (GSTIN, doc_no, doc_date): values/tax must match; cancelled IRNs (within 24 hours) must not appear in GSTR-1. 5. Invoices in GSTR-1 B2B without IRN -&gt; invalid-invoice risk (recipient ITC denial).</t>
  </si>
  <si>
    <t xml:space="preserve">days_late = ack_date − doc_date ; flag if days_late &gt; 30 and aato &gt;= 10 crore</t>
  </si>
  <si>
    <t xml:space="preserve">Rs 5 crore AATO (applicability); Rs 10 crore AATO (30-day limit from 01.04.2025).</t>
  </si>
  <si>
    <t xml:space="preserve">SEZ units (not developers), insurers, banking companies/financial institutions/NBFCs, GTA, passenger transport, multiplex admission, Government departments and local authorities (per Notification 13/2020 as amended – not re-verified); B2C invoices (except dynamic QR for &gt; Rs 500 crore).</t>
  </si>
  <si>
    <t xml:space="preserve">IRN before issuing invoice; within 30 days of invoice date for AATO &gt;= Rs 10 crore.</t>
  </si>
  <si>
    <t xml:space="preserve">Mandated but no IRN -&gt; NO_IRN (Critical); &gt; 30 days -&gt; LATE_IRN (High; IRP blocks); IRN data != GSTR-1 -&gt; IRN_GSTR1_MISMATCH (High); cancelled IRN in GSTR-1 -&gt; CANCELLED_IRN_REPORTED (High).</t>
  </si>
  <si>
    <t xml:space="preserve">IRN coverage report; late-reporting list; IRN vs GSTR-1 differences.</t>
  </si>
  <si>
    <t xml:space="preserve">AATO FY 2023-24 = Rs 12 crore. Invoice dt 01.05.2025; reported to IRP 05.06.2025 -&gt; 35 days -&gt; LATE_IRN (IRP would reject; supplier must reconsider).</t>
  </si>
  <si>
    <t xml:space="preserve">AATO Rs 6 crore, invoice dt 01.04.2025 reported 20.05.2025 (49 days) -&gt; OK (30-day rule applies only to &gt;= Rs 10 crore).</t>
  </si>
  <si>
    <t xml:space="preserve">Bank (exempt category) with AATO Rs 500 crore and no IRN -&gt; NOT_APPLICABLE (no flag).</t>
  </si>
  <si>
    <t xml:space="preserve">Manual invoices in GSTR-1 without IRN; IRN generated on wrong GSTIN; credit note IRN missing; amendments in GSTR-1 overriding IRN data.</t>
  </si>
  <si>
    <t xml:space="preserve">Critical/High</t>
  </si>
  <si>
    <t xml:space="preserve">mandated = max(aato_by_fy.values())&gt;5e7 and entity not in EXEMPT
if mandated and doc.b2b and not doc.irn: flag('NO_IRN')
if max_aato&gt;=1e8 and (doc.ack_date-doc.doc_date).days&gt;30: flag('LATE_IRN')</t>
  </si>
  <si>
    <t xml:space="preserve">Time limit of 30 days for reporting e-invoice for AATO &gt;= Rs 10 crore (Taxmann) | https://www.taxmann.com/post/blog/time-limit-of-30-days-for-reporting-e-invoice-on-irp-portal-for-taxpayers-with-aato-of-10-crores-and-above-gstn-update/ | seen in search results
GSTN Advisory – Time limit for reporting e-invoice; lowering of threshold to AATO 10 crores (MahaGST copy) | https://www.mahagst.gov.in/public/uploads/gstnadvisory/1760531580_293 Advisory Time Limit for Reporting e Invoice on the IRP Portal  Lowering of Threshold to AATO 10 Crores and Above.pdf | seen in search results; fetch blocked
EY – CBIC lowers e-invoicing threshold to INR 5 crore w.e.f. 1 August 2023 | https://www.ey.com/en_in/alerts-hub/2023/05/cbic-lowers-turnover-threshold-for-e-invoicing-to-inr5-crores-with-effect-from-1-august-2023 | Notification 10/2023-CT; seen in search results</t>
  </si>
  <si>
    <t xml:space="preserve">Advisory and notification seen only in search-result titles (fetch blocked/not opened). Whether 'AATO' for the 30-day rule refers to preceding FY or any FY, and its application to debit notes, needs CA confirmation from the GSTN advisory text.</t>
  </si>
  <si>
    <t xml:space="preserve">GST-010</t>
  </si>
  <si>
    <t xml:space="preserve">E-way bill vs GSTR-1 / sales register check</t>
  </si>
  <si>
    <t xml:space="preserve">Identify goods movements &gt; Rs 50,000 without e-way bill, and EWBs whose invoice values/GSTINs differ from GSTR-1.</t>
  </si>
  <si>
    <t xml:space="preserve">CGST Rule 138 (e-way bill; consignment value &gt; Rs 50,000), Rule 138(10) validity, Rule 138E (blocking for non-filing), s.68, s.129 (detention penalty). E-way bill system changes from 01.01.2025 (document age 180 days; extension max 360 days). E-Way Bill 2 portal from 01.07.2025.</t>
  </si>
  <si>
    <t xml:space="preserve">Movement of goods (inter-state or intra-state subject to state thresholds) where consignment value exceeds Rs 50,000.</t>
  </si>
  <si>
    <t xml:space="preserve">Rule 138 since 01.04.2018; 180-day / 360-day limits from 01.01.2025.</t>
  </si>
  <si>
    <t xml:space="preserve">EWB register (download), sales register, GSTR-1.</t>
  </si>
  <si>
    <t xml:space="preserve">ewb_no, ewb_date, doc_no, doc_date, from_gstin, to_gstin, consignment_value, hsn, distance_km, valid_upto, sales_doc_no, sales_value</t>
  </si>
  <si>
    <t xml:space="preserve">1. Consignment value = taxable value + tax (excl. exempt goods value). 2. For each goods invoice with value &gt; 50,000 and movement -&gt; expect EWB. 3. Match EWB to invoices on (from_gstin, doc_no, doc_date). 4. Compare values and to_gstin. 5. EWB for cancelled/unbilled invoices -&gt; flag. 6. Check validity: 1 day per 200 km (normal), 1 day per 20 km (ODC). 7. Document date older than 180 days at EWB generation -&gt; flag.</t>
  </si>
  <si>
    <t xml:space="preserve">consignment_value = taxable_value + cgst + sgst + igst + cess ; validity_days = ceil(distance_km / 200)</t>
  </si>
  <si>
    <t xml:space="preserve">Rs 50,000 per consignment (some states have different intra-state limits – maintain master).</t>
  </si>
  <si>
    <t xml:space="preserve">Goods in Rule 138(14) annexure (e.g., exempt goods list), non-motorised conveyance, customs movement etc.</t>
  </si>
  <si>
    <t xml:space="preserve">Before movement.</t>
  </si>
  <si>
    <t xml:space="preserve">Value &gt; 50,000 and no EWB -&gt; NO_EWB (High); value mismatch -&gt; EWB_VALUE_MISMATCH (Medium); EWB without invoice in GSTR-1 -&gt; EWB_NOT_IN_GSTR1 (High).</t>
  </si>
  <si>
    <t xml:space="preserve">EWB coverage and mismatch report.</t>
  </si>
  <si>
    <t xml:space="preserve">Invoice taxable Rs 45,000 + IGST 18% 8,100 = 53,100 &gt; 50,000 -&gt; EWB required despite taxable &lt; 50,000.</t>
  </si>
  <si>
    <t xml:space="preserve">Invoice 53,100 with EWB having same doc no and value -&gt; OK.</t>
  </si>
  <si>
    <t xml:space="preserve">Invoice Rs 48,000 incl. tax, no EWB -&gt; NOT_REQUIRED.</t>
  </si>
  <si>
    <t xml:space="preserve">EWB generated on proforma; multiple invoices in one vehicle; job-work challans; doc no format differences.</t>
  </si>
  <si>
    <t xml:space="preserve">cv = inv.taxable+inv.tax
if inv.goods and inv.moved and cv&gt;50000 and not ewb_lookup(inv): flag('NO_EWB')</t>
  </si>
  <si>
    <t xml:space="preserve">New time limit for e-way bill generation and extension (ClearTax) | https://cleartax.in/s/time-limit-for-e-way-bill-generation | 180-day document; 360-day extension; Rs 50,000
GST return filing changes from July 2025 – GSTR-3B hard lock, 3-year bar (ClearTax) | https://cleartax.in/s/gst-return-filing-rule-changes-from-july-2025 | GSTN advisories 07.06.2025, 18.06.2025, 29.10.2025</t>
  </si>
  <si>
    <t xml:space="preserve">State-specific intra-state thresholds not verified.</t>
  </si>
  <si>
    <t xml:space="preserve">GST-011</t>
  </si>
  <si>
    <t xml:space="preserve">GST – ITC</t>
  </si>
  <si>
    <t xml:space="preserve">ITC eligibility conditions u/s 16(2) including s.16(2)(aa) and Rule 36(4)</t>
  </si>
  <si>
    <t xml:space="preserve">Determine whether each purchase invoice's ITC is legally eligible before claim in GSTR-3B.</t>
  </si>
  <si>
    <t xml:space="preserve">CGST Act s.16(1), 16(2)(a) possession of invoice/debit note, (aa) details furnished by supplier in GSTR-1/IFF and communicated (GSTR-2B) – effective 01.01.2022 (N.39/2021-CT), (b) receipt of goods/services (incl. bill-to-ship-to), (ba) not restricted in s.38 statement (inserted by FA 2022 – verify commencement), (c) tax actually paid by supplier, (d) return u/s 39 furnished; second proviso – payment within 180 days; s.16(3) depreciation on tax component; Rule 36(4) as substituted by N.40/2021-CT from 01.01.2022 – ITC only where details are communicated in GSTR-2B; s.38 (statement) amended by FA 2025 effective 01.10.2025.</t>
  </si>
  <si>
    <t xml:space="preserve">All registered persons claiming ITC (not composition).</t>
  </si>
  <si>
    <t xml:space="preserve">Current version from 01.01.2022 (2B-only); IMS-based 2B from October 2024 tax period; s.38 amendment 01.10.2025.</t>
  </si>
  <si>
    <t xml:space="preserve">Purchase register, GSTR-2B (with IMS actions), GRN/receipt data, payment data, supplier filing status.</t>
  </si>
  <si>
    <t xml:space="preserve">supplier_gstin, invoice_no, invoice_date, taxable_value, igst, cgst, sgst, cess, grn_date, payment_date, in_gstr2b_flag, gstr2b_period, itc_availability (2B), ims_action, supplier_3b_filed_flag, blocked_s17_5_flag, capital_goods_flag, depreciation_on_tax_flag</t>
  </si>
  <si>
    <t xml:space="preserve">1. Possession of valid tax invoice/DN (Rule 46/53 particulars; e-invoice IRN where supplier mandated). 2. Invoice appears in GSTR-2B 'ITC Available' of a period &lt;= claim period (s.16(2)(aa), Rule 36(4)); IMS rejected -&gt; not eligible. 3. Goods/services received (for lots, ITC on last lot – first proviso). 4. Supplier has paid tax / filed 3B (operationalised through Rule 37A). 5. Recipient has filed its return. 6. Not blocked u/s 17(5). 7. Within s.16(4) time limit. 8. Not claimed as depreciation on tax portion (s.16(3)). 9. POS/intra-state correctness. 10. Payment within 180 days else Rule 37 reversal.</t>
  </si>
  <si>
    <t xml:space="preserve">eligible_itc = tax if all(conditions) else 0</t>
  </si>
  <si>
    <t xml:space="preserve">180 days payment condition (Rule 37).</t>
  </si>
  <si>
    <t xml:space="preserve">RCM inward supplies and imports (IGST via ICEGATE in 2B) – self-invoice/BoE basis; ISD credits via GSTR-6.</t>
  </si>
  <si>
    <t xml:space="preserve">Line-level 2 decimals; ledger credits rounded per s.170 when paid/claimed (implementation choice).</t>
  </si>
  <si>
    <t xml:space="preserve">Claim by s.16(4) limit (30 Nov following FY or annual return date, whichever earlier).</t>
  </si>
  <si>
    <t xml:space="preserve">Not in 2B -&gt; NOT_IN_2B (High, defer); IMS rejected -&gt; REJECTED_IMS (High); no GRN -&gt; NOT_RECEIVED (Medium); blocked -&gt; BLOCKED_17_5 (High); beyond s.16(4) -&gt; TIME_BARRED (Critical).</t>
  </si>
  <si>
    <t xml:space="preserve">Per invoice: eligible / deferred / ineligible with reason code and 3B table mapping (4A, 4B(1), 4B(2), 4D).</t>
  </si>
  <si>
    <t xml:space="preserve">Invoice 12.03.2026 IGST 18,000; appears in 2B of April 2026 (supplier filed late); GRN 15.03.2026 -&gt; not claimable in March 2026 3B; claimable in April 2026 3B (2B Apr) -&gt; DEFERRED to Apr 2026.</t>
  </si>
  <si>
    <t xml:space="preserve">Invoice in 2B ITC-available, goods received, not blocked, within time -&gt; ELIGIBLE.</t>
  </si>
  <si>
    <t xml:space="preserve">Invoice in books, not in any 2B as of filing -&gt; NOT_IN_2B (cannot claim).</t>
  </si>
  <si>
    <t xml:space="preserve">Claiming on books basis; claiming on 2A not 2B; IMS 'pending' records; capital goods with depreciation on tax.</t>
  </si>
  <si>
    <t xml:space="preserve">def itc_status(p):
    if p.blocked: return 'BLOCKED_17_5'
    if p.ims=='REJECT': return 'REJECTED_IMS'
    if not p.in_2b: return 'NOT_IN_2B'
    if p.claim_period &gt; s16_4_limit(p.invoice_fy): return 'TIME_BARRED'
    if not p.received: return 'NOT_RECEIVED'
    return 'ELIGIBLE'</t>
  </si>
  <si>
    <t xml:space="preserve">Claim ITC as per GSTR-2B mandatory w.e.f. 01.01.2022 (TaxGuru) | https://taxguru.in/goods-and-service-tax/claim-itc-gstr-2b-mandatory-w-e-f-01-01-2022.html | N.39/2021-CT, N.40/2021-CT
FAQs on Invoice Management System (ClearTax) | https://cleartax.in/s/faqs-on-invoice-management-system-ims-gst | IMS from 01.10.2024; advisory 23.09.2025 on pending credit notes
GST amendments of Finance Act 2025 effective 1 Oct 2025 notified (TaxGuru) | https://taxguru.in/goods-and-service-tax/gst-amendments-finance-act-2025-effective-oct-1-2025-notified.html | Notification 16/2025-CT, S.O. 4206(E)
CBIC – CGST s.16 | https://taxinformation.cbic.gov.in/content/html/tax_repository/gst/acts/2017_CGST_act/active/chapter5/section16_v1.00.html | </t>
  </si>
  <si>
    <t xml:space="preserve">[VERIFICATION 13-10-2026] CBIC s.16 (official): s.16(2)(aa) inserted w.e.f. 01-01-2022 (N.39/2021-CT); s.16(2)(ba) (ITC communicated and not restricted under s.38) inserted w.e.f. 01-10-2022 (N.18/2022-CT); 180-day payment rule in the second proviso. This resolves the open question on the (ba) commencement date. Rule 36(4) and amended s.38 not opened. CORRECTION: effective_date of s.16(2)(ba): 01.10.2022 (N.18/2022-CT). s.16(2)(ba) commencement and exact text of amended s.38 (FA 2025) not opened. Rule 36(4) wording verified via secondary quotation of N.40/2021.</t>
  </si>
  <si>
    <t xml:space="preserve">GST-012</t>
  </si>
  <si>
    <t xml:space="preserve">Purchase register vs GSTR-2B matching algorithm (with IMS)</t>
  </si>
  <si>
    <t xml:space="preserve">Match the books (purchase register) against GSTR-2B to identify ITC claimable, mismatches, invoices missing in 2B (vendor follow-up), and invoices in 2B not in books (unrecorded purchases / fraud).</t>
  </si>
  <si>
    <t xml:space="preserve">CGST Act s.16(2)(aa), s.38 (as amended by FA 2025 w.e.f. 01.10.2025); Rule 36(4); Rule 60(7)-(9) GSTR-2B (generated on 14th); IMS from 01.10.2024 (Accept/Reject/Pending; deemed accepted if no action); GSTN advisory 23.09.2025 (credit notes may be kept pending one period from Oct 2025; option to declare ITC reversal on credit note).</t>
  </si>
  <si>
    <t xml:space="preserve">All ITC claimants; monthly and quarterly (QRMP quarterly 2B).</t>
  </si>
  <si>
    <t xml:space="preserve">IMS-based GSTR-2B from October 2024 tax period; credit-note pending/reversal declaration from October 2025 tax period.</t>
  </si>
  <si>
    <t xml:space="preserve">Purchase register with supplier GSTIN, doc no, date, values; GSTR-2B JSON (B2B, B2BA, CDNR, CDNRA, ISD, IMPG, IMPGSEZ) for the period and subsequent periods; IMS action log; GSTIN validation done.</t>
  </si>
  <si>
    <t xml:space="preserve">supplier_gstin, supplier_name, doc_type (INV/CN/DN), doc_no, doc_date, taxable_value, igst, cgst, sgst, cess, pos, rcm_flag, gstr2b_period, itc_availability, ims_action, books_period, branch_gstin</t>
  </si>
  <si>
    <t xml:space="preserve">1. Normalise doc_no: upper-case; strip spaces; remove characters [/ - _ . \ #] for a secondary key; strip leading zeros of numeric segments; remove FY tokens like '2025-26', '25-26', '24-25' (configurable). Keep original for display. 2. Exact pass: key=(supplier_gstin, doc_type, raw_doc_no, doc_date) and all tax heads within tolerance -&gt; MATCHED. 3. Normalised pass: key=(supplier_gstin, doc_type, norm_doc_no) with date within ±N days (default 5) -&gt; MATCHED if values within tolerance else MISMATCH (sub-type: VALUE / TAX / DATE / POS / TAX_TYPE). 4. Fuzzy pass (unmatched only): same supplier_gstin and same fiscal year; Levenshtein(norm_doc_no) &lt;= 2 or numeric part equal; taxable value within tolerance -&gt; PROBABLE_MATCH (needs user confirmation). 5. Cross-period pass: match unmatched books entries with 2B of later periods (supplier filed late) -&gt; MATCHED_LATER_PERIOD; and 2B entries with books of earlier periods. 6. GSTIN-agnostic pass: same PAN (gstin[2:12]) different state GSTIN -&gt; WRONG_GSTIN_SAME_PAN. 7. Duplicates: two books entries with same key or same (gstin, norm_no, value) -&gt; DUPLICATE_IN_BOOKS; duplicates in 2B (original + amendment) -&gt; use latest amendment (B2BA). 8. Remaining books entries -&gt; MISSING_IN_2B (vendor follow-up; ITC to be deferred). Remaining 2B entries -&gt; MISSING_IN_BOOKS (check unrecorded purchase/fake invoice; consider IMS reject). 9. Apply IMS status: 2B records under 'ITC Rejected' are not claimable; pending records not in 2B. 10. Output 3B mapping: matched &amp; eligible -&gt; 4A; ineligible -&gt; 4B(1)/4D.</t>
  </si>
  <si>
    <t xml:space="preserve">tolerance per head: |books_tax − 2b_tax| &lt;= max(Re 1, 0.1% of tax) [configurable]; date window: |books_date − 2b_date| &lt;= 5 days for normalised pass; value_diff = books_taxable − 2b_taxable; itc_claimable = Σ min(books_tax, 2b_tax) for MATCHED/MISMATCH-accepted</t>
  </si>
  <si>
    <t xml:space="preserve">Tolerances are implementation choices (law does not prescribe). Recommend Re 1 per head default, user-configurable up to Rs 10 or 0.5%.</t>
  </si>
  <si>
    <t xml:space="preserve">RCM purchases (claim via self-invoice; 2B shows RCM only for registered-supplier RCM); imports (IMPG from ICEGATE, matched on BoE no/date/port code); ISD credits (GSTR-6 -&gt; 2B ISD section).</t>
  </si>
  <si>
    <t xml:space="preserve">Compare at paise; ITC claimed in 3B rounded per s.170 at head level.</t>
  </si>
  <si>
    <t xml:space="preserve">GSTR-2B generated on 14th of following month (QRMP: quarterly); IMS actions possible until GSTR-3B is filed; recompute 2B after actions.</t>
  </si>
  <si>
    <t xml:space="preserve">MISSING_IN_2B -&gt; High (defer ITC, vendor follow-up); MISSING_IN_BOOKS -&gt; High (potential fake invoice/unrecorded purchase); VALUE/TAX MISMATCH -&gt; Medium/High depending on amount; TAX_TYPE_MISMATCH -&gt; High; DUPLICATE_IN_BOOKS -&gt; Critical (double ITC); WRONG_GSTIN_SAME_PAN -&gt; Medium.</t>
  </si>
  <si>
    <t xml:space="preserve">Status per document: MATCHED, MATCHED_LATER_PERIOD, PROBABLE_MATCH, MISMATCH(type), MISSING_IN_2B, MISSING_IN_BOOKS, DUPLICATE; summary by vendor; ITC claimable figure per head for 3B Table 4A; vendor follow-up list.</t>
  </si>
  <si>
    <t xml:space="preserve">Books: 27AAPFU0939F1ZV, 'INV/0045/25-26', 03.11.2025, taxable 1,00,000, IGST 18,000. 2B (Nov 2025): same GSTIN, 'INV-45', 04.11.2025, taxable 1,00,000, IGST 18,000.40. Pass 1 fails (doc no differs). Normalise: books -&gt; 'INV45' (remove '/', FY token '25-26', leading zeros '0045'-&gt;'45'); 2B -&gt; 'INV45'. Date diff 1 day &lt;= 5. Tax diff 0.40 &lt;= Re 1 -&gt; MATCHED; claimable IGST = min(18,000, 18,000.40) = 18,000. Second record: books 'B-778' value 50,000 CGST 4,500 SGST 4,500; no 2B record in Nov or Dec 2025 -&gt; MISSING_IN_2B -&gt; ITC 9,000 deferred, vendor notice.</t>
  </si>
  <si>
    <t xml:space="preserve">Books and 2B identical -&gt; MATCHED (pass 1).</t>
  </si>
  <si>
    <t xml:space="preserve">2B shows invoice of a supplier never in vendor master, Rs 5,00,000 IGST 90,000 -&gt; MISSING_IN_BOOKS (High; suggest IMS reject if not genuine). Two books entries 'INV/12' and 'INV-12' same supplier same value -&gt; DUPLICATE_IN_BOOKS.</t>
  </si>
  <si>
    <t xml:space="preserve">Doc-no formatting; supplier reported in wrong month; supplier used different GSTIN of same PAN; B2BA amendments; CN in 2B not booked; IGST vs CGST/SGST tax type; RCM invoices shown as forward charge.</t>
  </si>
  <si>
    <t xml:space="preserve">Critical (duplicates), High (missing/tax-type), Medium (value diffs within materiality).</t>
  </si>
  <si>
    <t xml:space="preserve">import re
FY = re.compile(r'(20)?\d{2}-?(20)?\d{2}')
def norm(d):
    d=d.upper().replace(' ','')
    d=FY.sub('',d) if CONFIG.strip_fy else d
    d=re.sub(r'[/\-_.\\#]','',d)
    return re.sub(r'0+(\d)',r'\1',d)
for b in books:
    m = exact(b) or normal(b, days=5) or fuzzy(b) or later_period(b)
    status = classify(b, m, tol=CONFIG.tol)</t>
  </si>
  <si>
    <t xml:space="preserve">FAQs on Invoice Management System (ClearTax) | https://cleartax.in/s/faqs-on-invoice-management-system-ims-gst | IMS from 01.10.2024; advisory 23.09.2025 on pending credit notes
Claim ITC as per GSTR-2B mandatory w.e.f. 01.01.2022 (TaxGuru) | https://taxguru.in/goods-and-service-tax/claim-itc-gstr-2b-mandatory-w-e-f-01-01-2022.html | N.39/2021-CT, N.40/2021-CT
GSTN issues 4 advisories December 2025 (TaxGuru) | https://taxguru.in/goods-and-service-tax/gstn-issues-4-advisories-december-2025-clarify-key-compliance-procedures.html | Advisories 05.12.2025, 18.12.2025, 29.12.2025
GST amendments of Finance Act 2025 effective 1 Oct 2025 notified (TaxGuru) | https://taxguru.in/goods-and-service-tax/gst-amendments-finance-act-2025-effective-oct-1-2025-notified.html | Notification 16/2025-CT, S.O. 4206(E)</t>
  </si>
  <si>
    <t xml:space="preserve">Matching keys, normalisation and tolerances are implementation design – the law only requires the invoice to be communicated in GSTR-2B. IMS rules verified via secondary FAQs. 57th Council (08.10.2026) recommended further IMS/2B-3B reconciliation changes – not law yet.</t>
  </si>
  <si>
    <t xml:space="preserve">GST-013</t>
  </si>
  <si>
    <t xml:space="preserve">GSTR-2B vs GSTR-3B ITC claimed (Rule 88D / Table 4 auto-population)</t>
  </si>
  <si>
    <t xml:space="preserve">Detect ITC claimed in GSTR-3B Table 4 in excess of GSTR-2B (risk of DRC-01C intimation) and short-claims.</t>
  </si>
  <si>
    <t xml:space="preserve">Rule 88D (intimation in DRC-01C where ITC in 3B exceeds 2B beyond threshold – inserted by Notification 38/2023-CT, not re-verified); Rule 36(4); Circular 170/02/2022-GST (Table 4 reporting).</t>
  </si>
  <si>
    <t xml:space="preserve">All GSTR-3B filers.</t>
  </si>
  <si>
    <t xml:space="preserve">Rule 88D from 2023 (exact date not re-verified). Table 4 ITC hard-lock: NOT confirmed as implemented (secondary sources report target July 2026).</t>
  </si>
  <si>
    <t xml:space="preserve">GSTR-2B summary; GSTR-3B Table 4 values; ECRRS ledger.</t>
  </si>
  <si>
    <t xml:space="preserve">period, gstr2b_itc_available_by_head, gstr3b_4a1..4a5, gstr3b_4b1, gstr3b_4b2, gstr3b_4d1, gstr3b_4d2, ecrrs_balance</t>
  </si>
  <si>
    <t xml:space="preserve">1. Expected 4A(5) 'all other ITC' = 2B ITC available (B2B + ISD + amendments − CN) for period. 2. Excess = 3B 4A(5) − 2B (excluding reclaimed ITC shown in 4D(1), which comes from ECRRS). 3. Compute cumulative excess over the period; flag if beyond Rule 88D threshold (configurable). 4. Check that Table 4C (net) = 4A − 4B(1) − 4B(2).</t>
  </si>
  <si>
    <t xml:space="preserve">excess_itc = Σ(3B_4A_all_other − 2B_available − 4D1_reclaim_allowed); net_itc = 4A − (4B1 + 4B2)</t>
  </si>
  <si>
    <t xml:space="preserve">Rule 88D threshold: amount and/or percentage notified on Council recommendation (commonly cited Rs 25 lakh and 20% – NOT verified).</t>
  </si>
  <si>
    <t xml:space="preserve">Imports (IGST) and RCM ITC (4A(1)-(3)) not part of 2B B2B comparison except ICEGATE import section.</t>
  </si>
  <si>
    <t xml:space="preserve">With GSTR-3B.</t>
  </si>
  <si>
    <t xml:space="preserve">3B ITC &gt; 2B beyond tolerance -&gt; EXCESS_ITC_3B (Critical); 3B &lt; 2B -&gt; SHORT_CLAIM (Low/Medium; check deliberate deferral/ineligible).</t>
  </si>
  <si>
    <t xml:space="preserve">Head-wise comparison and cumulative excess; DRC-01C risk flag.</t>
  </si>
  <si>
    <t xml:space="preserve">Oct 2025: 2B IGST available 6,40,000; 3B 4A(5) IGST 6,90,000; reclaim 4D(1) 20,000 -&gt; excess = 6,90,000 − 6,40,000 − 20,000 = 30,000 -&gt; EXCESS_ITC_3B.</t>
  </si>
  <si>
    <t xml:space="preserve">3B 4A(5) = 2B -&gt; OK.</t>
  </si>
  <si>
    <t xml:space="preserve">3B claims ITC on books for invoices missing in 2B -&gt; EXCESS_ITC_3B.</t>
  </si>
  <si>
    <t xml:space="preserve">Claiming previous-period ITC without showing in correct table; RCM shown in 4A(5); not deducting ineligible ITC in 4B(1).</t>
  </si>
  <si>
    <t xml:space="preserve">excess = g3b.a5[h] - g2b.avail[h] - g3b.d1[h]
if excess &gt; tol: flag('EXCESS_ITC_3B', excess)</t>
  </si>
  <si>
    <t xml:space="preserve">Circular 170/02/2022-GST (gstcouncil.gov.in) | https://www.gstcouncil.gov.in/sites/default/files/2024-06/cir-170-02-2022-cgst.pdf | GSTR-3B Table 4 &amp; 3.2 reporting
GST ITC locking in GSTR-3B: what's changing (CompuTax, July 2026) | https://www.computaxonline.com/blog/post/2026/07/09/gst-itc-auto-restriction-gstr-2b-gstr-3b-hard-locking | Table 4 locking not officially confirmed
57th GST Council Meeting 2026: key decisions (Startup Movers) | https://www.startup-movers.com/57th-gst-council-meeting-2026-key-decisions | recommendations only</t>
  </si>
  <si>
    <t xml:space="preserve">Rule 88D text and thresholds were not opened. Table 4 hard-lock status unverified – CompuTax (Jul 2026) could not locate an official advisory. 57th Council recommended an ITC correction mechanism for April 2027 return (recommendation).</t>
  </si>
  <si>
    <t xml:space="preserve">GST-014</t>
  </si>
  <si>
    <t xml:space="preserve">Time limit for ITC u/s 16(4) and relief u/s 16(5)/16(6)</t>
  </si>
  <si>
    <t xml:space="preserve">Flag ITC claimed after the statutory time limit and identify claims protected by retrospective relief.</t>
  </si>
  <si>
    <t xml:space="preserve">CGST Act s.16(4) (as amended by Finance Act 2022: 30th November following end of FY or date of furnishing annual return, whichever earlier); s.16(5) and s.16(6) inserted by Finance (No.2) Act 2024 retrospectively w.e.f. 01.07.2017 (notified via N.17/2024-CT); Rule 37(4) (time limit not applicable to re-availment).</t>
  </si>
  <si>
    <t xml:space="preserve">All ITC claims; s.16(5) only FY 2017-18 to 2020-21; s.16(6) where registration cancelled and later revoked.</t>
  </si>
  <si>
    <t xml:space="preserve">s.16(4) current form from 01.10.2022 (FA 2022 – not re-verified); s.16(5)/(6) retrospective from 01.07.2017.</t>
  </si>
  <si>
    <t xml:space="preserve">Invoice/DN date, FY of invoice, GSTR-3B filing date in which ITC claimed, GSTR-9 filing date, registration cancellation/revocation dates.</t>
  </si>
  <si>
    <t xml:space="preserve">invoice_date, invoice_fy, debit_note_date, itc_claim_3b_period, itc_claim_3b_filing_date, gstr9_filing_date, cancellation_date, revocation_order_date, reclaim_flag</t>
  </si>
  <si>
    <t xml:space="preserve">1. Determine FY of the invoice (for DN: FY of DN date, since FA 2021 delinked from original invoice – verify). 2. limit = min(30 Nov of next FY, actual GSTR-9 filing date for invoice FY). 3. If 3B (in which ITC claimed) filing date &gt; limit -&gt; TIME_BARRED, unless re-claim of earlier reversal (Rule 37(4)). 4. If invoice FY in 2017-18..2020-21 and the 3B claiming it was filed on/before 30.11.2021 -&gt; protected by s.16(5). 5. If registration cancelled and revoked: limit = later of (30 Nov following FY of invoice … per s.16(4)) and 30 days from revocation order, for 3B filed within that window (s.16(6)), subject to the invoice not already time-barred on cancellation date.</t>
  </si>
  <si>
    <t xml:space="preserve">limit_date = min(date(fy_end_year, 11, 30), gstr9_filed_date) ; barred = claim_3b_filed_date &gt; limit_date and not reclaim</t>
  </si>
  <si>
    <t xml:space="preserve">30 November following the FY.</t>
  </si>
  <si>
    <t xml:space="preserve">Re-availment of credit reversed under Rule 37 / 37A (Rule 37(4)); s.16(5) FY 2017-21 relief; no refund where tax already paid/ITC reversed before the amendment.</t>
  </si>
  <si>
    <t xml:space="preserve">30 November following the FY (e.g., FY 2025-26 ITC: by 30.11.2026 or GSTR-9 date if earlier).</t>
  </si>
  <si>
    <t xml:space="preserve">Claimed after limit -&gt; TIME_BARRED (Critical); FY 2017-21 claim filed by 30.11.2021 -&gt; PROTECTED_16_5 (info, relevant for pending demands).</t>
  </si>
  <si>
    <t xml:space="preserve">Per invoice: limit date, claim date, status.</t>
  </si>
  <si>
    <t xml:space="preserve">Invoice 15.02.2026 (FY 2025-26); GSTR-9 for FY 2025-26 filed 25.10.2026 -&gt; limit = min(30.11.2026, 25.10.2026) = 25.10.2026. ITC claimed in Oct 2026 3B filed 20.11.2026 -&gt; TIME_BARRED.</t>
  </si>
  <si>
    <t xml:space="preserve">Invoice 10.01.2026 claimed in Feb 2026 3B filed 20.03.2026 -&gt; WITHIN_TIME.</t>
  </si>
  <si>
    <t xml:space="preserve">FY 2019-20 invoice claimed in 3B filed 15.10.2021 -&gt; previously barred (limit 20.10.2020 old rule) but PROTECTED_16_5.</t>
  </si>
  <si>
    <t xml:space="preserve">Filing GSTR-9 early inadvertently shortens window; vendors' late GSTR-1 pushes 2B beyond limit.</t>
  </si>
  <si>
    <t xml:space="preserve">lim = min(date(fy_end.year,11,30), gstr9_date or date.max)
if claim_date&gt;lim and not reclaim:
    status = 'PROTECTED_16_5' if fy&lt;=2020_21 and claim_date&lt;=date(2021,11,30) else 'TIME_BARRED'</t>
  </si>
  <si>
    <t xml:space="preserve">EY – Government notifies effective date for GST amendments of Finance Act 2024 | https://ey.com/content/dam/ey-unified-site/ey-com/en-in/alerts-hub/government-notifies-effective-date-for-amendments-made-in-gst-law-vide-finance-act-2024.pdf | s.16(5), 16(6), 74A, 128A; Notifications 17/2024, 18/2024, 19/2024-CT
Rule 37 CGST Rules (Chhattisgarh GST copy) | https://www.cggst.com/uploads/document/1755064447-rule-37.pdf | Rule 37(1),(2),(4); 37(3) omitted by N.19/2022-CT
CBIC – CGST s.16 | https://taxinformation.cbic.gov.in/content/html/tax_repository/gst/acts/2017_CGST_act/active/chapter5/section16_v1.00.html | </t>
  </si>
  <si>
    <t xml:space="preserve">[VERIFICATION 13-10-2026] CBIC s.16 page: s.16(4) – no ITC after 30 November following the FY, or the annual return date, whichever is earlier (substituted w.e.f. 01-10-2022 by N.18/2022-CT). s.16(5) (FY 2017-18 to 2020-21: ITC allowed in returns filed up to 30-11-2021) and s.16(6) (revocation cases) were inserted by s.118 of Finance (No.2) Act 2024 dt 16-08-2024; the page gives no separate commencement date. s.16(5)/(6) verified via EY alert (paraphrased). The FA 2022 wording of s.16(4) (30 Nov) is from statutory knowledge; not re-opened. Courts (2026) held s.16(5) helps only where denial was solely on s.16(4) limitation (seen in search results, not opened). 57th Council recommended aligning s.16, 37, 39 time limits – not law yet.</t>
  </si>
  <si>
    <t xml:space="preserve">GST-015</t>
  </si>
  <si>
    <t xml:space="preserve">GST – ITC reversal</t>
  </si>
  <si>
    <t xml:space="preserve">Rule 37 – ITC reversal for non-payment to supplier within 180 days (with interest) and re-availment</t>
  </si>
  <si>
    <t xml:space="preserve">Identify purchase invoices unpaid (fully/partly) 180 days after invoice date and compute ITC reversal and interest.</t>
  </si>
  <si>
    <t xml:space="preserve">CGST Act s.16(2) second and third provisos; Rule 37(1), (2), (4) as substituted by Notification 19/2022-CT effective 01.10.2022 (Rule 37(3) omitted); s.50 interest; reported in GSTR-3B Table 4(B)(2) (Circular 170/02/2022).</t>
  </si>
  <si>
    <t xml:space="preserve">Forward-charge inward supplies where ITC availed; excludes RCM supplies; deemed paid for Schedule I supplies without consideration and s.15(2)(b) amounts paid by recipient.</t>
  </si>
  <si>
    <t xml:space="preserve">1 October 2022 (current text)</t>
  </si>
  <si>
    <t xml:space="preserve">Purchase register with ITC claimed; payment ledger (vendor-wise, invoice-wise allocations, including adjustments/set-offs); 3B filing data.</t>
  </si>
  <si>
    <t xml:space="preserve">supplier_gstin, invoice_no, invoice_date, invoice_value (taxable+tax), itc_amount_by_head, itc_claimed_period, itc_utilised_date, payments[{date, amount}], rcm_flag</t>
  </si>
  <si>
    <t xml:space="preserve">1. For each invoice with ITC claimed and rcm_flag false, compute day180 = invoice_date + 180 days. 2. paid_by_day180 = sum of payments with date &lt;= day180 (allocate payment to value incl. tax). 3. unpaid_ratio = (invoice_value − paid_by_day180)/invoice_value. 4. reversal = itc × unpaid_ratio, reported in GSTR-3B of the tax period immediately following the 180th day (Table 4B(2)). 5. Interest u/s 50: applicable on reversal – per Rule 37(1) 'along with interest payable under section 50' – compute from date of utilisation (Rule 88B(3) / s.50(3)) to date of reversal at 18% where ITC was utilised; CA to decide whether s.50(3) (wrongly availed &amp; utilised) applies since availment was not wrong at inception (see notes). 6. On later payment, re-avail proportionate ITC (Table 4A(5) and 4D(1)), no time limit (Rule 37(4)). 7. Log in ECRRS.</t>
  </si>
  <si>
    <t xml:space="preserve">reversal_head = itc_head × (invoice_value − paid_by_day180) / invoice_value ; interest = reversal × 18% × days(utilisation_date → reversal_date)/365</t>
  </si>
  <si>
    <t xml:space="preserve">180 days from invoice date; interest 18% p.a. (s.50(3) rate as substituted by FA 2022 – see interest rule).</t>
  </si>
  <si>
    <t xml:space="preserve">RCM supplies; supplies without consideration under Schedule I; amounts added to value under s.15(2)(b) paid by recipient.</t>
  </si>
  <si>
    <t xml:space="preserve">Reverse in GSTR-3B for the tax period immediately following the period in which 180 days expire.</t>
  </si>
  <si>
    <t xml:space="preserve">Unpaid at day180 and not reversed -&gt; RULE37_REVERSAL_DUE (High); reversal done but payment later -&gt; REAVAIL_ELIGIBLE (info); partial payment -&gt; proportional.</t>
  </si>
  <si>
    <t xml:space="preserve">Invoice-wise reversal amount, period of reversal, interest estimate, re-availment eligibility.</t>
  </si>
  <si>
    <t xml:space="preserve">Invoice 10.04.2025, value 1,18,000 (taxable 1,00,000 + IGST 18,000), ITC 18,000 claimed in Apr 2025 3B (filed 20.05.2025, utilised). Paid 59,000 on 01.06.2025; nothing else by day180 = 07.10.2025. Unpaid ratio = 59,000/1,18,000 = 0.5 -&gt; reversal 9,000 in Oct 2025 3B (filed 20.11.2025). Interest (if computed from utilisation 20.05.2025 to 20.11.2025 = 184 days): 9,000 × 18% × 184/365 = 816.66 -&gt; Rs 817. Balance paid 15.12.2025 -&gt; re-avail 9,000 in Dec 2025 3B.</t>
  </si>
  <si>
    <t xml:space="preserve">Invoice fully paid on day 120 -&gt; NO_REVERSAL.</t>
  </si>
  <si>
    <t xml:space="preserve">RCM invoice unpaid 200 days -&gt; NOT_APPLICABLE.</t>
  </si>
  <si>
    <t xml:space="preserve">Payments not allocated to specific invoices (use FIFO by default – implementation choice); set-off against receivables treated as payment; advances paid before invoice.</t>
  </si>
  <si>
    <t xml:space="preserve">d180 = inv.date + timedelta(days=180)
paid = sum(p.amt for p in inv.payments if p.date&lt;=d180)
ratio = max(0,(inv.value-paid)/inv.value)
if ratio&gt;0 and not inv.rcm: reverse(inv.itc*ratio, period=next_period(d180))</t>
  </si>
  <si>
    <t xml:space="preserve">Rule 37 CGST Rules (Chhattisgarh GST copy) | https://www.cggst.com/uploads/document/1755064447-rule-37.pdf | Rule 37(1),(2),(4); 37(3) omitted by N.19/2022-CT
Rule 37 – CBIC tax information portal | https://taxinformation.cbic.gov.in/content/html/tax_repository/gst/rules/cgst_rules/active/chapter5/rule37_v1.00.html | seen in search results
Circular 170/02/2022-GST (gstcouncil.gov.in) | https://www.gstcouncil.gov.in/sites/default/files/2024-06/cir-170-02-2022-cgst.pdf | GSTR-3B Table 4 &amp; 3.2 reporting
Rule 88B CGST Rules (Chhattisgarh GST copy) | https://www.cggst.com/uploads/document/1754119329-rule-88b.pdf | Rule 88B(1)-(3) &amp; Explanation
CBIC – CGST Act s.16 | https://taxinformation.cbic.gov.in/content/html/tax_repository/gst/acts/2017_CGST_act/active/chapter5/section16_v1.00.html | second proviso to s.16(2)</t>
  </si>
  <si>
    <t xml:space="preserve">[VERIFICATION 13-10-2026] Rule 37 text confirmed on CBIC: reversal (wholly or partly, proportionate) in the GSTR-3B for the period immediately following 180 days from invoice date, with interest u/s 50; re-availment allowed on payment; s.16(4) time limit does not apply to re-availment. Sub-rule (1) substituted by N.19/2022-CT w.e.f. 01.10.2022, words inserted by N.26/2022-CT. 180-day condition also confirmed in s.16(2) second proviso. Interest rate 18% confirmed (see GST-022). The question of when interest starts (Rule 88B(3) 'wrongly availed and utilised') remains a CA judgement. Interest start date on Rule 37 reversals is debated: Rule 37 says interest u/s 50; Rule 88B(3) computes s.50(3) interest from utilisation where ITC 'wrongly availed and utilised'. Whether ITC validly availed but later reversible is 'wrongly availed' is a CA judgment call. 57th Council (08.10.2026) recommended s.16/37 alignment – watch for amendment.</t>
  </si>
  <si>
    <t xml:space="preserve">GST-016</t>
  </si>
  <si>
    <t xml:space="preserve">Rule 37A – ITC reversal where supplier has not filed GSTR-3B by 30 September</t>
  </si>
  <si>
    <t xml:space="preserve">Reverse ITC on invoices/DNs reported by suppliers in GSTR-1/IFF where the supplier did not file the corresponding GSTR-3B by 30 September following the FY.</t>
  </si>
  <si>
    <t xml:space="preserve">Rule 37A, CGST Rules – inserted by Notification 26/2022-CT dt 26.12.2022; amended by N.12/2024-CT dt 10.07.2024 (GSTR-1A reference); s.16(2)(c).</t>
  </si>
  <si>
    <t xml:space="preserve">Recipients who availed ITC on such invoices in the FY.</t>
  </si>
  <si>
    <t xml:space="preserve">26.12.2022 (insertion); reversal operative from FY 2022-23 onwards (supplier test 30 Sep, reversal by 30 Nov of following FY).</t>
  </si>
  <si>
    <t xml:space="preserve">Supplier-wise filing status (GSTR-3B for relevant periods) as on 30 September; 2B Rule 37A advisory table.</t>
  </si>
  <si>
    <t xml:space="preserve">supplier_gstin, invoice_no, invoice_date, itc_by_head, supplier_gstr3b_filed_for_period (bool, as of 30-Sep), supplier_filing_date</t>
  </si>
  <si>
    <t xml:space="preserve">1. For each ITC claimed invoice of FY X, check supplier's GSTR-3B for the invoice's tax period filed by 30 September of FY X+1. 2. If not filed -&gt; reverse ITC in a GSTR-3B filed on or before 30 November of FY X+1 (Table 4B(2)). 3. If not reversed by 30 Nov -&gt; payable with interest u/s 50. 4. When supplier subsequently files -&gt; re-avail in later 3B (4A(5) &amp; 4D(1)); track in ECRRS.</t>
  </si>
  <si>
    <t xml:space="preserve">reverse_amount = Σ itc where supplier_3b_filed(period) == False as of 30-Sep(FY+1)</t>
  </si>
  <si>
    <t xml:space="preserve">Dates: 30 September (supplier test) and 30 November (reversal) of following FY.</t>
  </si>
  <si>
    <t xml:space="preserve">Invoices where ITC not claimed; RCM.</t>
  </si>
  <si>
    <t xml:space="preserve">Reverse by 30 November following end of FY.</t>
  </si>
  <si>
    <t xml:space="preserve">Supplier non-filer and not reversed by 30 Nov -&gt; RULE37A_REVERSAL_DUE (High); later filing -&gt; REAVAIL_37A (info).</t>
  </si>
  <si>
    <t xml:space="preserve">List of invoices for reversal with amounts; re-claim tracker.</t>
  </si>
  <si>
    <t xml:space="preserve">FY 2024-25: Supplier X reported Feb 2025 invoice (IGST 27,000) in GSTR-1 but GSTR-3B Feb 2025 not filed by 30.09.2025 -&gt; recipient reverses 27,000 in Oct 2025 3B (filed 20.11.2025, before 30.11.2025). Supplier files 3B on 10.01.2026 -&gt; recipient re-avails 27,000 in Jan 2026 3B.</t>
  </si>
  <si>
    <t xml:space="preserve">Supplier filed 3B on 25.09.2025 -&gt; NO_REVERSAL.</t>
  </si>
  <si>
    <t xml:space="preserve">Recipient never claimed ITC on invoice -&gt; NOT_APPLICABLE.</t>
  </si>
  <si>
    <t xml:space="preserve">Supplier filed 3B but with nil liability; partial filing; QRMP supplier quarter mapping.</t>
  </si>
  <si>
    <t xml:space="preserve">for inv in itc_claimed(fy):
    if not supplier_3b_filed(inv.gstin, inv.period, asof=date(fy_end.year,9,30)):
        reverse(inv.itc, by=date(fy_end.year,11,30))</t>
  </si>
  <si>
    <t xml:space="preserve">Rule 37A CGST Rules (Chhattisgarh GST copy) | https://www.cggst.com/uploads/document/1753958879-rule-37a-1.pdf | inserted by N.26/2022-CT
FAQs on Invoice Management System (ClearTax) | https://cleartax.in/s/faqs-on-invoice-management-system-ims-gst | IMS from 01.10.2024; advisory 23.09.2025 on pending credit notes
GST Council – 48th GST Council knowledge document | https://www.gstcouncil.gov.in/sites/default/files/gst-knowledge/48-GST-Council.pdf | 
GST Council – 26/2022-Central Tax dt 26-12-2022 | https://www.gstcouncil.gov.in/node/4354 | 
CBIC – CGST Rule 37A | https://taxinformation.cbic.gov.in/content/html/tax_repository/gst/rules/cgst_rules/active/chapter5/rule37a_v1.00.html | fn 1: N.12/2024-CT</t>
  </si>
  <si>
    <t xml:space="preserve">[VERIFICATION 13-10-2026] Conflict resolved. Rule 37A was inserted by Notification 26/2022-Central Tax dt 26-12-2022 (the CGST Fifth Amendment Rules 2022, after the 48th Council meeting), per the GST Council's official 48th-meeting document ('New Rule 37A – Reversal and Reclaim of ITC'; supplier not paying tax by 30 September after the end of the FY). The CBIC rule page cites Notification 12/2024-CT dt 10-07-2024 in its footnote, which adds the words ', as amended in FORM GSTR-1A if any,'. The citation to 38/2023-CT is wrong. Rule text confirmed on CBIC: reversal, then payment with s.50 interest if not reversed, and re-availment once the supplier files. Insertion notification confirmed as 26/2022-CT (earlier citation of 38/2023-CT was wrong).</t>
  </si>
  <si>
    <t xml:space="preserve">GST-017</t>
  </si>
  <si>
    <t xml:space="preserve">Electronic Credit Reversal and Re-claimed Statement (ECRRS) and GSTR-3B Table 4 negative ITC handling</t>
  </si>
  <si>
    <t xml:space="preserve">Maintain a running ledger of reclaimable reversals (Rule 37, 37A, s.16(2)(b)/(c), inadvertent) so that reclaim in Table 4D(1) never exceeds the balance; handle negative ITC (credit notes &gt; invoices).</t>
  </si>
  <si>
    <t xml:space="preserve">Circular 170/02/2022-GST (Table 4 reporting); GSTN advisory on ECRRS (from August 2023 return period; opening balance by 30.11.2023); GSTN advisory 29.12.2025 (ECRRS and RCM liability/ITC statement – plan to block negative balances and excess claims); IMS credit-note handling advisory 18.12.2025.</t>
  </si>
  <si>
    <t xml:space="preserve">All GSTR-3B filers with reclaimable reversals.</t>
  </si>
  <si>
    <t xml:space="preserve">ECRRS from August 2023 tax period (monthly) / Apr-Jun 2023 quarter for QRMP; blocking of negative balance – announced Dec 2025, implementation date unverified.</t>
  </si>
  <si>
    <t xml:space="preserve">Opening ECRRS balance; period-wise 4B(2) reversals and 4D(1) reclaims; 2B negative values (CN exceeding invoices).</t>
  </si>
  <si>
    <t xml:space="preserve">period, opening_balance_by_head, reversal_4b2_by_head, reclaim_4d1_by_head, gstr2b_net_by_head, credit_note_itc_by_head</t>
  </si>
  <si>
    <t xml:space="preserve">1. closing = opening + 4B(2) reversals − 4D(1) reclaims (per head). 2. Reclaim must be &lt;= opening + current 4B(2). 3. Negative 2B (e.g., CN in month exceeds invoices): 4A(5) auto-populates 0 and negative value is to be shown in 4B(2) (per GSTN practice) – CA to confirm current portal behaviour. 4. With IMS credit-note option (Dec 2025), when accepting a CN the recipient declares whether ITC is to be reduced (Yes/No) – use books to determine whether ITC was claimed. 5. Flag negative closing balance (GSTR-3B may be blocked).</t>
  </si>
  <si>
    <t xml:space="preserve">closing_h = opening_h + rev_4B2_h − reclaim_4D1_h ; flag if closing_h &lt; 0</t>
  </si>
  <si>
    <t xml:space="preserve">Permanent reversals (Rule 38/42/43, s.17(5)) go to 4B(1) and are not reclaimable.</t>
  </si>
  <si>
    <t xml:space="preserve">reclaim &gt; available -&gt; EXCESS_RECLAIM (Critical); closing &lt; 0 -&gt; NEGATIVE_ECRRS (Critical; 3B may be blocked); permanent reversal booked in 4B(2) -&gt; WRONG_TABLE (Medium).</t>
  </si>
  <si>
    <t xml:space="preserve">ECRRS ledger replica per head with flags.</t>
  </si>
  <si>
    <t xml:space="preserve">Opening IGST 40,000; Nov 2025 reversal 4B(2) 9,000 (Rule 37); reclaim 4D(1) 55,000 -&gt; closing = 40,000 + 9,000 − 55,000 = −6,000 -&gt; NEGATIVE_ECRRS: reduce reclaim to 49,000.</t>
  </si>
  <si>
    <t xml:space="preserve">Opening 10,000; reversal 0; reclaim 10,000 -&gt; closing 0 OK.</t>
  </si>
  <si>
    <t xml:space="preserve">Reclaim reported without prior reversal -&gt; EXCESS_RECLAIM.</t>
  </si>
  <si>
    <t xml:space="preserve">Opening balance not declared; Rule 42 reversals put in 4B(2) and reclaimed later.</t>
  </si>
  <si>
    <t xml:space="preserve">for h in HEADS:
    close=open_[h]+rev[h]-recl[h]
    if close&lt;0: flag('NEGATIVE_ECRRS',h,close)</t>
  </si>
  <si>
    <t xml:space="preserve">Electronic Credit Reversal and Reclaimed Statement (GSTHero) | https://gsthero.com/blog/electronic-credit-reversal-and-reclaimed-statement/ | from Aug 2023 return period
GSTN issues 4 advisories December 2025 (TaxGuru) | https://taxguru.in/goods-and-service-tax/gstn-issues-4-advisories-december-2025-clarify-key-compliance-procedures.html | Advisories 05.12.2025, 18.12.2025, 29.12.2025
Circular 170/02/2022-GST (gstcouncil.gov.in) | https://www.gstcouncil.gov.in/sites/default/files/2024-06/cir-170-02-2022-cgst.pdf | GSTR-3B Table 4 &amp; 3.2 reporting</t>
  </si>
  <si>
    <t xml:space="preserve">Whether GSTN has started hard-blocking negative ECRRS/RCM ledgers (announced 29.12.2025) is unverified. Negative-2B handling in 4B(2) is based on GSTN practice, not verified in this session.</t>
  </si>
  <si>
    <t xml:space="preserve">GST-018</t>
  </si>
  <si>
    <t xml:space="preserve">Blocked credits u/s 17(5)</t>
  </si>
  <si>
    <t xml:space="preserve">Identify ITC on blocked categories so it is reported in 4B(1) (not claimed) and not used.</t>
  </si>
  <si>
    <t xml:space="preserve">CGST Act s.17(5) (a)-(i) as amended: Finance Act 2023 (CSR expenditure clause (fa), effective 01.10.2023 – not re-verified); Finance (No.2) Act 2024 – clause (i) limited to tax paid under s.74 for periods up to FY 2023-24 (effective 01.11.2024); Finance Act 2025 – s.17(5)(d) 'plant or machinery' replaced by 'plant and machinery' retrospectively from 01.07.2017 (notified effective 01.10.2025 via N.16/2025-CT) with Explanation 2.</t>
  </si>
  <si>
    <t xml:space="preserve">All ITC claimants.</t>
  </si>
  <si>
    <t xml:space="preserve">Ongoing; latest amendment 01.10.2025 (retrospective to 01.07.2017).</t>
  </si>
  <si>
    <t xml:space="preserve">Expense/asset category mapping (GL code -&gt; s.17(5) clause) master; vehicle seating capacity; business purpose flags.</t>
  </si>
  <si>
    <t xml:space="preserve">gl_code, expense_category, vehicle_seating_capacity, vehicle_use (further supply/transport of passengers/training/goods transport), is_obligatory_under_law_flag, csr_flag, construction_flag, capitalised_flag, free_sample_flag, lost_destroyed_flag, itc_by_head</t>
  </si>
  <si>
    <t xml:space="preserve">1. Map each purchase line to category. 2. Apply blocks: (a) motor vehicles &lt;= 13 persons (incl. driver) except for further supply, passenger transport, driving training, goods transport; (aa) vessels/aircraft (exceptions similar); (ab) insurance, servicing, repair of (a)/(aa) – except where vehicle eligible; (b) food &amp; beverages, outdoor catering, beauty treatment, health services, cosmetic &amp; plastic surgery, leasing/renting/hiring of vehicles/vessels/aircraft, life &amp; health insurance – except same line of outward supply or obligatory for employer under law; membership of club/health/fitness; travel benefits to employees on vacation (LTC); (c) works contract for construction of immovable property (except plant and machinery) when capitalised; (d) goods/services for construction of immovable property on own account (except plant and machinery) when capitalised; (e) composition supplies; (f) non-resident taxable person (except imports); (fa) CSR obligations under Companies Act s.135; (g) personal consumption; (h) goods lost, stolen, destroyed, written off, gifts, free samples; (i) tax paid under s.74 (for periods up to FY 2023-24). 3. Blocked ITC -&gt; 3B Table 4(B)(1) (if auto-populated in 4A) – permanent. 4. If ITC already claimed, compute reversal + interest (s.50(3)).</t>
  </si>
  <si>
    <t xml:space="preserve">blocked_itc = Σ itc_line where category ∈ BLOCKED and not exception</t>
  </si>
  <si>
    <t xml:space="preserve">Seating capacity threshold: 13 persons including driver.</t>
  </si>
  <si>
    <t xml:space="preserve">As listed per clause (same line of business, obligation under law, further supply).</t>
  </si>
  <si>
    <t xml:space="preserve">Reverse in the 3B of the period of claim.</t>
  </si>
  <si>
    <t xml:space="preserve">Blocked category with ITC claimed -&gt; BLOCKED_ITC_CLAIMED (High); category unmapped -&gt; CATEGORY_UNMAPPED (Medium).</t>
  </si>
  <si>
    <t xml:space="preserve">Blocked ITC schedule per clause for 3B 4B(1) and GSTR-9 Table 7.</t>
  </si>
  <si>
    <t xml:space="preserve">Car (5-seater) purchase for director use, taxable 10,00,000, GST 18% 1,80,000 (post 22.09.2025 rate for the class – illustrative) -&gt; 1,80,000 blocked u/s 17(5)(a) -&gt; report in 4B(1). Staff canteen food not obligatory: CGST 2,500 + SGST 2,500 blocked u/s 17(5)(b).</t>
  </si>
  <si>
    <t xml:space="preserve">Truck for goods transport -&gt; NOT_BLOCKED.</t>
  </si>
  <si>
    <t xml:space="preserve">Car purchased by a car dealer for resale -&gt; NOT_BLOCKED (further supply exception).</t>
  </si>
  <si>
    <t xml:space="preserve">Repairs of factory building capitalised; pre-fab structures vs plant and machinery; Diwali gifts; CSR spend.</t>
  </si>
  <si>
    <t xml:space="preserve">rule = BLOCK_MAP.get(line.category)
if rule and not rule.exception(line): line.itc_status='BLOCKED_17_5'; line.table='4B1'</t>
  </si>
  <si>
    <t xml:space="preserve">GST amendments of Finance Act 2025 effective 1 Oct 2025 notified (TaxGuru) | https://taxguru.in/goods-and-service-tax/gst-amendments-finance-act-2025-effective-oct-1-2025-notified.html | Notification 16/2025-CT, S.O. 4206(E)
EY – Government notifies effective date for GST amendments of Finance Act 2024 | https://ey.com/content/dam/ey-unified-site/ey-com/en-in/alerts-hub/government-notifies-effective-date-for-amendments-made-in-gst-law-vide-finance-act-2024.pdf | s.16(5), 16(6), 74A, 128A; Notifications 17/2024, 18/2024, 19/2024-CT
Circular 170/02/2022-GST (gstcouncil.gov.in) | https://www.gstcouncil.gov.in/sites/default/files/2024-06/cir-170-02-2022-cgst.pdf | GSTR-3B Table 4 &amp; 3.2 reporting
57th GST Council Meeting 2026: key decisions (Startup Movers) | https://www.startup-movers.com/57th-gst-council-meeting-2026-key-decisions | recommendations only</t>
  </si>
  <si>
    <t xml:space="preserve">Clause list from statutory knowledge; only FA 2024 (clause (i)) and FA 2025 ((d) 'plant and machinery') amendments verified via secondary sources. 57th Council (08.10.2026) recommended removing restrictions for outdoor catering, health &amp; life insurance, free samples – NOT yet law; keep master configurable.</t>
  </si>
  <si>
    <t xml:space="preserve">GST-019</t>
  </si>
  <si>
    <t xml:space="preserve">Rule 42 – reversal of common ITC on inputs/input services (exempt and non-business use)</t>
  </si>
  <si>
    <t xml:space="preserve">Compute monthly provisional and annual final reversal of common credit attributable to exempt supplies and non-business use.</t>
  </si>
  <si>
    <t xml:space="preserve">CGST Act s.17(1), 17(2), 17(3) (value of exempt supply); Rule 42(1) and 42(2) CGST Rules; GSTR-3B Table 4(B)(1) (Circular 170/02/2022); interest u/s 50(1) on final excess from 1 April of next FY.</t>
  </si>
  <si>
    <t xml:space="preserve">Registered persons making both taxable (incl. zero-rated) and exempt supplies, or using inputs partly for non-business.</t>
  </si>
  <si>
    <t xml:space="preserve">Ongoing; final computation by due date of September return following FY (e.g., FY 2025-26 by Sept 2026 3B due 20.10.2026).</t>
  </si>
  <si>
    <t xml:space="preserve">Classification of ITC into T1/T2/T3/T4/common; monthly turnover split E and F (state-wise, per GSTIN).</t>
  </si>
  <si>
    <t xml:space="preserve">period, T_total_itc, T1_non_business, T2_exclusive_exempt, T3_blocked, T4_exclusive_taxable, E_exempt_turnover, F_total_turnover, fy_E, fy_F</t>
  </si>
  <si>
    <t xml:space="preserve">1. C1 = T − (T1 + T2 + T3). 2. C2 = C1 − T4 (common credit). 3. D1 = (E/F) × C2. 4. D2 = 5% × C2 (only if common inputs used partly for non-business). 5. C3 = C2 − (D1 + D2). 6. Reverse D1 + D2 monthly (plus T1, T2 not claimed) in 4B(1). 7. If F = 0 for the period, use E/F of last period with data. 8. Annually: recompute D1, D2 on FY totals; if final &gt; Σ provisional, reverse excess with s.50(1) interest from 1 April of next FY till payment; if lower, claim the difference. 9. E excludes taxes and duty under entries 84/92A List I and 51/54 List II (e.g., petroleum duties), includes value of exempt supplies per s.17(3) (e.g., land/building sale Schedule III para 5; securities 1% of value – Rule 45 Explanation – not re-verified).</t>
  </si>
  <si>
    <t xml:space="preserve">C1 = T − (T1+T2+T3); C2 = C1 − T4; D1 = (E/F) × C2; D2 = 0.05 × C2; C3 = C2 − (D1+D2); Annual: excess = D_final − Σ D_prov; interest = excess × 18% × days(1-Apr next FY → payment)/365</t>
  </si>
  <si>
    <t xml:space="preserve">D2 fixed at 5% of C2; interest 18% p.a. u/s 50(1).</t>
  </si>
  <si>
    <t xml:space="preserve">Capital goods handled by Rule 43; banking companies may opt 50% under Rule 38.</t>
  </si>
  <si>
    <t xml:space="preserve">Monthly with GSTR-3B; final annual reversal by due date of September return of following FY.</t>
  </si>
  <si>
    <t xml:space="preserve">Annual final D1+D2 &gt; provisional and not reversed by Sept return -&gt; RULE42_SHORT_REVERSAL (High); E/F computed with wrong base -&gt; RATIO_ERROR (Medium).</t>
  </si>
  <si>
    <t xml:space="preserve">Monthly D1/D2/C3 per head; annual true-up with interest.</t>
  </si>
  <si>
    <t xml:space="preserve">Month: T = 1,00,000; T1 = 2,000; T2 = 8,000; T3 = 5,000 -&gt; C1 = 85,000. T4 = 35,000 -&gt; C2 = 50,000. E = 20 lakh, F = 1 crore -&gt; D1 = 0.20 × 50,000 = 10,000. D2 = 5% × 50,000 = 2,500 (non-business use exists). C3 = 50,000 − 12,500 = 37,500. ITC to ledger = T4 + C3 = 35,000 + 37,500 = 72,500. Reverse D1 + D2 = 12,500 (if C1 was auto-populated in 4A, reverse 12,500 + T1 + T2 + T3 in 4B(1)). Annual: Σ provisional D1 = 1,10,000; final FY E/F = 0.24 on FY C2 6,00,000 -&gt; D1 final 1,44,000; excess 34,000 reversed on 20.10.2026 -&gt; interest from 01.04.2026: 34,000 × 18% × 202/365 = 3,386.96 -&gt; Rs 3,387.</t>
  </si>
  <si>
    <t xml:space="preserve">No exempt turnover (E = 0), no non-business use -&gt; D1 = D2 = 0.</t>
  </si>
  <si>
    <t xml:space="preserve">F = 0 in a month -&gt; use previous period's E/F (no divide-by-zero).</t>
  </si>
  <si>
    <t xml:space="preserve">Including RCM inward or non-GST supplies in F; ignoring interest income (exempt) in E; computing on all-India instead of GSTIN level; forgetting annual true-up.</t>
  </si>
  <si>
    <t xml:space="preserve">C1=T-(T1+T2+T3); C2=C1-T4
ratio = E/F if F else last_ratio
D1=ratio*C2; D2=0.05*C2 if non_business else 0
C3=C2-(D1+D2)
reverse(D1+D2)</t>
  </si>
  <si>
    <t xml:space="preserve">Rule 42 CGST Rules (Chhattisgarh GST copy) | https://www.cggst.com/uploads/document/1755064648-rule-42.pdf | Rule 42(1)-(2)
Circular 170/02/2022-GST (gstcouncil.gov.in) | https://www.gstcouncil.gov.in/sites/default/files/2024-06/cir-170-02-2022-cgst.pdf | GSTR-3B Table 4 &amp; 3.2 reporting
CBIC – CGST Rule 42 | https://taxinformation.cbic.gov.in/content/html/tax_repository/gst/rules/cgst_rules/active/chapter5/rule42_v1.00.html | </t>
  </si>
  <si>
    <t xml:space="preserve">[VERIFICATION 13-10-2026] Rule 42 read on CBIC (official): D1 = (E/F) x C2; D2 = 5% of C2 (non-business use); annual final calculation by the due date of the September return; any excess reversal carries interest from 1 April of the following year; any shortfall can be claimed by the September return. Amendments by N.16/2019, 03/2019 and 19/2022-CT. Rule text read from Chhattisgarh GST department copy (state government domain). Whether D2 is always 5% even without non-business use is a common query – the rule text defines D2 for inputs used partly for non-business; CA to confirm application.</t>
  </si>
  <si>
    <t xml:space="preserve">GST-020</t>
  </si>
  <si>
    <t xml:space="preserve">Rule 43 – reversal of common ITC on capital goods</t>
  </si>
  <si>
    <t xml:space="preserve">Compute monthly reversal on common capital goods used for taxable and exempt supplies over a 5-year useful life.</t>
  </si>
  <si>
    <t xml:space="preserve">CGST Rule 43 (Tc, Tm, Tr, Te); GSTR-3B Table 4(B)(1).</t>
  </si>
  <si>
    <t xml:space="preserve">Capital goods used commonly for taxable and exempt supplies.</t>
  </si>
  <si>
    <t xml:space="preserve">Ongoing (Rule 43 as amended 2020 removing annual true-up – not re-verified).</t>
  </si>
  <si>
    <t xml:space="preserve">Capital goods register with ITC, date of receipt, usage category (exclusive exempt/non-business -&gt; not credited; exclusive taxable -&gt; full; common).</t>
  </si>
  <si>
    <t xml:space="preserve">asset_id, receipt_date, itc_amount_by_head, usage_category, period, E_exempt_turnover, F_total_turnover</t>
  </si>
  <si>
    <t xml:space="preserve">1. Exclusive non-business/exempt capital goods -&gt; ITC not credited. 2. Exclusive taxable -&gt; full credit. 3. Common: Tc = ITC of each common capital good, credited to ledger. 4. Tm = Tc/60 per month (useful life 5 years). 5. Tr = Σ Tm of all common capital goods within useful life in the month. 6. Te = (E/F) × Tr -&gt; reverse monthly in 4B(1). 7. If capital good moves from exclusive-exempt to common, add with reduced Tc (5 percentage points per quarter or part – not re-verified).</t>
  </si>
  <si>
    <t xml:space="preserve">Tm = Tc/60; Tr = Σ Tm; Te = (E/F) × Tr</t>
  </si>
  <si>
    <t xml:space="preserve">Useful life 60 months.</t>
  </si>
  <si>
    <t xml:space="preserve">Banking companies opting Rule 38.</t>
  </si>
  <si>
    <t xml:space="preserve">Monthly with GSTR-3B.</t>
  </si>
  <si>
    <t xml:space="preserve">Common capital goods without monthly Te reversal -&gt; RULE43_MISSING (High).</t>
  </si>
  <si>
    <t xml:space="preserve">Monthly Te per head and asset register.</t>
  </si>
  <si>
    <t xml:space="preserve">Common machine ITC Tc = 6,00,000 -&gt; Tm = 10,000/month. Another common asset Tm = 5,000 -&gt; Tr = 15,000. E/F = 0.10 -&gt; Te = 1,500 reversal for the month.</t>
  </si>
  <si>
    <t xml:space="preserve">E = 0 -&gt; Te = 0.</t>
  </si>
  <si>
    <t xml:space="preserve">Asset beyond 60 months -&gt; excluded from Tr.</t>
  </si>
  <si>
    <t xml:space="preserve">Treating capital goods under Rule 42; not removing assets past useful life.</t>
  </si>
  <si>
    <t xml:space="preserve">Tr=sum(a.tc/60 for a in common_assets if months_since(a.receipt)&lt;60)
Te=(E/F if F else last_ratio)*Tr</t>
  </si>
  <si>
    <t xml:space="preserve">Circular 170/02/2022-GST (gstcouncil.gov.in) | https://www.gstcouncil.gov.in/sites/default/files/2024-06/cir-170-02-2022-cgst.pdf | GSTR-3B Table 4 &amp; 3.2 reporting
CBIC – CGST Rule 43 | https://taxinformation.cbic.gov.in/content/html/tax_repository/gst/rules/cgst_rules/active/chapter5/rule43_v1.00.html | </t>
  </si>
  <si>
    <t xml:space="preserve">[VERIFICATION 13-10-2026] Rule 43 read on CBIC (official): useful life 5 years from invoice date; Tm = Tc/60; Te = (E/F) x Tr (as extracted), added to output liability each tax period of useful life with interest, computed separately per tax head. Clauses (c) and (d) substituted and (f) omitted by N.16/2020-CT w.e.f. 01-04-2020. The extracted text did not define 'Tr', so the multiplier (Tm vs Tr) needs a CA reading of the rule. CORRECTION: Confirm Te multiplier from bare rule text (extraction showed 'Te = (E/F) x Tr'). Rule 43 text could not be opened (search budget exhausted); formula from statutory knowledge. CA must verify current Rule 43 wording including the 2020 amendment.</t>
  </si>
  <si>
    <t xml:space="preserve">GST-021</t>
  </si>
  <si>
    <t xml:space="preserve">Reverse charge liability – s.9(3) notified services/goods and s.9(4)</t>
  </si>
  <si>
    <t xml:space="preserve">Identify inward supplies on which the recipient must pay tax under RCM, check self-invoicing, 3B Table 3.1(d) reporting and ITC claim.</t>
  </si>
  <si>
    <t xml:space="preserve">CGST s.9(3) &amp; IGST s.5(3): Notification 13/2017-CT(Rate) (services) as amended incl. 9/2024-CT(Rate) (renting of non-residential property by unregistered to registered, from 10.10.2024) and 7/2025-CT(Rate) (composition recipients excluded from that entry, from 16.01.2025; sponsorship moved to forward charge per secondary source); Notification 4/2017-CT(Rate) (goods); s.9(4) (notified classes of registered persons receiving from unregistered – currently promoters, N.7/2019-CT(Rate) – not re-verified); s.31(3)(f) self-invoice (time limit 30 days per FA 2024 amendment effective 01.11.2024 – Rule 47A not re-verified); s.13(3) time of supply.</t>
  </si>
  <si>
    <t xml:space="preserve">Registered recipients (and specified persons) receiving notified supplies.</t>
  </si>
  <si>
    <t xml:space="preserve">Ongoing; latest changes 10.10.2024, 16.01.2025, 22.09.2025 (GTA rate options).</t>
  </si>
  <si>
    <t xml:space="preserve">Vendor master (registration status, entity type: individual/firm/body corporate), service category master (SAC) mapped to RCM entries, recipient entity type.</t>
  </si>
  <si>
    <t xml:space="preserve">vendor_gstin_or_unregistered, vendor_type, recipient_type, sac_code, service_category, taxable_value, gta_forward_charge_declaration_flag, invoice_date, payment_date, self_invoice_no, rcm_paid_3b_period</t>
  </si>
  <si>
    <t xml:space="preserve">1. Map purchase to RCM entry: GTA (unless GTA opted forward charge and declared), legal services by advocate/firm to business entity, arbitral tribunal, services by Government to business (excl. renting except specific), director services to company, insurance agent, recovery agent, security services by non-body-corporate to registered person, renting of motor vehicle by non-body-corporate to body corporate (where 5% scheme), renting of residential dwelling to registered person, renting of non-residential property by unregistered to registered person (non-composition), copyright transfers, DSA/business facilitator/BC services to banks, lending of securities, imports of services (IGST s.5(3)). 2. Compute RCM tax at applicable rate. 3. Time of supply = earlier of payment date or 60 days from invoice (s.13(3)) – for unregistered suppliers issue self-invoice. 4. Report in 3B 3.1(d); pay in cash (s.49(4) – ITC cannot discharge RCM). 5. Claim ITC in 4A(3) (or 4A(2) import of services) in same/subsequent return if eligible. 6. Check against RCM liability/ITC statement (GSTN).</t>
  </si>
  <si>
    <t xml:space="preserve">rcm_tax = taxable_value × rate ; tos = min(payment_date, invoice_date + 60 days)</t>
  </si>
  <si>
    <t xml:space="preserve">GTA from 22.09.2025: 5% (without ITC to GTA) or 18% with ITC (forward charge option) per Council FAQ 60; renting of commercial property RCM 18%.</t>
  </si>
  <si>
    <t xml:space="preserve">Exempt services (e.g., GTA to unregistered individuals; legal services to business with turnover up to threshold of previous FY in exemption notification – not re-verified); composition recipients excluded from renting entry 5AB.</t>
  </si>
  <si>
    <t xml:space="preserve">Pay with GSTR-3B of month in which time of supply falls (cash only).</t>
  </si>
  <si>
    <t xml:space="preserve">RCM-applicable purchase without 3.1(d) liability -&gt; RCM_NOT_PAID (Critical); RCM paid via ITC -&gt; RCM_VIA_ITC (Critical); ITC claimed exceeds RCM paid -&gt; RCM_ITC_EXCESS (High); missing self-invoice -&gt; SELF_INVOICE_MISSING (Medium).</t>
  </si>
  <si>
    <t xml:space="preserve">RCM register with liability, payment period, ITC claim; mismatch report vs 3B 3.1(d) and 4A(2)/(3).</t>
  </si>
  <si>
    <t xml:space="preserve">Unregistered landlord rents office to registered company; rent Rs 1,00,000/month; invoice/agreement 01.11.2025, paid 05.11.2025 -&gt; RCM 18%: CGST 9,000 + SGST 9,000 payable in cash in Nov 2025 3B (3.1(d)); ITC 18,000 claimable in 4A(3).</t>
  </si>
  <si>
    <t xml:space="preserve">GTA charging 18% forward charge with declaration -&gt; no RCM on recipient.</t>
  </si>
  <si>
    <t xml:space="preserve">Composition taxpayer tenant from unregistered landlord after 16.01.2025 -&gt; NOT_RCM.</t>
  </si>
  <si>
    <t xml:space="preserve">Director sitting fees missed; advocate fees to individual lawyers; GTA declarations not on file; import of services (foreign SaaS) missed.</t>
  </si>
  <si>
    <t xml:space="preserve">entry = RCM_MASTER.match(sac, vendor_type, recipient_type, date)
if entry and not entry.excluded(ctx): liab = val*entry.rate; tos=min(pay_dt, inv_dt+timedelta(60))</t>
  </si>
  <si>
    <t xml:space="preserve">RCM on services – Notification 13/2017-CT(Rate) consolidated (TaxRoutine) | https://taxroutine.com/repository/gst-notifications/rcm-services/ | amendments 9/2024-CT(R), 7/2025-CT(R)
RCM on rent of commercial property (ClearTax) | https://cleartax.in/s/rcm-on-rent-of-commercial-property-under-gst | from 10.10.2024; composition excluded 16.01.2025
GST Council FAQs on 56th Council rate changes | https://gstcouncil.gov.in/sites/default/files/2025-09/faq.pdf | FAQ 1, 4-10, 60-62, 71
EY – Government notifies effective date for GST amendments of Finance Act 2024 | https://ey.com/content/dam/ey-unified-site/ey-com/en-in/alerts-hub/government-notifies-effective-date-for-amendments-made-in-gst-law-vide-finance-act-2024.pdf | s.16(5), 16(6), 74A, 128A; Notifications 17/2024, 18/2024, 19/2024-CT</t>
  </si>
  <si>
    <t xml:space="preserve">Entry list taken from TaxRoutine consolidated version (secondary). Sponsorship move to forward charge by 7/2025-CT(Rate) shown inconsistently in that source – verify. Self-invoice timeline (30 days) and Rule 47A not re-verified.</t>
  </si>
  <si>
    <t xml:space="preserve">GST-022</t>
  </si>
  <si>
    <t xml:space="preserve">Interest u/s 50 – delayed payment (18% on net cash) and wrongly availed &amp; utilised ITC (s.50(3))</t>
  </si>
  <si>
    <t xml:space="preserve">Compute statutory interest on late payment of tax and on ITC wrongly availed and utilised, day-wise.</t>
  </si>
  <si>
    <t xml:space="preserve">CGST Act s.50(1) (interest on delayed tax; proviso – only on cash portion for late returns), s.50(3) (substituted by Finance Act 2022 retrospectively w.e.f. 01.07.2017; notified by N.9/2022-CT dt 05.07.2022 – interest only where ITC wrongly availed AND utilised); Notification 13/2017-CT (rates) as amended by Finance Act 2022 (s.116 &amp; Sixth Schedule – rate for s.50(3) substituted from 24% to 18%, retrospectively from 01.07.2017 – per secondary source); Rule 88B (manner of computation, inserted by N.14/2022-CT).</t>
  </si>
  <si>
    <t xml:space="preserve">All registered persons.</t>
  </si>
  <si>
    <t xml:space="preserve">Rule 88B and s.50(3) as substituted: retrospective 01.07.2017 (notified 05.07.2022).</t>
  </si>
  <si>
    <t xml:space="preserve">Due dates per period, actual payment dates, cash vs ITC split of tax paid, electronic credit ledger daily balances (for s.50(3)).</t>
  </si>
  <si>
    <t xml:space="preserve">period, due_date, filing_date, tax_paid_cash_by_head, tax_paid_itc_by_head, cash_ledger_balance_on_due_date, wrongly_availed_itc_by_head, credit_ledger_balance_series, reversal_date</t>
  </si>
  <si>
    <t xml:space="preserve">Late return (Rule 88B(1)): 1. Interest base = tax paid through cash ledger in the delayed return (not ITC portion). 2. Exclude cash ledger balance credited on/before due date that remained there till debit (proviso). 3. Days = filing/debit date − due date (count days after due date up to and including payment date – implementation convention). 4. Interest = base × 18% × days/365. Other short-payment (Rule 88B(2)): base = unpaid tax; from day after due date till payment. Wrong ITC (Rule 88B(3)): 5. Determine utilisation: wrongly availed ITC is utilised when credit ledger balance falls below the wrongly availed amount; extent = shortfall. 6. Date of utilisation: if via return – earlier of return due date or filing date; else date of debit. 7. Interest = utilised amount × 18% × days(utilisation → reversal/payment)/365. 8. No interest if ledger balance never fell below wrongly availed amount.</t>
  </si>
  <si>
    <t xml:space="preserve">interest = base × 18% × days / 365 (both s.50(1) and s.50(3)); base_50_3(t) = max(0, wrong_itc − credit_ledger_balance(t)) (track each increment of utilisation)</t>
  </si>
  <si>
    <t xml:space="preserve">18% p.a. (s.50(1)); 18% p.a. (s.50(3) – Notification 13/2017-CT Sl.2 as amended retrospectively from 01.07.2017 by Finance Act 2022 s.116 &amp; Sixth Schedule; 24% is only the statutory ceiling in s.50(3)).</t>
  </si>
  <si>
    <t xml:space="preserve">Interest waiver s.128A for s.73 demands FY 2017-18 to 2019-20 if tax paid by notified date (31.03.2025 per 54th Council – not re-verified); COVID-period reduced rates (N.31/2020, 51/2020, 8/2021, 18/2021) for specified periods.</t>
  </si>
  <si>
    <t xml:space="preserve">Final interest amount per head rounded to nearest rupee – CGST s.170.</t>
  </si>
  <si>
    <t xml:space="preserve">Paid along with tax (DRC-03 / 3B Table 5.1).</t>
  </si>
  <si>
    <t xml:space="preserve">Late filing with cash payment and no interest paid -&gt; INTEREST_SHORT (High); wrong ITC reversed after ledger fell below -&gt; INTEREST_50_3_DUE (High).</t>
  </si>
  <si>
    <t xml:space="preserve">Head-wise interest computation with days, base, rate.</t>
  </si>
  <si>
    <t xml:space="preserve">(A) Late 3B: Oct 2025 3B due 20.11.2025, filed 15.12.2025. Liability CGST 1,00,000: ITC 60,000 + cash 40,000 (cash deposited 14.12.2025). Days 21.11 → 15.12 = 25. Interest = 40,000 × 18% × 25/365 = 493.15 -&gt; Rs 493 CGST (same for SGST). (B) s.50(3): Wrongly availed IGST 50,000 on 20.06.2025 (June 2025 3B). Credit ledger after filing 20.07.2025 (June 3B due date 20.07) falls to 30,000 -&gt; utilised 20,000 from 20.07.2025; on 20.08.2025 balance falls to 0 -&gt; further 30,000 utilised from 20.08.2025. Reversed by DRC-03 on 19.10.2025. Interest = 20,000 × 18% × 91/365 + 30,000 × 18% × 60/365 = 897.53 + 887.67 = 1,785.20 -&gt; Rs 1,785.</t>
  </si>
  <si>
    <t xml:space="preserve">3B filed on due date -&gt; interest 0.</t>
  </si>
  <si>
    <t xml:space="preserve">Wrong ITC 50,000 with ledger balance never below 2,00,000 until reversal -&gt; s.50(3) interest 0.</t>
  </si>
  <si>
    <t xml:space="preserve">Computing interest on gross liability instead of cash; using 24% for s.50(3); day-count off by one; ignoring cash balance available on due date.</t>
  </si>
  <si>
    <t xml:space="preserve">def interest(base, start, end, rate=0.18):
    days=(end-start).days
    return round(base*rate*days/365)
# 50(1) late return
int1 = interest(cash_paid - protected_cash_balance, due_date, filing_date)
# 50(3)
for seg in utilisation_segments(wrong_itc, ledger_series): total += interest(seg.amt, seg.date, reversal_date)</t>
  </si>
  <si>
    <t xml:space="preserve">Rule 88B CGST Rules (Chhattisgarh GST copy) | https://www.cggst.com/uploads/document/1754119329-rule-88b.pdf | Rule 88B(1)-(3) &amp; Explanation
Rule 88B – CBIC tax information portal | https://taxinformation.cbic.gov.in/content/html/tax_repository/gst/rules/cgst_rules/active/chapter9/rule88b_v1.00.html | seen in search results; fetch blocked
Analysis of notifications of 05.07.2022 (TaxGuru) | https://taxguru.in/goods-and-service-tax/analysis-gst-notifications-issued-cbic-05th-july-2022.html | 14/2022-CT inserted Rule 88B
Interest on wrongly availed ITC under s.50(3) (Masters India) | https://www.mastersindia.co/blog/interest-on-wrongly-availed-itc-under-section-503-gst/ | Notification 9/2022-CT; retrospective 01.07.2017
CBIC notifies retrospective amendment to s.50(3) (Taxmann) | https://www.taxmann.com/post/blog/cbic-notifies-retrospective-amendment-to-section-503-of-the-cgst-act/ | Notification 9/2022-CT dt 05.07.2022
TaxTMI forum – rate of interest u/s 50(3) | https://www.taxtmi.com/forum/issue?id=118761 | Finance Act 2022 s.116 &amp; Sixth Schedule substitute 18 for 24 in N.13/2017-CT Sl.2
CGST interest rates notified – Notification 13/2017 (Teachoo) | https://www.teachoo.com/6596/2144/CGST-Interest-Rates-Notified-(Notifications-13-2017)/category/Latest-GST-Notification/ | original rates 18%/24%/6%/9%
CBIC tax information – CGST Act s.50 | https://taxinformation.cbic.gov.in/content/html/tax_repository/gst/acts/2017_CGST_act/active/chapter10/section50_v1.00.html | fn 2: s.50(3) substituted w.e.f. 1-7-2017 by s.111 FA 2022
Finance Act 2022 – Sixth Schedule (reproduction, taxmanagementindia) | https://www.taxmanagementindia.com/visitor/detail_act.asp?ID=40754 | G.S.R. 661(E) Table Sl.2 col.(3): '24' -&gt; '18' w.e.f. 1-7-2017
Finance Act 2022 – s.116 (reproduction) | https://www.taxmanagementindia.com/visitor/detail_act.asp?ID=40738 | 
Finance Act 2022 – Seventh Schedule (reproduction) | https://www.taxmanagementindia.com/visitor/detail_act.asp?ID=40755 | G.S.R. 698(E) '24' -&gt; '18'
GSTN advisory – re-computation of interest in Table 5.1 of GSTR-3B | https://tutorial.gst.gov.in/downloads/news/advisory_on_interest_calculator_6th_march_2026.pdf | </t>
  </si>
  <si>
    <t xml:space="preserve">[VERIFICATION 13-10-2026] Conflict resolved: the notified rate for s.50(3) is 18%, not 24%. Text of s.116 of the Finance Act 2022 says notification G.S.R. 661(E) dated 28-6-2017 (= Notification 13/2017-Central Tax) 'shall stand amended and shall be deemed to have been amended retrospectively' as per the Sixth Schedule. The Sixth Schedule says: in the Table, against Sl. No. 2 (the s.50(3) entry), in column (3), for '24' substitute '18', w.e.f. 1-7-2017. The Seventh Schedule makes the same 24-&gt;18 change in G.S.R. 698(E) (the companion IGST notification) w.e.f. 1-7-2017. The CBIC Act page (official) confirms s.50(3) was substituted by s.111 of Finance Act 2022 w.e.f. 1-7-2017 and now reads 'wrongly availed and utilised ... at such rate not exceeding twenty-four per cent' – 24% is only the statutory ceiling. The CBIC copy of N.13/2017 itself could not be fetched (fetch error), and the Finance Act 2022 schedule text was read on a reproduction site (taxmanagementindia), so the status is secondary-only, but the content is the statute text. Also confirmed on CBIC: s.50(1) ceiling 18% and the proviso (interest on cash-ledger portion only, except where return filed after s.73/74 proceedings start). A GSTN advisory (Mar-2026) confirms the portal auto-computes 3B interest and populates Table 5.1 of the next return, and gives the Rule 88B(1) minimum-cash-balance benefit. s.50(3) rate conflict resolved: Finance Act 2022 s.116 read with the Sixth Schedule substituted 18% for 24% at Sl.2 of N.13/2017-CT from 01.07.2017 (Schedule text read on a reproduction site; CBIC PDF did not load). Day-count convention (exclusive of due date, inclusive of payment date) is an implementation choice.</t>
  </si>
  <si>
    <t xml:space="preserve">GST-023</t>
  </si>
  <si>
    <t xml:space="preserve">Late fee u/s 47 for GSTR-3B and GSTR-1 (with caps)</t>
  </si>
  <si>
    <t xml:space="preserve">Compute late fee payable for delayed GSTR-1/GSTR-3B and verify portal-computed fee.</t>
  </si>
  <si>
    <t xml:space="preserve">CGST Act s.47(1) (Rs 100/day CGST, max Rs 5,000 statutory); late fee waiver/caps: Notification 19/2021-CT dt 01.06.2021 (GSTR-3B, tax periods from June 2021) and Notification 20/2021-CT (GSTR-1) – reduces to Rs 25/day CGST + Rs 25 SGST (Rs 50 total), nil returns Rs 10 + 10 (Rs 20 total); equivalent SGST notifications.</t>
  </si>
  <si>
    <t xml:space="preserve">All GSTR-1 and GSTR-3B filers (monthly/QRMP).</t>
  </si>
  <si>
    <t xml:space="preserve">Tax period June 2021 onwards.</t>
  </si>
  <si>
    <t xml:space="preserve">Due date, filing date, AATO of preceding FY, nil-return flag.</t>
  </si>
  <si>
    <t xml:space="preserve">return_type, period, due_date, filing_date, aato_preceding_fy, nil_return_flag</t>
  </si>
  <si>
    <t xml:space="preserve">1. days_late = filing_date − due_date (&gt;0). 2. per_day = Rs 20 total (nil) else Rs 50 total (25 CGST + 25 SGST/UTGST); IGST-only taxpayers still pay CGST+SGST late fee. 3. cap: nil -&gt; Rs 500 total (250+250); AATO &lt;= Rs 1.5 crore -&gt; Rs 2,000 (1,000+1,000); Rs 1.5-5 crore -&gt; Rs 5,000 (2,500+2,500); &gt; Rs 5 crore -&gt; Rs 10,000 (5,000+5,000 statutory cap). 4. fee = min(days × per_day, cap). 5. GSTR-1: same structure (N.20/2021) – portal levies GSTR-1 late fee in next 3B/ with GSTR-1.</t>
  </si>
  <si>
    <t xml:space="preserve">fee_total = min(days_late × per_day_total, cap_total); split 50:50 CGST/SGST</t>
  </si>
  <si>
    <t xml:space="preserve">Rs 50/day (Rs 20 nil); caps Rs 500 / 2,000 / 5,000 / 10,000 as above.</t>
  </si>
  <si>
    <t xml:space="preserve">Amnesty/waiver notifications for earlier periods; 57th Council (08.10.2026) recommended late-fee waiver for taxpayers with turnover up to Rs 5 crore filing within the month of due date – not yet law.</t>
  </si>
  <si>
    <t xml:space="preserve">Whole rupees (per-day amounts are integers); s.170.</t>
  </si>
  <si>
    <t xml:space="preserve">Paid in cash before filing (late fee cannot be paid from ITC).</t>
  </si>
  <si>
    <t xml:space="preserve">Portal fee != computed -&gt; LATE_FEE_VARIANCE (Low); late filing with no fee paid -&gt; LATE_FEE_UNPAID (Medium).</t>
  </si>
  <si>
    <t xml:space="preserve">Late fee per return per head.</t>
  </si>
  <si>
    <t xml:space="preserve">GSTR-3B Aug 2025 (due 20.09.2025) filed 15.10.2025: 25 days × Rs 50 = 1,250 ( &lt; cap ) -&gt; CGST 625 + SGST 625. Same return late 70 days, AATO Rs 1.2 crore: 70 × 50 = 3,500 -&gt; cap 2,000 -&gt; 1,000 + 1,000.</t>
  </si>
  <si>
    <t xml:space="preserve">Nil 3B late 30 days -&gt; 30 × 20 = 600 -&gt; cap 500.</t>
  </si>
  <si>
    <t xml:space="preserve">Applying cap per head vs total; ignoring nil-return concession.</t>
  </si>
  <si>
    <t xml:space="preserve">per = 20 if nil else 50
cap = 500 if nil else (2000 if aato&lt;=1.5e7 else 5000 if aato&lt;=5e7 else 10000)
fee = min(max(0,days)*per, cap)</t>
  </si>
  <si>
    <t xml:space="preserve">Relief regarding late fee for GSTR-3B (TaxHeal) – Notification 19/2021-CT | https://www.taxheal.com/?p=89438 | caps from June 2021 tax period
GST late fee &amp; interest calculator (CalcGuru) | https://calcguru.in/gst-late-fee-calculator/ | secondary summary of caps
57th GST Council Meeting 2026: key decisions (Startup Movers) | https://www.startup-movers.com/57th-gst-council-meeting-2026-key-decisions | recommendations only
CBIC – N.19/2021-CT | https://cbic-gst.gov.in/pdf/central-tax/notfctn-19-central-tax-english-2021.pdf | 
CBIC – N.20/2021-CT | https://cbic-gst.gov.in/pdf/central-tax/notfctn-20-central-tax-english-2021.pdf | 
CBIC – CGST s.47 | https://taxinformation.cbic.gov.in/content/html/tax_repository/gst/acts/2017_CGST_act/active/chapter9/section47_v1.00.html | </t>
  </si>
  <si>
    <t xml:space="preserve">[VERIFICATION 13-10-2026] CBIC PDFs (official): N.19/2021-CT (GSTR-3B) and N.20/2021-CT (GSTR-1), both dt 01-06-2021, from tax period June 2021: late fee above the cap is waived. CGST caps: nil Rs 250; AATO up to 1.5 cr Rs 1,000; 1.5-5 cr Rs 2,500. Same caps under SGST give totals of Rs 500 / 2,000 / 5,000, which match the rule. No cap is listed for AATO above Rs 5 crore, so the statutory s.47(1) maximum of Rs 5,000 per Act (Rs 10,000 total) applies – confirmed on the CBIC s.47 page (Rs 100/day, max Rs 5,000). Neither notification states a per-day rate, so the Rs 50/day (Rs 20 nil) reduction rests on other notifications not opened. GSTR-3B caps verified via secondary reproduction of N.19/2021; GSTR-1 N.20/2021 and the &gt; Rs 5 crore Rs 10,000 cap taken from secondary calculator page and statutory s.47 cap – CA to confirm.</t>
  </si>
  <si>
    <t xml:space="preserve">GST-024</t>
  </si>
  <si>
    <t xml:space="preserve">Late fee for GSTR-9 / GSTR-9C (annual return)</t>
  </si>
  <si>
    <t xml:space="preserve">Compute late fee on delayed annual return.</t>
  </si>
  <si>
    <t xml:space="preserve">CGST Act s.47(2) (Rs 100/day CGST, max 0.25% of turnover in State); Notification 7/2023-CT dt 31.03.2023 (reduced fee from FY 2022-23).</t>
  </si>
  <si>
    <t xml:space="preserve">GSTR-9 filers (mandatory where AATO &gt; Rs 2 crore from FY 2024-25 per N.15/2025-CT; optional earlier years per older notifications).</t>
  </si>
  <si>
    <t xml:space="preserve">FY 2022-23 onwards.</t>
  </si>
  <si>
    <t xml:space="preserve">Aggregate turnover of FY, turnover in State, due date, filing date of GSTR-9 and 9C.</t>
  </si>
  <si>
    <t xml:space="preserve">fy, aato_fy, state_turnover, due_date, gstr9_filing_date, gstr9c_filing_date, gstr9c_required</t>
  </si>
  <si>
    <t xml:space="preserve">1. days = (later of GSTR-9 and required GSTR-9C filing date) − due date (annual return is complete only when 9C filed where applicable – secondary view). 2. AATO &lt;= Rs 5 crore: Rs 25 CGST + 25 SGST per day, cap 0.02% + 0.02% of turnover in State. 3. Rs 5-20 crore: Rs 50 + 50 per day, cap 0.02% + 0.02%. 4. &gt; Rs 20 crore: Rs 100 + 100 per day, cap 0.25% + 0.25% (statutory). 5. fee = min(days × per_day, cap).</t>
  </si>
  <si>
    <t xml:space="preserve">fee_head = min(days × per_day_head, cap_pct_head × state_turnover)</t>
  </si>
  <si>
    <t xml:space="preserve">Taxpayers with AATO up to Rs 2 crore exempt from filing annual return from FY 2024-25 (N.15/2025-CT) – no late fee if not filed.</t>
  </si>
  <si>
    <t xml:space="preserve">Nearest rupee – s.170.</t>
  </si>
  <si>
    <t xml:space="preserve">31 December following FY.</t>
  </si>
  <si>
    <t xml:space="preserve">GSTR-9 filed late -&gt; LATE_FEE_9 (Medium).</t>
  </si>
  <si>
    <t xml:space="preserve">Late fee per head.</t>
  </si>
  <si>
    <t xml:space="preserve">FY 2024-25, AATO Rs 8 crore, state turnover Rs 8 crore; due 31.12.2025; filed 31.03.2026 = 90 days. Per head: 90 × 50 = 4,500; cap 0.02% × 8 crore = 16,000 -&gt; 4,500 CGST + 4,500 SGST = 9,000.</t>
  </si>
  <si>
    <t xml:space="preserve">AATO Rs 1.8 crore FY 2024-25, not filed -&gt; NOT_REQUIRED.</t>
  </si>
  <si>
    <t xml:space="preserve">AATO Rs 25 crore, 400 days late: 400 × 100 = 40,000/head; cap 0.25% × 25 cr = 6,25,000 -&gt; 40,000/head.</t>
  </si>
  <si>
    <t xml:space="preserve">Using all-India instead of state turnover for cap; forgetting 9C delay.</t>
  </si>
  <si>
    <t xml:space="preserve">if aato&lt;=5e7: per,cap=25,0.0002
elif aato&lt;=2e8: per,cap=50,0.0002
else: per,cap=100,0.0025
fee_head=min(days*per, cap*state_turnover)</t>
  </si>
  <si>
    <t xml:space="preserve">Late fees for GSTR-9 reduced from FY 2022-23 (Lexplosion) – Notification 7/2023-CT | https://lexplosion.in/late-fees-for-filing-annual-return-in-form-gstr-9-reduced-from-fy-2022-23-onwards/ | N.7/2023-CT dt 31.03.2023
GST late fee &amp; interest calculator (CalcGuru) | https://calcguru.in/gst-late-fee-calculator/ | secondary summary of caps
Notification No. 15/2025-Central Tax dt 17.09.2025 – annual return exemption up to Rs 2 crore | https://www.taxheal.com/?p=105269 | S.O. 4205(E)
GSTR-9C reconciliation statement (ClearTax) | https://cleartax.in/s/gst-reconciliation-statement-gstr-9c | N.30/2021-CT; &gt; Rs 5 crore
GSTN FAQ GSTR-9/9C FY 2024-25 | https://tutorial.gst.gov.in/downloads/news/faq_on_gstr9_for_24_25_dt_15_oct_25_v6_final.pdf | 
GSTN consolidated FAQ GSTR-9/9C (17-12-2025) | https://tutorial.gst.gov.in/downloads/news/combined_faq_on_gstr_9_and_9c_17122025.pdf | 
CBIC – CGST s.47 | https://taxinformation.cbic.gov.in/content/html/tax_repository/gst/acts/2017_CGST_act/active/chapter9/section47_v1.00.html | </t>
  </si>
  <si>
    <t xml:space="preserve">[VERIFICATION 13-10-2026] Official: s.47(2) – Rs 100/day, capped at 0.25% of State turnover (CBIC). GSTN FAQ on GSTR-9/9C FY 2024-25 (15-10-2025) and Circular 246/03/2025-GST: late fee is levied u/s 47(2); for GSTR-9 it runs from the due date until GSTR-9 is filed; for GSTR-9C it runs from the later of GSTR-9 filing or the due date until 9C is filed; it is auto-computed and paid in new Table 17 of 9C. This resolves the conflict: 9C delay attracts its own s.47(2) late fee for the period after GSTR-9 is filed (subject to the same cap). N.7/2023 turnover bands not opened. CORRECTION: Add: GSTR-9C late fee = s.47(2) for days from max(GSTR-9 filing date, due date) to 9C filing, auto-calculated in 9C Table 17 (Circular 246/03/2025-GST); total of 9 and 9C fees subject to the N.7/2023 / s.47(2) caps. N.7/2023 bands verified via Lexplosion; &gt; Rs 20 crore band from statute/secondary. Whether 9C delay extends GSTR-9 late fee (s.44 single annual return incl. 9C) is a CA interpretation; ClearTax mentions an auto-calculated Rs 100/day in Table 17 of 9C without cap – conflicting; needs review.</t>
  </si>
  <si>
    <t xml:space="preserve">GST-025</t>
  </si>
  <si>
    <t xml:space="preserve">GST – Compliance calendar</t>
  </si>
  <si>
    <t xml:space="preserve">Due dates – GSTR-1, IFF, GSTR-3B, CMP-08, GSTR-4, GSTR-9/9C, GSTR-7/8, GSTR-6</t>
  </si>
  <si>
    <t xml:space="preserve">Drive the compliance calendar, late-fee and interest computations.</t>
  </si>
  <si>
    <t xml:space="preserve">s.37 &amp; Rule 59 (GSTR-1: 11th; QRMP 13th; IFF 1st-13th); s.39 &amp; Rule 61 (GSTR-3B: 20th; QRMP 22nd/24th per N.82/2020-CT state groups); Rule 62 (CMP-08 18th of month after quarter; GSTR-4 30th June following FY from FY 2024-25 per N.12/2024-CT); s.44 &amp; Rule 80 (GSTR-9/9C 31 December); s.39(3)/(4) (GSTR-7 &amp; 8: 10th); GSTR-6 (13th).</t>
  </si>
  <si>
    <t xml:space="preserve">All registered persons by category.</t>
  </si>
  <si>
    <t xml:space="preserve">Current as of FY 2025-26 and FY 2026-27 (no change verified for 2026-27).</t>
  </si>
  <si>
    <t xml:space="preserve">Taxpayer category (monthly/QRMP/composition/TDS/TCS/ISD), state of registration.</t>
  </si>
  <si>
    <t xml:space="preserve">gstin_state_code, filing_frequency, taxpayer_type, period</t>
  </si>
  <si>
    <t xml:space="preserve">1. Monthly GSTR-1: 11th of next month. 2. QRMP GSTR-1: 13th of month after quarter; IFF (optional) M1/M2 from 1st to 13th. 3. GSTR-3B monthly: 20th. 4. QRMP 3B: 22nd for Chhattisgarh, MP, Gujarat, Maharashtra, Karnataka, Goa, Kerala, Tamil Nadu, Telangana, Andhra Pradesh, Daman &amp; Diu, Dadra &amp; Nagar Haveli, Puducherry, A&amp;N Islands, Lakshadweep; 24th for HP, Punjab, Uttarakhand, Haryana, Rajasthan, UP, Bihar, Sikkim, Arunachal, Nagaland, Manipur, Mizoram, Tripura, Meghalaya, Assam, West Bengal, Jharkhand, Odisha, J&amp;K, Ladakh, Chandigarh, Delhi. 5. QRMP PMT-06 for M1/M2: 25th. 6. CMP-08: 18th of month after quarter. 7. GSTR-4: 30 June following FY (from FY 2024-25; earlier 30 April). 8. GSTR-9/9C: 31 December following FY. 9. GSTR-7 / GSTR-8: 10th of next month. 10. GSTR-6: 13th. 11. If due date falls on holiday, portal practice/extension notifications override – keep override table.</t>
  </si>
  <si>
    <t xml:space="preserve">due = date(period_next_month, day_by_rule) with override table for extensions</t>
  </si>
  <si>
    <t xml:space="preserve">QRMP eligible: AATO up to Rs 5 crore.</t>
  </si>
  <si>
    <t xml:space="preserve">Extension notifications (e.g., state-specific disasters) – maintain override table.</t>
  </si>
  <si>
    <t xml:space="preserve">As above</t>
  </si>
  <si>
    <t xml:space="preserve">Filing date &gt; due date -&gt; LATE (feeds late fee &amp; interest rules).</t>
  </si>
  <si>
    <t xml:space="preserve">Calendar per GSTIN; status per return.</t>
  </si>
  <si>
    <t xml:space="preserve">Gujarat QRMP taxpayer Q2 FY 2025-26 (Jul-Sep 2025): GSTR-1 due 13.10.2025; GSTR-3B due 22.10.2025. Delhi QRMP: 3B due 24.10.2025.</t>
  </si>
  <si>
    <t xml:space="preserve">Monthly Maharashtra taxpayer Oct 2025 3B due 20.11.2025.</t>
  </si>
  <si>
    <t xml:space="preserve">Composition taxpayer -&gt; no GSTR-1/3B; CMP-08 Q3 due 18.01.2026.</t>
  </si>
  <si>
    <t xml:space="preserve">Using 30 April for GSTR-4 after FY 2024-25; QRMP state group errors; ignoring extensions.</t>
  </si>
  <si>
    <t xml:space="preserve">DUE={'GSTR1_M':11,'GSTR1_Q':13,'GSTR3B_M':20,'CMP08':18,'GSTR7':10,'GSTR8':10,'GSTR6':13}
if qrmp and form=='GSTR3B': day = 22 if state in GROUP22 else 24</t>
  </si>
  <si>
    <t xml:space="preserve">Due dates for GSTR-3B from January 2021 – Notification 82/2020-CT (TaxHeal) | https://www.taxheal.com/?p=89244 | 22nd / 24th state groups
GSTR-4 filing (IndiaFilings) | https://www.indiafilings.com/learn/gstr-4-filing/ | 30 June from FY 2024-25 per N.12/2024-CT
GSTR-9C reconciliation statement (ClearTax) | https://cleartax.in/s/gst-reconciliation-statement-gstr-9c | N.30/2021-CT; &gt; Rs 5 crore</t>
  </si>
  <si>
    <t xml:space="preserve">GSTR-4 30 June per N.12/2024-CT verified only via secondary source (IndiaFilings). GSTR-1 11th/13th, GSTR-6 13th, GSTR-7/8 10th from statute knowledge; not re-opened in this session. Any extension notifications for FY 2025-26/2026-27 not checked.</t>
  </si>
  <si>
    <t xml:space="preserve">GST-026</t>
  </si>
  <si>
    <t xml:space="preserve">GSTR-9 / GSTR-9C applicability and FY 2024-25 onward changes</t>
  </si>
  <si>
    <t xml:space="preserve">Determine whether GSTR-9 and GSTR-9C are required and reconcile annual figures (books vs GSTR-1/3B/2B).</t>
  </si>
  <si>
    <t xml:space="preserve">CGST s.44, Rule 80; Notification 15/2025-CT dt 17.09.2025 (exemption from annual return for AATO up to Rs 2 crore, FY 2024-25 onwards); Notification 30/2021-CT (GSTR-9C self-certified, required where AATO &gt; Rs 5 crore); CGST (Third Amendment) Rules 2025 (N.13/2025-CT) – GSTR-9/9C format changes (per secondary source); GSTN advisory/FAQ 15.10.2025 for FY 2024-25.</t>
  </si>
  <si>
    <t xml:space="preserve">Regular taxpayers; GSTR-9 mandatory if AATO &gt; Rs 2 crore; 9C if AATO &gt; Rs 5 crore.</t>
  </si>
  <si>
    <t xml:space="preserve">FY 2024-25 onwards (exemption &lt;= Rs 2 crore). Earlier years: optional per year-wise notifications.</t>
  </si>
  <si>
    <t xml:space="preserve">All GSTR-1 &amp; GSTR-3B for the FY filed (portal enables GSTR-9 only then); books trial balance; 2B for FY plus up to October/November next year.</t>
  </si>
  <si>
    <t xml:space="preserve">fy, aato, books_turnover, gstr1_totals, gstr3b_totals, gstr2b_totals (Table 8A), itc_prev_year_claimed_current (6A1), itc_reclaimed_37_37A (6H), import_itc_next_year (8H1), late_fee</t>
  </si>
  <si>
    <t xml:space="preserve">1. aato &lt;= 2 crore -&gt; GSTR-9 not required (FY 2024-25 onwards). 2. aato &gt; 5 crore -&gt; GSTR-9C required (self-certified). 3. Table 4/5 from GSTR-1+1A; Table 9 tax paid from 3B; Table 6 ITC from 3B with new 6A1 (prior-year ITC claimed in current FY, excl. Rule 37/37A) and 6H (re-claims under Rule 37/37A treated as ITC of year of reclaim); Table 8A auto-populated from GSTR-2B (FY invoices incl. those filed up to Oct of next FY); 8C/13 for current-year ITC claimed next FY; 8H1 for imports ITC claimed next year. 4. Reconcile books turnover vs Table 5N; ITC books vs Table 6/8. 5. 9C: turnover reconciliation (books vs GSTR-9), tax paid, ITC; unreconciled differences -&gt; additional liability via DRC-03.</t>
  </si>
  <si>
    <t xml:space="preserve">diff_turnover = books_turnover − gstr9_5N ; diff_itc = 8A − (8B + 8C) etc.</t>
  </si>
  <si>
    <t xml:space="preserve">Rs 2 crore (GSTR-9), Rs 5 crore (GSTR-9C).</t>
  </si>
  <si>
    <t xml:space="preserve">Composition (GSTR-4 instead), ISD, NRTP, TDS/TCS, OIDAR, casual taxable persons.</t>
  </si>
  <si>
    <t xml:space="preserve">Whole rupees in annual return (implementation; s.170 for payable).</t>
  </si>
  <si>
    <t xml:space="preserve">AATO &gt; 2 cr and not filed -&gt; GSTR9_PENDING (High); 9C required but missing -&gt; GSTR9C_PENDING (High); book vs 9 differences -&gt; ANNUAL_DIFF (High).</t>
  </si>
  <si>
    <t xml:space="preserve">Applicability, draft table mapping, reconciliation differences.</t>
  </si>
  <si>
    <t xml:space="preserve">FY 2024-25 AATO Rs 1.9 crore -&gt; GSTR-9 not required. FY 2024-25 AATO Rs 6 crore -&gt; GSTR-9 and 9C required by 31.12.2025. ITC of FY 2023-24 invoice claimed in May 2024 3B Rs 40,000 -&gt; report in 6A1 (not 6B) of FY 2024-25.</t>
  </si>
  <si>
    <t xml:space="preserve">AATO Rs 4 crore -&gt; GSTR-9 required, 9C not required.</t>
  </si>
  <si>
    <t xml:space="preserve">AATO Rs 2 crore exactly -&gt; exempt ('up to two crore').</t>
  </si>
  <si>
    <t xml:space="preserve">Prior-year ITC in 6B; Rule 37A reclaims shown as current-year; 8A including amended records differently from online view.</t>
  </si>
  <si>
    <t xml:space="preserve">need9 = aato&gt;2e7 if fy&gt;=2024 else CONFIG.optional_rule(fy)
need9c = aato&gt;5e7</t>
  </si>
  <si>
    <t xml:space="preserve">Notification No. 15/2025-Central Tax dt 17.09.2025 – annual return exemption up to Rs 2 crore | https://www.taxheal.com/?p=105269 | S.O. 4205(E)
FAQs on GSTR-9 &amp; 9C changes FY 2024-25 (GSTZen) | https://gstzen.in/a/faqs-on-gstr-9-9c-changes-fy-2024-25.html | Tables 6A1, 8H1, 6H; GSTN advisory 15.10.2025
GSTR-9C reconciliation statement (ClearTax) | https://cleartax.in/s/gst-reconciliation-statement-gstr-9c | N.30/2021-CT; &gt; Rs 5 crore
GST 2.0 Notifications in Action (GSTZen) | https://gstzen.in/a/gst-2-0-notifications-in-action-key-updates-on-rates-refunds-compliance.html | List of 17.09.2025 notifications (contains numbering inconsistencies)
Late fees for GSTR-9 reduced from FY 2022-23 (Lexplosion) – Notification 7/2023-CT | https://lexplosion.in/late-fees-for-filing-annual-return-in-form-gstr-9-reduced-from-fy-2022-23-onwards/ | N.7/2023-CT dt 31.03.2023
CBIC – CGST Rule 80 | https://taxinformation.cbic.gov.in/content/html/tax_repository/gst/rules/cgst_rules/active/chapter8/rule80_v1.00.html | 
GSTN FAQ GSTR-9/9C FY 2024-25 | https://tutorial.gst.gov.in/downloads/news/faq_on_gstr9_for_24_25_dt_15_oct_25_v6_final.pdf | </t>
  </si>
  <si>
    <t xml:space="preserve">[VERIFICATION 13-10-2026] Official: Rule 80(3) – self-certified GSTR-9C where AATO exceeds Rs 5 crore (inserted by N.40/2021-CT; Rule 80(1) substituted by N.30/2021-CT). GSTN FAQ: GSTR-9 due date for FY 2024-25 was 31-12-2025. N.15/2025-CT (Rs 2 crore exemption) could not be opened on an official site. N.15/2025-CT verified via reproduction of the notification text (TaxHeal). Notification number for 9/9C format changes (13/2025-CT per GSTZen) unverified. GSTR-9 position for FY 2025-26 (due 31.12.2026) assumed same – no new notification checked.</t>
  </si>
  <si>
    <t xml:space="preserve">GST-027</t>
  </si>
  <si>
    <t xml:space="preserve">GST – TDS/TCS</t>
  </si>
  <si>
    <t xml:space="preserve">GST TDS (s.51) and TCS by e-commerce operators (s.52)</t>
  </si>
  <si>
    <t xml:space="preserve">Reconcile TDS/TCS credits (GSTR-7/GSTR-8 -&gt; TDS/TCS credit received) with books and ensure deductors/ECOs compute correct amounts.</t>
  </si>
  <si>
    <t xml:space="preserve">CGST s.51 (TDS 1% CGST + 1% SGST = 2%, or 2% IGST, where total contract value &gt; Rs 2.5 lakh; notified deductors: govt departments, local authorities, PSUs etc. per N.50/2018-CT – not re-verified); s.52 (TCS by ECO): Notification 15/2024-Central Tax dt 10.07.2024 – rate reduced from 0.5% CGST to 0.25% CGST (+0.25% SGST) i.e. 0.5% total / 0.5% IGST, effective 10.07.2024; GSTR-7 &amp; GSTR-8 by 10th.</t>
  </si>
  <si>
    <t xml:space="preserve">Deductors/ECOs and suppliers receiving TDS/TCS credits.</t>
  </si>
  <si>
    <t xml:space="preserve">TCS 0.5% total from 10.07.2024 (1% total for 01-09.07.2024 and earlier).</t>
  </si>
  <si>
    <t xml:space="preserve">TDS/TCS credit received statement; GSTR-7/8 data; books.</t>
  </si>
  <si>
    <t xml:space="preserve">deductor_gstin, contract_value, taxable_value, tds_igst, tds_cgst, tds_sgst, eco_gstin, net_value_supplies, tcs_amount, supply_date</t>
  </si>
  <si>
    <t xml:space="preserve">TDS: 1. Applies when contract value (excluding tax) &gt; Rs 2.5 lakh. 2. TDS = 2% of taxable value (1%+1% intra; 2% IGST inter). TCS: 3. Net value = taxable supplies through ECO − returns. 4. TCS = 0.5% of net value from 10.07.2024 (1% before). 5. Supplier accepts credit -&gt; cash ledger; reconcile with books receivables.</t>
  </si>
  <si>
    <t xml:space="preserve">tds = 0.02 × taxable_value (if contract_value &gt; 2,50,000) ; tcs = 0.005 × net_taxable_value (on/after 10.07.2024)</t>
  </si>
  <si>
    <t xml:space="preserve">TDS 2%; TCS 0.5% (from 10.07.2024).</t>
  </si>
  <si>
    <t xml:space="preserve">TDS not on exempt supplies or where location of supplier and POS differ from deductor's state rules (s.51(1) proviso) – not re-verified.</t>
  </si>
  <si>
    <t xml:space="preserve">GSTR-7 / GSTR-8: 10th of next month.</t>
  </si>
  <si>
    <t xml:space="preserve">TCS at 1% after 10.07.2024 -&gt; WRONG_TCS_RATE (Medium); credit in books != portal -&gt; TDS_TCS_MISMATCH (Medium).</t>
  </si>
  <si>
    <t xml:space="preserve">TDS/TCS credit reconciliation.</t>
  </si>
  <si>
    <t xml:space="preserve">ECO net taxable supplies by seller in Aug 2025 Rs 10,00,000 (intra-state) -&gt; TCS = 0.25% CGST 2,500 + 0.25% SGST 2,500 = 5,000.</t>
  </si>
  <si>
    <t xml:space="preserve">Contract Rs 3,00,000 with Govt dept, intra-state -&gt; TDS CGST 3,000 + SGST 3,000.</t>
  </si>
  <si>
    <t xml:space="preserve">Contract Rs 2,00,000 -&gt; TDS not applicable.</t>
  </si>
  <si>
    <t xml:space="preserve">Supplier not accepting credit; returns netting; split contracts.</t>
  </si>
  <si>
    <t xml:space="preserve">tcs_rate = 0.005 if d&gt;=date(2024,7,10) else 0.01
tcs = round(net_val*tcs_rate,2)</t>
  </si>
  <si>
    <t xml:space="preserve">Changes in GSTR-8 from July 2024 – Notification 15/2024-CT TCS 0.5% (TaxHeal) | https://www.taxheal.com/?p=96048 | N.15/2024-CT dt 10.07.2024
CBIC – CGST s.52 | https://taxinformation.cbic.gov.in/content/html/tax_repository/gst/acts/2017_CGST_act/active/chapter10/section52_v1.00.html | </t>
  </si>
  <si>
    <t xml:space="preserve">[VERIFICATION 13-10-2026] CBIC s.52 (official): ECO TCS rate is 'not exceeding one per cent' as notified (statutory ceiling only; 0.5% notified rate not opened); the three-year bar is in s.52(15). s.51 page blocked. TCS rate change verified via secondary; TDS provisions from statute knowledge.</t>
  </si>
  <si>
    <t xml:space="preserve">GST-028</t>
  </si>
  <si>
    <t xml:space="preserve">GST – Valuation / Credit notes</t>
  </si>
  <si>
    <t xml:space="preserve">Credit notes u/s 34 – time limit, recipient ITC reversal condition (FA 2025) and s.15 valuation basics</t>
  </si>
  <si>
    <t xml:space="preserve">Validate credit notes for time limit and for the new condition that supplier's output tax reduction requires recipient ITC reversal; check s.15 value inclusions/discounts.</t>
  </si>
  <si>
    <t xml:space="preserve">CGST s.34(1)-(2) (CN not later than 30 November following end of FY or annual return date, whichever earlier – FA 2022); s.34(2) proviso amended by Finance Act 2025 (in force 01.10.2025 via N.16/2025-CT): no reduction of output tax liability unless ITC attributable to the CN is reversed by the registered recipient (or incidence not passed on for unregistered); s.15(1)-(3) valuation (transaction value; inclusions; discounts); Finance Act 2026 amendment to s.15(3)(b) and s.34(1) (post-supply discount without pre-agreement, via CN with recipient ITC reversal) – enacted 30.03.2026, commencement 'to be notified' per secondary source; IMS credit-note action (Oct 2025/Dec 2025 advisories).</t>
  </si>
  <si>
    <t xml:space="preserve">Suppliers issuing CNs; recipients receiving CNs.</t>
  </si>
  <si>
    <t xml:space="preserve">s.34(2) proviso: 01.10.2025. FA 2026 s.15/34 changes: date to be notified (status as of Oct 2026 unverified).</t>
  </si>
  <si>
    <t xml:space="preserve">CN register with original invoice link, reason, date; IMS status of CN at recipient.</t>
  </si>
  <si>
    <t xml:space="preserve">cn_no, cn_date, original_invoice_no, original_invoice_date, original_fy, reason (discount/return/deficiency), taxable_value, tax_by_head, recipient_gstin, recipient_ims_action, recipient_itc_reversal_declared, gstr9_filing_date</t>
  </si>
  <si>
    <t xml:space="preserve">1. FY of original supply; deadline = min(30 Nov next FY, GSTR-9 filing date). 2. CN declared in GSTR-1 after deadline -&gt; output tax reduction not allowed. 3. From 01.10.2025: tax reduction allowed only if recipient reverses ITC (IMS acceptance with 'reduce ITC = Yes' or recipient confirmation); rejected CN by recipient adds back liability to supplier. 4. Discount valuation (s.15(3)): before or at time of supply and recorded in invoice -&gt; excluded; post-supply discount -&gt; excluded only if established in agreement before supply and linked to invoices and recipient reverses ITC (pre-FA 2026 rule); after FA 2026 commencement – agreement requirement removed (track commencement). 5. s.15(2) inclusions: taxes other than GST, incidental expenses, interest/late fee, subsidies (except govt), amounts paid by recipient on supplier's behalf.</t>
  </si>
  <si>
    <t xml:space="preserve">cn_deadline = min(date(fy_end.year,11,30), gstr9_date); allowed_reduction = cn_tax if (cn_reported_date &lt;= cn_deadline and recipient_reversed) else 0</t>
  </si>
  <si>
    <t xml:space="preserve">Financial/commercial credit notes without GST (not reducing tax) are outside s.34 (Circular 92/11/2019 – not re-verified).</t>
  </si>
  <si>
    <t xml:space="preserve">30 November following FY (or earlier annual return).</t>
  </si>
  <si>
    <t xml:space="preserve">CN after deadline with tax reduction -&gt; CN_TIME_BARRED (High); CN reduction without recipient reversal (post 01.10.2025) -&gt; CN_NO_RECIPIENT_REVERSAL (High); post-supply discount without prior agreement -&gt; DISCOUNT_NOT_DEDUCTIBLE (Medium, until FA 2026 commencement).</t>
  </si>
  <si>
    <t xml:space="preserve">CN validity status and liability impact.</t>
  </si>
  <si>
    <t xml:space="preserve">Invoice 15.01.2025 (FY 2024-25). GSTR-9 FY 2024-25 filed 20.11.2025. CN issued 25.11.2025 -&gt; deadline 20.11.2025 -&gt; CN_TIME_BARRED; output tax cannot be reduced (commercial CN only).</t>
  </si>
  <si>
    <t xml:space="preserve">CN 10.10.2025 for FY 2024-25 invoice, recipient accepted with ITC reduction -&gt; ALLOWED.</t>
  </si>
  <si>
    <t xml:space="preserve">CN 05.10.2025, recipient rejected in IMS -&gt; liability added back to supplier.</t>
  </si>
  <si>
    <t xml:space="preserve">Year-end rate-difference CNs; volume discounts without agreement; CN for returns beyond deadline.</t>
  </si>
  <si>
    <t xml:space="preserve">dl=min(date(fy_end.year,11,30), gstr9_date or date.max)
ok = cn.reported&lt;=dl and (cn.date&lt;date(2025,10,1) or cn.recipient_reversed)</t>
  </si>
  <si>
    <t xml:space="preserve">GST amendments of Finance Act 2025 effective 1 Oct 2025 notified (TaxGuru) | https://taxguru.in/goods-and-service-tax/gst-amendments-finance-act-2025-effective-oct-1-2025-notified.html | Notification 16/2025-CT, S.O. 4206(E)
GST Amendments proposed through Finance Bill, 2026 (ICAI CA Journal) | https://cajournal.icai.org/article-details/gst-amendments-proposed-through-the-finance-bill-2026 | Clauses 137-141
31.03.2026: Finance Act, 2026 enacted on 30.03.2026 (TaxO) | https://taxo.online/latest-news/31-03-2026-finance-act-2026-enacted-on-30-03-2026-key-amendments-in-valuation-refunds-and-place-of-supply/ | commencement status
FAQs on Invoice Management System (ClearTax) | https://cleartax.in/s/faqs-on-invoice-management-system-ims-gst | IMS from 01.10.2024; advisory 23.09.2025 on pending credit notes
GSTN issues 4 advisories December 2025 (TaxGuru) | https://taxguru.in/goods-and-service-tax/gstn-issues-4-advisories-december-2025-clarify-key-compliance-procedures.html | Advisories 05.12.2025, 18.12.2025, 29.12.2025</t>
  </si>
  <si>
    <t xml:space="preserve">s.34(2) FA 2025 proviso verified via TaxGuru summary of N.16/2025-CT. s.34 30-Nov limit from statute knowledge. Commencement of FA 2026 s.15/s.34 changes as of 13.10.2026 is UNVERIFIED (secondary source said 'to be notified').</t>
  </si>
  <si>
    <t xml:space="preserve">GST-029</t>
  </si>
  <si>
    <t xml:space="preserve">GST – Payment</t>
  </si>
  <si>
    <t xml:space="preserve">ITC utilisation order (s.49(5), 49A, 49B, Rule 88A) and cash-only liabilities</t>
  </si>
  <si>
    <t xml:space="preserve">Validate set-off in GSTR-3B Table 6 follows statutory order and that cash-only items (RCM, interest, late fee) are paid in cash.</t>
  </si>
  <si>
    <t xml:space="preserve">CGST s.49(4), s.49(5)(a)-(f), s.49A (IGST credit to be fully utilised first), s.49B; Rule 88A (inserted by N.16/2019-CT dt 29.03.2019); Circular 98/17/2019-GST; Rule 86B (1% cash payment restriction – limited from 01.02.2026 to manufacturers of pan masala &amp; tobacco per N.20/2025-CT).</t>
  </si>
  <si>
    <t xml:space="preserve">Rule 88A from 29.03.2019; Rule 86B amendment from 01.02.2026.</t>
  </si>
  <si>
    <t xml:space="preserve">Opening and current-period ITC by head; liability by head (forward charge only).</t>
  </si>
  <si>
    <t xml:space="preserve">liab_igst, liab_cgst, liab_sgst, liab_cess, itc_igst, itc_cgst, itc_sgst, itc_cess, rcm_liab_by_head, interest, late_fee</t>
  </si>
  <si>
    <t xml:space="preserve">1. IGST credit -&gt; first IGST liability; balance to CGST and SGST in any order/proportion (Rule 88A), but IGST credit must be fully exhausted before CGST/SGST credit is used. 2. CGST credit -&gt; CGST, then IGST; never SGST. 3. SGST credit -&gt; SGST, then IGST (only after CGST credit fully used for IGST – s.49(5)(d)); never CGST. 4. Cess credit only for cess. 5. RCM, interest, late fee, penalty – cash only. 6. Optimise IGST split to minimise cash (algorithm: allocate IGST surplus to the head where own credit is lower).</t>
  </si>
  <si>
    <t xml:space="preserve">Optimisation: minimise cash = Σ max(0, liab_h − credit allocated_h) subject to order constraints</t>
  </si>
  <si>
    <t xml:space="preserve">Rule 86B (pre-01.02.2026): 1% cash where taxable supply value &gt; Rs 50 lakh/month (with exceptions) – from 01.02.2026 restricted to pan masala/tobacco manufacturers.</t>
  </si>
  <si>
    <t xml:space="preserve">Rule 86B exceptions (income-tax &gt; Rs 1 lakh etc.) – not re-verified.</t>
  </si>
  <si>
    <t xml:space="preserve">CGST credit used for SGST -&gt; CROSS_UTILISATION (Critical); CGST/SGST credit used while IGST credit balance remains -&gt; ORDER_VIOLATION (High); RCM paid from ITC -&gt; RCM_VIA_ITC (Critical).</t>
  </si>
  <si>
    <t xml:space="preserve">Validated set-off table, optimal set-off suggestion, cash payable per head.</t>
  </si>
  <si>
    <t xml:space="preserve">Liability: IGST 50,000, CGST 80,000, SGST 80,000. ITC: IGST 1,30,000, CGST 20,000, SGST 70,000. IGST credit: 50,000 to IGST; remaining 80,000 -&gt; allocate 60,000 to CGST, 20,000 to SGST (to minimise cash). CGST: 80,000 − 60,000 − 20,000 (CGST credit) = 0 cash. SGST: 80,000 − 20,000 − 70,000 =&gt; credit 70,000 &gt; 60,000 needed -&gt; uses 60,000; cash 0; SGST credit carried 10,000. Total cash = 0.</t>
  </si>
  <si>
    <t xml:space="preserve">Set-off as above -&gt; VALID.</t>
  </si>
  <si>
    <t xml:space="preserve">Using SGST credit to pay CGST -&gt; CROSS_UTILISATION.</t>
  </si>
  <si>
    <t xml:space="preserve">Manual edits in Table 6; cess paid by IGST credit.</t>
  </si>
  <si>
    <t xml:space="preserve">def optimise(L, C):
    pay=dict(L); ig=C['IGST']
    u=min(ig,pay['IGST']); pay['IGST']-=u; ig-=u
    need_c=max(0,pay['CGST']-C['CGST']); need_s=max(0,pay['SGST']-C['SGST'])
    a=min(ig,need_c); pay['CGST']-=a; ig-=a
    b=min(ig,need_s); pay['SGST']-=b; ig-=b
    # then any residual IGST credit to CGST/SGST
    ...</t>
  </si>
  <si>
    <t xml:space="preserve">Guide to maximizing utilisation of GST ITC (Taxmann) | https://www.taxmann.com/post/blog/guide-to-maximizing-the-utilization-of-gst-input-tax-credit/ | s.49(5), 49A, 49B, Rule 88A, N.16/2019-CT, Circ 98/17/2019
West Bengal CTD – GST Updates Dec 2025 | https://comtax.wb.gov.in/GST/GST_PPU/GST_Updates_Dec_2025.pdf | 19/2025-CT(Rate), 03/2025-CC(Rate), 19/2025-CT, 20/2025-CT dt 31.12.2025, effective 01.02.2026</t>
  </si>
  <si>
    <t xml:space="preserve">s.49(5)(c)/(d) proviso on SGST credit for IGST was questioned in the Taxmann comments – CA to verify against Act text.</t>
  </si>
  <si>
    <t xml:space="preserve">GST-030</t>
  </si>
  <si>
    <t xml:space="preserve">GST – Compliance / Returns</t>
  </si>
  <si>
    <t xml:space="preserve">Three-year time bar on filing returns (s.37(5), 39(11), 44(2), 52(14))</t>
  </si>
  <si>
    <t xml:space="preserve">Alert clients about returns that will become permanently unfileable 3 years after due date and flag already-barred periods.</t>
  </si>
  <si>
    <t xml:space="preserve">CGST Act s.37(5), s.39(11), s.44(2), s.52(15) inserted by Finance Act 2023, notified effective 01.10.2023 by Notification 28/2023-Central Tax dt 31.07.2023; GSTN advisories (Oct 2024 announcement; 07.06.2025, 18.06.2025, 25.09.2025, 29.10.2025) – portal blocking from 1 August 2025 onwards on rolling basis.</t>
  </si>
  <si>
    <t xml:space="preserve">GSTR-1/IFF, GSTR-3B, GSTR-4, GSTR-5, 5A, 6, 7, 8, GSTR-9/9C.</t>
  </si>
  <si>
    <t xml:space="preserve">Legal: 01.10.2023. Portal enforcement: from July 2025 tax period (barring effective 1 August 2025 for returns due up to July 2022 etc.), rolling monthly.</t>
  </si>
  <si>
    <t xml:space="preserve">Return filing status per period with due dates.</t>
  </si>
  <si>
    <t xml:space="preserve">return_type, period, original_due_date, filed_flag, as_of_date</t>
  </si>
  <si>
    <t xml:space="preserve">1. bar_date = original_due_date + 3 years. 2. If not filed and as_of_date &gt;= bar_date -&gt; TIME_BARRED (cannot file). 3. If not filed and bar_date within next 90 days -&gt; ALERT. 4. Extension notifications change due date – use extended due date if law says 'due date' (CA to confirm).</t>
  </si>
  <si>
    <t xml:space="preserve">bar_date = original_due_date + relativedelta(years=3)</t>
  </si>
  <si>
    <t xml:space="preserve">3 years from due date.</t>
  </si>
  <si>
    <t xml:space="preserve">None stated (government may prescribe conditions).</t>
  </si>
  <si>
    <t xml:space="preserve">As computed.</t>
  </si>
  <si>
    <t xml:space="preserve">Unfiled &amp; barred -&gt; RETURN_TIME_BARRED (Critical); unfiled &amp; within 90 days -&gt; RETURN_BAR_IMMINENT (High).</t>
  </si>
  <si>
    <t xml:space="preserve">List of pending returns with bar dates.</t>
  </si>
  <si>
    <t xml:space="preserve">GSTR-3B Oct 2023 due 20.11.2023 -&gt; bar 20.11.2026; as of 13.10.2026 unfiled -&gt; RETURN_BAR_IMMINENT (38 days). GSTR-9 FY 2021-22 due 31.12.2022 -&gt; barred from 01.01.2026.</t>
  </si>
  <si>
    <t xml:space="preserve">Unfiled GSTR-1 June 2022 as of 13.10.2026 -&gt; RETURN_TIME_BARRED.</t>
  </si>
  <si>
    <t xml:space="preserve">Filed returns -&gt; no flag.</t>
  </si>
  <si>
    <t xml:space="preserve">Cancelled registrations with pending returns; GSTR-9 for old years.</t>
  </si>
  <si>
    <t xml:space="preserve">bar = due + relativedelta(years=3)
if not filed and today&gt;=bar: flag('RETURN_TIME_BARRED')
elif not filed and (bar-today).days&lt;=90: flag('RETURN_BAR_IMMINENT')</t>
  </si>
  <si>
    <t xml:space="preserve">GST return filing changes from July 2025 – GSTR-3B hard lock, 3-year bar (ClearTax) | https://cleartax.in/s/gst-return-filing-rule-changes-from-july-2025 | GSTN advisories 07.06.2025, 18.06.2025, 29.10.2025
GSTN warns pending GST returns cannot be filed after 3 years (Taxmann) | https://www.taxmann.com/post/blog/gstn-warns-pending-gst-returns-cannot-be-filed-after-3-years | N.28/2023-CT; advisory 25.09.2025
CBIC – CGST s.37 | https://taxinformation.cbic.gov.in/content/html/tax_repository/gst/acts/2017_CGST_act/active/chapter9/section37_v1.00.html | 
CBIC – CGST s.39 | https://taxinformation.cbic.gov.in/content/html/tax_repository/gst/acts/2017_CGST_act/active/chapter9/section39_v1.00.html | 
CBIC – CGST s.52 | https://taxinformation.cbic.gov.in/content/html/tax_repository/gst/acts/2017_CGST_act/active/chapter10/section52_v1.00.html | s.52(15) fn 7
GST Council newsletter Oct 2025 | https://gstcouncil.gov.in/sites/default/files/2025-11/october_issue.pdf | </t>
  </si>
  <si>
    <t xml:space="preserve">[VERIFICATION 13-10-2026] CBIC Act pages (official): s.37(5) and s.39(11) say no filing after 3 years from the due date (Govt may relax by notification); both inserted w.e.f. 01-10-2023 by N.28/2023-CT dt 31-07-2023 (FA 2023 ss.142/143). The ECO statement bar is s.52(15), not s.52(14) (s.52(14) is the Rs 25,000 penalty); it is also w.e.f. 01-10-2023. GST Council newsletter (Oct-2025 issue) says that from 01-12-2025, returns due three or more years earlier cannot be filed, including GSTR-3B for Oct-2022 and Jul-Sep 2022 quarter, which confirms the rolling portal enforcement. The s.44 sub-section page could not be fetched (robots). CORRECTION: legal_provision: replace 's.52(14)' with 's.52(15)'. Notification 28/2023-CT and effective dates verified via secondary sources; sub-section numbers (37(5) etc.) from statute knowledge – the sources opened did not list them. Portal implementation details (barring calendar) per GSTN advisories reproduced by ClearTax/Taxmann.</t>
  </si>
  <si>
    <t xml:space="preserve">GST-031</t>
  </si>
  <si>
    <t xml:space="preserve">GST – ITC distribution</t>
  </si>
  <si>
    <t xml:space="preserve">Input Service Distributor (ISD) mandatory from 1 April 2025 and distribution check</t>
  </si>
  <si>
    <t xml:space="preserve">Ensure common input services (incl. RCM services) received by HO for distinct persons are distributed through ISD and reconcile GSTR-6 distribution with recipients' 2B.</t>
  </si>
  <si>
    <t xml:space="preserve">CGST s.2(61) and s.20 as substituted by Finance Act 2024, effective 01.04.2025 (N.16/2024-CT dt 06.08.2024); FA 2025 amended s.2(61) to refer to IGST s.5(3)/(4) (effective 01.04.2025); Rule 39 (distribution; Rule 39(1A) IGST distribution for RCM from 01.04.2025 per N.13/2025-CT – secondary); Rule 54(1) ISD invoice; s.21 recovery; s.24(viii) compulsory registration.</t>
  </si>
  <si>
    <t xml:space="preserve">Entities with multiple GSTINs (same PAN) receiving common input services billed to one office.</t>
  </si>
  <si>
    <t xml:space="preserve">ISD GSTIN; list of distinct GSTINs; turnover of each recipient in relevant period; input service invoices (incl. RCM).</t>
  </si>
  <si>
    <t xml:space="preserve">isd_gstin, invoice_details, itc_by_head, eligible_flag, attributable_to_gstin (optional), recipient_gstins, recipient_turnover_relevant_period, distribution_month</t>
  </si>
  <si>
    <t xml:space="preserve">1. Input services for distinct persons must be received via ISD (no option of cross-charge for such ITC). 2. Distribute in the same month (GSTR-6 by 13th). 3. Attributable to one recipient -&gt; only that recipient. 4. Common to several/all -&gt; pro rata on turnover of the relevant period (preceding FY or last quarter, as per Rule 39 Explanation). 5. Ineligible credit distributed separately as ineligible. 6. Inter-state recipients get IGST; same state CGST+SGST (as per Rule 39 mechanics). 7. Total distributed &lt;= available. 8. Match ISD distribution (GSTR-6) with recipients' 2B ISD section.</t>
  </si>
  <si>
    <t xml:space="preserve">share_i = C × (turnover_i / Σ turnover_j of recipients to whom input service is attributable)</t>
  </si>
  <si>
    <t xml:space="preserve">Goods and capital goods not distributable via ISD.</t>
  </si>
  <si>
    <t xml:space="preserve">Distribute to 2 decimals; residual paise to last recipient (implementation choice); s.170 for payable.</t>
  </si>
  <si>
    <t xml:space="preserve">GSTR-6: 13th of following month; distribution in same month.</t>
  </si>
  <si>
    <t xml:space="preserve">Common services with multiple GSTINs and no ISD from 01.04.2025 -&gt; ISD_MISSING (High); distribution ratio wrong -&gt; ISD_RATIO (Medium); distributed &gt; available -&gt; ISD_EXCESS (Critical).</t>
  </si>
  <si>
    <t xml:space="preserve">ISD distribution schedule and reconciliation.</t>
  </si>
  <si>
    <t xml:space="preserve">Common audit fee ITC (IGST equivalent) 1,80,000 for 3 units; FY 2024-25 turnover: A 50 cr, B 30 cr, C 20 cr -&gt; A 90,000, B 54,000, C 36,000.</t>
  </si>
  <si>
    <t xml:space="preserve">Single-GSTIN entity -&gt; NOT_APPLICABLE.</t>
  </si>
  <si>
    <t xml:space="preserve">HO claims all common ITC itself with 3 other state GSTINs -&gt; ISD_MISSING.</t>
  </si>
  <si>
    <t xml:space="preserve">Cross-charge continued; turnover period mismatch; RCM services not routed via ISD.</t>
  </si>
  <si>
    <t xml:space="preserve">tot=sum(t[g] for g in recips)
shares={g: round(C*t[g]/tot,2) for g in recips}</t>
  </si>
  <si>
    <t xml:space="preserve">Input Service Distributor mandatory from 1 April 2025 (TaxGuru) | https://taxguru.in/goods-and-service-tax/input-service-distributor-mandatory-1st-april-2025.html | Notification 16/2024-CT; s.2(61), s.20
GST amendments of Finance Act 2025 effective 1 Oct 2025 notified (TaxGuru) | https://taxguru.in/goods-and-service-tax/gst-amendments-finance-act-2025-effective-oct-1-2025-notified.html | Notification 16/2025-CT, S.O. 4206(E)
GST 2.0 Notifications in Action (GSTZen) | https://gstzen.in/a/gst-2-0-notifications-in-action-key-updates-on-rates-refunds-compliance.html | List of 17.09.2025 notifications (contains numbering inconsistencies)</t>
  </si>
  <si>
    <t xml:space="preserve">Rule 39(1A) and N.13/2025-CT details from GSTZen summary only. Interaction with cross-charge for non-ISD services (Circular 199/11/2023) – CA to decide.</t>
  </si>
  <si>
    <t xml:space="preserve">GST-032</t>
  </si>
  <si>
    <t xml:space="preserve">GST – Rounding</t>
  </si>
  <si>
    <t xml:space="preserve">Rounding of tax, interest, penalty and refund (s.170)</t>
  </si>
  <si>
    <t xml:space="preserve">Apply consistent statutory rounding in computations and in comparing software results with portal values.</t>
  </si>
  <si>
    <t xml:space="preserve">CGST Act s.170 (and corresponding SGST/IGST provisions).</t>
  </si>
  <si>
    <t xml:space="preserve">All amounts payable/refundable under the Act.</t>
  </si>
  <si>
    <t xml:space="preserve">None</t>
  </si>
  <si>
    <t xml:space="preserve">amount_by_head</t>
  </si>
  <si>
    <t xml:space="preserve">1. Round each payable amount per head (CGST, SGST, IGST, cess) to nearest rupee: fractional part &gt;= 0.50 -&gt; up; &lt; 0.50 -&gt; down. 2. Invoice-level tax may be shown in paise (law doesn't mandate rounding per invoice; Rule 46 – implementation choice). 3. When comparing books vs portal, allow Re 1 tolerance per head per document.</t>
  </si>
  <si>
    <t xml:space="preserve">round_half_up(x) = floor(x + 0.5) for x &gt;= 0</t>
  </si>
  <si>
    <t xml:space="preserve">50 paise</t>
  </si>
  <si>
    <t xml:space="preserve">CGST s.170 – nearest rupee, 50 paise and above rounded up.</t>
  </si>
  <si>
    <t xml:space="preserve">Payable with paise -&gt; NOT_ROUNDED (Low).</t>
  </si>
  <si>
    <t xml:space="preserve">Rounded amounts.</t>
  </si>
  <si>
    <t xml:space="preserve">Interest 1,050.41 -&gt; 1,050; 493.15 -&gt; 493; 816.50 -&gt; 817.</t>
  </si>
  <si>
    <t xml:space="preserve">1,234.50 -&gt; 1,235.</t>
  </si>
  <si>
    <t xml:space="preserve">1,234.49 -&gt; 1,234 (do not use Python round() banker's rounding).</t>
  </si>
  <si>
    <t xml:space="preserve">Banker's rounding in code (Python round(0.5)=0); rounding total instead of per head.</t>
  </si>
  <si>
    <t xml:space="preserve">from decimal import Decimal, ROUND_HALF_UP
def r170(x): return int(Decimal(str(x)).quantize(Decimal('1'), rounding=ROUND_HALF_UP))</t>
  </si>
  <si>
    <t xml:space="preserve">Section 170 CGST Act (Chhattisgarh GST copy) | https://www.cggst.com/uploads/document/1752824769-section-170.pdf | s.170</t>
  </si>
  <si>
    <t xml:space="preserve">Text from Chhattisgarh state GST department copy (government domain).</t>
  </si>
  <si>
    <t xml:space="preserve">GST-033</t>
  </si>
  <si>
    <t xml:space="preserve">GST – Law changes tracker</t>
  </si>
  <si>
    <t xml:space="preserve">2025-26 / 2026-27 GST law-change effective-date switchboard</t>
  </si>
  <si>
    <t xml:space="preserve">Single configurable table of effective dates so that all rules apply the correct version by transaction/tax-period date.</t>
  </si>
  <si>
    <t xml:space="preserve">56th GST Council (03.09.2025) rate notifications dt 17.09.2025; Finance Act 2025 GST provisions (N.16/2025-CT, 01.10.2025); N.15/2025-CT (annual return exemption); GSTN advisories (3B lock, IMS, ECRRS); 31.12.2025 notifications (tobacco, 01.02.2026); Finance Act 2026 (enacted 30.03.2026); 57th GST Council (08.10.2026) – recommendations only.</t>
  </si>
  <si>
    <t xml:space="preserve">Engine-level configuration.</t>
  </si>
  <si>
    <t xml:space="preserve">Various (see logic_steps).</t>
  </si>
  <si>
    <t xml:space="preserve">transaction_date, tax_period, fy</t>
  </si>
  <si>
    <t xml:space="preserve">1. 01.04.2025: ISD mandatory; 30-day e-invoice reporting for AATO &gt;= Rs 10 crore. 2. July 2025 tax period: 3B Table 3 locked. 3. 01.08.2025 onwards: 3-year return bar enforced. 4. 22.09.2025: GST 2.0 rates (5/18/40), most compensation cess Nil, service rate changes. 5. 01.10.2025: FA 2025 provisions (s.34(2) proviso, s.38 statement, s.39(1), s.107/112 pre-deposit on penalty-only orders, s.122B/148A track &amp; trace, s.17(5)(d) 'plant and machinery' retrospective, Schedule III para 8(aa) retrospective). 6. October 2025 tax period: IMS credit note pending / reversal declaration. 7. November 2025 tax period: 3B Table 3.2 non-editable. 8. 01.02.2026: tobacco/pan masala 40%, biris 18%, Schedule VII (28%) omitted, cess Nil, Rule 31D RSP valuation, Rule 86B restricted. 9. 30.03.2026: IGST s.13(8)(b) omitted (intermediary). 10. 01.04.2026: s.101A(1A). 11. Pending notification (as last known): FA 2026 s.15(3)(b)/s.34(1) discount CN, s.54(6) provisional refund for IDS, s.54(14). 12. Recommendations of 57th Council (08.10.2026) – NOT effective; keep disabled.</t>
  </si>
  <si>
    <t xml:space="preserve">version = SWITCHBOARD.lookup(rule, max(effective_from &lt;= date))</t>
  </si>
  <si>
    <t xml:space="preserve">Rule invoked with date where version unknown -&gt; CONFIG_GAP (Medium).</t>
  </si>
  <si>
    <t xml:space="preserve">Effective version per rule per date.</t>
  </si>
  <si>
    <t xml:space="preserve">Invoice dated 21.09.2025 -&gt; old rate notification 1/2017; 22.09.2025 -&gt; 9/2025.</t>
  </si>
  <si>
    <t xml:space="preserve">Tax period Aug 2025 -&gt; 3B Table 3 locked = True.</t>
  </si>
  <si>
    <t xml:space="preserve">Tax period Jun 2025 -&gt; locked = False.</t>
  </si>
  <si>
    <t xml:space="preserve">Using invoice date instead of time of supply; using tax period instead of transaction date for rate changes.</t>
  </si>
  <si>
    <t xml:space="preserve">SWITCHBOARD={'gst_rates':[('2017-07-01','N1_2017'),('2025-09-22','N9_2025'),('2026-02-01','N9_2025_amd19')], ...}</t>
  </si>
  <si>
    <t xml:space="preserve">PIB press release – recommendations of 56th GST Council (hosted on gstcouncil.gov.in) | https://gstcouncil.gov.in/sites/default/files/2025-09/press_release_press_information_bureau.pdf | 2-rate structure 5%/18% + 40%; effective 22.09.2025; tobacco deferred
GST amendments of Finance Act 2025 effective 1 Oct 2025 notified (TaxGuru) | https://taxguru.in/goods-and-service-tax/gst-amendments-finance-act-2025-effective-oct-1-2025-notified.html | Notification 16/2025-CT, S.O. 4206(E)
Notification No. 15/2025-Central Tax dt 17.09.2025 – annual return exemption up to Rs 2 crore | https://www.taxheal.com/?p=105269 | S.O. 4205(E)
GST return filing changes from July 2025 – GSTR-3B hard lock, 3-year bar (ClearTax) | https://cleartax.in/s/gst-return-filing-rule-changes-from-july-2025 | GSTN advisories 07.06.2025, 18.06.2025, 29.10.2025
GSTN issues 4 advisories December 2025 (TaxGuru) | https://taxguru.in/goods-and-service-tax/gstn-issues-4-advisories-december-2025-clarify-key-compliance-procedures.html | Advisories 05.12.2025, 18.12.2025, 29.12.2025
West Bengal CTD – GST Updates Dec 2025 | https://comtax.wb.gov.in/GST/GST_PPU/GST_Updates_Dec_2025.pdf | 19/2025-CT(Rate), 03/2025-CC(Rate), 19/2025-CT, 20/2025-CT dt 31.12.2025, effective 01.02.2026
GST Amendments proposed through Finance Bill, 2026 (ICAI CA Journal) | https://cajournal.icai.org/article-details/gst-amendments-proposed-through-the-finance-bill-2026 | Clauses 137-141
31.03.2026: Finance Act, 2026 enacted on 30.03.2026 (TaxO) | https://taxo.online/latest-news/31-03-2026-finance-act-2026-enacted-on-30-03-2026-key-amendments-in-valuation-refunds-and-place-of-supply/ | commencement status
BDO – Recommendations of 57th GST Council meeting | https://www.bdo.in/en-gb/insights/alerts-updates/indirect-tax-alert-recommendations-of-57th-gst-council-meeting | meeting 08.10.2026
57th GST Council Meeting 2026: key decisions (Startup Movers) | https://www.startup-movers.com/57th-gst-council-meeting-2026-key-decisions | recommendations only
FAQs on Invoice Management System (ClearTax) | https://cleartax.in/s/faqs-on-invoice-management-system-ims-gst | IMS from 01.10.2024; advisory 23.09.2025 on pending credit notes
GST Council newsletter Oct 2025 | https://gstcouncil.gov.in/sites/default/files/2025-11/october_issue.pdf | 
GST Council newsletter April 2026 | https://gstcouncil.gov.in/sites/default/files/2026-05/newsletter_april_issue.pdf | </t>
  </si>
  <si>
    <t xml:space="preserve">[VERIFICATION 13-10-2026] Additional dated items from official GST Council newsletters: N.17/2025-CT (GSTR-3B Sep-2025 / Jul-Sep 2025 due date extended to 25-10-2025); N.01/2026-CT dt 21-04-2026 (GSTR-3B Mar-2026 due date extended to 21-04-2026); N.01/2026-CT(Rate) dt 30-04-2026 (beverage rate realignment per FA 2026); 3-year bar enforcement from 01-12-2025 for Oct-2022 GSTR-3B. FA 2026 GST commencement still not verified. CORRECTION: Add switchboard rows: 25.10.2025 (N.17/2025-CT), 21.04.2026 (N.01/2026-CT), 30.04.2026 (N.01/2026-CT(Rate)). Commencement of FA 2026 s.15/34/54 changes after March 2026 not verified (search budget exhausted). 57th Council recommendations must be tracked for notifications in Oct-Dec 2026.</t>
  </si>
  <si>
    <t xml:space="preserve">Labour Codes, EPF/EPS/EDLI, ESI, Professional Tax, LWF, gratuity, bonus, minimum wages, perquisites, s.36(1)(va).  Row 5 holds the YAML key for each column. Research date 13 October 2026. Every rule needs CA validation before use.</t>
  </si>
  <si>
    <t xml:space="preserve">PAY-001</t>
  </si>
  <si>
    <t xml:space="preserve">Labour Codes – Status</t>
  </si>
  <si>
    <t xml:space="preserve">Labour Codes commencement &amp; legal-regime selector</t>
  </si>
  <si>
    <t xml:space="preserve">Select the correct legal regime (pre-Code Acts vs four Labour Codes and their rules/schemes) for each payroll period so every downstream check applies the right definitions, rates and section references.</t>
  </si>
  <si>
    <t xml:space="preserve">Code on Wages, 2019 (S.O. 5322(E)); Industrial Relations Code, 2020 (S.O. 5320(E)); Code on Social Security, 2020 (S.O. 5319(E)); OSH Code, 2020 (S.O. 5321(E)) – all dated 21.11.2025. Earlier part-commencement of SS Code EPS provisions by S.O. 2060(E) dt 03.05.2023 (clarified by corrigendum dt 19.12.2025). Final Central Rules notified 08.05.2026: Wages (Central) Rules, 2026 G.S.R. 343(E); Social Security (Central) Rules, 2026 G.S.R. 344(E); OSH and IR (Central) Rules, 2026 (G.S.R. numbers not verified). EPF Scheme 2026 G.S.R. 525(E), EDLI Scheme 2026 G.S.R. 526(E), EPS 2026 G.S.R. 527(E) (29.06.2026). Savings: SS Code s.164.</t>
  </si>
  <si>
    <t xml:space="preserve">All employers/establishments processed by the tool; every payroll month.</t>
  </si>
  <si>
    <t xml:space="preserve">Codes: 21.11.2025. Central Rules: 08.05.2026 (per KPMG/Taxmann; iPleaders FAQ suggests 31.12.2025 for some – conflicting). EPF/EPS/EDLI Schemes 2026: 29.06.2026 (CAM says EPS/EDLI 30.06.2026, EPF 01.07.2026 – publication-date conflict).</t>
  </si>
  <si>
    <t xml:space="preserve">Payroll period (month/year), state of establishment, appropriate government (Central/State) for the establishment.</t>
  </si>
  <si>
    <t xml:space="preserve">payroll_month, establishment_state, appropriate_government, establishment_type</t>
  </si>
  <si>
    <t xml:space="preserve">1. If payroll_month end &lt; 21.11.2025 -&gt; regime = 'PRE_CODE' (EPF&amp;MP Act 1952, ESI Act 1948, Payment of Wages/Minimum Wages/Bonus/Gratuity Acts). 2. If period spans 21.11.2025 -&gt; split: days 1-20 PRE_CODE, 21-30 CODE (flag Medium: CA to decide whether to apply split or full-month for definition of wages). 3. For CODE regime: wages definition = Code (PAY-002); EPF scheme = EPF Scheme 1952 until 28.06.2026, EPF Scheme 2026 from 29.06.2026 (verify gazette date); EPF wage ceiling = Rs 15,000 to 16.09.2026, Rs 25,000 from 17.09.2026 (PAY-005). 4. State-sphere items (minimum wages, PT, LWF, state rules under Codes): look up state master table field 'code_rules_notified' – if not notified, continue old state rules/notifications under savings and flag Low. 5. Store regime tag on every computed row for audit.</t>
  </si>
  <si>
    <t xml:space="preserve">regime = CODE if date &gt;= 2025-11-21 else PRE_CODE</t>
  </si>
  <si>
    <t xml:space="preserve">Code on Wages s.42(1)-(3) and s.67(2)(s),(t) not notified on 21.11.2025; SS Code s.142 (Aadhaar) not in S.O. 5319(E) list per secondary source. State-sphere operability depends on State rules (several States pending as of May 2026).</t>
  </si>
  <si>
    <t xml:space="preserve">N/A</t>
  </si>
  <si>
    <t xml:space="preserve">Period dated before 21.11.2025 but computed with Code wages -&gt; flag; period after 21.11.2025 using old 'basic only' PF wage without 50% test -&gt; flag High.</t>
  </si>
  <si>
    <t xml:space="preserve">regime tag per employee-month; list of applicable sub-rules (scheme names, ceilings) with effective date</t>
  </si>
  <si>
    <t xml:space="preserve">Payroll Nov-2025: 30 days; days 1-20 pre-Code, 21-30 Code. Tool tags 'MIXED' and applies Code wages definition from 21.11.2025 if CA config 'split_nov_2025'=True, else full-month Code.</t>
  </si>
  <si>
    <t xml:space="preserve">payroll_month=2026-04 -&gt; regime CODE, EPF scheme 1952 (as saved), ceiling 15000</t>
  </si>
  <si>
    <t xml:space="preserve">payroll_month=2025-10 -&gt; regime PRE_CODE; any reference to Code wages definition flagged as error</t>
  </si>
  <si>
    <t xml:space="preserve">Payroll vendors still on 'basic = PF wage' after Nov 2025; State rules assumed in force when not notified; citing old section numbers (s.7Q/14B) for Code-period demands.</t>
  </si>
  <si>
    <t xml:space="preserve">Info/Medium: show regime banner; High if Code-period payroll computed without Code wage definition.</t>
  </si>
  <si>
    <t xml:space="preserve">def regime(d):
    if d &lt; date(2025,11,21): return 'PRE_CODE'
    return 'CODE'
scheme = 'EPF_1952' if d &lt; date(2026,6,29) else 'EPF_2026'</t>
  </si>
  <si>
    <t xml:space="preserve">EY Alert - New labour codes implemented effective 21 November 2025 | https://www.ey.com/content/dam/ey-unified-site/ey-com/en-in/alerts-hub/2025/11/new-labour-codes-implemented-across-the-country-effective-21-november-2025.pdf | S.O. 5319(E), 5320(E), 5321(E), 5322(E) dt 21.11.2025
TaxGuru - Labour Code sections brought into force | https://taxguru.in/corporate-law/major-labour-code-sections-force-notifications.html | Sections notified / excluded under S.O. 5319(E), 5322(E)
SCC Online - Corrigendum to Code on Social Security enforcement dates (19.12.2025) | https://www.scconline.com/blog/post/2025/12/24/corrigendum-to-code-on-social-security-2020-enforcement-dates/ | S.O. 2060(E) (3.5.2023) &amp; S.O. 5319(E)
KPMG Flash News - Notification of final Rules on Four Labour Codes | https://www.in.kpmg.com/taxflashnews/KPMG-Flash-News-Notification-of-final-Rules-on-Four-Labour-Codes.pdf | Final Central Rules notified 8 May 2026
BDO India - Final Central Rules notified under all four Labour Codes | https://www.bdo.in/en-gb/insights/alerts-updates/alert-final-central-rules-notified-under-all-four-labour-codes | Alert 12 May 2026
iPleaders - Labour Codes 2026 implementation guide (last verified 8 May 2026) | https://blog.ipleaders.in/labour-codes-2026-implementation-complete-guide-to-what-is-in-force-what-changed-and-what-to-do-now/ | 50% wage rule s.2(y); state rules table; MoLE FAQs 16.03.2026
Taxmann - Code on Wages (Central) Rules 2026 notified | https://www.taxmann.com/post/blog/govt-notifies-code-on-wages-central-rules/ | G.S.R. 343(E) dt 08.05.2026
StaffNews - Social Security (Central) Rules 2026, G.S.R. 344(E) dated 08.05.2026 | https://www.staffnews.in/2026/05/the-social-security-central-rules-2026.html | G.S.R. 344(E)
KPMG Flash News - New Social Security Schemes 2026 | https://assets.kpmg.com/content/dam/kpmgsites/in/pdf/2026/07/KPMG-Flash-News-New-Social-Security-Schemes-2026.pdf | EPF Scheme 2026 G.S.R. 525(E); EDLI Scheme 2026 G.S.R. 526(E); EPS 2026 G.S.R. 527(E) dt 29.06.2026
Cyril Amarchand Mangaldas - Client Alert: Schemes under the Code on Social Security 2020 | https://www.cyrilshroff.com/wp-content/uploads/2026/07/Client-Alert-Labour-Codes-Schemes-under-the-Code-on-Social-Security-2020-1.pdf | EPF/EPS/EDLI Schemes 2026; 12%/10%; 9.49% EPS for higher-wage option
PIB – Four Labour Codes effective | https://www.pib.gov.in/PressReleseDetailm.aspx?PRID=2192463&amp;reg=3&amp;lang=2 | 
S.O. 5322(E) Code on Wages commencement | https://labour.gov.in/sites/default/files/e-noti-wage_0.pdf | 
Corrigendum S.O. 5936(E) to S.O. 5319(E) | https://www.labour.gov.in/static/uploads/2026/01/639a9f531898f5a767b1e45e762c2d87.pdf | 
IR Code (Amendment) Act 2026 | https://www.labour.gov.in/static/uploads/2026/02/91ef39e2096112f8b798e6c45c732e2f.pdf | 
MoLE FAQs on Labour Codes | https://www.labour.gov.in/static/uploads/2026/01/de4758d5bfeffc456d7de97a801891b0.pdf | 
EDLI Scheme 2026 G.S.R. 526(E) | https://egazette.gov.in/WriteReadData/2026/273942.pdf | </t>
  </si>
  <si>
    <t xml:space="preserve">[VERIFICATION 13-10-2026] Official: PIB (21-11-2025) – all four Labour Codes effective 21-11-2025; pending new rules, the existing Acts' rules and notifications continue (MoLE FAQ: under s.6 of the General Clauses Act, to the extent consistent). S.O. 5322(E) dt 21-11-2025 (Code on Wages, labour.gov.in PDF) brings ss.1-41, 42(4)-(9), 43-66, 67 (most), 68 and 69 into force from 21-11-2025. S.O. 5319(E) dt 21-11-2025 (SS Code) is confirmed via its corrigendum S.O. 5936(E) dt 19-12-2025, which excludes provisions already in force under S.O. 2060(E) dt 03-05-2023. NEW: Industrial Relations Code (Amendment) Act 2026 (No. 1 of 2026, gazette 16-02-2026), deemed in force from 21-11-2025; repeal of TU Act, IESO Act and ID Act from a notified date; s.104(1A) continuity of tribunals. EDLI Scheme 2026 = G.S.R. 526(E) dt 29-06-2026, in force on publication; EPF Scheme 2026 = G.S.R. 525(E) dt 29-06-2026 (gazette No. 473). Not confirmed officially: the Central Rules date (08-05-2026) and the S.O. numbers 5320/5321(E). CORRECTION: Add: IR Code (Amendment) Act 2026 (No.1 of 2026) deemed from 21-11-2025; corrigendum S.O. 5936(E) dt 19-12-2025 to S.O. 5319(E). Scheme publication date: 29-06-2026 for both G.S.R. 525(E) and 526(E) (gazette dated 29-06-2026) – resolves the 29.06 vs 30.06/01.07 conflict in favour of 29-06-2026 for the notification date (commencement = date of publication). Gazette PDFs on egazette.gov.in were not opened (fetch of epfindia/egazette blocked); S.O./G.S.R. numbers taken from EY, KPMG, Taxmann, TaxHeal reproductions. Conflict: Central Rules effective date (08.05.2026 per KPMG/Taxmann/ESIC letter vs 31.12.2025 per iPleaders FAQ) – adopt 08.05.2026. Scheme publication dates conflict (29.06 vs 30.06/01.07.2026). State rules status as of Oct 2026 not verified (iPleaders May 2026: MH, GJ, KA, MP, Delhi all four; AP, TS, UP, TN partial; WB pending).</t>
  </si>
  <si>
    <t xml:space="preserve">PAY-002</t>
  </si>
  <si>
    <t xml:space="preserve">Labour Codes – Wages definition</t>
  </si>
  <si>
    <t xml:space="preserve">Statutory 'wages' computation with 50% exclusion cap</t>
  </si>
  <si>
    <t xml:space="preserve">Compute statutory wages (base for PF, ESI, gratuity, bonus, leave encashment etc.) under the uniform Code definition, adding back excluded allowances exceeding 50% of total remuneration.</t>
  </si>
  <si>
    <t xml:space="preserve">Code on Wages, 2019 s.2(y) and proviso; Code on Social Security, 2020 s.2(88) and proviso; MoLE FAQs dated 16.03.2026 (clarification, not law); EPFO FAQ on wage ceiling (Sep 2026) – coverage determined on s.2(88) wages, not gross.</t>
  </si>
  <si>
    <t xml:space="preserve">All employees, payroll periods on/after 21.11.2025 (CODE regime).</t>
  </si>
  <si>
    <t xml:space="preserve">21.11.2025</t>
  </si>
  <si>
    <t xml:space="preserve">Pay-component master mapping each component to INCLUDED (basic, DA, retaining allowance), EXCLUDED (HRA, conveyance, statutory bonus, PF/pension employer contribution, gratuity, overtime, commission, retrenchment compensation etc. per s.2(y) list) or NON_REMUNERATION.</t>
  </si>
  <si>
    <t xml:space="preserve">employee_id, payroll_month, component_code, component_amount, component_class (INCLUDED/EXCLUDED/NOT_REMUNERATION), in_kind_value</t>
  </si>
  <si>
    <t xml:space="preserve">1. Sum INCLUDED components = W_inc. 2. Sum EXCLUDED components (those listed in exclusion clauses that count as remuneration) = W_exc. 3. Total remuneration T = W_inc + W_exc. 4. If W_exc &gt; 0.5*T: add_back = W_exc - 0.5*T else 0. 5. Statutory wages = W_inc + add_back. 6. Per MoLE FAQ (secondary): overtime is excluded from wages but counted within T for the 50% test; annual performance incentive is not wages (CA to confirm treatment of variable pay). 7. Remuneration in kind: up to 15% of total wages may be counted as wages (s.2(y) second proviso – not verified this session; flag). 8. Store W_inc, W_exc, add_back.</t>
  </si>
  <si>
    <t xml:space="preserve">wages = W_inc + max(0, W_exc - 0.5 * (W_inc + W_exc))</t>
  </si>
  <si>
    <t xml:space="preserve">Exclusion cap 50% of total remuneration.</t>
  </si>
  <si>
    <t xml:space="preserve">Gratuity, equal remuneration and some purposes: proviso application differs (s.2(y) third proviso – not verified). Final SS Rules dropped detailed gratuity-wage exclusions proposed in draft (BDO).</t>
  </si>
  <si>
    <t xml:space="preserve">Not specified in law – implementation choice (recommend keep paise; round only at contribution level).</t>
  </si>
  <si>
    <t xml:space="preserve">If basic+DA &lt; 50% of total remuneration and add_back = 0 -&gt; flag High (computation missing). If PF wage used in ECR &lt; statutory wages (capped at ceiling) -&gt; flag High.</t>
  </si>
  <si>
    <t xml:space="preserve">statutory_wages, add_back_amount, exclusion_ratio per employee-month</t>
  </si>
  <si>
    <t xml:space="preserve">Total remuneration 1,00,000: Basic+DA 40,000; HRA 30,000; special/conveyance 30,000 (excluded). W_exc = 60,000 &gt; 50,000 -&gt; add_back 10,000. Wages = 40,000 + 10,000 = 50,000.</t>
  </si>
  <si>
    <t xml:space="preserve">W_inc=60000, W_exc=40000 -&gt; wages 60000, add_back 0</t>
  </si>
  <si>
    <t xml:space="preserve">W_inc=40000, W_exc=60000 but payroll PF wage = 40000 -&gt; wages 50000; flag 'PF wage understated by 10000 (subject to ceiling)'</t>
  </si>
  <si>
    <t xml:space="preserve">Treating 'special allowance' as excluded; using CTC as base; ignoring add-back for ESI coverage (ESIC letter 04.06.2026 says s.2(88) wages apply since 21.11.2025, which can bring high-gross employees within Rs 21,000).</t>
  </si>
  <si>
    <t xml:space="preserve">High: statutory wage understated; Medium: unmapped pay components.</t>
  </si>
  <si>
    <t xml:space="preserve">def stat_wages(comps):
    inc = sum(c.amt for c in comps if c.cls=='INCLUDED')
    exc = sum(c.amt for c in comps if c.cls=='EXCLUDED')
    T = inc + exc
    add = max(0, exc - 0.5*T)
    return inc + add, add</t>
  </si>
  <si>
    <t xml:space="preserve">iPleaders - Labour Codes 2026 implementation guide (last verified 8 May 2026) | https://blog.ipleaders.in/labour-codes-2026-implementation-complete-guide-to-what-is-in-force-what-changed-and-what-to-do-now/ | 50% wage rule s.2(y); state rules table; MoLE FAQs 16.03.2026
King Stubb &amp; Kasiva - 50% wage rule under new Labour Codes | https://ksandk.com/labour-employment/50-wage-rule-labour-codes-salary-pf-gratuity/ | Code on Wages s.2(y)
EY Alert - New labour codes implemented effective 21 November 2025 | https://www.ey.com/content/dam/ey-unified-site/ey-com/en-in/alerts-hub/2025/11/new-labour-codes-implemented-across-the-country-effective-21-november-2025.pdf | S.O. 5319(E), 5320(E), 5321(E), 5322(E) dt 21.11.2025
SGCMS - FAQs by EPFO: Wage ceiling raised to 25000 | https://www.sgcms.com/regulatory-updates/faqs-by-epfo-wage-ceiling-raised-to-25000/ | S.O. 5109(E) dt 17.09.2026; EPFO FAQ Q6-Q13, Q37-Q45
Ascent HR - ESIC clarification on implementation of Code on Social Security (letter P-11012/4/2026-INSPECTION dt 04.06.2026) | https://ascent-hr.com/notification/esic-clarification-regarding-the-implementation-of-code-on-social-security-2020/ | Ceiling Rs 21,000 (Rs 25,000 PwD) continues; s.2(88) wages since 21.11.2025
BDO India - Final Central Rules notified under all four Labour Codes | https://www.bdo.in/en-gb/insights/alerts-updates/alert-final-central-rules-notified-under-all-four-labour-codes | Alert 12 May 2026
MoLE Additional FAQs on Labour Codes (16-03-2026) | https://www.labour.gov.in/static/uploads/2026/03/a4ccf4c6d97c4f1f36a6d83f8c64213d.pdf | Q1, Q4, Q6-8, Q11</t>
  </si>
  <si>
    <t xml:space="preserve">[VERIFICATION 13-10-2026] MoLE Additional FAQs (16-03-2026) confirm: the revised wage definition applies from 21-11-2025; amounts over 50% of remuneration are added back to wages; overtime allowance is counted in the 50% calculation; only employer PF/pension contributions and statutory bonus count among the exclusions for the 50% test, not gratuity, ESI or other retirement benefits; annual performance incentives are not wages; one wage definition applies across the Codes. The 15% in-kind proviso was not confirmed. CORRECTION: logic_steps step 2: exclusions to include in T for the 50% test – per MoLE FAQ Q1(b), employer PF/pension contribution and statutory bonus are included; gratuity, ESI and other retirement benefits are NOT included in the 50% computation. Section text of s.2(y)/s.2(88) not opened on indiacode/egazette. In-kind 15% proviso and the full exclusion list must be mapped by CA from bare Act. Applicability of add-back to PF wages: EPFO FAQ states coverage is on s.2(88) wages (secondary reproduction). Whether ESI contributions under Code s.29 are operational is disputed (LKS) – see PAY-013.</t>
  </si>
  <si>
    <t xml:space="preserve">PAY-003</t>
  </si>
  <si>
    <t xml:space="preserve">EPF – Applicability</t>
  </si>
  <si>
    <t xml:space="preserve">EPF establishment coverage and employee membership test</t>
  </si>
  <si>
    <t xml:space="preserve">Confirm that a covered establishment has enrolled all eligible employees and that non-covered establishments are flagged when headcount reaches the threshold.</t>
  </si>
  <si>
    <t xml:space="preserve">Pre-Code: EPF&amp;MP Act 1952 s.1(3), s.2(f), EPF Scheme 1952 para 26/26A. Code: SS Code s.1(4) read with First Schedule (20 or more employees), s.1(5) voluntary, s.1(8) continues once covered; Chapter III; wage ceiling under s.2(89): S.O. 2702(E) dt 29.05.2026 (Rs 15,000) superseded by S.O. 5109(E) dt 17.09.2026 (Rs 25,000); EPF Scheme 2026 (G.S.R. 525(E)).</t>
  </si>
  <si>
    <t xml:space="preserve">Establishments employing 20 or more persons (any day); voluntary coverage below 20. Employee mandatory member if statutory wages &lt;= ceiling at joining; above ceiling – voluntary (excluded employee) unless already a member.</t>
  </si>
  <si>
    <t xml:space="preserve">Ceiling Rs 15,000: 01.09.2014 to 16.09.2026; Rs 25,000: from 17.09.2026.</t>
  </si>
  <si>
    <t xml:space="preserve">Monthly headcount (including contract labour through contractors), employee statutory wages (PAY-002), prior PF membership (UAN) flag.</t>
  </si>
  <si>
    <t xml:space="preserve">establishment_id, headcount_by_day, pf_registration_date, employee_id, uan, date_of_joining, statutory_wages, prior_pf_member_flag, is_international_worker</t>
  </si>
  <si>
    <t xml:space="preserve">1. If max headcount in any month &gt;= 20 and no PF code -&gt; flag Critical 'registration required'. 2. Once covered, keep covered even if headcount &lt; 20. 3. For each employee: ceiling = 15000 if month_end &lt; 17.09.2026 else 25000 (Sept-2026 split per PAY-005). 4. If prior_pf_member_flag -&gt; mandatory member regardless of wages. 5. Else if statutory_wages at joining &lt;= ceiling -&gt; mandatory member. 6. Else excluded employee (voluntary). 7. From 17.09.2026 existing excluded employees with wages &lt;= 25,000 must be enrolled (EPFO FAQ). 8. International workers: covered irrespective of wages (separate rule; out of scope – flag). 9. Count contract workers toward principal employer liability.</t>
  </si>
  <si>
    <t xml:space="preserve">mandatory = prior_member or stat_wages_at_join &lt;= ceiling(date)</t>
  </si>
  <si>
    <t xml:space="preserve">Threshold 20 employees; ceiling Rs 15,000 -&gt; Rs 25,000 (17.09.2026).</t>
  </si>
  <si>
    <t xml:space="preserve">Exempted establishments (own PF trust) – contributions to trust, not EPFO; excluded employees above ceiling; Employees' Enrolment Campaign 2026 (until 31.10.2026) allows enrolment of employees who joined 01.04.2009-31.03.2026 with employee share waived and damages Rs 100.</t>
  </si>
  <si>
    <t xml:space="preserve">Enrol from date of joining; ECR monthly by 15th (PAY-008).</t>
  </si>
  <si>
    <t xml:space="preserve">Employee with wages &lt;= ceiling and no UAN/ECR line -&gt; Critical. Employee in ECR in one month and missing next with no exit date -&gt; High.</t>
  </si>
  <si>
    <t xml:space="preserve">List of eligible-but-not-enrolled employees; establishment coverage status</t>
  </si>
  <si>
    <t xml:space="preserve">Employee joined 01.08.2026, wages 22,000, no prior PF: Aug-2026 ceiling 15,000 -&gt; excluded; from 17.09.2026 ceiling 25,000 -&gt; must be enrolled (mandatory).</t>
  </si>
  <si>
    <t xml:space="preserve">headcount 21, no PF code -&gt; Critical flag</t>
  </si>
  <si>
    <t xml:space="preserve">headcount 18, PF code exists from 2019 -&gt; no flag (s.1(8) continuity)</t>
  </si>
  <si>
    <t xml:space="preserve">Not enrolling Rs 15k-25k band after 17.09.2026; excluding contract workers; treating gross instead of statutory wages for eligibility.</t>
  </si>
  <si>
    <t xml:space="preserve">Critical for unregistered/unenrolled; High for missing ECR lines.</t>
  </si>
  <si>
    <t xml:space="preserve">def ceiling(d):
    return 25000 if d &gt;= date(2026,9,17) else 15000
mandatory = emp.prior_member or emp.wages_at_join &lt;= ceiling(emp.doj)</t>
  </si>
  <si>
    <t xml:space="preserve">Taxmann - EPF under Code on Social Security 2020: coverage, contribution, schemes | https://www.taxmann.com/post/blog/analysis-epf-under-code-on-social-security | First Schedule (20 employees); s.16; S.O. 3582(E) &amp; S.O. 3581(E); S.O. 2702(E) dt 29.05.2026
SGCMS - FAQs by EPFO: Wage ceiling raised to 25000 | https://www.sgcms.com/regulatory-updates/faqs-by-epfo-wage-ceiling-raised-to-25000/ | S.O. 5109(E) dt 17.09.2026; EPFO FAQ Q6-Q13, Q37-Q45
KPMG Flash News - FAQs on EPFO Wage Ceiling Limit (26 Sep 2026) | https://assets.kpmg.com/content/dam/kpmgsites/in/pdf/2026/09/KPMG-Flash-News-FAQs-on-EPFO-Wage-Ceiling-Limit.pdf | September 2026 apportionment; ECR due 15.10.2026
Argus Partners - Revision to EPF wage ceiling: September transition | https://www.argus-p.com/papers-publications/thought-paper/revision-to-epf-wage-ceiling-coverage-contributions-and-the-september-transition/ | S.O. 5109(E) supersedes S.O. 2702(E); para 18(4) EPF Scheme 2026
ELP - EPFO wage ceiling increased from INR 15,000 to INR 25,000 | https://elplaw.in/wp-content/uploads/2026/09/EPFO-wage-ceiling-increased-from-INR-15000-to-INR-25000-per-month.pdf | Effective 17.09.2026
StaffNews reproduction of PIB release - Cabinet approves enhancement of EPFO wage ceiling (16.09.2026) | https://www.staffnews.in/2026/09/cabinet-approves-enhancement-of-epfo-wage-ceiling.html | PIB Delhi 16.09.2026
IndianPayCalculator - EPF wage ceiling stays 15000 under SS Code (29.05.2026 notification) | https://www.indianpaycalculator.in/govt-news/epf-wage-ceiling-stays-15000-ss-code-2026 | MoLE notification 29.05.2026
Lexplosion - EPF Scheme 2026 notified; Enrolment Campaign, VISHWAS, AMNESTY | https://lexplosion.in/epf-scheme-2026-notified-under-social-security-code-replaces-epf-scheme-1952-and-introduces-employees-enrolment-campaign-vishwas-and-amnesty-schemes/ | EPF Scheme 2026
Cyril Amarchand Mangaldas - Client Alert: Schemes under the Code on Social Security 2020 | https://www.cyrilshroff.com/wp-content/uploads/2026/07/Client-Alert-Labour-Codes-Schemes-under-the-Code-on-Social-Security-2020-1.pdf | EPF/EPS/EDLI Schemes 2026; 12%/10%; 9.49% EPS for higher-wage option
PIB – S.O. 5109(E) | https://www.pib.gov.in/PressReleasePage.aspx?PRID=2313829&amp;reg=48&amp;lang=2 | 
MoLE Cabinet note | https://www.labour.gov.in/static/uploads/2026/09/4f607a88c5342aeb980c6b999997caab.pdf | </t>
  </si>
  <si>
    <t xml:space="preserve">[VERIFICATION 13-10-2026] S.O. 5109(E) and the 17-09-2026 effective date are confirmed by PIB and the MoLE Cabinet note (Rs 15,000 to Rs 25,000; first change since Sept 2014; about 51 lakh more workers covered). The 20-employee establishment threshold was not re-checked on an official page. S.O. 5109(E) and S.O. 2702(E) texts not opened on egazette; numbers from Argus/SGCMS. PIB release (16.09.2026 Cabinet approval) did not itself state effective date; 17.09.2026 from ELP/EPFO FAQ reproductions.</t>
  </si>
  <si>
    <t xml:space="preserve">PAY-004</t>
  </si>
  <si>
    <t xml:space="preserve">EPF – Contribution computation</t>
  </si>
  <si>
    <t xml:space="preserve">EPF / EPS / EDLI / admin charge computation (ceiling Rs 15,000 – up to 16.09.2026)</t>
  </si>
  <si>
    <t xml:space="preserve">Recompute statutory PF contributions per employee per month and compare with payroll deductions and ECR.</t>
  </si>
  <si>
    <t xml:space="preserve">EPF&amp;MP Act 1952 s.6 / SS Code s.16 with S.O. 3582(E) (12% w.e.f. 21.11.2025) and S.O. 3581(E) (EDLI 0.5%); EPF Scheme 1952 para 29 / EPF Scheme 2026; EPS 1995 para 3 / EPS 2026; admin charges S.O. 2011(E) dt 21.05.2018 (0.50%).</t>
  </si>
  <si>
    <t xml:space="preserve">Covered establishments, months up to August 2026 (and 1-16 Sept 2026 portion).</t>
  </si>
  <si>
    <t xml:space="preserve">Rates: 12%/8.33%/0.5% EDLI; admin 0.50% w.e.f. 01.06.2018; EDLI admin charges 0% w.e.f. 01.04.2017.</t>
  </si>
  <si>
    <t xml:space="preserve">PAY-002 statutory wages (PF wages), membership status (PAY-003), EPS eligibility (PAY-007), contribute_on_actual flag (employee/joint option), establishment rate (12% or 10%).</t>
  </si>
  <si>
    <t xml:space="preserve">employee_id, pf_wages, eps_eligible, age_58_reached, contribute_on_actual_flag, higher_pension_option_flag, establishment_rate, ncp_days, payroll_ee_pf_deducted</t>
  </si>
  <si>
    <t xml:space="preserve">1. ceiling = 15000. 2. EPF_wage = pf_wages if contribute_on_actual_flag else min(pf_wages, ceiling). 3. EE = round(rate * EPF_wage) (rate 12% or 10%). 4. EPS_wage = min(pf_wages, ceiling) if eps_eligible and not age_58_reached else 0 (higher-pension option members: EPS on actual wage at 8.33% plus 1.16% – CAM states employer 9.49% under EPS 2026; flag for CA). 5. EPS = round(0.0833 * EPS_wage). 6. ER_EPF = round(rate * EPF_wage) - EPS (employer total 12% when employer also contributes on actual; if employer contributes only on ceiling, ER total = 12% of min(wage, ceiling)). 7. EDLI = round(0.005 * min(pf_wages, ceiling)). 8. Admin = 0.005 * EPF_wage summed at establishment level, subject to minimum Rs 500 per month (Rs 75 if no contributing member). 9. Compare EE with payroll_ee_pf_deducted.</t>
  </si>
  <si>
    <t xml:space="preserve">EE = r*EPF_wage; EPS = 8.33%*min(W,15000); ER_EPF = r_er*EPF_wage_er - EPS; EDLI = 0.5%*min(W,15000); Admin = max(500, 0.5%*sum(EPF_wage))</t>
  </si>
  <si>
    <t xml:space="preserve">Employee 12% (10% notified categories); employer 12% = EPS 8.33% (max Rs 1,250) + EPF 3.67%; EDLI 0.5% (max Rs 75); admin 0.50% (min Rs 500/month; Rs 75 if no contributing member); EDLI admin nil.</t>
  </si>
  <si>
    <t xml:space="preserve">EPS not applicable to members joining after 01.09.2014 with wages &gt; Rs 15,000 or age &gt;= 58 (whole 12% to EPF A/c 1). International workers: different rules. Exempted trusts: EPF to trust, EPS/EDLI to EPFO unless EDLI exempt.</t>
  </si>
  <si>
    <t xml:space="preserve">ECR accepts whole rupees; prevalent convention = nearest rupee half-up (e.g., 1249.50 -&gt; 1250). Specific legal provision not located – 'Not specified in law (located) – implementation choice'; configurable.</t>
  </si>
  <si>
    <t xml:space="preserve">15th of following month (PAY-008).</t>
  </si>
  <si>
    <t xml:space="preserve">|EE_computed - EE_payroll| &gt; 1 -&gt; High; EPS &gt; 1250 for ceiling-based member -&gt; High; EPS&gt;0 for ineligible member -&gt; High; admin &lt; 500 for active establishment -&gt; Medium.</t>
  </si>
  <si>
    <t xml:space="preserve">Per employee: EPF_wage, EE, EPS, ER_EPF, EDLI; establishment admin; variance vs payroll &amp; ECR</t>
  </si>
  <si>
    <t xml:space="preserve">Basic+DA 25,000 (statutory wages), EPS-eligible existing member, contributions on ceiling: EE = 12% x 15,000 = 1,800; EPS = 8.33% x 15,000 = 1,249.50 -&gt; 1,250; ER_EPF = 1,800 - 1,250 = 550; EDLI = 0.5% x 15,000 = 75; admin = 0.5% x 15,000 = 75 (establishment minimum Rs 500 applies at challan level). Total remittance = 1,800 + 1,250 + 550 + 75 + 75 = 3,750. If contributing on actual 25,000 (EPS-ineligible new joiner after 2014): EE 3,000; EPS 0; ER_EPF 3,000; EDLI 75 (on 15,000); admin 125.</t>
  </si>
  <si>
    <t xml:space="preserve">W=12000 eligible -&gt; EE 1440, EPS 1000 (999.6-&gt;1000), ER_EPF 440, EDLI 60</t>
  </si>
  <si>
    <t xml:space="preserve">W=25000, joined 2020 with wages 25000 (EPS-ineligible), payroll shows EPS 1250 -&gt; flag 'EPS remitted for ineligible member'</t>
  </si>
  <si>
    <t xml:space="preserve">EPS diverted for post-2014 high-wage joiners; EPS continued after age 58; admin computed on EPS wage rather than EPF wage; EDLI on actual wages above ceiling.</t>
  </si>
  <si>
    <t xml:space="preserve">High for contribution variance; Medium for admin charge shortfall.</t>
  </si>
  <si>
    <t xml:space="preserve">def pf(W, elig, actual, rate=0.12, ceil=15000):
    epf_w = W if actual else min(W, ceil)
    ee = round_half_up(rate*epf_w)
    eps = round_half_up(0.0833*min(W,ceil)) if elig else 0
    er_epf = round_half_up(rate*epf_w) - eps
    edli = round_half_up(0.005*min(W,ceil))
    return ee, eps, er_epf, edli, 0.005*epf_w</t>
  </si>
  <si>
    <t xml:space="preserve">Taxmann - EPF under Code on Social Security 2020: coverage, contribution, schemes | https://www.taxmann.com/post/blog/analysis-epf-under-code-on-social-security | First Schedule (20 employees); s.16; S.O. 3582(E) &amp; S.O. 3581(E); S.O. 2702(E) dt 29.05.2026
Cyril Amarchand Mangaldas - Client Alert: Schemes under the Code on Social Security 2020 | https://www.cyrilshroff.com/wp-content/uploads/2026/07/Client-Alert-Labour-Codes-Schemes-under-the-Code-on-Social-Security-2020-1.pdf | EPF/EPS/EDLI Schemes 2026; 12%/10%; 9.49% EPS for higher-wage option
CAclub - PF admin charges reduced to 0.5% from 1 June 2018; EDLI admin waived | https://caclub.in/pf-admin-charges-reduced-and-edli-admin-charges-waived-by-epfo | S.O. 2011(E) dt 21.05.2018
Zoho Payroll KB - EPF admin charges | https://www.zoho.com/in/payroll/kb/employer/settings/admin-charges.md | 0.50%, min Rs 500 / Rs 75
EPFO - Contribution Rate (epfindia.gov.in) [seen in search results; fetch failed] | https://www.epfindia.gov.in:443/site_docs/PDFs/MiscPDFs/ContributionRate.pdf | EPFO contribution rate table
KPMG Flash News - New Social Security Schemes 2026 | https://assets.kpmg.com/content/dam/kpmgsites/in/pdf/2026/07/KPMG-Flash-News-New-Social-Security-Schemes-2026.pdf | EPF Scheme 2026 G.S.R. 525(E); EDLI Scheme 2026 G.S.R. 526(E); EPS 2026 G.S.R. 527(E) dt 29.06.2026
Frappe HR docs - India payroll Employee Provident Fund | https://docs.frappe.io/hr/india-payroll/employee-provident-fund.md | Rounding convention (software vendor)
Lawrbit - Employees' Pension Scheme 1995 | https://www.lawrbit.com/article/employees-pension-scheme/ | New members &gt; Rs 15,000 not eligible (2014 amendment)
EPF Scheme 2026 (gazette copy) | https://www.staffnews.in/wp-content/uploads/2026/07/Employees-Provident-Funds-Scheme-2026-273957.pdf | paras 18, 28, 29
EDLI Scheme 2026 G.S.R. 526(E) | https://egazette.gov.in/WriteReadData/2026/273942.pdf | 
Gazette S.O. 2701(E) dt 29-05-2026 – inspection charges for exempted establishments (labour.gov.in) | https://www.labour.gov.in/static/uploads/2026/06/0c9a83a81e01bef6936dc4437c7fc310.pdf | </t>
  </si>
  <si>
    <t xml:space="preserve">[VERIFICATION 13-10-2026] EPF Scheme 2026 confirms: employer 12%, employee equal (para 18(2)), 10% for notified establishments; contributions and admin charges remitted within 15 days after the end of the month (para 28(3)); admin charges payable on contributions (para 28(2)) at a percentage the Central Govt fixes (para 29(1)) – the Scheme does not state 0.50% / Rs 500; NEW: para 29(2) late-filing fee of Rs 500 per day, capped at that month's admin charges; rounding to nearest rupee (para 18(5)). EDLI Scheme 2026 (G.S.R. 526(E)): the contribution rate is to be notified separately (para 5) and EDLI admin charges are payable with contributions (para 6). Inspection charges for exempted establishments: S.O. 2701(E) dt 29-05-2026 – EPF 0.35% (min Rs 8,750), EDLI 0.005% (min Rs 1,250). EPFO ContributionRate.pdf could not be fetched, so the 0.50% / Rs 500 / Rs 75 admin figures are still secondary. CORRECTION: Add a validation for the para 29(2) late-filing fee (Rs 500/day, capped at that month's admin charges). Rounding: nearest rupee per para 18(5). Add exempted-establishment inspection charges per S.O. 2701(E) (EPF 0.35% min 8,750; EDLI 0.005% min 1,250). EPFO official ContributionRate.pdf appeared in search but could not be fetched (proxy 403). Admin charge 0.50% / min Rs 500 / Rs 75 confirmed by secondary sources and EPFO FAQ (Sep 2026) reproduction. KPMG notes EPF Scheme 2026 says admin charges payable on mandatory and voluntary contributions but rate not stated – confirm admin charge notification under SS Code. Whether employer must contribute on actual wages when employee opts voluntary: employer has no obligation to match (KPMG on EPF Scheme 2026).</t>
  </si>
  <si>
    <t xml:space="preserve">PAY-005</t>
  </si>
  <si>
    <t xml:space="preserve">EPF computation with Rs 25,000 ceiling (from 17.09.2026) incl. September 2026 split</t>
  </si>
  <si>
    <t xml:space="preserve">Apply the revised wage ceiling and the EPFO-prescribed day-wise apportionment for September 2026.</t>
  </si>
  <si>
    <t xml:space="preserve">SS Code s.2(89); S.O. 5109(E) dt 17.09.2026 (supersedes S.O. 2702(E) dt 29.05.2026); EPF Scheme 2026 para 18(4); EPFO FAQs on wage ceiling (Sep 2026).</t>
  </si>
  <si>
    <t xml:space="preserve">All covered establishments; wage months from September 2026.</t>
  </si>
  <si>
    <t xml:space="preserve">17.09.2026</t>
  </si>
  <si>
    <t xml:space="preserve">PAY-002 wages, member status, days in month, EPS enrolment status change on 17.09.2026.</t>
  </si>
  <si>
    <t xml:space="preserve">employee_id, pf_wages_month, days_in_month (30 for Sep), member_status_before (FULL/EPF_ONLY/EXCLUDED), contribute_on_actual_flag</t>
  </si>
  <si>
    <t xml:space="preserve">1. For months &gt;= Oct-2026: ceiling 25,000; compute as PAY-004 with ceil=25000 (EPS max 2,083; EDLI max 125). 2. For Sep-2026: W1 = W*16/30, C1 = 15000*16/30 = 8,000; W2 = W*14/30, C2 = 25000*14/30 = 11,666.67. 3. Base1 = min(W1, C1) if member before 17.09 else 0 (excluded employee had no liability for 1-16). 4. Base2 = min(W2, C2). 5. EPS base: period1 only if EPS member before; period2 if EPS-eligible from 17.09.2026 (EPF-only members with wages &lt;= 25,000 are enrolled in EPS from 17.09.2026). 6. Contributions = rates x (Base1 + Base2). 7. Single ECR for September due 15.10.2026; employee share may be recovered in October payroll without approval but must be remitted on time. 8. Members already contributing above 25,000 need not reduce.</t>
  </si>
  <si>
    <t xml:space="preserve">Sep-2026 base = min(W*16/30, 8000)*[member_pre] + min(W*14/30, 11666.67)</t>
  </si>
  <si>
    <t xml:space="preserve">Ceiling Rs 25,000; EE 12% = 3,000; EPS 8.33% = 2,082.50 -&gt; 2,083; ER EPF 917; EDLI 125; admin 125 at ceiling.</t>
  </si>
  <si>
    <t xml:space="preserve">Govt EPS subsidy for PMRPY-like schemes not changed; govt 1.16% EPS share remains on Rs 15,000 (EPFO FAQ Q37 per SGCMS). EDLI maximum assurance stays Rs 7 lakh.</t>
  </si>
  <si>
    <t xml:space="preserve">EPF Scheme 2026 para 18(5): each contribution rounded to the nearest rupee (50 paise or more = next higher rupee; less than 50 paise ignored). Show split-month (Sep-2026) amounts rounded per head for ECR, e.g. 1,638.23 -&gt; 1,638; 721.77 -&gt; 722.</t>
  </si>
  <si>
    <t xml:space="preserve">Sep-2026 ECR: 15.10.2026 per EPFO FAQ. A news headline of 13.10.2026 suggested extension to 31.10.2026 – UNVERIFIED.</t>
  </si>
  <si>
    <t xml:space="preserve">Oct-2026+ EPS &gt; 2083 -&gt; High; Rs 15k-25k band without EPS from 17.09.2026 -&gt; High; Sep-2026 base equals full-month 25,000 cap -&gt; Medium (method differs from EPFO FAQ; Argus prefers full 25,000 – CA choice).</t>
  </si>
  <si>
    <t xml:space="preserve">Revised contribution per employee; Sep-2026 split working; list of employees newly enrolled in EPF/EPS</t>
  </si>
  <si>
    <t xml:space="preserve">(a) Basic+DA 25,000, Oct-2026, full member: EE 3,000; EPS 2,083; ER EPF 917; EDLI 125; admin 125. (b) Same employee Sep-2026, existing full member: Base1 = min(13,333.33, 8,000) = 8,000; Base2 = min(11,666.67, 11,666.67) = 11,666.67; base = 19,666.67; EE = 2,360.00; EPS = 1,638.23; ER EPF = 721.77; EDLI 98.33; admin 98.33. (c) EPFO FAQ check: Rs 20,000 existing full member -&gt; base 8,000 + 9,333.33 = 17,333.33; total incl. EDLI+admin @25% = 4,333.33 (FAQ 4,333.34); EPS = 1,443.87 (matches EPFO example). Newly covered at Rs 20,000 from 17.09: base 9,333.33 -&gt; total 2,333.33; EPS 777.47.</t>
  </si>
  <si>
    <t xml:space="preserve">W=20000 Sep-2026 existing EPF_ONLY member newly in EPS -&gt; EPS = 8.33% x 9,333.33 = 777.47</t>
  </si>
  <si>
    <t xml:space="preserve">W=30000 Oct-2026 new joiner (not prior member) -&gt; not mandatory; if ECR shows EPS -&gt; flag</t>
  </si>
  <si>
    <t xml:space="preserve">Applying Rs 25,000 for whole September without documented CA decision; not enrolling EPF-only members into EPS; failing to recover arrears consistently.</t>
  </si>
  <si>
    <t xml:space="preserve">High for ceiling misapplication; Medium for Sep-2026 method deviations.</t>
  </si>
  <si>
    <t xml:space="preserve">if month == (2026,9):
    b1 = min(W*16/30, 8000) if member_pre else 0
    b2 = min(W*14/30, 25000*14/30)
    base = b1 + b2
else:
    base = min(W, ceiling(month_end))</t>
  </si>
  <si>
    <t xml:space="preserve">SGCMS - FAQs by EPFO: Wage ceiling raised to 25000 | https://www.sgcms.com/regulatory-updates/faqs-by-epfo-wage-ceiling-raised-to-25000/ | S.O. 5109(E) dt 17.09.2026; EPFO FAQ Q6-Q13, Q37-Q45
KPMG Flash News - FAQs on EPFO Wage Ceiling Limit (26 Sep 2026) | https://assets.kpmg.com/content/dam/kpmgsites/in/pdf/2026/09/KPMG-Flash-News-FAQs-on-EPFO-Wage-Ceiling-Limit.pdf | September 2026 apportionment; ECR due 15.10.2026
Argus Partners - Revision to EPF wage ceiling: September transition | https://www.argus-p.com/papers-publications/thought-paper/revision-to-epf-wage-ceiling-coverage-contributions-and-the-september-transition/ | S.O. 5109(E) supersedes S.O. 2702(E); para 18(4) EPF Scheme 2026
ELP - EPFO wage ceiling increased from INR 15,000 to INR 25,000 | https://elplaw.in/wp-content/uploads/2026/09/EPFO-wage-ceiling-increased-from-INR-15000-to-INR-25000-per-month.pdf | Effective 17.09.2026
PSU Connect - EPFO explains September 2026 ECR calculation | https://www.psuconnect.in/news/epfo-explains-september-2026-ecr-calculation-after-new-25-000-wage-ceiling | EPS A/c 10 examples 777.47 / 1443.87
StaffNews reproduction of PIB release - Cabinet approves enhancement of EPFO wage ceiling (16.09.2026) | https://www.staffnews.in/2026/09/cabinet-approves-enhancement-of-epfo-wage-ceiling.html | PIB Delhi 16.09.2026
PIB – EPFO raises wage ceiling to Rs 25,000 (S.O. 5109(E)) | https://www.pib.gov.in/PressReleasePage.aspx?PRID=2313829&amp;reg=48&amp;lang=2 | 
PIB – EPFO Goa guidelines, effective 17-09-2026 | https://www.pib.gov.in/PressReleasePage.aspx?PRID=2313790&amp;reg=48&amp;lang=2 | 
MoLE – Cabinet approves higher EPFO wage ceiling | https://www.labour.gov.in/static/uploads/2026/09/4f607a88c5342aeb980c6b999997caab.pdf | 
EPF Scheme 2026, G.S.R. 525(E) dt 29-06-2026 (gazette copy hosted on staffnews.in; egazette blocked) | https://www.staffnews.in/wp-content/uploads/2026/07/Employees-Provident-Funds-Scheme-2026-273957.pdf | paras 9(4), 18(3), 18(5), 19, 28(3)</t>
  </si>
  <si>
    <t xml:space="preserve">[VERIFICATION 13-10-2026] PIB (EPFO release, 23-09-2026) confirms Gazette S.O. 5109(E): the ceiling rises from Rs 15,000 to Rs 25,000 per month w.e.f. 17-09-2026, and the maximum employer EPS share at 8.33% rises from Rs 1,250 to Rs 2,083. MoLE's Cabinet note (labour.gov.in) confirms the 17-09-2026 date and the 16-09-2026 Cabinet approval. EPF Scheme 2026 (G.S.R. 525(E), 29-06-2026) para 18(3) caps contributions at the notified ceiling; para 9(4) allows a joint option to contribute above it; para 19 allows voluntary higher contributions with no employer matching duty but with admin charges payable. Para 18(5) requires each contribution to be rounded to the nearest rupee (50 paise and above up). NOT confirmed on an official page: the September-2026 16/14-day split method and the ECR due date. The EPFO FAQ PDF is not reachable (epfindia fetch blocked). The rumoured extension to 31-10-2026 is still unverified. CORRECTION: rounding: replace 'implementation choice' with 'EPF Scheme 2026 para 18(5): each contribution rounded to nearest rupee, 50 paise or more counted as next higher rupee, less than 50 paise ignored'. Sep-2026 sample figures (e.g., 1,638.23, 777.47) should be shown rounded per head to rupees (e.g., 1,638 / 777) for ECR. EPFO FAQ itself (epfindia.gov.in) not opened; reproduced via SGCMS and KPMG. Argus (law firm) prefers full-month Rs 25,000 for September; EPFO FAQ uses split – default to EPFO method. Possible ECR due date extension to 31.10.2026 unverified.</t>
  </si>
  <si>
    <t xml:space="preserve">PAY-006</t>
  </si>
  <si>
    <t xml:space="preserve">Reduced 10% contribution rate establishments</t>
  </si>
  <si>
    <t xml:space="preserve">Validate that the 10% rate is used only by eligible establishments.</t>
  </si>
  <si>
    <t xml:space="preserve">SS Code s.16(1)(a) and first proviso; S.O. 3582(E) (12% w.e.f. 21.11.2025; 10% retained for specified classes). Pre-Code: EPF Act s.6 proviso.</t>
  </si>
  <si>
    <t xml:space="preserve">Establishments with IBC-approved resolution/repayment plan; jute, beedi, brick, coir (other than spinning), guar gum factories (per Taxmann summary of S.O. 3582(E)).</t>
  </si>
  <si>
    <t xml:space="preserve">21.11.2025 (Code); earlier under EPF Act notifications.</t>
  </si>
  <si>
    <t xml:space="preserve">Establishment industry classification and documentary basis.</t>
  </si>
  <si>
    <t xml:space="preserve">establishment_id, industry_code, ibc_plan_flag, rate_applied</t>
  </si>
  <si>
    <t xml:space="preserve">1. If rate_applied == 10% and establishment not in eligible list -&gt; flag High. 2. If eligible, EPS still 8.33% of capped wage; employer EPF = 10% - 8.33% = 1.67% (CA to verify). 3. EDLI/admin unchanged.</t>
  </si>
  <si>
    <t xml:space="preserve">eligible_10 = industry in {JUTE, BEEDI, BRICK, COIR_NON_SPINNING, GUAR_GUM} or ibc_plan_flag</t>
  </si>
  <si>
    <t xml:space="preserve">10% employee and employer.</t>
  </si>
  <si>
    <t xml:space="preserve">Earlier categories (e.g., establishments with &lt; 20 employees, sick units declared by BIFR, accumulated losses) existed under old notifications – whether continuing after S.O. 3582(E) not verified.</t>
  </si>
  <si>
    <t xml:space="preserve">As PAY-004</t>
  </si>
  <si>
    <t xml:space="preserve">As PAY-008</t>
  </si>
  <si>
    <t xml:space="preserve">rate 10% for IT/services company -&gt; High.</t>
  </si>
  <si>
    <t xml:space="preserve">Eligibility verdict; differential contribution for wrong rate</t>
  </si>
  <si>
    <t xml:space="preserve">IT firm applying 10% on 15,000: EE 1,500 vs correct 1,800 -&gt; short 300 EE + 300 ER per employee per month.</t>
  </si>
  <si>
    <t xml:space="preserve">Brick kiln, rate 10% -&gt; OK</t>
  </si>
  <si>
    <t xml:space="preserve">Software company, rate 10% -&gt; High flag, shortfall computed</t>
  </si>
  <si>
    <t xml:space="preserve">Legacy 10% carried after loss-making status ended.</t>
  </si>
  <si>
    <t xml:space="preserve">if est.rate==0.10 and not eligible_10(est): flag('HIGH','10% rate not permitted')</t>
  </si>
  <si>
    <t xml:space="preserve">Taxmann - EPF under Code on Social Security 2020: coverage, contribution, schemes | https://www.taxmann.com/post/blog/analysis-epf-under-code-on-social-security | First Schedule (20 employees); s.16; S.O. 3582(E) &amp; S.O. 3581(E); S.O. 2702(E) dt 29.05.2026
Cyril Amarchand Mangaldas - Client Alert: Schemes under the Code on Social Security 2020 | https://www.cyrilshroff.com/wp-content/uploads/2026/07/Client-Alert-Labour-Codes-Schemes-under-the-Code-on-Social-Security-2020-1.pdf | EPF/EPS/EDLI Schemes 2026; 12%/10%; 9.49% EPS for higher-wage option
Gazette S.O. 3582(E) dt 01-07-2026 (egazette) | https://egazette.gov.in/WriteReadData/2026/274112.pdf | </t>
  </si>
  <si>
    <t xml:space="preserve">[VERIFICATION 13-10-2026] Official gazette S.O. 3582(E) dt 01-07-2026 (egazette): under the first proviso to s.16(1)(a) of the SS Code, the contribution rate is 12% for employer and employees under EPF Scheme 2026. The proviso (10% rate) does not apply to establishments excluded from 12%, which are: establishments with an IBC resolution/repayment plan approved by the Adjudicating Authority; jute, beedi, brick and guar gum industries; coir industry except the spinning sector. These are the 10% categories. Deemed in force from 21-11-2025. It supersedes S.O. 320(E) dt 09-04-1997. CORRECTION: exemptions_exceptions: 10% categories per S.O. 3582(E): (i) establishments with an IBC resolution/repayment plan approved; (ii) jute; (iii) beedi; (iv) brick; (v) guar gum; (vi) coir (except spinning). Effective 21-11-2025. S.O. 3582(E) text not opened. CAM confirms 10% for 'notified categories' without naming them.</t>
  </si>
  <si>
    <t xml:space="preserve">PAY-007</t>
  </si>
  <si>
    <t xml:space="preserve">EPF – EPS eligibility</t>
  </si>
  <si>
    <t xml:space="preserve">EPS membership eligibility check</t>
  </si>
  <si>
    <t xml:space="preserve">Ensure 8.33% diversion to pension fund only for eligible members and stops at 58.</t>
  </si>
  <si>
    <t xml:space="preserve">EPS 1995 para 3 &amp; 6 as amended by G.S.R. 609(E) dt 22.08.2014 (w.e.f. 01.09.2014) [notification no. from memory – not opened]; EPS 2026 (G.S.R. 527(E)); EPFO FAQ Sep-2026 on enrolment of EPF-only members in EPS from 17.09.2026.</t>
  </si>
  <si>
    <t xml:space="preserve">All EPF members.</t>
  </si>
  <si>
    <t xml:space="preserve">01.09.2014 (exclusion of new high-wage joiners); 17.09.2026 (Rs 25,000 ceiling).</t>
  </si>
  <si>
    <t xml:space="preserve">Date of first EPF membership, wages at joining, date of birth, higher-pension option flag.</t>
  </si>
  <si>
    <t xml:space="preserve">uan, first_membership_date, wages_at_first_joining, dob, higher_pension_option_flag, payroll_month</t>
  </si>
  <si>
    <t xml:space="preserve">1. If age &gt;= 58 at start of month -&gt; EPS = 0 (employer 12% to EPF). 2. If member was EPS member before (existing member) -&gt; eligible. 3. Else if first_membership_date &gt;= 01.09.2014 and wages at joining &gt; applicable ceiling (15,000; 25,000 from 17.09.2026) -&gt; not eligible. 4. From 17.09.2026, EPF-only members with wages &lt;= 25,000 become EPS members. 5. Higher pension option (Supreme Court 2022) members: EPS on actual wages; additional 1.16% handling per CA.</t>
  </si>
  <si>
    <t xml:space="preserve">eligible = age&lt;58 and (existing_eps_member or wages_at_join &lt;= ceiling(join_date or 17.09.2026))</t>
  </si>
  <si>
    <t xml:space="preserve">Age 58; ceiling Rs 15,000 / Rs 25,000.</t>
  </si>
  <si>
    <t xml:space="preserve">Members exercising deferred pension option; international workers.</t>
  </si>
  <si>
    <t xml:space="preserve">EPS &gt; 0 for age &gt;= 58 -&gt; High; EPS &gt; 0 for ineligible -&gt; High; EPS = 0 for eligible -&gt; High.</t>
  </si>
  <si>
    <t xml:space="preserve">eps_eligible flag with reason code</t>
  </si>
  <si>
    <t xml:space="preserve">DOB 10.05.1968: turns 58 on 10.05.2026 -&gt; EPS stops (from May/June 2026 per EPFO practice – month of attaining 58: CA to set rule).</t>
  </si>
  <si>
    <t xml:space="preserve">Joined 2012 at 18,000 (pre-2014 member) -&gt; eligible on 15,000 cap</t>
  </si>
  <si>
    <t xml:space="preserve">Joined 2019 at 22,000, no prior PF -&gt; ineligible until 16.09.2026; eligible from 17.09.2026 if wage &lt;= 25,000</t>
  </si>
  <si>
    <t xml:space="preserve">EPS deducted after 58; EPS for post-2014 high wage joiners.</t>
  </si>
  <si>
    <t xml:space="preserve">def eps_ok(m, d):
    if age(m.dob, d) &gt;= 58: return False
    if m.existing_eps: return True
    return m.wages_at_join &lt;= ceiling(max(m.join, d))</t>
  </si>
  <si>
    <t xml:space="preserve">Lawrbit - Employees' Pension Scheme 1995 | https://www.lawrbit.com/article/employees-pension-scheme/ | New members &gt; Rs 15,000 not eligible (2014 amendment)
SGCMS - FAQs by EPFO: Wage ceiling raised to 25000 | https://www.sgcms.com/regulatory-updates/faqs-by-epfo-wage-ceiling-raised-to-25000/ | S.O. 5109(E) dt 17.09.2026; EPFO FAQ Q6-Q13, Q37-Q45
KPMG Flash News - FAQs on EPFO Wage Ceiling Limit (26 Sep 2026) | https://assets.kpmg.com/content/dam/kpmgsites/in/pdf/2026/09/KPMG-Flash-News-FAQs-on-EPFO-Wage-Ceiling-Limit.pdf | September 2026 apportionment; ECR due 15.10.2026
Cyril Amarchand Mangaldas - Client Alert: Schemes under the Code on Social Security 2020 | https://www.cyrilshroff.com/wp-content/uploads/2026/07/Client-Alert-Labour-Codes-Schemes-under-the-Code-on-Social-Security-2020-1.pdf | EPF/EPS/EDLI Schemes 2026; 12%/10%; 9.49% EPS for higher-wage option</t>
  </si>
  <si>
    <t xml:space="preserve">EPS 1995 para numbers and G.S.R. 609(E)/2014 not opened this session. Age-58 month-of-cessation rule not verified. Under EPS 2026, CAM notes employer 9.49% for joint-option higher wage members – needs CA review.</t>
  </si>
  <si>
    <t xml:space="preserve">PAY-008</t>
  </si>
  <si>
    <t xml:space="preserve">EPF – Due dates &amp; interest</t>
  </si>
  <si>
    <t xml:space="preserve">ECR / challan due date and interest on late payment</t>
  </si>
  <si>
    <t xml:space="preserve">Detect late PF remittance and compute statutory interest liability.</t>
  </si>
  <si>
    <t xml:space="preserve">Pre-Code: EPF Scheme 1952 para 38 (15 days of close of month); EPF&amp;MP Act s.7Q (12% p.a. simple interest). Code: EPF Scheme 2026 – monthly electronic return and contribution within 15 days after month-end (KPMG); interest section under SS Code not verified (new-Code section not verified).</t>
  </si>
  <si>
    <t xml:space="preserve">All covered establishments.</t>
  </si>
  <si>
    <t xml:space="preserve">Ongoing; EPF Scheme 2026 from 29.06.2026.</t>
  </si>
  <si>
    <t xml:space="preserve">Challan TRRN, payment date (realisation date), wage month.</t>
  </si>
  <si>
    <t xml:space="preserve">wage_month, trrn, challan_amount, payment_date, ecr_filing_date, head_wise_amounts (A/c 1,2,10,21,22)</t>
  </si>
  <si>
    <t xml:space="preserve">1. due = 15th of month following wage month (adjust for official extensions table). 2. delay_days = max(0, payment_date - due). Interest under s.7Q is computed from date the amount became due (EPFO practice computes from due date) – implement config 'interest_from' = due_date (default). 3. interest = amount * 12% * delay_days / 365. 4. Flag Labour-cost and s.36(1)(va) impact (PAY-033).</t>
  </si>
  <si>
    <t xml:space="preserve">interest = arrears * 0.12 * days_late / 365</t>
  </si>
  <si>
    <t xml:space="preserve">Interest 12% p.a. simple.</t>
  </si>
  <si>
    <t xml:space="preserve">Government-declared extensions (e.g., ECR extension to 22.10.2025 for Sep-2025 due to revamped ECR – secondary search result); Sep-2026 possible extension unverified.</t>
  </si>
  <si>
    <t xml:space="preserve">Not specified in law – implementation choice (round final interest to nearest rupee).</t>
  </si>
  <si>
    <t xml:space="preserve">15th of following month; Form XI (contractor to principal employer) within 10 days; principal employer Form XII within 20 days (EPF Scheme 2026, per KPMG). Late fee for returns Rs 500 per day under EPF Scheme 2026 (KPMG) – verify.</t>
  </si>
  <si>
    <t xml:space="preserve">payment_date &gt; due -&gt; High (and compute interest); ECR filed but challan unpaid -&gt; Critical.</t>
  </si>
  <si>
    <t xml:space="preserve">Per wage-month: due date, payment date, delay days, interest, damages (PAY-009)</t>
  </si>
  <si>
    <t xml:space="preserve">Aug-2026 contributions 1,00,000 paid 10.10.2026; due 15.09.2026; delay 25 days -&gt; interest = 1,00,000 x 12% x 25/365 = 821.92 -&gt; Rs 822.</t>
  </si>
  <si>
    <t xml:space="preserve">Paid 14th -&gt; no interest</t>
  </si>
  <si>
    <t xml:space="preserve">Paid 16th (due 15th, not holiday) -&gt; 1 day interest; if due date falls on holiday – EPFO practice not verified, flag for CA</t>
  </si>
  <si>
    <t xml:space="preserve">Using ECR upload date rather than payment realisation date; ignoring split payments.</t>
  </si>
  <si>
    <t xml:space="preserve">High for delay; Critical for unpaid.</t>
  </si>
  <si>
    <t xml:space="preserve">due = date(y, m+1, 15)
days = max(0,(paid-due).days)
interest = round(arrears*0.12*days/365)</t>
  </si>
  <si>
    <t xml:space="preserve">KPMG Flash News - New Social Security Schemes 2026 | https://assets.kpmg.com/content/dam/kpmgsites/in/pdf/2026/07/KPMG-Flash-News-New-Social-Security-Schemes-2026.pdf | EPF Scheme 2026 G.S.R. 525(E); EDLI Scheme 2026 G.S.R. 526(E); EPS 2026 G.S.R. 527(E) dt 29.06.2026
Khaitan &amp; Co - Big Move in the EPF Regime: revision in rate of damages | https://khaitanco.com/thought-leadership/Big-Move-in-the-EPF-Regime | Para 32A EPF Scheme 1952 - 1% per month w.e.f. 15.06.2024
SGCMS - FAQs by EPFO: Wage ceiling raised to 25000 | https://www.sgcms.com/regulatory-updates/faqs-by-epfo-wage-ceiling-raised-to-25000/ | S.O. 5109(E) dt 17.09.2026; EPFO FAQ Q6-Q13, Q37-Q45</t>
  </si>
  <si>
    <t xml:space="preserve">s.7Q 12% confirmed indirectly (Khaitan: 'interest now charged separately at 12% per annum'). Equivalent section in SS Code and EPF Scheme 2026 paragraph not verified. Holiday rule not verified.</t>
  </si>
  <si>
    <t xml:space="preserve">PAY-009</t>
  </si>
  <si>
    <t xml:space="preserve">EPF – Damages</t>
  </si>
  <si>
    <t xml:space="preserve">Damages for delayed PF remittance (s.14B / para 32A; EPF Scheme 2026; VISHWAS 2026)</t>
  </si>
  <si>
    <t xml:space="preserve">Estimate damages exposure for delayed EPF/EPS/EDLI contributions.</t>
  </si>
  <si>
    <t xml:space="preserve">EPF&amp;MP Act s.14B (SS Code equivalent); EPF Scheme 2026 (G.S.R. 525(E) dt 29-06-2026) para 23(1)-(2); earlier EPF Scheme 1952 para 32A (5%/10%/15%/25% p.a. slabs) for defaults before 14-06-2024.</t>
  </si>
  <si>
    <t xml:space="preserve">All covered establishments with delayed payment.</t>
  </si>
  <si>
    <t xml:space="preserve">1% per month: 15.06.2024. VISHWAS 2026: notified 09.07.2026, open till 28.12.2026.</t>
  </si>
  <si>
    <t xml:space="preserve">PAY-008 delay computation.</t>
  </si>
  <si>
    <t xml:space="preserve">wage_month, arrears_amount (by scheme), due_date, payment_date, vishwas_opt_in</t>
  </si>
  <si>
    <t xml:space="preserve">1. months_late = delay_days × 12/365. 2. Choose r by total default period: ≤ 2 months 0.25%; &gt; 2 to ≤ 4 months 0.50%; &gt; 4 months 1% per month. 3. damages = min(arrears, arrears × r × months_late). 4. For defaults before 14-06-2024 use old para 32A slabs (5/10/15/25% p.a.). 5. Damages are levied by EPFO order – show as exposure, not as a liability. 6. VISHWAS 2026 one-time settlement (open till 28-12-2026) is a separate optional scheme.</t>
  </si>
  <si>
    <t xml:space="preserve">damages = min(arrears, arrears × r × delay_days × 12/365); r = 0.0025 if total default ≤ 2 months, 0.005 if ≤ 4 months, else 0.01</t>
  </si>
  <si>
    <t xml:space="preserve">Per month of default, by total default period: up to 2 months 0.25%; more than 2 and up to 4 months 0.50%; more than 4 months 1% (EPF Scheme 2026 para 23(1)); applies to defaults on or after 14-06-2024 (para 23(2)). Damages cannot exceed arrears.</t>
  </si>
  <si>
    <t xml:space="preserve">Damages are discretionary under s.14B (mens rea case law – not covered). Enrolment Campaign 2026 damages Rs 100 for 01.07.2009/01.04.2009–31.03.2026.</t>
  </si>
  <si>
    <t xml:space="preserve">EPF Scheme 2026 para 18(5) rounds contributions to nearest rupee; rounding of damages not specified – implementation choice (nearest rupee).</t>
  </si>
  <si>
    <t xml:space="preserve">Payable on demand/order.</t>
  </si>
  <si>
    <t xml:space="preserve">Delay &gt; 0 -&gt; show exposure; delay &gt; 120 days -&gt; High.</t>
  </si>
  <si>
    <t xml:space="preserve">Damages exposure per wage month (interest + damages total)</t>
  </si>
  <si>
    <t xml:space="preserve">Arrears ₹1,00,000 delayed 25 days: months = 25 × 12/365 = 0.8219; r = 0.25% -&gt; damages = 1,00,000 × 0.0025 × 0.8219 = ₹205.48 -&gt; ₹205. Interest u/s 7Q at 12% p.a. = 1,00,000 × 12% × 25/365 = ₹821.92 (separate).</t>
  </si>
  <si>
    <t xml:space="preserve">delay 0 -&gt; 0</t>
  </si>
  <si>
    <t xml:space="preserve">delay period straddling 15.06.2024 -&gt; split computation flagged for CA</t>
  </si>
  <si>
    <t xml:space="preserve">Applying old 5-25% slabs for post-June-2024 defaults; treating damages as fixed rather than order-based.</t>
  </si>
  <si>
    <t xml:space="preserve">Medium (exposure); High if &gt; 4 months.</t>
  </si>
  <si>
    <t xml:space="preserve">dmg = arrears*0.01*days*12/365 if delay_start&gt;=date(2024,6,15) else old_slab(arrears, days)</t>
  </si>
  <si>
    <t xml:space="preserve">Khaitan &amp; Co - Big Move in the EPF Regime: revision in rate of damages | https://khaitanco.com/thought-leadership/Big-Move-in-the-EPF-Regime | Para 32A EPF Scheme 1952 - 1% per month w.e.f. 15.06.2024
Cyril Amarchand Mangaldas - Client Alert: Schemes under the Code on Social Security 2020 | https://www.cyrilshroff.com/wp-content/uploads/2026/07/Client-Alert-Labour-Codes-Schemes-under-the-Code-on-Social-Security-2020-1.pdf | EPF/EPS/EDLI Schemes 2026; 12%/10%; 9.49% EPS for higher-wage option
SCC Online - EPFO launches VISHWAS 2026 | https://www.scconline.com/blog/post/2026/07/15/epfo-launches-vishwas-2026-damages-settlement-scheme/ | Para 60 EPF Scheme 2026; defaults before 14.06.2024
TaxGuru - VISHWAS 2026 (PIB) | https://taxguru.in/?p=1076899 | Closes 28.12.2026
Lexplosion - EPF Scheme 2026 notified; Enrolment Campaign, VISHWAS, AMNESTY | https://lexplosion.in/epf-scheme-2026-notified-under-social-security-code-replaces-epf-scheme-1952-and-introduces-employees-enrolment-campaign-vishwas-and-amnesty-schemes/ | EPF Scheme 2026
EPF Scheme 2026, G.S.R. 525(E) (gazette copy) | https://www.staffnews.in/wp-content/uploads/2026/07/Employees-Provident-Funds-Scheme-2026-273957.pdf | para 23(1)-(2), 13(7)
EDLI Scheme 2026, G.S.R. 526(E) dt 29-06-2026 (egazette) | https://egazette.gov.in/WriteReadData/2026/273942.pdf | para 6, 7</t>
  </si>
  <si>
    <t xml:space="preserve">[VERIFICATION 13-10-2026] Conflict resolved on where the 0.25/0.50/1% slabs come from. They are in the EPF Scheme 2026 itself (G.S.R. 525(E), 29-06-2026), para 23(1): damages are a percentage of the outstanding amount per month – default up to 2 months 0.25%; over 2 and up to 4 months 0.50%; over 4 months 1% – capped at the outstanding amount. Para 23(2) applies these same damages from 14-06-2024 to defaults under old para 32A of the EPF Scheme 1952. So the rule's flat '1% per month for all delay on/after 15-06-2024' is superseded. CAM was right; SCC/TaxGuru's attribution to VISHWAS only is wrong or incomplete. Para 13(7) makes interest and damages payable under ss.127-128 of the Code; the 12% interest rate is not stated in the Scheme. The EDLI Scheme 2026 (G.S.R. 526(E), official labour.gov.in copy) para 7 says EDLI damages are recovered as under the EPF Scheme 2026 and rounded to the nearest rupee. Caveats: (a) only the Hindi text of para 23 could be extracted, so the 14-06-2024 retro wording needs a CA reading of the English gazette; (b) whether the slabs mean the same rate for the whole default (the slab's rate per month times total months) or tiered rates per month is not clear from the table – CA to decide (the table wording points to a single rate based on the total period); (c) VISHWAS 2026 not opened. Corrected 13-10-2026: the earlier flat 1% per month position is superseded by EPF Scheme 2026 para 23. Only the Hindi text of para 23 could be extracted – CA to confirm against the English gazette.</t>
  </si>
  <si>
    <t xml:space="preserve">PAY-010</t>
  </si>
  <si>
    <t xml:space="preserve">EPF – Reconciliation</t>
  </si>
  <si>
    <t xml:space="preserve">PF four-way reconciliation: payroll register vs ECR vs challan vs books</t>
  </si>
  <si>
    <t xml:space="preserve">Detect unremitted, short-remitted or mis-booked PF and ensure books reflect statutory liability.</t>
  </si>
  <si>
    <t xml:space="preserve">EPF Scheme 1952 para 36/38 / EPF Scheme 2026 (monthly ECR); Income-tax s.36(1)(va)/s.43B (PAY-033); SS Code / EPF Act s.7Q, 14B.</t>
  </si>
  <si>
    <t xml:space="preserve">All covered establishments; monthly and annual (tax audit Form 3CD cl. 20(b) – reference only).</t>
  </si>
  <si>
    <t xml:space="preserve">Ongoing</t>
  </si>
  <si>
    <t xml:space="preserve">Payroll register, ECR text file (or ECR summary), challan (TRRN, A/c-wise), bank statement, GL for PF payable/expense.</t>
  </si>
  <si>
    <t xml:space="preserve">payroll: emp_id, uan, gross, pf_wages, ee_pf, er_pf, eps; ecr: uan, gross_wages, epf_wages, eps_wages, edli_wages, epf_contri_remitted, eps_contri_remitted, epf_eps_diff_remitted, ncp_days, refund_of_advances; challan: trrn, ac1, ac2, ac10, ac21, ac22, paid_date, crn; books: gl_pf_payable_opening, gl_pf_expense, gl_pf_paid, gl_pf_payable_closing</t>
  </si>
  <si>
    <t xml:space="preserve">1. Match payroll vs ECR by UAN: compare EE (A/c1 EE part), EPS (A/c10), ER diff, EDLI wages. 2. Identify payroll employees missing in ECR and vice-versa. 3. ECR totals vs challan: A/c1 = EE + ER diff; A/c2 = admin; A/c10 = EPS; A/c21 = EDLI; A/c22 = EDLI admin (nil). 4. Challan vs bank: amount and date. 5. Books: expense (ER + EDLI + admin) vs ECR employer amounts; PF payable closing = deducted/accrued but unpaid; tie to subsequent challan. 6. Recompute statutory contributions (PAY-004/005) vs payroll. 7. Flag due-date breaches (PAY-008).</t>
  </si>
  <si>
    <t xml:space="preserve">Diff_n = payroll_n - ECR_n; Challan_A1 = sum(EE) + sum(ER_EPF); Expense = sum(ER_EPF+EPS) + EDLI + Admin</t>
  </si>
  <si>
    <t xml:space="preserve">Tolerance: Re 1 per employee per head (rounding).</t>
  </si>
  <si>
    <t xml:space="preserve">Exempted trusts: replace EPFO challan with trust deposit evidence for A/c1.</t>
  </si>
  <si>
    <t xml:space="preserve">Tolerance Re 1 per head due to rounding conventions (implementation choice).</t>
  </si>
  <si>
    <t xml:space="preserve">15th of following month.</t>
  </si>
  <si>
    <t xml:space="preserve">Employee in payroll with PF deducted but not in ECR -&gt; Critical (deduction not remitted); ECR &gt; payroll -&gt; Medium; challan unpaid -&gt; Critical; books payable not cleared within due date -&gt; High.</t>
  </si>
  <si>
    <t xml:space="preserve">Reconciliation statement by month with exception list and severity</t>
  </si>
  <si>
    <t xml:space="preserve">Payroll EE 1,80,000 (100 emps x 1,800); ECR EE 1,78,200 -&gt; 1 employee (1,800) missing in ECR -&gt; Critical.</t>
  </si>
  <si>
    <t xml:space="preserve">All four sources tie within Re 1 -&gt; 'Reconciled'</t>
  </si>
  <si>
    <t xml:space="preserve">Challan A/c2 = 400 for active establishment -&gt; admin below minimum 500 -&gt; Medium</t>
  </si>
  <si>
    <t xml:space="preserve">Arrears paid in later ECR; employees exited mid-month; LOP adjustments; EPS shown in A/c1; duplicate TRRNs.</t>
  </si>
  <si>
    <t xml:space="preserve">Critical/High/Medium as above.</t>
  </si>
  <si>
    <t xml:space="preserve">for uan in union(payroll, ecr):
    d = payroll.get(uan) - ecr.get(uan)
    if payroll.has(uan) and not ecr.has(uan): flag('CRITICAL')
    elif abs(d.ee)&gt;1: flag('HIGH')</t>
  </si>
  <si>
    <t xml:space="preserve">SGCMS - FAQs by EPFO: Wage ceiling raised to 25000 | https://www.sgcms.com/regulatory-updates/faqs-by-epfo-wage-ceiling-raised-to-25000/ | S.O. 5109(E) dt 17.09.2026; EPFO FAQ Q6-Q13, Q37-Q45
CAclub - PF admin charges reduced to 0.5% from 1 June 2018; EDLI admin waived | https://caclub.in/pf-admin-charges-reduced-and-edli-admin-charges-waived-by-epfo | S.O. 2011(E) dt 21.05.2018
KPMG Flash News - New Social Security Schemes 2026 | https://assets.kpmg.com/content/dam/kpmgsites/in/pdf/2026/07/KPMG-Flash-News-New-Social-Security-Schemes-2026.pdf | EPF Scheme 2026 G.S.R. 525(E); EDLI Scheme 2026 G.S.R. 526(E); EPS 2026 G.S.R. 527(E) dt 29.06.2026</t>
  </si>
  <si>
    <t xml:space="preserve">EPFO account numbering (A/c 1, 2, 10, 21, 22) per established EPFO practice and CAclub (A/c 2, A/c 21); ECR file field names to be confirmed against current ECR 2.0/revamped ECR spec (not opened).</t>
  </si>
  <si>
    <t xml:space="preserve">PAY-011</t>
  </si>
  <si>
    <t xml:space="preserve">EPF – Interest rate</t>
  </si>
  <si>
    <t xml:space="preserve">EPF interest rate credit check (exempted trusts / member statements)</t>
  </si>
  <si>
    <t xml:space="preserve">Validate interest credited by exempted PF trusts and member passbooks.</t>
  </si>
  <si>
    <t xml:space="preserve">EPF Scheme 1952 para 60 / EPF Scheme 2026 interest provisions; exempted trust conditions – EPF Scheme 2026 para 13(9) (max 200 bps above declared rate) and 13(10) (employer to make good shortfall) per CAM.</t>
  </si>
  <si>
    <t xml:space="preserve">Exempted establishments (own PF trust); member statements.</t>
  </si>
  <si>
    <t xml:space="preserve">FY 2024-25 and FY 2025-26</t>
  </si>
  <si>
    <t xml:space="preserve">Trust ledger with opening balance and monthly contributions.</t>
  </si>
  <si>
    <t xml:space="preserve">fy, member_id, opening_balance, monthly_contributions, withdrawals, interest_credited</t>
  </si>
  <si>
    <t xml:space="preserve">1. rate = 8.25% for FY 2024-25 and FY 2025-26. 2. Interest = opening*rate + sum(monthly running balance * rate/12) (EPFO method on monthly running balance). 3. If trust credits &lt; computed -&gt; flag High (employer to make good). 4. If credited &gt; rate + 2% -&gt; flag Medium (para 13(9) cap).</t>
  </si>
  <si>
    <t xml:space="preserve">interest = sum(month_end_running_balance * rate/12)</t>
  </si>
  <si>
    <t xml:space="preserve">8.25% p.a. FY 2024-25; 8.25% p.a. FY 2025-26 (ratified).</t>
  </si>
  <si>
    <t xml:space="preserve">Inoperative accounts – no interest (EPF Scheme 2026 per KPMG).</t>
  </si>
  <si>
    <t xml:space="preserve">Credited after Government ratification.</t>
  </si>
  <si>
    <t xml:space="preserve">credited &lt; computed -&gt; High</t>
  </si>
  <si>
    <t xml:space="preserve">Interest shortfall per member</t>
  </si>
  <si>
    <t xml:space="preserve">Opening 1,00,000, no contributions: interest = 1,00,000 x 8.25% = 8,250.</t>
  </si>
  <si>
    <t xml:space="preserve">credited 8,250 -&gt; OK</t>
  </si>
  <si>
    <t xml:space="preserve">credited 8,000 -&gt; shortfall 250 -&gt; High</t>
  </si>
  <si>
    <t xml:space="preserve">Trust credits lower rate due to investment losses.</t>
  </si>
  <si>
    <t xml:space="preserve">short = computed - credited; if short&gt;1: flag('HIGH')</t>
  </si>
  <si>
    <t xml:space="preserve">Outlook Money - EPF rate unchanged at 8.25% for 2025-26 | https://www.outlookmoney.com/retirement/pension/epf-rates-unchanged-at-825-per-cent-for-2025-26-announces-epfo | CBT decision
Outlook Money - Govt ratifies 8.25% EPF interest rate for 2025-26 | https://www.outlookmoney.com/retirement/govt-ratifies-825-per-cent-epf-interest-rate-for-2025-26-interest-likely-to-be-credited-from-this-month | Ratification
Cyril Amarchand Mangaldas - Client Alert: Schemes under the Code on Social Security 2020 | https://www.cyrilshroff.com/wp-content/uploads/2026/07/Client-Alert-Labour-Codes-Schemes-under-the-Code-on-Social-Security-2020-1.pdf | EPF/EPS/EDLI Schemes 2026; 12%/10%; 9.49% EPS for higher-wage option</t>
  </si>
  <si>
    <t xml:space="preserve">EPFO official interest circular not opened. FY 2024-25 8.25% from brief; FY 2025-26 8.25% per news (CBT and ratification). FY 2026-27 rate not yet declared as of 13.10.2026 (not verified).</t>
  </si>
  <si>
    <t xml:space="preserve">PAY-012</t>
  </si>
  <si>
    <t xml:space="preserve">EPF – ELI / PMVBRY</t>
  </si>
  <si>
    <t xml:space="preserve">Employment Linked Incentive (PM Viksit Bharat Rozgar Yojana) eligibility tracking</t>
  </si>
  <si>
    <t xml:space="preserve">Track employer/employee incentive eligibility and its dependence on timely ECR filing.</t>
  </si>
  <si>
    <t xml:space="preserve">PM Viksit Bharat Rozgar Yojana (ELI Scheme) guidelines and SOP (MoLE/EPFO).</t>
  </si>
  <si>
    <t xml:space="preserve">EPFO-registered establishments hiring first-time / additional employees.</t>
  </si>
  <si>
    <t xml:space="preserve">Scheme period 01.08.2025 to 31.07.2027 (from brief/general reporting – not verified in opened source).</t>
  </si>
  <si>
    <t xml:space="preserve">UAN with Aadhaar face authentication; ECR filed for qualifying months.</t>
  </si>
  <si>
    <t xml:space="preserve">uan, first_time_employee_flag, gross_wages_at_joining, doj, ecr_months_filed, establishment_inquiry_status</t>
  </si>
  <si>
    <t xml:space="preserve">1. Part A: first-time employee with gross wages &lt;= Rs 1 lakh -&gt; incentive up to Rs 15,000 in two instalments (1st after 6 months: half of average PF wage over 6 months capped at 7,500; 2nd after 12 months, total cap 15,000). 2. ECRs for 12 months filed within 18 months of joining. 3. Part B: employer incentive per net additional employee (up to Rs 3,000 per month per KPMG FAQ reference). 4. Exclude establishments with pending s.7A/7B/7C inquiries or FIR. 5. Flag ECR delays affecting eligibility.</t>
  </si>
  <si>
    <t xml:space="preserve">PartA_1 = min(7500, 0.5*avg_pf_wage_6m); PartA_total &lt;= 15000</t>
  </si>
  <si>
    <t xml:space="preserve">Part A max Rs 15,000; wage &lt;= Rs 1 lakh; Part B up to Rs 3,000/month/additional employee (secondary).</t>
  </si>
  <si>
    <t xml:space="preserve">Employee changing establishment loses Part A eligibility.</t>
  </si>
  <si>
    <t xml:space="preserve">Not specified – implementation choice.</t>
  </si>
  <si>
    <t xml:space="preserve">Monthly ECR timeliness.</t>
  </si>
  <si>
    <t xml:space="preserve">Eligible hire without ECR for 6 consecutive months -&gt; Medium.</t>
  </si>
  <si>
    <t xml:space="preserve">Expected incentive receivable and at-risk list</t>
  </si>
  <si>
    <t xml:space="preserve">Avg PF wage 6 months = 18,000 -&gt; 1st instalment = min(7,500, 9,000) = 7,500.</t>
  </si>
  <si>
    <t xml:space="preserve">gross 40,000 first-timer, 6 ECRs -&gt; 1st instalment computed</t>
  </si>
  <si>
    <t xml:space="preserve">gross 1,20,000 -&gt; not eligible for Part A</t>
  </si>
  <si>
    <t xml:space="preserve">Non-Aadhaar-authenticated UANs; late ECRs.</t>
  </si>
  <si>
    <t xml:space="preserve">Low/Medium (informational).</t>
  </si>
  <si>
    <t xml:space="preserve">if emp.first_time and emp.gross&lt;=100000 and ecr_count&gt;=6: inst1=min(7500,0.5*avg6)</t>
  </si>
  <si>
    <t xml:space="preserve">KPMG Flash News - GOI notifies SOP on PMVBRY | https://www.in.kpmg.com/taxflashnews/KPMG-Flash-News-GOI-notifies-SOP-on-PMVBRY.pdf | Part A / Part B incentive mechanics
KPMG Flash News - FAQs on EPFO Wage Ceiling Limit (26 Sep 2026) | https://assets.kpmg.com/content/dam/kpmgsites/in/pdf/2026/09/KPMG-Flash-News-FAQs-on-EPFO-Wage-Ceiling-Limit.pdf | September 2026 apportionment; ECR due 15.10.2026</t>
  </si>
  <si>
    <t xml:space="preserve">Scheme period and Part B slabs (Rs 1,000/2,000/3,000 by wage band) not verified from an official source this session.</t>
  </si>
  <si>
    <t xml:space="preserve">PAY-013</t>
  </si>
  <si>
    <t xml:space="preserve">ESI – Applicability</t>
  </si>
  <si>
    <t xml:space="preserve">ESI coverage: establishment threshold and employee wage ceiling</t>
  </si>
  <si>
    <t xml:space="preserve">Identify employees who must be covered under ESI using Code wages and the Rs 21,000 ceiling.</t>
  </si>
  <si>
    <t xml:space="preserve">ESI Act 1948 s.2(9), s.2(12), ESI (Central) Rules r.50 (ceiling) / SS Code s.2(26), s.2(89), Chapter IV; S.O. 2351(E) dt 08.05.2026 (continuation proviso); ESIC letter P-11012/4/2026-INSPECTION dt 04.06.2026 (ceiling Rs 21,000; PwD Rs 25,000; s.2(88) wages since 21.11.2025); savings s.164(2)(b).</t>
  </si>
  <si>
    <t xml:space="preserve">Establishments with 10 or more employees in implemented areas (factories and notified establishments); employees with wages &lt;= Rs 21,000 (Rs 25,000 for persons with disability).</t>
  </si>
  <si>
    <t xml:space="preserve">Ceiling Rs 21,000 from 01.01.2017; continues under Code.</t>
  </si>
  <si>
    <t xml:space="preserve">PAY-002 wages; implemented-area flag; disability flag.</t>
  </si>
  <si>
    <t xml:space="preserve">establishment_id, headcount, implemented_area_flag, employee_id, ip_number, statutory_wages, disability_flag, contribution_period_start_wages</t>
  </si>
  <si>
    <t xml:space="preserve">1. Establishment covered if headcount &gt;= 10 and in implemented area (hazardous: 1+ under Code – not verified). 2. ceiling = 25000 if disability_flag else 21000. 3. At start of contribution period (01 Apr / 01 Oct), employee covered if statutory_wages &lt;= ceiling (use Code s.2(88) wages from 21.11.2025 per ESIC letter). 4. New joiner mid-period: covered if wages &lt;= ceiling at joining. 5. Continuation per PAY-015.</t>
  </si>
  <si>
    <t xml:space="preserve">covered = est_covered and wages &lt;= (25000 if pwd else 21000)</t>
  </si>
  <si>
    <t xml:space="preserve">10 employees; Rs 21,000 / Rs 25,000 (PwD).</t>
  </si>
  <si>
    <t xml:space="preserve">Overtime excluded for coverage determination (pre-Code ESIC practice – not verified under Code).</t>
  </si>
  <si>
    <t xml:space="preserve">Registration within prescribed time of applicability (not verified).</t>
  </si>
  <si>
    <t xml:space="preserve">Employee with Code wages &lt;= 21,000 but gross &gt; 21,000 and not covered -&gt; High (post 21.11.2025).</t>
  </si>
  <si>
    <t xml:space="preserve">Covered employee list; missing IP numbers</t>
  </si>
  <si>
    <t xml:space="preserve">Gross 42,000; basic+DA 15,000; exclusions 27,000 -&gt; add-back 27,000-21,000 = 6,000 -&gt; wages 21,000 -&gt; covered (ESIC letter example logic).</t>
  </si>
  <si>
    <t xml:space="preserve">Wages 20,000 -&gt; covered</t>
  </si>
  <si>
    <t xml:space="preserve">Wages 21,001, no disability -&gt; not covered at period start</t>
  </si>
  <si>
    <t xml:space="preserve">Using gross instead of Code wages; ignoring PwD Rs 25,000 limit.</t>
  </si>
  <si>
    <t xml:space="preserve">ceil = 25000 if e.pwd else 21000
covered = est.covered and e.stat_wages &lt;= ceil</t>
  </si>
  <si>
    <t xml:space="preserve">Ascent HR - ESIC clarification on implementation of Code on Social Security (letter P-11012/4/2026-INSPECTION dt 04.06.2026) | https://ascent-hr.com/notification/esic-clarification-regarding-the-implementation-of-code-on-social-security-2020/ | Ceiling Rs 21,000 (Rs 25,000 PwD) continues; s.2(88) wages since 21.11.2025
TaxHeal - Notification under Section 2(26) CoSS (S.O. 2351(E) dt 08.05.2026) | https://www.taxheal.com/?p=129388 | First proviso to s.2(26) - continuation till end of contribution period
Lakshmikumaran &amp; Sridharan - Status of ESI compliance under the Code on Social Security | https://www.lkslaw.com/insights/articles/status-of-esi-compliance-under-the-code-on-social-security-2020-an-analytical-review | s.164(2)(b) savings; s.29 not yet operational
Bhatt &amp; Joshi - ESIC wage ceiling change | https://bhattandjoshiassociates.com/esic-wage-ceiling-change-what-it-would-mean-for-employers/ | No revision notified as of June 2026
ESIC - Contribution (official) | https://web.esic.gov.in/web/esic/contribution | Rates 0.75%/3.25%; Rs 176 exemption; contribution &amp; benefit periods; due date 15 days
MoLE Additional FAQs (Q12) | https://www.labour.gov.in/static/uploads/2026/03/a4ccf4c6d97c4f1f36a6d83f8c64213d.pdf | 
MoLE Compliance Handbook – Four Labour Codes | https://www.labour.gov.in/static/uploads/2026/02/83978455025732b99b0165def80ab171.pdf | </t>
  </si>
  <si>
    <t xml:space="preserve">[VERIFICATION 13-10-2026] ESIC official page: employee 0.75% (from 01-07-2019), employer 3.25%, daily average wage up to Rs 176 exempt from employee share; contributions due within 15 days of the end of the month; contribution periods Apr-Sep and Oct-Mar. MoLE FAQ Q12: until ESI rules are finalised, the existing Rs 21,000 ceiling continues, with the s.2(88) wage definition applied from 21-11-2025. MoLE Compliance Handbook: coverage at 10 or more employees; hazardous establishments even with 1 employee (PIB also says ESIC is voluntary below 10). Rs 25,000 PwD ceiling not re-checked. Disputed: LKS says Code s.29 contribution provisions operate only from date Chapter IV benefits are notified; ESIC letter (04.06.2026) directs coverage on s.2(88) wages. ESI ceiling notification under s.2(89) not located (LKS: awaited). Treat ESI Act regulations as continuing under s.164(2)(b) – LKS says for one year from 21.11.2025 (i.e., to 20.11.2026) – open question.</t>
  </si>
  <si>
    <t xml:space="preserve">PAY-014</t>
  </si>
  <si>
    <t xml:space="preserve">ESI – Contribution computation</t>
  </si>
  <si>
    <t xml:space="preserve">ESI contribution computation (0.75% / 3.25%) with rounding and low-wage exemption</t>
  </si>
  <si>
    <t xml:space="preserve">Recompute ESI contributions and compare with payroll and ESIC challan.</t>
  </si>
  <si>
    <t xml:space="preserve">ESI Act s.39, ESI (Central) Rules r.51; Social Security (Central) Rules 2026 r.19 (G.S.R. 344(E)) – employer 3.25%, employee 0.75%, each rounded up to next rupee.</t>
  </si>
  <si>
    <t xml:space="preserve">Covered employees.</t>
  </si>
  <si>
    <t xml:space="preserve">Rates w.e.f. 01.07.2019; low-wage exemption Rs 176/day w.e.f. 01.09.2019 (ESIC); SS Rules r.19 from 08.05.2026.</t>
  </si>
  <si>
    <t xml:space="preserve">PAY-013 coverage; wages actually paid/payable for the month; days paid.</t>
  </si>
  <si>
    <t xml:space="preserve">employee_id, ip_number, esi_wages_month, days_paid, avg_daily_wage, disability_flag, payroll_ee_esi</t>
  </si>
  <si>
    <t xml:space="preserve">1. EE = ceil(0.0075 * wages) unless avg daily wage &lt;= 176 -&gt; EE = 0. 2. ER = ceil(0.0325 * wages). 3. PwD: employer share may be borne by Central Government for up to 3 years under r.19 (flag). 4. Compare with payroll and challan.</t>
  </si>
  <si>
    <t xml:space="preserve">EE = ceil(0.75% x W) [0 if W/days &lt;= 176]; ER = ceil(3.25% x W)</t>
  </si>
  <si>
    <t xml:space="preserve">Employee 0.75%; employer 3.25%; total 4%; daily average wage &lt;= Rs 176 exempt from employee share.</t>
  </si>
  <si>
    <t xml:space="preserve">Employees with avg daily wage &lt;= Rs 176: employer share still payable.</t>
  </si>
  <si>
    <t xml:space="preserve">Each share rounded UP to next rupee – SS (Central) Rules 2026 r.19 (per TaxClue); pre-Code ESI (Central) Rules practice similar (not verified).</t>
  </si>
  <si>
    <t xml:space="preserve">15th of following month (PAY-016).</t>
  </si>
  <si>
    <t xml:space="preserve">|EE_comp - EE_payroll| &gt;= 1 -&gt; High; EE deducted for &lt;=176/day employee -&gt; Medium.</t>
  </si>
  <si>
    <t xml:space="preserve">EE, ER per employee; variance</t>
  </si>
  <si>
    <t xml:space="preserve">Gross ESI wages 20,000: EE = 0.75% x 20,000 = 150.00 -&gt; 150; ER = 3.25% x 20,000 = 650.00 -&gt; 650; total 800. Wages 18,123: EE = 135.92 -&gt; 136; ER = 588.9975 -&gt; 589. Daily-wage worker 26 days x 170 = 4,420: avg 170 &lt;= 176 -&gt; EE 0; ER = 143.65 -&gt; 144.</t>
  </si>
  <si>
    <t xml:space="preserve">W=20000 -&gt; 150/650</t>
  </si>
  <si>
    <t xml:space="preserve">W=18123 payroll EE 135 (truncated) -&gt; flag Re 1 short (rounding rule)</t>
  </si>
  <si>
    <t xml:space="preserve">Rounding to nearest rather than up; deducting EE from low-wage workers; computing on gross including excluded items.</t>
  </si>
  <si>
    <t xml:space="preserve">High for rate errors; Low for Re 1 rounding.</t>
  </si>
  <si>
    <t xml:space="preserve">ee = 0 if W/days &lt;= 176 else math.ceil(round(W*0.0075, 2))
er = math.ceil(round(W*0.0325, 2))</t>
  </si>
  <si>
    <t xml:space="preserve">ESIC - Contribution (official) | https://web.esic.gov.in/web/esic/contribution | Rates 0.75%/3.25%; Rs 176 exemption; contribution &amp; benefit periods; due date 15 days
TaxClue - Rule 19 &amp; 20 Social Security (Central) Rules 2026 | https://taxclue.in/blog/rule-19-20-social-security-central-rules-2026-rate-of-contributions-and-administrative-expenses/ | Rule 19 - ESI contribution 3.25%/0.75%, rounded up; G.S.R. 344(E) dt 08.05.2026
StaffNews - Social Security (Central) Rules 2026, G.S.R. 344(E) dated 08.05.2026 | https://www.staffnews.in/2026/05/the-social-security-central-rules-2026.html | G.S.R. 344(E)
Tally - ESI calculation formula &amp; example | https://tallysolutions.com/business-guides/esi-calculation-formula-contribution-rate-example/ | Contribution period continuation</t>
  </si>
  <si>
    <t xml:space="preserve">Rates and Rs 176 exemption verified on web.esic.gov.in. Round-up rule verified only via TaxClue commentary on r.19 (secondary). Tally says gross wages rounded to nearest rupee first – conflicting minor practice; recommend apply ceil on contribution amount (rounded to 2 decimals first to avoid floating error).</t>
  </si>
  <si>
    <t xml:space="preserve">PAY-015</t>
  </si>
  <si>
    <t xml:space="preserve">ESI – Contribution period</t>
  </si>
  <si>
    <t xml:space="preserve">ESI contribution period continuation rule</t>
  </si>
  <si>
    <t xml:space="preserve">Ensure contributions continue till end of contribution period for employees crossing the ceiling mid-period.</t>
  </si>
  <si>
    <t xml:space="preserve">ESI Act s.2(9) proviso / SS Code s.2(26) first proviso with S.O. 2351(E) dt 08.05.2026.</t>
  </si>
  <si>
    <t xml:space="preserve">Covered employees whose wages exceed ceiling during a contribution period.</t>
  </si>
  <si>
    <t xml:space="preserve">08.05.2026 (Code notification); same rule under ESI Act earlier.</t>
  </si>
  <si>
    <t xml:space="preserve">Contribution period calendar; wage history.</t>
  </si>
  <si>
    <t xml:space="preserve">employee_id, wages_by_month, contribution_period (Apr-Sep / Oct-Mar), covered_at_period_start</t>
  </si>
  <si>
    <t xml:space="preserve">1. Periods: 01 Apr-30 Sep (benefit 01 Jan-30 Jun next) and 01 Oct-31 Mar (benefit 01 Jul-31 Dec). 2. If covered at start or joined covered, and wages exceed ceiling mid-period -&gt; continue deducting on actual wages until period end. 3. At next period start re-test with ceiling. 4. Flag stop of deduction mid-period.</t>
  </si>
  <si>
    <t xml:space="preserve">continue = covered_at_entry and month &lt;= period_end</t>
  </si>
  <si>
    <t xml:space="preserve">Ceiling Rs 21,000 / 25,000.</t>
  </si>
  <si>
    <t xml:space="preserve">None noted.</t>
  </si>
  <si>
    <t xml:space="preserve">As PAY-014</t>
  </si>
  <si>
    <t xml:space="preserve">As PAY-016</t>
  </si>
  <si>
    <t xml:space="preserve">Covered employee with ESI stopped mid-period after increment -&gt; High.</t>
  </si>
  <si>
    <t xml:space="preserve">Expected-but-missing ESI deductions</t>
  </si>
  <si>
    <t xml:space="preserve">Covered on 01.04.2026 at 20,000; increment to 21,500 from Aug-2026: Aug &amp; Sep contributions on 21,500 -&gt; EE 161.25 -&gt; 162; ER 698.75 -&gt; 699. From 01.10.2026 not covered.</t>
  </si>
  <si>
    <t xml:space="preserve">Increment in Aug; ESI deducted Aug-Sep -&gt; OK</t>
  </si>
  <si>
    <t xml:space="preserve">Increment in Aug; ESI stopped Aug -&gt; High</t>
  </si>
  <si>
    <t xml:space="preserve">Payroll stops ESI immediately on increment.</t>
  </si>
  <si>
    <t xml:space="preserve">if e.covered_period_start and month&lt;=period_end(month): require_esi(e, actual_wages)</t>
  </si>
  <si>
    <t xml:space="preserve">ESIC - Contribution (official) | https://web.esic.gov.in/web/esic/contribution | Rates 0.75%/3.25%; Rs 176 exemption; contribution &amp; benefit periods; due date 15 days
TaxHeal - Notification under Section 2(26) CoSS (S.O. 2351(E) dt 08.05.2026) | https://www.taxheal.com/?p=129388 | First proviso to s.2(26) - continuation till end of contribution period
StudyCafe - Govt clarifies ESI coverage continuity despite salary hike | https://studycafe.in/government-clarifies-esi-coverage-continuity-despite-salary-hike-above-wage-ceiling-420646.html | S.O. 2351(E)
Tally - ESI calculation formula &amp; example | https://tallysolutions.com/business-guides/esi-calculation-formula-contribution-rate-example/ | Contribution period continuation</t>
  </si>
  <si>
    <t xml:space="preserve">Contribution/benefit periods verified on esic.gov.in; continuation rule under Code verified via TaxHeal reproduction of S.O. 2351(E).</t>
  </si>
  <si>
    <t xml:space="preserve">PAY-016</t>
  </si>
  <si>
    <t xml:space="preserve">ESI – Due dates, interest &amp; damages</t>
  </si>
  <si>
    <t xml:space="preserve">ESI due date, interest and damages</t>
  </si>
  <si>
    <t xml:space="preserve">Detect late ESI payments and compute interest and damages exposure.</t>
  </si>
  <si>
    <t xml:space="preserve">ESI (General) Regulations 1950 reg. 31 (due within 15 days of month end), reg. 31A (interest 12% p.a.), reg. 31C (damages); ESI Act s.39(5), s.85B. Under Code: corresponding provisions not verified.</t>
  </si>
  <si>
    <t xml:space="preserve">Covered establishments.</t>
  </si>
  <si>
    <t xml:space="preserve">Challan date, wage month.</t>
  </si>
  <si>
    <t xml:space="preserve">wage_month, challan_amount, payment_date</t>
  </si>
  <si>
    <t xml:space="preserve">1. due = 15th of following month. 2. delay_days = payment_date - due. 3. interest = amt*12%*days/365. 4. Damages exposure by slab (p.a.): &lt;2 months 5%; 2-4 m 10%; 4-6 m 15%; &gt;=6 m 25%. 5. Half-yearly return (if still required) – Tally lists 11 Nov / 11 May; verify current ESIC practice.</t>
  </si>
  <si>
    <t xml:space="preserve">interest = amt*0.12*days/365; damages = amt*slab_rate*days/365</t>
  </si>
  <si>
    <t xml:space="preserve">Interest 12% p.a.; damages 5/10/15/25% p.a.</t>
  </si>
  <si>
    <t xml:space="preserve">Waiver schemes (not researched).</t>
  </si>
  <si>
    <t xml:space="preserve">15th of following month (ESIC official).</t>
  </si>
  <si>
    <t xml:space="preserve">Late payment -&gt; High.</t>
  </si>
  <si>
    <t xml:space="preserve">Interest and damages exposure per month</t>
  </si>
  <si>
    <t xml:space="preserve">ESI 50,000 for Aug-2026 paid 15.10.2026 (30 days late): interest = 50,000 x 12% x 30/365 = 493.15; damages (&lt;2 m, 5%) = 50,000 x 5% x 30/365 = 205.48.</t>
  </si>
  <si>
    <t xml:space="preserve">Paid 15th -&gt; none</t>
  </si>
  <si>
    <t xml:space="preserve">Paid 75 days late -&gt; 10% slab</t>
  </si>
  <si>
    <t xml:space="preserve">Missing challans for arrear months.</t>
  </si>
  <si>
    <t xml:space="preserve">slab = 0.05 if m&lt;2 else 0.10 if m&lt;4 else 0.15 if m&lt;6 else 0.25</t>
  </si>
  <si>
    <t xml:space="preserve">ESIC - Contribution (official) | https://web.esic.gov.in/web/esic/contribution | Rates 0.75%/3.25%; Rs 176 exemption; contribution &amp; benefit periods; due date 15 days
Tally - ESI return filing due date 2026 | https://tallysolutions.com/accounting/esi-return-filing-due-date-2026/ | Reg 31-A interest 12%; Reg 31C damages slabs</t>
  </si>
  <si>
    <t xml:space="preserve">Due date verified on ESIC site; interest/damages slabs from Tally (secondary). Regulation text not opened. SS Code equivalents not verified.</t>
  </si>
  <si>
    <t xml:space="preserve">PAY-017</t>
  </si>
  <si>
    <t xml:space="preserve">ESI – Reconciliation</t>
  </si>
  <si>
    <t xml:space="preserve">ESI reconciliation: payroll vs ESIC monthly contribution vs challan vs books</t>
  </si>
  <si>
    <t xml:space="preserve">Ensure ESI deducted equals ESI remitted and booked.</t>
  </si>
  <si>
    <t xml:space="preserve">ESI Act s.39-40 / SS Code Chapter IV; Income-tax s.36(1)(va) (PAY-033).</t>
  </si>
  <si>
    <t xml:space="preserve">ESIC monthly contribution file / challan, payroll, GL.</t>
  </si>
  <si>
    <t xml:space="preserve">ip_number, payroll_esi_wages, payroll_ee_esi, esic_wages, esic_ee, esic_er, challan_no, challan_date, gl_esi_payable</t>
  </si>
  <si>
    <t xml:space="preserve">1. Match payroll vs ESIC portal by IP number. 2. Compare wages and days. 3. Sum to challan. 4. Books: expense = ER; payable cleared by due date. 5. Flag missing IPs.</t>
  </si>
  <si>
    <t xml:space="preserve">diff = payroll - esic per IP</t>
  </si>
  <si>
    <t xml:space="preserve">Tolerance Re 1 per head.</t>
  </si>
  <si>
    <t xml:space="preserve">Zero-contribution months with reason codes (leave without pay, left service).</t>
  </si>
  <si>
    <t xml:space="preserve">Round up per PAY-014.</t>
  </si>
  <si>
    <t xml:space="preserve">15th</t>
  </si>
  <si>
    <t xml:space="preserve">EE deducted but not remitted -&gt; Critical.</t>
  </si>
  <si>
    <t xml:space="preserve">Reconciliation statement</t>
  </si>
  <si>
    <t xml:space="preserve">Payroll EE 15,000 (100 x 150); ESIC EE 14,850 -&gt; 1 IP missing -&gt; Critical.</t>
  </si>
  <si>
    <t xml:space="preserve">Ties -&gt; reconciled</t>
  </si>
  <si>
    <t xml:space="preserve">IP present in ESIC but left service in payroll -&gt; Medium</t>
  </si>
  <si>
    <t xml:space="preserve">Missing IP numbers for new joiners; wrong days.</t>
  </si>
  <si>
    <t xml:space="preserve">for ip in union(p,e): compare(p[ip], e[ip])</t>
  </si>
  <si>
    <t xml:space="preserve">ESIC - Contribution (official) | https://web.esic.gov.in/web/esic/contribution | Rates 0.75%/3.25%; Rs 176 exemption; contribution &amp; benefit periods; due date 15 days</t>
  </si>
  <si>
    <t xml:space="preserve">ESIC portal file format not researched.</t>
  </si>
  <si>
    <t xml:space="preserve">PAY-018</t>
  </si>
  <si>
    <t xml:space="preserve">Professional Tax – General</t>
  </si>
  <si>
    <t xml:space="preserve">Professional Tax constitutional cap and state master-table engine</t>
  </si>
  <si>
    <t xml:space="preserve">Compute PT per state slab and ensure annual PT per person does not exceed Rs 2,500.</t>
  </si>
  <si>
    <t xml:space="preserve">Constitution of India Art. 276(2) (max Rs 2,500 per annum per person); State PT Acts (master table PAY-019 to PAY-024).</t>
  </si>
  <si>
    <t xml:space="preserve">Employees working in states levying PT; employer registration (PTRC) and enrolment (PTEC) where applicable.</t>
  </si>
  <si>
    <t xml:space="preserve">Per state table effective-from dates.</t>
  </si>
  <si>
    <t xml:space="preserve">State of work location, gender (Maharashtra), month, salary per state definition.</t>
  </si>
  <si>
    <t xml:space="preserve">employee_id, work_state, local_body (TN), gender, month, monthly_salary_for_pt, half_year_salary (TN), pt_deducted</t>
  </si>
  <si>
    <t xml:space="preserve">1. Look up master table (state, effective_from, slab_min, slab_max, amount, feb_amount, gender, frequency). 2. Select row by effective date. 3. Compute PT. 4. Annual sum &lt;= 2,500 else flag Critical. 5. Compare with payroll deduction and state challans/returns.</t>
  </si>
  <si>
    <t xml:space="preserve">pt = slab(state, date, salary, gender); assert sum_year(pt) &lt;= 2500</t>
  </si>
  <si>
    <t xml:space="preserve">Annual cap Rs 2,500.</t>
  </si>
  <si>
    <t xml:space="preserve">State-specific (disabled persons, senior citizens, armed forces etc.) – maintain per state.</t>
  </si>
  <si>
    <t xml:space="preserve">Fixed amounts – N/A.</t>
  </si>
  <si>
    <t xml:space="preserve">State-specific (maintain in master table).</t>
  </si>
  <si>
    <t xml:space="preserve">Annual &gt; 2,500 -&gt; Critical; deduction != table -&gt; High; employee in a PT state with zero PT above threshold -&gt; High.</t>
  </si>
  <si>
    <t xml:space="preserve">PT computed vs deducted; annual cap check</t>
  </si>
  <si>
    <t xml:space="preserve">Karnataka salary 40,000: 11 x 200 + 300 (Feb) = 2,500 -&gt; equals cap.</t>
  </si>
  <si>
    <t xml:space="preserve">MH male 30,000: 11x200 + 300 = 2,500</t>
  </si>
  <si>
    <t xml:space="preserve">Wrong config 300 every month -&gt; 3,600 &gt; 2,500 -&gt; Critical</t>
  </si>
  <si>
    <t xml:space="preserve">Using HQ state instead of work location; not switching slab on effective date.</t>
  </si>
  <si>
    <t xml:space="preserve">row = pt_table.lookup(state, d, sal, gender)
pt = row.feb_amount if d.month==2 and row.feb_amount else row.amount</t>
  </si>
  <si>
    <t xml:space="preserve">BankBazaar - Maharashtra Professional Tax slab 2026 | https://bankbazaar.com/tax/maharashtra-professional-tax-slab-rate.html | Salaried men/women slabs
Lexplosion - Karnataka revised PT under KTPTCE (Amendment) Act 2025 | https://lexplosion.in/karnataka-govt-notifies-revised-professional-tax-rate-under-karnataka-tax-on-profession-trades-callings-and-employments-amendment-act-2025/ | Rs 200/month, Rs 300 Feb, w.e.f. 01.04.2025
WBXpress - West Bengal schedule of rates of tax on professions 2026 (Notification 1407-F.T. dt 18.08.2026) | https://wbxpress.com/schedule-rates-tax-professions-trades-callings-employments-2026/ | Part A Sl. 1 w.e.f. 01.10.2026</t>
  </si>
  <si>
    <t xml:space="preserve">Art. 276(2) text not opened this session (Rs 2,500 cap is settled constitutional law; flagged for CA confirmation). Master table must be maintained by CA team; due dates not verified per state.</t>
  </si>
  <si>
    <t xml:space="preserve">PAY-019</t>
  </si>
  <si>
    <t xml:space="preserve">Professional Tax – Maharashtra</t>
  </si>
  <si>
    <t xml:space="preserve">Maharashtra PT slab (salaried)</t>
  </si>
  <si>
    <t xml:space="preserve">Apply Maharashtra PT slab.</t>
  </si>
  <si>
    <t xml:space="preserve">Maharashtra State Tax on Professions, Trades, Callings and Employments Act, 1975 – Schedule Entry 1.</t>
  </si>
  <si>
    <t xml:space="preserve">Salaried employees working in Maharashtra.</t>
  </si>
  <si>
    <t xml:space="preserve">Current as published for FY 2026-27 (effective date of women Rs 25,000 threshold not verified).</t>
  </si>
  <si>
    <t xml:space="preserve">Gender, monthly gross salary.</t>
  </si>
  <si>
    <t xml:space="preserve">gender, monthly_salary, month</t>
  </si>
  <si>
    <t xml:space="preserve">1. Male: &lt;=7,500 nil; 7,501-10,000 Rs 175; &gt;10,000 Rs 200 (Feb Rs 300). 2. Female: &lt;=25,000 nil; &gt;25,000 Rs 200 (Feb Rs 300).</t>
  </si>
  <si>
    <t xml:space="preserve">see logic</t>
  </si>
  <si>
    <t xml:space="preserve">Male 0/175/200 (Feb 300); Female 0/200 (Feb 300).</t>
  </si>
  <si>
    <t xml:space="preserve">Per Act (not researched).</t>
  </si>
  <si>
    <t xml:space="preserve">Not verified (commonly monthly by end of following month for larger employers) – maintain.</t>
  </si>
  <si>
    <t xml:space="preserve">As PAY-018</t>
  </si>
  <si>
    <t xml:space="preserve">Monthly PT</t>
  </si>
  <si>
    <t xml:space="preserve">Male 9,000 -&gt; 175 x 12 = 2,100/yr; Female 22,000 -&gt; nil.</t>
  </si>
  <si>
    <t xml:space="preserve">Male 15,000 Feb -&gt; 300</t>
  </si>
  <si>
    <t xml:space="preserve">Female 20,000 with 200 deducted -&gt; flag</t>
  </si>
  <si>
    <t xml:space="preserve">Applying male slab to women.</t>
  </si>
  <si>
    <t xml:space="preserve">def pt_mh(sal, gender, m):
    if gender=='F':
        return 0 if sal&lt;=25000 else (300 if m==2 else 200)
    if sal&lt;=7500: return 0
    if sal&lt;=10000: return 175
    return 300 if m==2 else 200</t>
  </si>
  <si>
    <t xml:space="preserve">BankBazaar - Maharashtra Professional Tax slab 2026 | https://bankbazaar.com/tax/maharashtra-professional-tax-slab-rate.html | Salaried men/women slabs</t>
  </si>
  <si>
    <t xml:space="preserve">mahagst.gov.in schedule not opened.</t>
  </si>
  <si>
    <t xml:space="preserve">PAY-020</t>
  </si>
  <si>
    <t xml:space="preserve">Professional Tax – Karnataka</t>
  </si>
  <si>
    <t xml:space="preserve">Karnataka PT slab (salaried)</t>
  </si>
  <si>
    <t xml:space="preserve">Apply Karnataka PT slab.</t>
  </si>
  <si>
    <t xml:space="preserve">Karnataka Tax on Professions, Trades, Callings and Employments Act, 1976 as amended by Amendment Act, 2025.</t>
  </si>
  <si>
    <t xml:space="preserve">Salaried employees in Karnataka.</t>
  </si>
  <si>
    <t xml:space="preserve">01.04.2025</t>
  </si>
  <si>
    <t xml:space="preserve">Monthly salary.</t>
  </si>
  <si>
    <t xml:space="preserve">monthly_salary, month</t>
  </si>
  <si>
    <t xml:space="preserve">1. Salary &gt;= 25,000: Rs 200 per month, Rs 300 in February. 2. Salary &lt; 25,000: nil (lower slab not shown in opened source – verify).</t>
  </si>
  <si>
    <t xml:space="preserve">pt = (300 if Feb else 200) if salary&gt;=25000 else 0</t>
  </si>
  <si>
    <t xml:space="preserve">Rs 25,000 threshold; 200/300.</t>
  </si>
  <si>
    <t xml:space="preserve">Per Act.</t>
  </si>
  <si>
    <t xml:space="preserve">Not verified – maintain.</t>
  </si>
  <si>
    <t xml:space="preserve">Salary 30,000: 11 x 200 + 300 = 2,500.</t>
  </si>
  <si>
    <t xml:space="preserve">Feb, 30,000 -&gt; 300</t>
  </si>
  <si>
    <t xml:space="preserve">Apr 2025, 200 deducted for Feb pattern using old Rs 200 flat -&gt; Feb short 100 -&gt; flag</t>
  </si>
  <si>
    <t xml:space="preserve">Not applying Feb Rs 300 since FY 2025-26.</t>
  </si>
  <si>
    <t xml:space="preserve">def pt_ka(sal, m):
    return (300 if m==2 else 200) if sal&gt;=25000 else 0</t>
  </si>
  <si>
    <t xml:space="preserve">Lexplosion - Karnataka revised PT under KTPTCE (Amendment) Act 2025 | https://lexplosion.in/karnataka-govt-notifies-revised-professional-tax-rate-under-karnataka-tax-on-profession-trades-callings-and-employments-amendment-act-2025/ | Rs 200/month, Rs 300 Feb, w.e.f. 01.04.2025</t>
  </si>
  <si>
    <t xml:space="preserve">Sub-Rs 25,000 slab not confirmed.</t>
  </si>
  <si>
    <t xml:space="preserve">PAY-021</t>
  </si>
  <si>
    <t xml:space="preserve">Professional Tax – Tamil Nadu</t>
  </si>
  <si>
    <t xml:space="preserve">Tamil Nadu PT (Greater Chennai Corporation, half-yearly)</t>
  </si>
  <si>
    <t xml:space="preserve">Apply half-yearly PT by local body.</t>
  </si>
  <si>
    <t xml:space="preserve">Tamil Nadu Urban Local Bodies Act, 1998 / GCC levy; GCC circular R.D.(HQ).C.No.PT/SPL/2024 dt 20.01.2025.</t>
  </si>
  <si>
    <t xml:space="preserve">Employees in Greater Chennai Corporation limits (other local bodies may differ – maintain).</t>
  </si>
  <si>
    <t xml:space="preserve">Second half-year of FY 2024-25 (01.10.2024).</t>
  </si>
  <si>
    <t xml:space="preserve">Half-yearly income.</t>
  </si>
  <si>
    <t xml:space="preserve">local_body, half_year_income, half_year (H1 Apr-Sep / H2 Oct-Mar)</t>
  </si>
  <si>
    <t xml:space="preserve">1. Half-yearly income: &lt;=21,000 nil; 21,001-30,000 Rs 180; 30,001-45,000 Rs 425; 45,001-60,000 Rs 930; 60,001-75,000 Rs 1,025; &gt;=75,001 Rs 1,250.</t>
  </si>
  <si>
    <t xml:space="preserve">slab lookup on half_year_income</t>
  </si>
  <si>
    <t xml:space="preserve">As above; max 1,250 x 2 = 2,500/yr.</t>
  </si>
  <si>
    <t xml:space="preserve">Other municipalities – separate slabs.</t>
  </si>
  <si>
    <t xml:space="preserve">Half-yearly (dates not verified).</t>
  </si>
  <si>
    <t xml:space="preserve">Half-yearly PT</t>
  </si>
  <si>
    <t xml:space="preserve">Monthly 12,000 -&gt; H1 income 72,000 -&gt; Rs 1,025.</t>
  </si>
  <si>
    <t xml:space="preserve">H1 income 6,00,000 -&gt; 1,250</t>
  </si>
  <si>
    <t xml:space="preserve">Using monthly slabs for TN -&gt; flag configuration error</t>
  </si>
  <si>
    <t xml:space="preserve">Old slabs (135/315/690) still in payroll.</t>
  </si>
  <si>
    <t xml:space="preserve">TN=[(21000,0),(30000,180),(45000,425),(60000,930),(75000,1025),(inf,1250)]
pt = next(a for lim,a in TN if hy_income&lt;=lim)</t>
  </si>
  <si>
    <t xml:space="preserve">Ascent HR - Professional Tax slab revision - Chennai | https://ascent-hr.com/notification/professional-tax-slab-revision-chennai/ | GCC circular R.D.(HQ).C.No.PT/SPL/2024 dt 20.01.2025</t>
  </si>
  <si>
    <t xml:space="preserve">GCC circular not opened.</t>
  </si>
  <si>
    <t xml:space="preserve">PAY-022</t>
  </si>
  <si>
    <t xml:space="preserve">Professional Tax – West Bengal</t>
  </si>
  <si>
    <t xml:space="preserve">West Bengal PT slab (salaried) – old and revised from 01.10.2026</t>
  </si>
  <si>
    <t xml:space="preserve">Apply correct WB slab by date.</t>
  </si>
  <si>
    <t xml:space="preserve">West Bengal State Tax on Professions, Trades, Callings and Employments Act, 1979; Finance Dept Notification No. 1407-F.T. dt 18.08.2026 (Part A Sl.1 w.e.f. 01.10.2026).</t>
  </si>
  <si>
    <t xml:space="preserve">Salaried employees in West Bengal.</t>
  </si>
  <si>
    <t xml:space="preserve">Old slab 01.04.2014 to 30.09.2026; new slab from 01.10.2026.</t>
  </si>
  <si>
    <t xml:space="preserve">Monthly salary, month.</t>
  </si>
  <si>
    <t xml:space="preserve">1. Up to Sep-2026: &lt;=8,500 nil; 8,501-10,000 90; 10,001-15,000 110; 15,001-25,000 130; 25,001-40,000 150; &gt;40,000 200. 2. From Oct-2026: &lt;=20,000 nil; 20,001-30,000 100; 30,001-50,000 140; 50,001-1,00,000 170; &gt;1,00,000 208.</t>
  </si>
  <si>
    <t xml:space="preserve">slab by effective date</t>
  </si>
  <si>
    <t xml:space="preserve">Oct-2026 payroll still on old slab -&gt; High.</t>
  </si>
  <si>
    <t xml:space="preserve">Salary 18,000: Sep-2026 Rs 130; Oct-2026 nil. FY 2026-27 total = 6 x 130 + 6 x 0 = 780.</t>
  </si>
  <si>
    <t xml:space="preserve">Salary 1,20,000 Oct-2026 -&gt; 208</t>
  </si>
  <si>
    <t xml:space="preserve">Salary 1,20,000 Oct-2026 deducted 200 -&gt; flag 8 short</t>
  </si>
  <si>
    <t xml:space="preserve">Not switching on 01.10.2026.</t>
  </si>
  <si>
    <t xml:space="preserve">NEW=[(20000,0),(30000,100),(50000,140),(100000,170),(inf,208)]
OLD=[(8500,0),(10000,90),(15000,110),(25000,130),(40000,150),(inf,200)]
tab = NEW if d&gt;=date(2026,10,1) else OLD
pt = next(a for lim,a in tab if sal&lt;=lim)</t>
  </si>
  <si>
    <t xml:space="preserve">WBXpress - West Bengal schedule of rates of tax on professions 2026 (Notification 1407-F.T. dt 18.08.2026) | https://wbxpress.com/schedule-rates-tax-professions-trades-callings-employments-2026/ | Part A Sl. 1 w.e.f. 01.10.2026
WBXpress - West Bengal PT slab 2014 | https://wbxpress.com/professional-tax-slab/ | w.e.f. 01.04.2014
Simpliance - West Bengal professional tax | https://www.simpliance.in/professional-tax-detail/west-bengal | Revised slab</t>
  </si>
  <si>
    <t xml:space="preserve">wbprofessiontax.gov.in / egazette not opened; WBXpress reproduces notification.</t>
  </si>
  <si>
    <t xml:space="preserve">PAY-023</t>
  </si>
  <si>
    <t xml:space="preserve">Professional Tax – Telangana</t>
  </si>
  <si>
    <t xml:space="preserve">Telangana PT slab (salaried)</t>
  </si>
  <si>
    <t xml:space="preserve">Apply Telangana PT slab.</t>
  </si>
  <si>
    <t xml:space="preserve">Telangana Tax on Professions, Trades, Callings and Employments Act, 1987.</t>
  </si>
  <si>
    <t xml:space="preserve">Salaried employees in Telangana.</t>
  </si>
  <si>
    <t xml:space="preserve">Not verified.</t>
  </si>
  <si>
    <t xml:space="preserve">monthly_salary</t>
  </si>
  <si>
    <t xml:space="preserve">1. &lt;=15,000 nil; 15,001-20,000 Rs 150; &gt;20,000 Rs 200.</t>
  </si>
  <si>
    <t xml:space="preserve">slab</t>
  </si>
  <si>
    <t xml:space="preserve">0/150/200.</t>
  </si>
  <si>
    <t xml:space="preserve">Monthly by 10th of following month (Simpliance) – verify with tgct.gov.in.</t>
  </si>
  <si>
    <t xml:space="preserve">Salary 25,000 -&gt; 200 x 12 = 2,400.</t>
  </si>
  <si>
    <t xml:space="preserve">18,000 -&gt; 150</t>
  </si>
  <si>
    <t xml:space="preserve">15,000 with 150 deducted -&gt; flag</t>
  </si>
  <si>
    <t xml:space="preserve">Boundary at 20,000.</t>
  </si>
  <si>
    <t xml:space="preserve">pt = 0 if sal&lt;=15000 else 150 if sal&lt;=20000 else 200</t>
  </si>
  <si>
    <t xml:space="preserve">Simpliance - Telangana professional tax | https://nt.simpliance.in/professional-tax-detail/telangana | Slabs; monthly due date 10th</t>
  </si>
  <si>
    <t xml:space="preserve">Official tgct.gov.in not opened.</t>
  </si>
  <si>
    <t xml:space="preserve">PAY-024</t>
  </si>
  <si>
    <t xml:space="preserve">Professional Tax – Gujarat</t>
  </si>
  <si>
    <t xml:space="preserve">Gujarat PT slab (salaried)</t>
  </si>
  <si>
    <t xml:space="preserve">Apply Gujarat PT slab.</t>
  </si>
  <si>
    <t xml:space="preserve">Gujarat State Tax on Professions, Trades, Callings and Employments Act, 1976.</t>
  </si>
  <si>
    <t xml:space="preserve">Salaried employees in Gujarat.</t>
  </si>
  <si>
    <t xml:space="preserve">Rs 12,000 threshold – effective date not verified.</t>
  </si>
  <si>
    <t xml:space="preserve">1. &lt;=12,000 nil; &gt;12,000 Rs 200 per month.</t>
  </si>
  <si>
    <t xml:space="preserve">200 if salary&gt;12000 else 0</t>
  </si>
  <si>
    <t xml:space="preserve">Rs 12,000; Rs 200.</t>
  </si>
  <si>
    <t xml:space="preserve">Monthly return Form 5 within 15 days of following month (greytHR) – verify.</t>
  </si>
  <si>
    <t xml:space="preserve">Salary 20,000 -&gt; 200 x 12 = 2,400.</t>
  </si>
  <si>
    <t xml:space="preserve">13,000 -&gt; 200</t>
  </si>
  <si>
    <t xml:space="preserve">11,000 with 80 deducted (old slab) -&gt; flag</t>
  </si>
  <si>
    <t xml:space="preserve">Old lower slabs retained.</t>
  </si>
  <si>
    <t xml:space="preserve">pt = 200 if sal&gt;12000 else 0</t>
  </si>
  <si>
    <t xml:space="preserve">greytHR - Professional Tax Gujarat | https://www.greythr.com/wiki/acts/professional-tax-gujarat/ | Rs 12,000 threshold; Rs 200</t>
  </si>
  <si>
    <t xml:space="preserve">Official commercialtax.gujarat.gov.in not opened.</t>
  </si>
  <si>
    <t xml:space="preserve">PAY-025</t>
  </si>
  <si>
    <t xml:space="preserve">Labour Welfare Fund</t>
  </si>
  <si>
    <t xml:space="preserve">Labour Welfare Fund state master table check</t>
  </si>
  <si>
    <t xml:space="preserve">Verify LWF deductions/contributions per state periodicity.</t>
  </si>
  <si>
    <t xml:space="preserve">State Labour Welfare Fund Acts (e.g., Bombay LWF Act 1953, Karnataka LWF Act 1965, TN LWF Act 1972, etc.).</t>
  </si>
  <si>
    <t xml:space="preserve">Establishments in LWF states.</t>
  </si>
  <si>
    <t xml:space="preserve">Per state (master table, rates as verified by publisher Apr 2026).</t>
  </si>
  <si>
    <t xml:space="preserve">State, frequency, employment status on deduction date.</t>
  </si>
  <si>
    <t xml:space="preserve">work_state, month, employee_id, lwf_ee_deducted, lwf_er_paid</t>
  </si>
  <si>
    <t xml:space="preserve">1. Master table (secondary): MH EE 25 / ER 75 half-yearly (Jun, Dec; due 15 Jul/15 Jan); KA EE 50 / ER 100 annual (Dec; deposit 15 Jan); GJ 6/12 half-yearly; TN 20/40 annual (31 Jan); WB 3/30 half-yearly; MP 10/20 half-yearly; Kerala 50/50 annual; AP 30/70 annual; Telangana 2/5 annual; Chhattisgarh 15/30 half-yearly; Goa 60/180 half-yearly; Odisha 20/40 half-yearly; Haryana 31/62 monthly (as listed); Delhi 0.75/2.25 (frequency inconsistent); Punjab &amp; Chandigarh 5/20 monthly. 2. Deduct for employees on rolls on the deduction date. 3. Compare.</t>
  </si>
  <si>
    <t xml:space="preserve">lookup</t>
  </si>
  <si>
    <t xml:space="preserve">As listed (secondary).</t>
  </si>
  <si>
    <t xml:space="preserve">Wage thresholds/managerial exclusions per state – not researched.</t>
  </si>
  <si>
    <t xml:space="preserve">Missing LWF in MH June/Dec payroll -&gt; Medium.</t>
  </si>
  <si>
    <t xml:space="preserve">LWF variance list</t>
  </si>
  <si>
    <t xml:space="preserve">MH 100 employees, June: EE 2,500 + ER 7,500 = 10,000 due 15 July.</t>
  </si>
  <si>
    <t xml:space="preserve">MH Dec deduction 25 -&gt; OK</t>
  </si>
  <si>
    <t xml:space="preserve">MH July deduction -&gt; wrong month -&gt; Low</t>
  </si>
  <si>
    <t xml:space="preserve">Outdated rates (Haryana is % based with caps in some sources).</t>
  </si>
  <si>
    <t xml:space="preserve">row = lwf_table[state]
if month in row.deduct_months and emp.on_rolls(deduct_date):
    expect(row.ee, row.er)</t>
  </si>
  <si>
    <t xml:space="preserve">EZHRM - Labour Welfare Fund India 2026 state-wise guide | https://ezhrm.in/labour-welfare-fund-india-2026-state-wise-guide/ | State-wise LWF rates (secondary; verified by publisher Apr 2026)</t>
  </si>
  <si>
    <t xml:space="preserve">Only a secondary aggregator consulted; no state LWF board site opened. Haryana figures look like caps of a % formula – verify. Master table to be maintained by CA.</t>
  </si>
  <si>
    <t xml:space="preserve">PAY-026</t>
  </si>
  <si>
    <t xml:space="preserve">Gratuity – Computation</t>
  </si>
  <si>
    <t xml:space="preserve">Gratuity computation (permanent employees)</t>
  </si>
  <si>
    <t xml:space="preserve">Recompute gratuity payable on cessation and validate F&amp;F and provisions.</t>
  </si>
  <si>
    <t xml:space="preserve">Payment of Gratuity Act 1972 s.4(1),(2),(3), s.2A (continuous service) [pre-21.11.2025]; SS Code 2020 s.53 (Chapter V), s.54 continuous service, s.2(88) wages [from 21.11.2025].</t>
  </si>
  <si>
    <t xml:space="preserve">Establishments with 10+ employees; employees with &gt;= 5 years continuous service on superannuation, retirement, resignation, death/disablement (5 yrs not required on death/disablement).</t>
  </si>
  <si>
    <t xml:space="preserve">Code: 21.11.2025</t>
  </si>
  <si>
    <t xml:space="preserve">Last drawn wages under Code definition (PAY-002), date of joining, date of exit, days worked in final year.</t>
  </si>
  <si>
    <t xml:space="preserve">employee_id, doj, dol, last_drawn_wages (Code), exit_reason, seasonal_flag, days_worked_last_year</t>
  </si>
  <si>
    <t xml:space="preserve">1. Service years = completed years; fraction &gt; 6 months rounds up (PG Act practice/Code). 2. Eligibility: years &gt;= 5 OR exit_reason in {death, disablement}; continuous service deemed if &gt;=240 days (190 days for below-ground mines/5-day week establishments) in the 12 months (4 years 240 days rule – case law; CA to confirm). 3. Gratuity = last_drawn_wages x 15/26 x years (seasonal: 7 days per season). 4. Cap Rs 20 lakh (PG Act notified ceiling; Code s.53(3) ceiling 'as notified' – notification under Code not verified). 5. Payment within 30 days of becoming payable; interest on delay.</t>
  </si>
  <si>
    <t xml:space="preserve">G = min(W_last * 15/26 * N, 20,00,000)</t>
  </si>
  <si>
    <t xml:space="preserve">15 days per year; ceiling Rs 20 lakh.</t>
  </si>
  <si>
    <t xml:space="preserve">Forfeiture for misconduct (s.4(6)/Code equivalent).</t>
  </si>
  <si>
    <t xml:space="preserve">Not specified in law – implementation choice (round to rupee).</t>
  </si>
  <si>
    <t xml:space="preserve">Within 30 days of becoming payable.</t>
  </si>
  <si>
    <t xml:space="preserve">Gratuity paid &lt; computed -&gt; High; gratuity computed on basic only post 21.11.2025 -&gt; High.</t>
  </si>
  <si>
    <t xml:space="preserve">Gratuity payable, shortfall, eligibility flag</t>
  </si>
  <si>
    <t xml:space="preserve">Last drawn Code wages 52,000; service 10 years 7 months -&gt; 11 years. G = 52,000 x 15/26 x 11 = 3,30,000.</t>
  </si>
  <si>
    <t xml:space="preserve">4 yrs 8 months, resignation -&gt; rule '4 yrs 240 days' – CA config; default ineligible unless 240-day test met in 5th year</t>
  </si>
  <si>
    <t xml:space="preserve">Wages 3,00,000 x 15/26 x 30 = 51,92,308 -&gt; capped 20,00,000</t>
  </si>
  <si>
    <t xml:space="preserve">Using basic only instead of Code wages; not rounding &gt;6 months.</t>
  </si>
  <si>
    <t xml:space="preserve">years = completed + (1 if extra_months&gt;6 else 0)
G = min(W*15/26*years, 2000000)</t>
  </si>
  <si>
    <t xml:space="preserve">Lakshmikumaran &amp; Sridharan - Gratuity guide 2025 | https://employmentlaw.lkslaw.com/gratuity-guide-2025 | PG Act s.4; SS Code s.53, s.2(88)
KPMG Flash News - Notification of final Rules on Four Labour Codes | https://www.in.kpmg.com/taxflashnews/KPMG-Flash-News-Notification-of-final-Rules-on-Four-Labour-Codes.pdf | Final Central Rules notified 8 May 2026
iPleaders - Labour Codes 2026 implementation guide (last verified 8 May 2026) | https://blog.ipleaders.in/labour-codes-2026-implementation-complete-guide-to-what-is-in-force-what-changed-and-what-to-do-now/ | 50% wage rule s.2(y); state rules table; MoLE FAQs 16.03.2026
King Stubb &amp; Kasiva - 50% wage rule under new Labour Codes | https://ksandk.com/labour-employment/50-wage-rule-labour-codes-salary-pf-gratuity/ | Code on Wages s.2(y)
MoLE FAQs on Labour Codes | https://www.labour.gov.in/static/uploads/2026/01/de4758d5bfeffc456d7de97a801891b0.pdf | 
MoLE Additional FAQs (Q16, Q17) | https://www.labour.gov.in/static/uploads/2026/03/a4ccf4c6d97c4f1f36a6d83f8c64213d.pdf | 
MoLE Compliance Handbook | https://www.labour.gov.in/static/uploads/2026/02/83978455025732b99b0165def80ab171.pdf | s.53, s.56</t>
  </si>
  <si>
    <t xml:space="preserve">[VERIFICATION 13-10-2026] MoLE FAQs: gratuity is 15 days' wages per completed year after 5 years' continuous service, on last drawn s.2(88) wages for exits on/after 21-11-2025. The maximum is as notified by the Central Govt, currently Rs 20 lakh. 5 years is not needed on death or disablement, or for fixed-term employees (1 year). Compliance Handbook: payment due within 30 days (s.56). CORRECTION: Add due date: gratuity payable within 30 days of becoming payable (SS Code s.56). Ceiling under Code: LKS says 'to be notified' (Rs 20 lakh under PG Act notification of 29.03.2018 – not opened). 4-yrs-240-days principle from case law (not opened). Interest rate on delayed gratuity not verified.</t>
  </si>
  <si>
    <t xml:space="preserve">PAY-027</t>
  </si>
  <si>
    <t xml:space="preserve">Gratuity – Fixed-term employees</t>
  </si>
  <si>
    <t xml:space="preserve">Gratuity for fixed-term employees (1 year)</t>
  </si>
  <si>
    <t xml:space="preserve">Compute pro-rata gratuity for fixed-term employees under the Code.</t>
  </si>
  <si>
    <t xml:space="preserve">SS Code s.53(1) proviso / s.53(2) (fixed term employment – 1 year); Social Security (Central) Rules 2026.</t>
  </si>
  <si>
    <t xml:space="preserve">Fixed-term employees (as defined under IR Code s.2(o)) ceasing on/after 21.11.2025.</t>
  </si>
  <si>
    <t xml:space="preserve">Employment type flag, contract dates.</t>
  </si>
  <si>
    <t xml:space="preserve">employee_id, employment_type, contract_start, contract_end, last_drawn_wages</t>
  </si>
  <si>
    <t xml:space="preserve">1. If service &gt;= 1 year -&gt; eligible pro-rata. 2. years = completed years; residual &gt; 6 months -&gt; +1 (KPMG on final rules). 3. G = W x 15/26 x years.</t>
  </si>
  <si>
    <t xml:space="preserve">G = W*15/26*years (years&gt;=1)</t>
  </si>
  <si>
    <t xml:space="preserve">1 year minimum; 15 days per year.</t>
  </si>
  <si>
    <t xml:space="preserve">&lt; 1 year – no gratuity.</t>
  </si>
  <si>
    <t xml:space="preserve">Implementation choice.</t>
  </si>
  <si>
    <t xml:space="preserve">30 days.</t>
  </si>
  <si>
    <t xml:space="preserve">FTE with &gt;=1 yr and no gratuity in F&amp;F -&gt; High.</t>
  </si>
  <si>
    <t xml:space="preserve">Gratuity payable</t>
  </si>
  <si>
    <t xml:space="preserve">FTE 1 year 8 months, wages 40,000: years = 2; G = 40,000 x 15/26 x 2 = 46,153.85 -&gt; 46,154.</t>
  </si>
  <si>
    <t xml:space="preserve">1 year 0 months -&gt; G = W x 15/26</t>
  </si>
  <si>
    <t xml:space="preserve">11 months -&gt; nil</t>
  </si>
  <si>
    <t xml:space="preserve">Applying 5-year rule to FTEs.</t>
  </si>
  <si>
    <t xml:space="preserve">yrs = svc.years + (1 if svc.months&gt;6 else 0)
G = round(W*15/26*yrs) if svc_total_years&gt;=1 else 0</t>
  </si>
  <si>
    <t xml:space="preserve">KPMG Flash News - Notification of final Rules on Four Labour Codes | https://www.in.kpmg.com/taxflashnews/KPMG-Flash-News-Notification-of-final-Rules-on-Four-Labour-Codes.pdf | Final Central Rules notified 8 May 2026
iPleaders - Labour Codes 2026 implementation guide (last verified 8 May 2026) | https://blog.ipleaders.in/labour-codes-2026-implementation-complete-guide-to-what-is-in-force-what-changed-and-what-to-do-now/ | 50% wage rule s.2(y); state rules table; MoLE FAQs 16.03.2026
EY Alert - New labour codes implemented effective 21 November 2025 | https://www.ey.com/content/dam/ey-unified-site/ey-com/en-in/alerts-hub/2025/11/new-labour-codes-implemented-across-the-country-effective-21-november-2025.pdf | S.O. 5319(E), 5320(E), 5321(E), 5322(E) dt 21.11.2025
Lakshmikumaran &amp; Sridharan - Gratuity guide 2025 | https://employmentlaw.lkslaw.com/gratuity-guide-2025 | PG Act s.4; SS Code s.53, s.2(88)
PIB – Labour Codes effective | https://www.pib.gov.in/PressReleseDetailm.aspx?PRID=2192463&amp;reg=3&amp;lang=2 | 
MoLE Additional FAQs | https://www.labour.gov.in/static/uploads/2026/03/a4ccf4c6d97c4f1f36a6d83f8c64213d.pdf | Q14, Q19</t>
  </si>
  <si>
    <t xml:space="preserve">[VERIFICATION 13-10-2026] PIB (21-11-2025) says gratuity eligibility for fixed-term employees is after one year instead of five; MoLE FAQs Q14/Q19 say fixed-term employees qualify after one year of service under the contract; the Handbook cites s.53. CORRECTION: legal_provision: cite SS Code s.53 (per MoLE Compliance Handbook); sub-section numbering still to be read from the bare Act. Sub-section reference differs across sources (s.53(1) proviso vs s.53(2)).</t>
  </si>
  <si>
    <t xml:space="preserve">PAY-028</t>
  </si>
  <si>
    <t xml:space="preserve">Gratuity – Income-tax</t>
  </si>
  <si>
    <t xml:space="preserve">Gratuity tax exemption (s.10(10) -&gt; ITA 2025 s.19 Sl. 5/6)</t>
  </si>
  <si>
    <t xml:space="preserve">Validate exempt vs taxable gratuity in payroll TDS.</t>
  </si>
  <si>
    <t xml:space="preserve">FY 2025-26: Income-tax Act 1961 s.10(10)(ii) (PG Act covered) / s.10(10)(iii) (others; ceiling Rs 20 lakh). Tax year 2026-27: Income-tax Act 2025 s.19, Table Sl. No. 5 (PG Act – limited to amount under PG Act s.4(2),(3)) and Sl. No. 6 (others – least of specified amount by notification, half month's average salary x completed years, actual).</t>
  </si>
  <si>
    <t xml:space="preserve">Non-government employees receiving gratuity.</t>
  </si>
  <si>
    <t xml:space="preserve">Old Act to 31.03.2026; ITA 2025 from 01.04.2026 (tax year 2026-27).</t>
  </si>
  <si>
    <t xml:space="preserve">Gratuity amount, coverage under PG Act/Code, wages, service, prior exemptions claimed (aggregate cap).</t>
  </si>
  <si>
    <t xml:space="preserve">gratuity_paid, covered_flag, last_drawn_wages, avg_salary_10m, completed_years, service_fraction_months, prior_exempt_gratuity</t>
  </si>
  <si>
    <t xml:space="preserve">1. Covered: exempt = min(actual, 15/26 x W x N, 20,00,000 - prior_exempt). 2. Not covered: exempt = min(actual, 0.5 x avg_salary_10m x completed_years, 20,00,000 - prior_exempt). 3. Taxable = actual - exempt.</t>
  </si>
  <si>
    <t xml:space="preserve">exempt = min(actual, formula_amount, 2000000 - prior)</t>
  </si>
  <si>
    <t xml:space="preserve">Rs 20 lakh aggregate.</t>
  </si>
  <si>
    <t xml:space="preserve">Govt employees fully exempt (Sl. 3).</t>
  </si>
  <si>
    <t xml:space="preserve">s.288A/288B (1961) rounding of total income – N/A at component level.</t>
  </si>
  <si>
    <t xml:space="preserve">TDS u/s 192 / ITA 2025 (section not verified).</t>
  </si>
  <si>
    <t xml:space="preserve">Exempt &gt; Rs 20 lakh -&gt; Critical.</t>
  </si>
  <si>
    <t xml:space="preserve">exempt, taxable gratuity</t>
  </si>
  <si>
    <t xml:space="preserve">Covered, actual 3,30,000 (from PAY-026), formula 3,30,000, cap 20,00,000 -&gt; exempt 3,30,000; taxable nil.</t>
  </si>
  <si>
    <t xml:space="preserve">Actual 25,00,000 covered -&gt; exempt 20,00,000; taxable 5,00,000</t>
  </si>
  <si>
    <t xml:space="preserve">Not-covered employee exempt computed with 15/26 -&gt; flag</t>
  </si>
  <si>
    <t xml:space="preserve">Ignoring previous employer exemption.</t>
  </si>
  <si>
    <t xml:space="preserve">f = W*15/26*N if covered else 0.5*avg10*completed
exempt = min(actual, f, max(0, 2000000-prior))
taxable = actual-exempt</t>
  </si>
  <si>
    <t xml:space="preserve">Income Tax Department - Income-tax Act 2025 Section 19 (Deductions from salaries) | https://www.incometaxindia.gov.in/w/section-19-206 | Table Sl. Nos. 5, 6, 13, 14
eztax - Income-tax Act 2025 section 19 | https://eztax.in/income-tax-act-2025/section-19 | Sl. 6 &amp; 14 limits by notification</t>
  </si>
  <si>
    <t xml:space="preserve">Rs 20 lakh notification (S.O. 1213(E) dt 08.03.2019 under s.10(10)(iii)) not opened; s.19 Sl.6 refers to an amount 'specified by notification' – whether a fresh notification under ITA 2025 has been issued not verified.</t>
  </si>
  <si>
    <t xml:space="preserve">PAY-029</t>
  </si>
  <si>
    <t xml:space="preserve">Leave encashment – Income-tax</t>
  </si>
  <si>
    <t xml:space="preserve">Leave encashment exemption on retirement (s.10(10AA) -&gt; ITA 2025 s.19 Sl. 14)</t>
  </si>
  <si>
    <t xml:space="preserve">Validate exemption on leave encashment at retirement/resignation.</t>
  </si>
  <si>
    <t xml:space="preserve">ITA 1961 s.10(10AA)(ii); Notification 31/2023 (S.O. 2276(E) dt 24.05.2023) – Rs 25 lakh w.e.f. 01.04.2023; ITA 2025 s.19 Table Sl. No. 13 (Govt – entire) and Sl. No. 14 (others).</t>
  </si>
  <si>
    <t xml:space="preserve">Non-government employees on retirement/resignation.</t>
  </si>
  <si>
    <t xml:space="preserve">01.04.2023 (Rs 25 lakh); ITA 2025 from 01.04.2026.</t>
  </si>
  <si>
    <t xml:space="preserve">Average salary of 10 months, leave entitlement (max 30 days per year of service), prior exemptions.</t>
  </si>
  <si>
    <t xml:space="preserve">leave_encashment_paid, avg_salary_10m, years_service, leave_credit_days, prior_exempt_le</t>
  </si>
  <si>
    <t xml:space="preserve">1. exempt = min(actual, 10 x avg_salary_10m, cash equivalent of leave credit (max 30 days per completed year), 25,00,000 - prior). 2. Taxable = actual - exempt. 3. Leave encashment during service -&gt; fully taxable.</t>
  </si>
  <si>
    <t xml:space="preserve">exempt = min(A, 10*S, leave_days*S/30, 2500000-prior)</t>
  </si>
  <si>
    <t xml:space="preserve">Rs 25 lakh aggregate.</t>
  </si>
  <si>
    <t xml:space="preserve">Govt employees fully exempt.</t>
  </si>
  <si>
    <t xml:space="preserve">Exempt &gt; 25 lakh -&gt; Critical.</t>
  </si>
  <si>
    <t xml:space="preserve">exempt/taxable</t>
  </si>
  <si>
    <t xml:space="preserve">Paid 6,00,000; avg salary 50,000; leave credit 240 days: limits 6,00,000 / 5,00,000 / 4,00,000 / 25,00,000 -&gt; exempt 4,00,000; taxable 2,00,000.</t>
  </si>
  <si>
    <t xml:space="preserve">as sample</t>
  </si>
  <si>
    <t xml:space="preserve">In-service encashment marked exempt -&gt; flag</t>
  </si>
  <si>
    <t xml:space="preserve">Using Rs 3 lakh old limit.</t>
  </si>
  <si>
    <t xml:space="preserve">exempt = min(A, 10*S, min(leave_days, 30*yrs)*S/30, max(0, 2500000-prior))</t>
  </si>
  <si>
    <t xml:space="preserve">GConnect - Leave encashment exemption limit Rs 25 lakh (Notification 31/2023) | https://www.gconnect.in/personal-income-tax/increased-limit-tax-exemption-leave-encashment-non-govt-salaried-employees.html | Notification 31/2023, S.O. 2276(E) dt 24.05.2023, w.e.f. 01.04.2023
Income Tax Department - Income-tax Act 2025 Section 19 (Deductions from salaries) | https://www.incometaxindia.gov.in/w/section-19-206 | Table Sl. Nos. 5, 6, 13, 14
eztax - Income-tax Act 2025 section 19 | https://eztax.in/income-tax-act-2025/section-19 | Sl. 6 &amp; 14 limits by notification</t>
  </si>
  <si>
    <t xml:space="preserve">ITA 2025 s.19 Sl.14 refers to a notified amount – fresh notification under ITA 2025 not verified; assume Rs 25 lakh continues (CA to confirm).</t>
  </si>
  <si>
    <t xml:space="preserve">PAY-030</t>
  </si>
  <si>
    <t xml:space="preserve">Bonus</t>
  </si>
  <si>
    <t xml:space="preserve">Statutory bonus eligibility and computation</t>
  </si>
  <si>
    <t xml:space="preserve">Verify statutory bonus paid to eligible employees.</t>
  </si>
  <si>
    <t xml:space="preserve">Payment of Bonus Act 1965 s.2(13), s.8, s.10, s.11, s.12 [pre-Code]; Code on Wages 2019 Chapter IV (s.26) with notifications dt 25.08.2026 (eligibility Rs 21,000; calculation ceiling Rs 7,000 or minimum wage) retro 21.11.2025.</t>
  </si>
  <si>
    <t xml:space="preserve">Employees drawing wages &lt;= Rs 21,000 per month with &gt;= 30 working days in accounting year.</t>
  </si>
  <si>
    <t xml:space="preserve">21.11.2025 (Code notifications retrospective).</t>
  </si>
  <si>
    <t xml:space="preserve">Accounting year, monthly wages (Code wages), days worked, applicable minimum wage, allocable surplus % decided (8.33-20).</t>
  </si>
  <si>
    <t xml:space="preserve">employee_id, accounting_year, monthly_wages, days_worked, scheduled_min_wage_monthly, bonus_rate_pct, bonus_paid</t>
  </si>
  <si>
    <t xml:space="preserve">1. Eligible if wages &lt;= 21,000 and days_worked &gt;= 30. 2. Calc wage = min(actual wages, max(7,000, minimum wage)). 3. Bonus = calc wage x months x rate; minimum 8.33% or Rs 100 (whichever higher), maximum 20%. 4. Compare with bonus_paid.</t>
  </si>
  <si>
    <t xml:space="preserve">B = sum_m(min(W_m, max(7000, MW_m))) * r; r in [8.33%, 20%]; B &gt;= max(100, 8.33% base)</t>
  </si>
  <si>
    <t xml:space="preserve">Eligibility Rs 21,000; ceiling Rs 7,000 or minimum wage (higher); 8.33%-20%.</t>
  </si>
  <si>
    <t xml:space="preserve">New establishments, specified categories (Act/Code exclusions – not researched).</t>
  </si>
  <si>
    <t xml:space="preserve">Not specified (old Act s.14? not verified) – implementation choice.</t>
  </si>
  <si>
    <t xml:space="preserve">Within 8 months from close of accounting year (Payment of Bonus Act s.19 – Code equivalent not verified).</t>
  </si>
  <si>
    <t xml:space="preserve">Eligible employee bonus &lt; 8.33% -&gt; High.</t>
  </si>
  <si>
    <t xml:space="preserve">Bonus due vs paid</t>
  </si>
  <si>
    <t xml:space="preserve">Wages 18,000/month, minimum wage 12,000: calc wage 12,000 x 12 = 1,44,000; min bonus 8.33% = 11,995.20; max 20% = 28,800.</t>
  </si>
  <si>
    <t xml:space="preserve">Wages 21,000 -&gt; eligible</t>
  </si>
  <si>
    <t xml:space="preserve">Wages 21,500 -&gt; not eligible</t>
  </si>
  <si>
    <t xml:space="preserve">Ceiling 7,000 used when minimum wage higher.</t>
  </si>
  <si>
    <t xml:space="preserve">if W&lt;=21000 and days&gt;=30:
    base = sum(min(Wm, max(7000, MWm)) for Wm,MWm in months)
    due_min = max(100, 0.0833*base)
    if paid &lt; due_min: flag('HIGH')</t>
  </si>
  <si>
    <t xml:space="preserve">SCC Online - Bonus eligibility &amp; calculation rules under Code on Wages (25.08.2026) | https://www.scconline.com/blog/post/2026/08/26/bonus-rules-under-code-on-wages-eligibility-calculation/ | s.26(1) Code on Wages; Rs 21,000 / Rs 7,000; retro 21.11.2025
Lexplosion - Central Govt specifies bonus eligibility &amp; calculation under Code on Wages | https://lexplosion.in/?p=152253 | 8.33% or Rs 100; 30 days
MoLE Compliance Handbook | https://www.labour.gov.in/static/uploads/2026/02/83978455025732b99b0165def80ab171.pdf | s.26</t>
  </si>
  <si>
    <t xml:space="preserve">[VERIFICATION 13-10-2026] Official check was inconclusive. The MoLE Compliance Handbook says only that eligibility is wages up to the limit the appropriate govt sets, at least 30 days worked, and bonus of 8.33%-20% (s.26). It gives no Rs 21,000 / Rs 7,000 figures. The 25-08-2026 bonus notifications were not found on official sites. MoLE FAQ: statutory bonus counts in the 50% wage test. Notification numbers for 25.08.2026 bonus notifications not found. Whether 'minimum wage' means Central Govt-fixed minimum wage (per Lexplosion) or appropriate-govt minimum wage – ambiguity.</t>
  </si>
  <si>
    <t xml:space="preserve">PAY-031</t>
  </si>
  <si>
    <t xml:space="preserve">Minimum Wages</t>
  </si>
  <si>
    <t xml:space="preserve">Minimum wage compliance check (state/central master table)</t>
  </si>
  <si>
    <t xml:space="preserve">Ensure wages paid &gt;= applicable minimum wage for state, zone, skill category.</t>
  </si>
  <si>
    <t xml:space="preserve">Code on Wages 2019 s.5-9 (minimum wages), s.9 floor wage; Wages (Central) Rules 2026 G.S.R. 343(E) dt 08.05.2026; State minimum wage notifications; Minimum Wages Act 1948 (pre-Code).</t>
  </si>
  <si>
    <t xml:space="preserve">All employees (Code extends minimum wage to all employments).</t>
  </si>
  <si>
    <t xml:space="preserve">21.11.2025 (Code); VDA revisions 01 Apr / 01 Oct.</t>
  </si>
  <si>
    <t xml:space="preserve">Master table: appropriate_govt, state, zone/area, skill, scheduled employment, basic, VDA, effective_from.</t>
  </si>
  <si>
    <t xml:space="preserve">employee_id, work_state, zone, skill_category, days_worked, wages_paid_minimum_wage_components</t>
  </si>
  <si>
    <t xml:space="preserve">1. Look up rate effective for month. 2. Monthly MW = daily rate x 26 (Wages Rules: hourly = daily/8; monthly = hourly... per KPMG). 3. Compare wages (excluding HRA etc. as per Code minimum-wage definition – CA config) with MW pro-rata to days. 4. Floor wage: not yet notified – skip with Info.</t>
  </si>
  <si>
    <t xml:space="preserve">shortfall = max(0, MW_daily * days_paid - wages_paid)</t>
  </si>
  <si>
    <t xml:space="preserve">Example central sphere (w.e.f. 01.10.2026), construction/building ops, Area A per day: Unskilled 840; Semi-skilled 933; Skilled 1,024; Highly skilled 1,111. Area B: 704/794/933/1,024. Area C: 565/661/794/933.</t>
  </si>
  <si>
    <t xml:space="preserve">Apprentices (Apprentices Act continues).</t>
  </si>
  <si>
    <t xml:space="preserve">Wage payment timelines: Code s.17 (F&amp;F within 2 working days of cessation – PAY-036).</t>
  </si>
  <si>
    <t xml:space="preserve">shortfall &gt; 0 -&gt; Critical.</t>
  </si>
  <si>
    <t xml:space="preserve">Shortfall per employee</t>
  </si>
  <si>
    <t xml:space="preserve">Central sphere unskilled Area A: 840 x 26 = 21,840 per month; paid 20,000 -&gt; shortfall 1,840.</t>
  </si>
  <si>
    <t xml:space="preserve">Paid 22,000 -&gt; OK</t>
  </si>
  <si>
    <t xml:space="preserve">VDA change on 01.10 not applied -&gt; flag</t>
  </si>
  <si>
    <t xml:space="preserve">Missing VDA revision; wrong zone.</t>
  </si>
  <si>
    <t xml:space="preserve">mw = mw_table.lookup(state, zone, skill, month)
short = max(0, mw.daily*days_paid - wages_mw)
if short&gt;0: flag('CRITICAL')</t>
  </si>
  <si>
    <t xml:space="preserve">SGCMS - Central sphere VDA revision w.e.f. 1 October 2026 | https://www.sgcms.com/regulatory-updates/central-sphere-vda-revision-w-e-f-1-october-2026-revised-minimum-wages/ | Central sphere minimum wages
Taxmann - Code on Wages (Central) Rules 2026 notified | https://www.taxmann.com/post/blog/govt-notifies-code-on-wages-central-rules/ | G.S.R. 343(E) dt 08.05.2026
KPMG Flash News - Notification of final Rules on Four Labour Codes | https://www.in.kpmg.com/taxflashnews/KPMG-Flash-News-Notification-of-final-Rules-on-Four-Labour-Codes.pdf | Final Central Rules notified 8 May 2026
BDO India - Final Central Rules notified under all four Labour Codes | https://www.bdo.in/en-gb/insights/alerts-updates/alert-final-central-rules-notified-under-all-four-labour-codes | Alert 12 May 2026</t>
  </si>
  <si>
    <t xml:space="preserve">National floor wage not notified as of May 2026 (BDO/KPMG); status Oct 2026 not verified. State minimum wage tables must be maintained by CA team; central sphere order number not captured.</t>
  </si>
  <si>
    <t xml:space="preserve">PAY-032</t>
  </si>
  <si>
    <t xml:space="preserve">Salary TDS – Cross reference</t>
  </si>
  <si>
    <t xml:space="preserve">Payroll vs Form 24Q vs Form 16 reconciliation (cross-reference)</t>
  </si>
  <si>
    <t xml:space="preserve">Ensure salary, exemptions and TDS in payroll tie to quarterly TDS return and Form 16.</t>
  </si>
  <si>
    <t xml:space="preserve">ITA 1961 s.192, s.200(3), r.31A (Form 24Q), r.31 (Form 16) for FY 2025-26; ITA 2025 equivalents for tax year 2026-27 – new-Act section not verified. Detailed rules in TDS module.</t>
  </si>
  <si>
    <t xml:space="preserve">All employers deducting salary TDS.</t>
  </si>
  <si>
    <t xml:space="preserve">Payroll annual register, 24Q Annexure II, Form 16 Part A/B.</t>
  </si>
  <si>
    <t xml:space="preserve">pan, gross_salary, exempt_allowances, perquisites_17_2, deductions, tds_deducted, tds_deposited, 24q_values, form16_values</t>
  </si>
  <si>
    <t xml:space="preserve">1. Tie payroll gross &amp; TDS with 24Q per PAN per quarter. 2. Tie Q4 Annexure II with Form 16 Part B. 3. Cross-check PF/NPS perquisite (PAY-033) and PF interest (PAY-034), gratuity/leave encashment exemptions (PAY-028/029).</t>
  </si>
  <si>
    <t xml:space="preserve">diff = payroll - 24Q</t>
  </si>
  <si>
    <t xml:space="preserve">Refer TDS module.</t>
  </si>
  <si>
    <t xml:space="preserve">s.288B (1961) – TDS rounded to nearest rupee (refer TDS module).</t>
  </si>
  <si>
    <t xml:space="preserve">Mismatch -&gt; High.</t>
  </si>
  <si>
    <t xml:space="preserve">Mismatch list</t>
  </si>
  <si>
    <t xml:space="preserve">Payroll TDS 1,20,000; 24Q 1,10,000 -&gt; 10,000 unreported -&gt; High.</t>
  </si>
  <si>
    <t xml:space="preserve">Ties</t>
  </si>
  <si>
    <t xml:space="preserve">PAN missing -&gt; s.206AA flag</t>
  </si>
  <si>
    <t xml:space="preserve">Perquisite of employer PF &gt; 7.5 lakh omitted.</t>
  </si>
  <si>
    <t xml:space="preserve">for pan in employees:
    for q in quarters:
        if abs(payroll[pan][q].tds - q24[pan][q].tds)&gt;0: flag('HIGH')</t>
  </si>
  <si>
    <t xml:space="preserve">Income Tax Department - Income-tax Act 2025 Section 19 (Deductions from salaries) | https://www.incometaxindia.gov.in/w/section-19-206 | Table Sl. Nos. 5, 6, 13, 14</t>
  </si>
  <si>
    <t xml:space="preserve">Brief: cross-reference only. New Act section/form numbers not verified here.</t>
  </si>
  <si>
    <t xml:space="preserve">PAY-033</t>
  </si>
  <si>
    <t xml:space="preserve">Salary – Perquisite</t>
  </si>
  <si>
    <t xml:space="preserve">Employer contributions to PF/NPS/superannuation above Rs 7.5 lakh taxable</t>
  </si>
  <si>
    <t xml:space="preserve">Compute perquisite for aggregate employer retirement contributions above Rs 7.5 lakh and accretion thereon.</t>
  </si>
  <si>
    <t xml:space="preserve">ITA 1961 s.17(2)(vii) and (viia), r.3B; ITA 2025 s.17(1)(h) and (i) (mapping by content, eztax – secondary).</t>
  </si>
  <si>
    <t xml:space="preserve">Employees whose employer contributions to RPF, NPS (s.80CCD(2)/ITA 2025 s.124(1)) and approved superannuation fund exceed Rs 7.5 lakh in a year.</t>
  </si>
  <si>
    <t xml:space="preserve">FY 2020-21 onwards; continues in ITA 2025.</t>
  </si>
  <si>
    <t xml:space="preserve">Employer contributions per fund for the year; accretion per r.3B formula.</t>
  </si>
  <si>
    <t xml:space="preserve">pan, er_pf_contribution (incl EPS? – CA to decide; EPS is pension fund), er_nps, er_superannuation, opening_excess_balance, accretion_inputs</t>
  </si>
  <si>
    <t xml:space="preserve">1. Total = ER RPF + ER NPS + ER superannuation. 2. Perq = max(0, total - 7,50,000). 3. Accretion perquisite per r.3B (TP/2 x (PC + TP1) etc. – formula not verified). 4. Include in salary for TDS.</t>
  </si>
  <si>
    <t xml:space="preserve">perq = max(0, ER_PF + ER_NPS + ER_SAF - 750000)</t>
  </si>
  <si>
    <t xml:space="preserve">Rs 7.5 lakh per year.</t>
  </si>
  <si>
    <t xml:space="preserve">Monthly TDS.</t>
  </si>
  <si>
    <t xml:space="preserve">Total &gt; 7.5 lakh and no perquisite in Form 16 -&gt; High.</t>
  </si>
  <si>
    <t xml:space="preserve">Taxable perquisite</t>
  </si>
  <si>
    <t xml:space="preserve">ER PF 3,00,000 + ER NPS 4,00,000 + SAF 1,50,000 = 8,50,000 -&gt; perquisite 1,00,000 (+ accretion).</t>
  </si>
  <si>
    <t xml:space="preserve">Total 7,40,000 -&gt; nil</t>
  </si>
  <si>
    <t xml:space="preserve">Excluding NPS employer contribution.</t>
  </si>
  <si>
    <t xml:space="preserve">tot = er_pf + er_nps + er_saf
perq = max(0, tot-750000) + accretion(tot)</t>
  </si>
  <si>
    <t xml:space="preserve">eztax - Income-tax Act 2025 section 17 | https://eztax.in/income-tax-act-2025/section-17 | s.17(1)(h), (i)</t>
  </si>
  <si>
    <t xml:space="preserve">Mapping s.17(2)(vii)-&gt;s.17(1)(h) based on matching text on eztax, not an official mapping table. r.3B successor rule number under IT Rules 2026 not verified. Whether employer EPS contribution counts as 'contribution to RPF' – CA decision (commonly excluded? not verified).</t>
  </si>
  <si>
    <t xml:space="preserve">PAY-034</t>
  </si>
  <si>
    <t xml:space="preserve">Salary – PF interest</t>
  </si>
  <si>
    <t xml:space="preserve">Taxable interest on employee PF contribution above Rs 2.5 lakh / Rs 5 lakh</t>
  </si>
  <si>
    <t xml:space="preserve">Identify taxable PF interest and ensure separate account tracking for TDS/disclosure.</t>
  </si>
  <si>
    <t xml:space="preserve">ITA 1961 s.10(11)/(12) provisos and r.9D; ITA 2025 Schedule II Table Sl. Nos. 3 and 4 (per Rule 277 reference) and Income-tax Rules 2026 r.277.</t>
  </si>
  <si>
    <t xml:space="preserve">Employees whose own PF (incl. VPF) contribution in a year exceeds Rs 2.5 lakh (Rs 5 lakh where no employer contribution).</t>
  </si>
  <si>
    <t xml:space="preserve">FY 2021-22 onwards; r.277 from tax year 2026-27.</t>
  </si>
  <si>
    <t xml:space="preserve">Employee contributions by year; PF interest rate.</t>
  </si>
  <si>
    <t xml:space="preserve">pan, ee_pf_contribution_year, vpf_year, employer_contributes_flag, taxable_account_opening, interest_rate</t>
  </si>
  <si>
    <t xml:space="preserve">1. threshold = 5,00,000 if no employer contribution else 2,50,000. 2. excess = EE + VPF - threshold. 3. Taxable account accrues excess + interest on it. 4. Taxable interest = interest accrued in taxable account during the year.</t>
  </si>
  <si>
    <t xml:space="preserve">taxable_interest = interest on (taxable_account balance)</t>
  </si>
  <si>
    <t xml:space="preserve">Rs 2.5 lakh / Rs 5 lakh.</t>
  </si>
  <si>
    <t xml:space="preserve">TDS u/s 194A equivalent by EPFO/trust – not researched.</t>
  </si>
  <si>
    <t xml:space="preserve">EE+VPF &gt; 2.5 lakh -&gt; Info flag for disclosure.</t>
  </si>
  <si>
    <t xml:space="preserve">Excess contribution and estimated taxable interest</t>
  </si>
  <si>
    <t xml:space="preserve">EE+VPF 3,50,000 -&gt; excess 1,00,000; at 8.25% (simplified on monthly contributions ~ half-year) ~ 4,125 taxable interest in year 1 (EPFO method on running balance).</t>
  </si>
  <si>
    <t xml:space="preserve">EE 2,40,000 -&gt; nil</t>
  </si>
  <si>
    <t xml:space="preserve">Including employer contribution in threshold.</t>
  </si>
  <si>
    <t xml:space="preserve">Low (informational)</t>
  </si>
  <si>
    <t xml:space="preserve">thr = 500000 if not er_contrib else 250000
excess = max(0, ee+vpf-thr)
taxable_acct += excess
taxable_int = interest_on(taxable_acct, rate)</t>
  </si>
  <si>
    <t xml:space="preserve">Income Tax Department - Rule 277, Income-tax Rules 2026 | https://www.incometaxindia.gov.in/w/rule-277-1 | Taxable interest on PF contribution; Schedule II Sl. 3 &amp; 4
Patron Accounting - PF taxable interest rules 2026 | https://www.patronaccounting.com/blog/provident-fund-taxable-interest-rules-2026-high-value-pf-contributions | Rule 9D successor (draft reference)</t>
  </si>
  <si>
    <t xml:space="preserve">Rule 277 verified on incometaxindia.gov.in. Patron says draft Rule 12 – conflicts with final Rule 277; use Rule 277.</t>
  </si>
  <si>
    <t xml:space="preserve">PAY-035</t>
  </si>
  <si>
    <t xml:space="preserve">Income-tax – Business deduction</t>
  </si>
  <si>
    <t xml:space="preserve">Employee PF/ESI contributions deposited after statutory due date disallowed (s.36(1)(va))</t>
  </si>
  <si>
    <t xml:space="preserve">Compute disallowance of employees' contributions credited after the respective welfare-law due date.</t>
  </si>
  <si>
    <t xml:space="preserve">ITA 1961 s.2(24)(x), s.36(1)(va) with Explanation 2, s.43B Explanation 5 (Finance Act 2021); Checkmate Services (P) Ltd v CIT (SC, 2022). ITA 2025: s.29(1)(e) (due date = date under relevant Act/rule/notification; general business-deduction section not applicable) – mapping by content (eztax). s.43B equivalent – new-Act section not verified.</t>
  </si>
  <si>
    <t xml:space="preserve">Employers (business/profession) deducting employee PF/ESI/LWF etc.</t>
  </si>
  <si>
    <t xml:space="preserve">AY 2021-22 onwards (Explanation); SC judgment 2022.</t>
  </si>
  <si>
    <t xml:space="preserve">PAY-008/PAY-016 payment dates per wage month.</t>
  </si>
  <si>
    <t xml:space="preserve">wage_month, fund (PF/ESI/LWF), employee_share_amount, statutory_due_date, payment_date</t>
  </si>
  <si>
    <t xml:space="preserve">1. For each wage month and fund, if payment_date &gt; statutory_due_date -&gt; disallow employee_share_amount (entire, no grace days). 2. Employer share – s.43B: allowed if paid by return due date. 3. Sum disallowance for tax audit Form 3CD cl. 20(b) (reference). 4. Use EPFO/ESIC extended due dates only if officially notified.</t>
  </si>
  <si>
    <t xml:space="preserve">disallow = sum(EE_share where paid_date &gt; due_date)</t>
  </si>
  <si>
    <t xml:space="preserve">Officially extended due dates (e.g., EPFO extension notices).</t>
  </si>
  <si>
    <t xml:space="preserve">PF and ESI: 15th of following month.</t>
  </si>
  <si>
    <t xml:space="preserve">Any late EE deposit -&gt; High (tax disallowance).</t>
  </si>
  <si>
    <t xml:space="preserve">Disallowance schedule</t>
  </si>
  <si>
    <t xml:space="preserve">Aug-2026 EE PF 1,80,000 paid 16.09.2026 (due 15.09) -&gt; disallow 1,80,000; ER share 1,80,000 allowed if paid before return due date.</t>
  </si>
  <si>
    <t xml:space="preserve">Paid 15.09 -&gt; no disallowance</t>
  </si>
  <si>
    <t xml:space="preserve">Paid 16.09 -&gt; full disallowance</t>
  </si>
  <si>
    <t xml:space="preserve">Applying 5-day grace period; using return due date for EE share.</t>
  </si>
  <si>
    <t xml:space="preserve">dis = sum(x.ee for x in deposits if x.paid_date &gt; x.due_date)</t>
  </si>
  <si>
    <t xml:space="preserve">CaseMine - Supreme Court affirmation on disallowance of late employee contributions s.36(1)(va) | https://www.casemine.com/commentary/in/supreme-court-affirmation-on-disallowance-of-late-employee-contributions-under-section-36(1)(va)/view | Checkmate Services (SC 2022)
TaxGuru - PF/ESI deduction denied where deposited after statutory due date (ITAT, following Checkmate SC) | https://taxguru.in/income-tax/pf-esi-deduction-denied-employees-contribution-deposited-statutory-due-date.html | s.36(1)(va)
eztax - Income-tax Act 2025 section 29 | https://eztax.in/income-tax-act-2025/section-29 | s.29(1)(a), 29(1)(e)</t>
  </si>
  <si>
    <t xml:space="preserve">SC judgment text and citation (date, appeal no.) not opened. Under Code regime, the 'due date' becomes the date under EPF Scheme 2026/SS Code – same 15th.</t>
  </si>
  <si>
    <t xml:space="preserve">PAY-036</t>
  </si>
  <si>
    <t xml:space="preserve">Code on Wages – Payment</t>
  </si>
  <si>
    <t xml:space="preserve">Full &amp; final settlement wage payment timeline</t>
  </si>
  <si>
    <t xml:space="preserve">Flag late F&amp;F wage payments under the Code.</t>
  </si>
  <si>
    <t xml:space="preserve">Code on Wages 2019 s.17(2) (wages on removal/dismissal/retrenchment/resignation within two working days).</t>
  </si>
  <si>
    <t xml:space="preserve">All employees ceasing employment on/after 21.11.2025.</t>
  </si>
  <si>
    <t xml:space="preserve">Exit date, F&amp;F payment date.</t>
  </si>
  <si>
    <t xml:space="preserve">employee_id, dol, ff_payment_date, holiday_calendar</t>
  </si>
  <si>
    <t xml:space="preserve">1. due = dol + 2 working days. 2. If ff_payment_date &gt; due -&gt; flag. 3. Gratuity separately within 30 days.</t>
  </si>
  <si>
    <t xml:space="preserve">late = ff_paid &gt; add_working_days(dol, 2)</t>
  </si>
  <si>
    <t xml:space="preserve">2 working days</t>
  </si>
  <si>
    <t xml:space="preserve">late -&gt; Medium</t>
  </si>
  <si>
    <t xml:space="preserve">Late F&amp;F list</t>
  </si>
  <si>
    <t xml:space="preserve">Exit Fri 02.10.2026; due Tue 06.10.2026 (Sat/Sun non-working) -&gt; paid 30.10.2026 -&gt; late.</t>
  </si>
  <si>
    <t xml:space="preserve">Paid within 2 days</t>
  </si>
  <si>
    <t xml:space="preserve">Paid after 45 days (old practice) -&gt; flag</t>
  </si>
  <si>
    <t xml:space="preserve">Monthly payroll cycle settlement.</t>
  </si>
  <si>
    <t xml:space="preserve">due = add_working_days(dol, 2, holidays)
if ff_paid &gt; due: flag('MEDIUM')</t>
  </si>
  <si>
    <t xml:space="preserve">iPleaders - Labour Codes 2026 implementation guide (last verified 8 May 2026) | https://blog.ipleaders.in/labour-codes-2026-implementation-complete-guide-to-what-is-in-force-what-changed-and-what-to-do-now/ | 50% wage rule s.2(y); state rules table; MoLE FAQs 16.03.2026
MoLE Compliance Handbook | https://www.labour.gov.in/static/uploads/2026/02/83978455025732b99b0165def80ab171.pdf | s.17</t>
  </si>
  <si>
    <t xml:space="preserve">[VERIFICATION 13-10-2026] MoLE Compliance Handbook: on resignation, dismissal or termination, all due wages must be paid within two working days (Code on Wages s.17). Bare Act not opened.</t>
  </si>
  <si>
    <t xml:space="preserve">PAY-037</t>
  </si>
  <si>
    <t xml:space="preserve">Rounding</t>
  </si>
  <si>
    <t xml:space="preserve">Consolidated rounding rules for payroll statutory dues</t>
  </si>
  <si>
    <t xml:space="preserve">Apply consistent, legally-grounded rounding.</t>
  </si>
  <si>
    <t xml:space="preserve">ESI: SS (Central) Rules 2026 r.19 – each share rounded up to next rupee. EPF/EPS/EDLI: no specific statutory rounding provision located – ECR whole-rupee convention (nearest rupee). TDS: ITA 1961 s.288B. PT/LWF: fixed amounts.</t>
  </si>
  <si>
    <t xml:space="preserve">All computations.</t>
  </si>
  <si>
    <t xml:space="preserve">amount, head</t>
  </si>
  <si>
    <t xml:space="preserve">1. ESI EE/ER: ceil(round(x,2)). 2. EPF EE, EPS, EDLI, admin: round half-up to rupee (configurable); ER_EPF = EE - EPS (difference method) to keep 12% total. 3. Interest/damages: round to rupee at the end. 4. Sep-2026 split: compute in paise, round at final head.</t>
  </si>
  <si>
    <t xml:space="preserve">EPF: Scheme 2026 para 18(5) – nearest rupee, ≥ 50 paise up (EE, ER, EPS, EDLI heads). ESI: each share rounded up to next rupee (SS (Central) Rules 2026 r.19). PT: per state slab (whole rupees).</t>
  </si>
  <si>
    <t xml:space="preserve">Variance &lt;= Re 1 per head -&gt; Low (rounding).</t>
  </si>
  <si>
    <t xml:space="preserve">Rounded amounts with rounding_basis tag</t>
  </si>
  <si>
    <t xml:space="preserve">EPS 8.33% x 15,000 = 1,249.50 -&gt; 1,250; ER_EPF = 1,800 - 1,250 = 550. ESI 0.75% x 18,123 = 135.92 -&gt; 136.</t>
  </si>
  <si>
    <t xml:space="preserve">ESI 135.92 rounded to 135 -&gt; Low flag</t>
  </si>
  <si>
    <t xml:space="preserve">Floor instead of ceil for ESI.</t>
  </si>
  <si>
    <t xml:space="preserve">def round_half_up(x): return int(Decimal(str(x)).quantize(Decimal('1'), ROUND_HALF_UP))</t>
  </si>
  <si>
    <t xml:space="preserve">TaxClue - Rule 19 &amp; 20 Social Security (Central) Rules 2026 | https://taxclue.in/blog/rule-19-20-social-security-central-rules-2026-rate-of-contributions-and-administrative-expenses/ | Rule 19 - ESI contribution 3.25%/0.75%, rounded up; G.S.R. 344(E) dt 08.05.2026
Frappe HR docs - India payroll Employee Provident Fund | https://docs.frappe.io/hr/india-payroll/employee-provident-fund.md | Rounding convention (software vendor)
SGCMS - FAQs by EPFO: Wage ceiling raised to 25000 | https://www.sgcms.com/regulatory-updates/faqs-by-epfo-wage-ceiling-raised-to-25000/ | S.O. 5109(E) dt 17.09.2026; EPFO FAQ Q6-Q13, Q37-Q45
EPF Scheme 2026 (gazette copy) | https://www.staffnews.in/wp-content/uploads/2026/07/Employees-Provident-Funds-Scheme-2026-273957.pdf | para 18(5)</t>
  </si>
  <si>
    <t xml:space="preserve">[VERIFICATION 13-10-2026] The EPF rounding rule is now found in law. EPF Scheme 2026 para 18(5): each contribution is computed to the nearest rupee (50 paise and above up, below 50 paise dropped). EDLI Scheme 2026 para 7: damages rounded to nearest rupee. ESI round-up (r.19) still secondary. CORRECTION: EPF line: replace 'Not specified in law – implementation choice' with 'EPF Scheme 2026 para 18(5) – nearest rupee, &gt;=50 paise up' (applies to EE, ER, EPS, EDLI heads). EPF rounding is 'Not specified in law (not located) – implementation choice'.</t>
  </si>
  <si>
    <t xml:space="preserve">Matching, classification, BRS statement, stale cheques.  Row 5 holds the YAML key for each column. Research date 13 October 2026. Every rule needs CA validation before use.</t>
  </si>
  <si>
    <t xml:space="preserve">BRS-001</t>
  </si>
  <si>
    <t xml:space="preserve">Bank Reconciliation – Matching</t>
  </si>
  <si>
    <t xml:space="preserve">Auto-match bank statement lines to cash book (bank ledger) entries</t>
  </si>
  <si>
    <t xml:space="preserve">Pair each bank-statement transaction with its book entry so that only genuine reconciling items remain.</t>
  </si>
  <si>
    <t xml:space="preserve">Generally accepted accounting/audit practice (ICAI Standards on Auditing; no specific statutory section); supports s.128 Companies Act 2013 (proper books) and CARO 2020 / SA 500 audit evidence.</t>
  </si>
  <si>
    <t xml:space="preserve">All entities with bank accounts; every bank account separately, per period (month).</t>
  </si>
  <si>
    <t xml:space="preserve">Ongoing practice</t>
  </si>
  <si>
    <t xml:space="preserve">Bank ledger for period + opening unreconciled items from previous BRS; bank statement (CSV/MT940/PDF parsed) for same account &amp; period; account mapping book_ledger_id &lt;-&gt; bank_account_no.</t>
  </si>
  <si>
    <t xml:space="preserve">book_txn_id, book_date, book_amount, book_dr_cr, book_narration, instrument_no (cheque no.), utr_ref, party_name, bank_txn_id, value_date, posting_date, bank_amount, bank_dr_cr, bank_description, bank_ref_no, cheque_no_bank</t>
  </si>
  <si>
    <t xml:space="preserve">1. Normalise: book receipts (Dr bank ledger) ↔ bank credits; book payments (Cr bank ledger) ↔ bank debits. Convert amounts to paise integers. 2. Extract references from narrations via regex: cheque no (6 digits), UTR (NEFT 16 char e.g. 'N'+..., RTGS 22 char, IMPS 12-digit RRN), UPI ref (12 digits). 3. Pass 1 (exact key): match where amount equal AND (cheque_no equal OR UTR equal). Confidence 100. 4. Pass 2 (amount + date window): unmatched items where amount equal and |bank_date − book_date| ≤ window (default: 0–3 days for electronic; for cheques issued 0–90 days since cheque may be presented any time within validity; for cheques deposited 0–7 days for clearing). If exactly one candidate → match (confidence 80); if many → pick nearest date, flag 'ambiguous'. 5. Pass 3 (fuzzy): amount equal, party name token similarity ≥ 0.8 within 7 days (confidence 60) → suggest only, require user confirmation. 6. Pass 4 (one-to-many / many-to-one): subset-sum of up to N (default 5) book items within 7 days equal to one bank line (e.g. bulk deposit slip, batch salary) → suggest. 7. Carry-forward: previous period's unreconciled items participate in matching first. 8. Each bank line and book line can be matched only once (lock on match). 9. Everything unmatched goes to BRS-002 classification.</t>
  </si>
  <si>
    <t xml:space="preserve">match if amount_book == amount_bank AND direction consistent AND (ref_book == ref_bank OR |date_bank − date_book| ≤ window_days)</t>
  </si>
  <si>
    <t xml:space="preserve">Date windows configurable: electronic (NEFT/RTGS/IMPS/UPI) 3 days; cheque deposited 7 days; cheque issued up to 3 months (instrument validity per RBI circular – see BRS-004). Fuzzy name threshold 0.8.</t>
  </si>
  <si>
    <t xml:space="preserve">Sweep/FD auto transfers, cash deposit machine credits without reference, and POS settlement batches net of MDR need special handling (net vs gross).</t>
  </si>
  <si>
    <t xml:space="preserve">Not specified in law – implementation choice (compare at paise precision; configurable tolerance, default ₹0.00 for TB/BRS, ₹1 for cross-system matches)</t>
  </si>
  <si>
    <t xml:space="preserve">Monthly BRS recommended; at minimum at each reporting date (quarterly for lenders' stock statements; year-end for audit).</t>
  </si>
  <si>
    <t xml:space="preserve">Duplicate match attempt -&gt; block; amount equal but direction opposite -&gt; do not match, flag 'possible reversal'; same UTR on two book entries -&gt; flag 'duplicate booking' (High).</t>
  </si>
  <si>
    <t xml:space="preserve">Match table (book_txn_id, bank_txn_id, pass, confidence, date_gap); unmatched book list; unmatched bank list; match-rate %.</t>
  </si>
  <si>
    <t xml:space="preserve">Book: 05-Apr payment ₹45,000 chq 123456. Bank: 09-Apr debit ₹45,000 'CHQ 123456' -&gt; Pass 1 match (date gap 4). Book: 10-Apr receipt ₹1,20,000 NEFT UTR SBIN0000123456; bank 10-Apr credit ₹1,20,000 same UTR -&gt; Pass 1.</t>
  </si>
  <si>
    <t xml:space="preserve">Book Cr ₹10,000 chq 000111 on 01-Jun; bank Dr ₹10,000 chq 000111 on 20-Jun -&gt; matched (pass 1).</t>
  </si>
  <si>
    <t xml:space="preserve">Book Cr ₹10,000 chq 000111; bank Dr ₹10,000 chq 000112 same day -&gt; NOT matched in pass 1; pass 2 suggests with 'ref mismatch' warning; user must confirm.</t>
  </si>
  <si>
    <t xml:space="preserve">Cheque number keyed wrong in books; bank posts NEFT charges with GST as separate lines; one deposit slip with several cheques; reversals of bounced cheques.</t>
  </si>
  <si>
    <t xml:space="preserve">Low for matched; unmatched items route to BRS-002. Ambiguous suggestions Medium.</t>
  </si>
  <si>
    <t xml:space="preserve">def auto_match(book, bank, win):
    for p in [exact_ref, amt_date, fuzzy_name, subset_sum]:
        for b in unmatched(bank):
            cands=[x for x in unmatched(book) if p.ok(x,b,win)]
            if len(cands)==1: link(cands[0],b,p.conf)
            elif cands: suggest(min(cands,key=lambda x:abs(x.date-b.date)),b,'ambiguous')</t>
  </si>
  <si>
    <t xml:space="preserve">RBI – Payment of cheques/drafts/pay orders/banker's cheques presented beyond 3 months | https://www.rbi.org.in/commonman/English/scripts/Notification.aspx?Id=961 | RBI/2011-12/251 DBOD.AML BC.No.47/14.01.001/2011-12 dated 04-11-2011, eff. 01-04-2012</t>
  </si>
  <si>
    <t xml:space="preserve">Matching algorithm is professional practice, not law; only the 3-month cheque validity is regulatory (RBI). UTR length conventions are bank-industry practice – treat regex as configurable.</t>
  </si>
  <si>
    <t xml:space="preserve">BRS-002</t>
  </si>
  <si>
    <t xml:space="preserve">Bank Reconciliation – Classification</t>
  </si>
  <si>
    <t xml:space="preserve">Classify unmatched items into standard BRS categories</t>
  </si>
  <si>
    <t xml:space="preserve">Put every unreconciled item into a recognised reconciling category and identify items needing book entries vs timing differences.</t>
  </si>
  <si>
    <t xml:space="preserve">Generally accepted accounting/audit practice (ICAI Standards on Auditing; no specific statutory section)</t>
  </si>
  <si>
    <t xml:space="preserve">All bank reconciliations.</t>
  </si>
  <si>
    <t xml:space="preserve">Output of BRS-001.</t>
  </si>
  <si>
    <t xml:space="preserve">unmatched_book_items(date, amount, dr_cr, instrument_type, instrument_no), unmatched_bank_items(date, amount, dr_cr, description), period_end_date</t>
  </si>
  <si>
    <t xml:space="preserve">1. Book Cr (payment) not in bank -&gt; 'A: Cheques issued but not presented' (if instrument_type=cheque) else 'A2: Electronic payment not debited by bank' (unusual -&gt; flag High if &gt; 3 days old). 2. Book Dr (receipt) not in bank -&gt; 'B: Cheques deposited but not credited (uncleared)'; if older than 7 days -&gt; flag 'possible dishonour/not deposited'. 3. Bank Dr not in book: description keywords (CHG, CHARGES, SMS, GST ON, AMC, COMM, INT DR, EMI, ECS, NACH, TDS) -&gt; 'C: Bank charges/interest/debits not in books' (requires journal). Keyword RETURN/RTN/BOUNCE/DISHONOUR -&gt; 'C2: Cheque dishonoured – not recorded'. 4. Bank Cr not in book: INT CR / INTEREST -&gt; 'D1: Interest credited not in books'; NEFT/RTGS/IMPS/UPI CR -&gt; 'D2: Direct credit by customer not in books'; DIV / REFUND -&gt; 'D3'. 5. Paired errors: same reference, amounts differ -&gt; 'E: Error' with difference; amounts are digit transpositions (diff divisible by 9) -&gt; 'E1: Transposition error'. 6. Items in categories C, D, E require adjusting entries in books (book-side corrections); A, B are timing differences (bank-side). 7. Produce BRS-003 statement.</t>
  </si>
  <si>
    <t xml:space="preserve">Category determined by side (book/bank) × direction (Dr/Cr) × instrument/keywords; transposition test: (book_amt − bank_amt) mod 9 == 0 and digits are permutation.</t>
  </si>
  <si>
    <t xml:space="preserve">Uncleared deposit ageing &gt; 7 days -&gt; flag; issued cheque &gt; 3 months from instrument date -&gt; stale (BRS-004).</t>
  </si>
  <si>
    <t xml:space="preserve">Post-dated cheques recorded in books before instrument date should be reversed – flag if instrument_date &gt; period_end.</t>
  </si>
  <si>
    <t xml:space="preserve">Each BRS date</t>
  </si>
  <si>
    <t xml:space="preserve">Every unmatched item must have exactly one category; category C/D/E items count must reduce to zero after book adjustments in next run.</t>
  </si>
  <si>
    <t xml:space="preserve">Classified reconciling-items list with category code, age in days, suggested journal entry for C/D/E.</t>
  </si>
  <si>
    <t xml:space="preserve">Bank Dr ₹590 'NEFT CHGS INCL GST' -&gt; C (bank charges ₹500 + GST ₹90). Suggested JE: Bank charges Dr 500, Input GST Dr 90, Bank Cr 590.</t>
  </si>
  <si>
    <t xml:space="preserve">Bank Cr ₹2,345 'INT CR 30-06' not in books -&gt; D1, JE Bank Dr / Interest income Cr 2,345.</t>
  </si>
  <si>
    <t xml:space="preserve">Book receipt ₹50,000 cheque deposited 25-Jun, not in bank at 30-Jun -&gt; B (timing), NOT a book adjustment.</t>
  </si>
  <si>
    <t xml:space="preserve">GST on bank charges not booked; ECS/NACH EMIs not booked; customers paying directly without intimation.</t>
  </si>
  <si>
    <t xml:space="preserve">C/D/E: High until JE posted; A/B: Low (timing) unless aged.</t>
  </si>
  <si>
    <t xml:space="preserve">def classify(i):
    if i.side=='book': return 'A' if i.cr else 'B'
    if i.dr: return 'C2' if re.search('RTN|RETURN|BOUNCE',i.desc) else 'C'
    return 'D1' if 'INT' in i.desc else 'D2'</t>
  </si>
  <si>
    <t xml:space="preserve">Categories are standard textbook/ICAI study-material practice; no specific official source opened. Keyword lists are bank-specific – make configurable.</t>
  </si>
  <si>
    <t xml:space="preserve">BRS-003</t>
  </si>
  <si>
    <t xml:space="preserve">Bank Reconciliation – Statement</t>
  </si>
  <si>
    <t xml:space="preserve">BRS formula: balance per books ± reconciling items = balance per bank</t>
  </si>
  <si>
    <t xml:space="preserve">Prove that the difference between cash book and pass book is fully explained.</t>
  </si>
  <si>
    <t xml:space="preserve">All bank accounts</t>
  </si>
  <si>
    <t xml:space="preserve">BRS-002 classification; closing balances both sides on same date.</t>
  </si>
  <si>
    <t xml:space="preserve">book_closing_balance (Dr positive = favourable), bank_closing_balance (Cr in passbook positive = favourable), classified_items(category, amount)</t>
  </si>
  <si>
    <t xml:space="preserve">1. Start with balance as per cash book (favourable +). 2. ADD: cheques issued but not presented (A); interest/direct credits in bank not in books (D1,D2,D3). 3. LESS: cheques deposited not credited (B); bank charges/debits not in books (C, C2). 4. ± errors (E) by direction. 5. Result = computed bank balance. 6. Compare with actual bank balance; difference must be 0. 7. Also produce 'adjusted cash book balance' = book balance + D − C ± E (this is the figure that should appear in financial statements). 8. Check: adjusted cash book balance = bank balance + B − A.</t>
  </si>
  <si>
    <t xml:space="preserve">Bank_bal = Book_bal + ΣA − ΣB + ΣD − ΣC ± ΣE ; Adjusted_book = Book_bal + ΣD − ΣC ± ΣE_book ; Adjusted_book == Bank_bal + ΣB − ΣA</t>
  </si>
  <si>
    <t xml:space="preserve">Unexplained difference tolerance: ₹0 (configurable).</t>
  </si>
  <si>
    <t xml:space="preserve">Overdraft accounts: treat unfavourable balances as negative numbers and the same formula holds.</t>
  </si>
  <si>
    <t xml:space="preserve">Monthly / reporting date</t>
  </si>
  <si>
    <t xml:space="preserve">Unexplained difference ≠ 0 -&gt; Critical; adjusted book balance ≠ balance used in TB/FS -&gt; High.</t>
  </si>
  <si>
    <t xml:space="preserve">BRS statement in standard format, adjusted cash book balance, list of JEs to pass, unexplained difference (must be 0).</t>
  </si>
  <si>
    <t xml:space="preserve">Book balance (Dr) ₹5,00,000. Items: (1) Cheques issued not presented ₹80,000 [+]; (2) Cheques deposited not credited ₹1,20,000 [−]; (3) Bank charges ₹1,180 not in books [−]; (4) Interest credited ₹3,500 not in books [+]; (5) Direct NEFT credit by customer ₹45,000 not in books [+]. Bank = 5,00,000 + 80,000 − 1,20,000 − 1,180 + 3,500 + 45,000 = ₹5,07,320. Adjusted book = 5,00,000 − 1,180 + 3,500 + 45,000 = ₹5,47,320; check 5,07,320 + 1,20,000 − 80,000 = 5,47,320 ✓.</t>
  </si>
  <si>
    <t xml:space="preserve">Bank statement shows ₹5,07,320 with above items -&gt; difference 0, status Reconciled.</t>
  </si>
  <si>
    <t xml:space="preserve">Bank shows ₹5,07,230 -&gt; unexplained ₹90 (divisible by 9 -&gt; hint transposition) -&gt; Critical.</t>
  </si>
  <si>
    <t xml:space="preserve">Opening unreconciled items not carried forward; sign convention errors on overdraft accounts.</t>
  </si>
  <si>
    <t xml:space="preserve">Critical if unexplained difference; High if adjusted book balance not booked before closing.</t>
  </si>
  <si>
    <t xml:space="preserve">calc_bank = book + sum(A) - sum(B) + sum(D) - sum(C) + sum(E)
diff = bank_actual - calc_bank
status = 'OK' if abs(diff)&lt;=tol else 'CRITICAL'</t>
  </si>
  <si>
    <t xml:space="preserve">Standard accounting formula; worked example built by researcher.</t>
  </si>
  <si>
    <t xml:space="preserve">BRS-004</t>
  </si>
  <si>
    <t xml:space="preserve">Bank Reconciliation – Stale cheques</t>
  </si>
  <si>
    <t xml:space="preserve">Stale cheque detection (instrument older than 3 months)</t>
  </si>
  <si>
    <t xml:space="preserve">Identify issued/received cheques that can no longer be paid by banks and must be written back/re-issued.</t>
  </si>
  <si>
    <t xml:space="preserve">RBI circular RBI/2011-12/251 DBOD.AML BC.No.47/14.01.001/2011-12 dated 04-11-2011 (validity of cheques, drafts, pay orders, banker's cheques reduced from 6 to 3 months).</t>
  </si>
  <si>
    <t xml:space="preserve">Cheques/drafts/pay orders/banker's cheques dated on or after 01-04-2012.</t>
  </si>
  <si>
    <t xml:space="preserve">01-04-2012</t>
  </si>
  <si>
    <t xml:space="preserve">Category A and B items with instrument_date.</t>
  </si>
  <si>
    <t xml:space="preserve">instrument_no, instrument_date, amount, party_name, category, brs_date</t>
  </si>
  <si>
    <t xml:space="preserve">1. For each A item (issued not presented): stale_date = instrument_date + 3 calendar months (same day number; if absent use last day of month). 2. If brs_date &gt; stale_date -&gt; 'Stale cheque' – propose JE: Bank Dr / Party (creditor) Cr (write back liability; reissue later). 3. For B items (deposited not credited) older than clearing window -&gt; investigate; if instrument itself older than 3 months at deposit -&gt; 'stale on deposit' (will be returned). 4. Use instrument_date not book entry date.</t>
  </si>
  <si>
    <t xml:space="preserve">stale if brs_date &gt; add_months(instrument_date, 3)</t>
  </si>
  <si>
    <t xml:space="preserve">3 months from date of instrument.</t>
  </si>
  <si>
    <t xml:space="preserve">Cheques dated before 01-04-2012 had 6-month validity (historical only). Revalidated cheques – use revalidation date if captured.</t>
  </si>
  <si>
    <t xml:space="preserve">Check at every BRS</t>
  </si>
  <si>
    <t xml:space="preserve">instrument_date missing -&gt; use book date with warning; stale &gt; 0 at year end -&gt; High (liability misstatement).</t>
  </si>
  <si>
    <t xml:space="preserve">Stale cheque list with suggested reversal JEs; amount by party.</t>
  </si>
  <si>
    <t xml:space="preserve">Cheque issued 10-Dec-2025 ₹25,000; BRS 31-Mar-2026; stale_date 10-Mar-2026 &lt; 31-Mar-2026 -&gt; stale; JE Bank Dr 25,000 / Supplier Cr 25,000.</t>
  </si>
  <si>
    <t xml:space="preserve">Instrument 15-Jan-2026, BRS 31-Mar-2026 -&gt; not stale (stale_date 15-Apr-2026).</t>
  </si>
  <si>
    <t xml:space="preserve">Instrument 30-Nov-2025, BRS 28-Feb-2026 -&gt; stale_date 28-Feb-2026 (no 30-Feb) -&gt; not stale on 28-Feb (equal), stale from 01-Mar.</t>
  </si>
  <si>
    <t xml:space="preserve">Old unpresented cheques carried for years; bank balance overstated by not writing back.</t>
  </si>
  <si>
    <t xml:space="preserve">from dateutil.relativedelta import relativedelta
stale = brs_date &gt; i.instrument_date + relativedelta(months=3)</t>
  </si>
  <si>
    <t xml:space="preserve">Edge-case month-end handling is an implementation choice (relativedelta convention).</t>
  </si>
  <si>
    <t xml:space="preserve">BRS-005</t>
  </si>
  <si>
    <t xml:space="preserve">Bank Reconciliation – Book vs Bank control</t>
  </si>
  <si>
    <t xml:space="preserve">Bank ledger in TB equals adjusted BRS book balance; negative bank balance without OD limit</t>
  </si>
  <si>
    <t xml:space="preserve">Ensure bank balances in TB/FS agree with reconciled bank and that credit balances are classified as borrowings.</t>
  </si>
  <si>
    <t xml:space="preserve">Schedule III Division I/II (cash and cash equivalents; short-term borrowings incl. bank overdraft) – G.S.R. 207(E) 24-03-2021 amendments; Generally accepted accounting/audit practice (ICAI Standards on Auditing; no specific statutory section)</t>
  </si>
  <si>
    <t xml:space="preserve">Companies (Schedule III); general for others.</t>
  </si>
  <si>
    <t xml:space="preserve">FY 2021-22 onwards for amended Schedule III</t>
  </si>
  <si>
    <t xml:space="preserve">BRS-003 complete; sanctioned OD/CC limits master.</t>
  </si>
  <si>
    <t xml:space="preserve">ledger_id, tb_closing_balance, brs_adjusted_book_balance, sanctioned_limit, account_type (current/savings/CC/OD)</t>
  </si>
  <si>
    <t xml:space="preserve">1. Compare TB bank balance with adjusted book balance after JEs -&gt; must be equal. 2. If any bank ledger has credit balance and account_type is current/savings (no OD) -&gt; flag 'unauthorised overdraft / cheques issued in excess' and require reclassification to 'other current liabilities' or borrowings per policy. 3. If CC/OD balance &gt; sanctioned limit -&gt; flag. 4. FS: CC/OD credit balances must sit in short-term borrowings, not netted against other bank debit balances unless right of set-off.</t>
  </si>
  <si>
    <t xml:space="preserve">diff = tb_bal − adjusted_book_bal; flag credit_bal_on_current = tb_bal &lt; 0 and type in (current,savings)</t>
  </si>
  <si>
    <t xml:space="preserve">Tolerance ₹0.</t>
  </si>
  <si>
    <t xml:space="preserve">Reporting date</t>
  </si>
  <si>
    <t xml:space="preserve">diff≠0 -&gt; High; netting of OD against positive bank balances -&gt; Medium.</t>
  </si>
  <si>
    <t xml:space="preserve">Bank control summary per account.</t>
  </si>
  <si>
    <t xml:space="preserve">TB HDFC CA = ₹(−)35,000 Cr; no OD sanctioned -&gt; flag; reclassify ₹35,000 to current liabilities.</t>
  </si>
  <si>
    <t xml:space="preserve">TB 5,47,320 = adjusted book 5,47,320 -&gt; OK.</t>
  </si>
  <si>
    <t xml:space="preserve">CC limit ₹50 lakh, balance ₹52 lakh Cr -&gt; flag over-limit.</t>
  </si>
  <si>
    <t xml:space="preserve">Netting of OD with current account; JEs from BRS not posted before TB extraction.</t>
  </si>
  <si>
    <t xml:space="preserve">if tb_bal != adj_bal: flag('High')
if tb_bal&lt;0 and type in ('CA','SB'): flag('High','credit balance in bank')</t>
  </si>
  <si>
    <t xml:space="preserve">DPNC – Amendment in Schedule III (w.e.f. 01.04.2021) | https://www.dpncindia.com/amendment-in-schedule-iii-of-the-companies-act-2013-applicable-w-e-f-01-04-2021 | G.S.R. 207(E) dt 24-03-2021</t>
  </si>
  <si>
    <t xml:space="preserve">Schedule III classification principle verified only at secondary-source level; reclassification policy is implementation choice.</t>
  </si>
  <si>
    <t xml:space="preserve">Arithmetic, suspense, opening-balance continuity, ledger agreement, abnormal balances.  Row 5 holds the YAML key for each column. Research date 13 October 2026. Every rule needs CA validation before use.</t>
  </si>
  <si>
    <t xml:space="preserve">TB-001</t>
  </si>
  <si>
    <t xml:space="preserve">Trial Balance – Arithmetic</t>
  </si>
  <si>
    <t xml:space="preserve">Total debits equal total credits</t>
  </si>
  <si>
    <t xml:space="preserve">Detect arithmetical/posting imbalance before any further analysis.</t>
  </si>
  <si>
    <t xml:space="preserve">Generally accepted accounting/audit practice (ICAI Standards on Auditing; no specific statutory section); s.128 Companies Act 2013 (double-entry books).</t>
  </si>
  <si>
    <t xml:space="preserve">All entities</t>
  </si>
  <si>
    <t xml:space="preserve">TB extract with all ledgers incl. zero balances.</t>
  </si>
  <si>
    <t xml:space="preserve">ledger_id, ledger_name, group, closing_dr, closing_cr, opening_dr, opening_cr, period_dr, period_cr</t>
  </si>
  <si>
    <t xml:space="preserve">1. Sum closing_dr and closing_cr. 2. diff = ΣDr − ΣCr. 3. If diff≠0: run diagnostics – (a) diff/2 equals any single ledger balance -&gt; 'posted on wrong side'; (b) diff divisible by 9 -&gt; 'transposition/slide'; (c) diff equals an individual voucher amount -&gt; 'one-sided posting'; (d) check per-row opening+period movement = closing (row integrity). 4. Check suspense/difference-in-opening ledgers (TB-002).</t>
  </si>
  <si>
    <t xml:space="preserve">diff = Σclosing_dr − Σclosing_cr; row check: opening_dr−opening_cr+period_dr−period_cr == closing_dr−closing_cr</t>
  </si>
  <si>
    <t xml:space="preserve">Tolerance ₹0</t>
  </si>
  <si>
    <t xml:space="preserve">Every TB import</t>
  </si>
  <si>
    <t xml:space="preserve">diff≠0 -&gt; Critical; row integrity fail -&gt; High.</t>
  </si>
  <si>
    <t xml:space="preserve">TB status, diff, diagnostic hints with candidate ledgers/vouchers.</t>
  </si>
  <si>
    <t xml:space="preserve">ΣDr ₹1,25,48,600; ΣCr ₹1,25,39,600; diff ₹9,000. diff/2 = ₹4,500 = balance of 'Telephone exp' -&gt; likely shown on Cr side; diff/9=1,000 -&gt; also check transposition (e.g. 63,000 entered as 54,000? 63−54=9 ×1000 ✓).</t>
  </si>
  <si>
    <t xml:space="preserve">ΣDr = ΣCr = ₹10,00,000 -&gt; Balanced.</t>
  </si>
  <si>
    <t xml:space="preserve">ΣDr 10,00,000 ΣCr 9,99,999.99 -&gt; diff ₹0.01 -&gt; Critical (no tolerance).</t>
  </si>
  <si>
    <t xml:space="preserve">Export from Tally with groups and ledgers both included (double counting); negative signs lost in CSV.</t>
  </si>
  <si>
    <t xml:space="preserve">diff=sum(r.dr for r in tb)-sum(r.cr for r in tb)
hints=[l for l in tb if abs(l.bal)==abs(diff)/2]</t>
  </si>
  <si>
    <t xml:space="preserve">Generic accounting control.</t>
  </si>
  <si>
    <t xml:space="preserve">TB-002</t>
  </si>
  <si>
    <t xml:space="preserve">Trial Balance – Suspense</t>
  </si>
  <si>
    <t xml:space="preserve">Suspense / difference-in-opening-balance ledgers must be nil at period end</t>
  </si>
  <si>
    <t xml:space="preserve">Flag unexplained balances parked in suspense ledgers.</t>
  </si>
  <si>
    <t xml:space="preserve">Ledger master with names/groups.</t>
  </si>
  <si>
    <t xml:space="preserve">ledger_name, group, closing_balance, voucher list for ledger</t>
  </si>
  <si>
    <t xml:space="preserve">1. Identify ledgers by name/group regex: suspense, difference in opening, temp, clearing, misc. to be adjusted, unidentified receipts. 2. If closing ≠ 0 -&gt; flag; list contributing vouchers with age. 3. Tally-specific: 'Difference in opening balances' row in TB -&gt; Critical.</t>
  </si>
  <si>
    <t xml:space="preserve">flag if |closing_balance| &gt; 0</t>
  </si>
  <si>
    <t xml:space="preserve">Zero tolerance at year end; interim configurable.</t>
  </si>
  <si>
    <t xml:space="preserve">Clearing accounts (e.g. salary payable clearing) allowed if nil at year-end.</t>
  </si>
  <si>
    <t xml:space="preserve">Year end / quarter end</t>
  </si>
  <si>
    <t xml:space="preserve">Non-zero suspense at year end -&gt; High; Difference in opening -&gt; Critical</t>
  </si>
  <si>
    <t xml:space="preserve">Suspense report with ageing.</t>
  </si>
  <si>
    <t xml:space="preserve">Suspense Cr ₹48,000 (unidentified NEFT receipt 12-Mar) -&gt; High; likely relates to BRS D2 item.</t>
  </si>
  <si>
    <t xml:space="preserve">Suspense nil -&gt; pass.</t>
  </si>
  <si>
    <t xml:space="preserve">Suspense ₹1 Cr balance -&gt; flag</t>
  </si>
  <si>
    <t xml:space="preserve">Unidentified receipts parked; rounding differences accumulated.</t>
  </si>
  <si>
    <t xml:space="preserve">for l in tb:
  if re.search('suspense|difference in opening',l.name,re.I) and l.bal: flag(l)</t>
  </si>
  <si>
    <t xml:space="preserve">TB-003</t>
  </si>
  <si>
    <t xml:space="preserve">Trial Balance – Continuity</t>
  </si>
  <si>
    <t xml:space="preserve">Opening balances equal previous year's audited closing balances</t>
  </si>
  <si>
    <t xml:space="preserve">Ensure roll-forward integrity (SA 510 Initial engagements – opening balances).</t>
  </si>
  <si>
    <t xml:space="preserve">SA 510 (ICAI) – Initial Audit Engagements – Opening Balances; Generally accepted accounting/audit practice (ICAI Standards on Auditing; no specific statutory section)</t>
  </si>
  <si>
    <t xml:space="preserve">All audits; mandatory comparison year-on-year</t>
  </si>
  <si>
    <t xml:space="preserve">Prior-year closing TB (audited, post-adjustment) and current opening TB; ledger mapping across years.</t>
  </si>
  <si>
    <t xml:space="preserve">ledger_id, prior_closing_balance, current_opening_balance, ledger_nature (BS/PL)</t>
  </si>
  <si>
    <t xml:space="preserve">1. Map ledgers (by id, else name). 2. For Balance-sheet ledgers: current_opening must equal prior_closing. 3. For P&amp;L ledgers: current_opening must be 0; sum of prior P&amp;L closing must equal movement in retained earnings / P&amp;L appropriation opening. 4. List new/unmapped ledgers. 5. Check audit adjustments of prior year were posted (compare to audited FS not just books).</t>
  </si>
  <si>
    <t xml:space="preserve">diff_i = current_opening_i − prior_closing_i (BS); PL_opening_i must = 0</t>
  </si>
  <si>
    <t xml:space="preserve">Ledger merges/renames – require mapping table.</t>
  </si>
  <si>
    <t xml:space="preserve">At start of each audit</t>
  </si>
  <si>
    <t xml:space="preserve">Any diff -&gt; High; P&amp;L opening ≠ 0 -&gt; High.</t>
  </si>
  <si>
    <t xml:space="preserve">Opening balance reconciliation report.</t>
  </si>
  <si>
    <t xml:space="preserve">Prior Sundry creditors ₹12,40,000 Cr; current opening ₹12,10,000 Cr -&gt; diff ₹30,000 (likely audit adjustment not posted).</t>
  </si>
  <si>
    <t xml:space="preserve">All equal -&gt; pass</t>
  </si>
  <si>
    <t xml:space="preserve">Sales ledger opening ₹5,00,000 -&gt; flag (P&amp;L ledger not closed).</t>
  </si>
  <si>
    <t xml:space="preserve">Audit entries not passed in books; back-dated entries in closed year (see LED-009).</t>
  </si>
  <si>
    <t xml:space="preserve">for l in bs_ledgers: chk(l.open == prev[l.id].close)
for l in pl_ledgers: chk(l.open == 0)</t>
  </si>
  <si>
    <t xml:space="preserve">SA 510 referenced from professional knowledge; ICAI page not opened in this session.</t>
  </si>
  <si>
    <t xml:space="preserve">TB-004</t>
  </si>
  <si>
    <t xml:space="preserve">Trial Balance – Ledger agreement</t>
  </si>
  <si>
    <t xml:space="preserve">TB balance equals sum of ledger/voucher postings and sub-ledgers</t>
  </si>
  <si>
    <t xml:space="preserve">Confirm TB is generated from complete ledgers; control accounts agree to sub-ledgers (debtors/creditors party-wise, fixed asset register, stock register).</t>
  </si>
  <si>
    <t xml:space="preserve">All</t>
  </si>
  <si>
    <t xml:space="preserve">Day book / voucher export and party sub-ledgers.</t>
  </si>
  <si>
    <t xml:space="preserve">ledger_id, tb_closing, voucher_lines(ledger_id, dr, cr), opening, subledger_party_balances, far_net_block, stock_register_value</t>
  </si>
  <si>
    <t xml:space="preserve">1. Recompute each ledger closing = opening + ΣDr − ΣCr from vouchers. 2. Compare to TB closing. 3. Control vs sub-ledger: Σparty balances under Sundry Debtors = TB debtors control; likewise creditors. 4. FAR net block by class = TB fixed asset ledgers. 5. Closing stock per stock register (valued) = TB/FS inventory (see FS-007).</t>
  </si>
  <si>
    <t xml:space="preserve">recalc = opening + ΣDr − ΣCr; diff = tb_closing − recalc</t>
  </si>
  <si>
    <t xml:space="preserve">₹0</t>
  </si>
  <si>
    <t xml:space="preserve">Each period</t>
  </si>
  <si>
    <t xml:space="preserve">diff≠0 -&gt; High</t>
  </si>
  <si>
    <t xml:space="preserve">Ledger recompute report; control-account reconciliation.</t>
  </si>
  <si>
    <t xml:space="preserve">Debtors control ₹48,20,000; Σparty ledgers ₹48,05,000 -&gt; diff ₹15,000 (unallocated receipt on account).</t>
  </si>
  <si>
    <t xml:space="preserve">Equal</t>
  </si>
  <si>
    <t xml:space="preserve">Voucher deleted after TB export -&gt; recompute differs</t>
  </si>
  <si>
    <t xml:space="preserve">On-account receipts not allocated; FAR not updated for disposals.</t>
  </si>
  <si>
    <t xml:space="preserve">recalc={l:open[l]+sum(dr)-sum(cr)}; diffs={l:tb[l]-recalc[l] for l in tb if tb[l]!=recalc[l]}</t>
  </si>
  <si>
    <t xml:space="preserve">TB-005</t>
  </si>
  <si>
    <t xml:space="preserve">Trial Balance – Sign checks</t>
  </si>
  <si>
    <t xml:space="preserve">Abnormal balance detection</t>
  </si>
  <si>
    <t xml:space="preserve">Identify ledgers whose balance sign is contrary to their nature.</t>
  </si>
  <si>
    <t xml:space="preserve">Generally accepted accounting/audit practice (ICAI Standards on Auditing; no specific statutory section); Schedule III requires reclassification (e.g., debit balances in creditors shown as advances).</t>
  </si>
  <si>
    <t xml:space="preserve">Ledger→group mapping with expected nature.</t>
  </si>
  <si>
    <t xml:space="preserve">ledger_id, group, expected_nature(Dr/Cr), closing_balance</t>
  </si>
  <si>
    <t xml:space="preserve">1. Expected Dr: cash, bank (non-OD), debtors, inventory, fixed assets, expenses, advances, input tax credit. Expected Cr: capital, reserves, loans, creditors, income, output GST, TDS payable, provisions. 2. Flag where sign opposite. 3. Specific: Cash-in-hand negative (Critical – physically impossible); Fixed asset negative; Accumulated depreciation &gt; gross block; Debtor party with Cr balance (advance from customer – reclass); Creditor party with Dr balance (advance to supplier – reclass); Expense ledger with Cr balance (possible income misposting); Income ledger with Dr balance. 4. Provide reclassification suggestion for FS.</t>
  </si>
  <si>
    <t xml:space="preserve">abnormal if sign(balance) != expected_sign(group)</t>
  </si>
  <si>
    <t xml:space="preserve">Configurable materiality for party-level (default flag all).</t>
  </si>
  <si>
    <t xml:space="preserve">Discount/rebate ledgers, contra accounts (provision for doubtful debts, accumulated depreciation).</t>
  </si>
  <si>
    <t xml:space="preserve">Each TB</t>
  </si>
  <si>
    <t xml:space="preserve">Cash negative -&gt; Critical; others Medium</t>
  </si>
  <si>
    <t xml:space="preserve">Abnormal balance list + reclass entries.</t>
  </si>
  <si>
    <t xml:space="preserve">Debtor 'ABC Ltd' Cr ₹2,00,000 -&gt; reclass to 'Advance from customers' (other current liabilities).</t>
  </si>
  <si>
    <t xml:space="preserve">Cash ₹12,500 Dr -&gt; OK</t>
  </si>
  <si>
    <t xml:space="preserve">Cash ₹(−)3,200 -&gt; Critical</t>
  </si>
  <si>
    <t xml:space="preserve">Cash payments booked before cash withdrawal entry; customer advances.</t>
  </si>
  <si>
    <t xml:space="preserve">Critical (cash/fixed assets), Medium (party reclass)</t>
  </si>
  <si>
    <t xml:space="preserve">for l in tb:
 if l.bal and sign(l.bal)!=EXPECT[l.group]: flag(l, SEV.get(l.group,'Medium'))</t>
  </si>
  <si>
    <t xml:space="preserve">Cash scrutiny and limits, analytics, duplicates, dates, related parties, GST/TDS on expenses, ageing, confirmations.  Row 5 holds the YAML key for each column. Research date 13 October 2026. Every rule needs CA validation before use.</t>
  </si>
  <si>
    <t xml:space="preserve">LED-001</t>
  </si>
  <si>
    <t xml:space="preserve">Ledger Scrutiny – Cash</t>
  </si>
  <si>
    <t xml:space="preserve">Cash balance negative on any day</t>
  </si>
  <si>
    <t xml:space="preserve">Detect impossible negative cash, indicating unrecorded receipts, back-dated payments or fictitious entries.</t>
  </si>
  <si>
    <t xml:space="preserve">Generally accepted accounting/audit practice (ICAI Standards on Auditing; no specific statutory section); relevant to CARO 2020 / SA 240 (fraud risk) and possible unexplained income (s.68/69 IT Act 1961 – professional knowledge).</t>
  </si>
  <si>
    <t xml:space="preserve">All entities with cash ledgers</t>
  </si>
  <si>
    <t xml:space="preserve">Cash ledger vouchers with date and time/order.</t>
  </si>
  <si>
    <t xml:space="preserve">cash_ledger_id, voucher_date, voucher_no, dr_amount, cr_amount, opening_balance</t>
  </si>
  <si>
    <t xml:space="preserve">1. Sort by date then voucher sequence. 2. Compute running balance; also compute end-of-day balance. 3. Flag any day with end-of-day balance &lt; 0 (Critical) and intra-day negative (Medium – may be ordering). 4. Report the minimum balance, dates, and the vouchers on those days.</t>
  </si>
  <si>
    <t xml:space="preserve">EOD_bal(d) = opening + Σ_{date≤d}(Dr − Cr); flag if EOD_bal(d) &lt; 0</t>
  </si>
  <si>
    <t xml:space="preserve">&lt; 0</t>
  </si>
  <si>
    <t xml:space="preserve">Multiple cash ledgers (branches) – check each and combined.</t>
  </si>
  <si>
    <t xml:space="preserve">Continuous</t>
  </si>
  <si>
    <t xml:space="preserve">EOD&lt;0 -&gt; Critical</t>
  </si>
  <si>
    <t xml:space="preserve">Negative-cash days list with amounts.</t>
  </si>
  <si>
    <t xml:space="preserve">Opening 01-Jul ₹8,000; 02-Jul payment ₹15,000; 03-Jul withdrawal ₹20,000 -&gt; EOD 02-Jul = −₹7,000 -&gt; Critical.</t>
  </si>
  <si>
    <t xml:space="preserve">Never below 0 -&gt; pass</t>
  </si>
  <si>
    <t xml:space="preserve">EOD exactly 0 -&gt; pass</t>
  </si>
  <si>
    <t xml:space="preserve">Cash withdrawal entered on later date; petty cash vouchers posted in bulk.</t>
  </si>
  <si>
    <t xml:space="preserve">bal=opening
for d,g in groupby(sorted(v),key=date):
  bal+=sum(x.dr-x.cr for x in g)
  if bal&lt;0: flag(d,bal)</t>
  </si>
  <si>
    <t xml:space="preserve">LED-002</t>
  </si>
  <si>
    <t xml:space="preserve">Ledger Scrutiny – Cash payments (Income-tax)</t>
  </si>
  <si>
    <t xml:space="preserve">Cash payments exceeding ₹10,000 to a person in a day (s.40A(3))</t>
  </si>
  <si>
    <t xml:space="preserve">Identify expenditure disallowable under s.40A(3) and reportable in Form 3CD clause 21(d).</t>
  </si>
  <si>
    <t xml:space="preserve">FY 2025-26: Income-tax Act 1961 s.40A(3)/(3A) read with Rule 6DD; Form 3CD cl. 21(d). FY/tax year 2026-27: Income-tax Act 2025 – per Income-tax Bill 2025 mapping, clause 36(4) (₹35,000 for goods carriages – cl. 36(6)) – final enacted section number NOT verified from official text.</t>
  </si>
  <si>
    <t xml:space="preserve">Assessees computing income under PGBP (business/profession).</t>
  </si>
  <si>
    <t xml:space="preserve">₹10,000 limit since AY 2018-19 (Finance Act 2017); 2025 Act from 01-04-2026</t>
  </si>
  <si>
    <t xml:space="preserve">Expense/asset vouchers paid in cash, party identification; Rule 6DD exception tagging.</t>
  </si>
  <si>
    <t xml:space="preserve">voucher_date, party_id, party_name, amount, payment_mode, expense_head, is_capital, rule6dd_exception_code, is_goods_carriage_payment</t>
  </si>
  <si>
    <t xml:space="preserve">1. Filter payments where payment_mode in (cash, bearer cheque, non-A/c-payee cheque/draft) – i.e. NOT a/c payee cheque/draft/ECS/prescribed electronic mode. 2. Group by party_id + date; aggregate. 3. Limit = ₹35,000 if payment for plying/hiring/leasing goods carriages, else ₹10,000. 4. If aggregate &gt; limit and no Rule 6DD exception -&gt; disallow whole aggregate (revenue expense) under 40A(3). 5. If payment relates to expense allowed in an earlier year (e.g., creditor paid in cash) -&gt; 40A(3A) deemed income. 6. If capital asset -&gt; exclude from actual cost (s.43(1) proviso / 2025 Act clause 39 per Bill – not verified) – flag separately. 7. Detect splitting: multiple same-day bills to same party each ≤ limit but aggregate &gt; limit -&gt; still covered.</t>
  </si>
  <si>
    <t xml:space="preserve">disallow = Σ_{party,day} cash_amt if Σ &gt; limit (10,000 or 35,000) and not exempt</t>
  </si>
  <si>
    <t xml:space="preserve">&gt; ₹10,000 per person per day; &gt; ₹35,000 for goods carriage hire/plying/leasing.</t>
  </si>
  <si>
    <t xml:space="preserve">Rule 6DD: payments to RBI/banks/co-op banks/LIC; Government where legal tender required; LC/MT/TT/book adjustment/bill of exchange to bank; set-off against liability; agricultural/forest/animal husbandry/dairy/poultry/fish/horticulture/apiculture produce purchased from producer; unpowered cottage industry products from producer; village/town without bank; terminal benefits ≤ ₹50,000; salary to employees posted ≥15 days away without bank account; agent paying cash on payer's behalf; authorised dealer/money changer forex.</t>
  </si>
  <si>
    <t xml:space="preserve">Amounts as per books; no statutory rounding for the test itself (total income rounded u/s 288A separately).</t>
  </si>
  <si>
    <t xml:space="preserve">Reported in tax audit report (Form 3CD) – AY 2026-27 audit due date extended to 21-10-2026 (CBDT Circular 07/2026).</t>
  </si>
  <si>
    <t xml:space="preserve">Aggregate &gt; limit &amp; no exception -&gt; High; exception claimed without supporting code -&gt; Medium.</t>
  </si>
  <si>
    <t xml:space="preserve">List per party/day with amount, disallowance, clause 21(d) schedule.</t>
  </si>
  <si>
    <t xml:space="preserve">Party X, 14-Aug-2025: cash bills ₹6,000 + ₹5,500 = ₹11,500 &gt; ₹10,000 -&gt; disallow ₹11,500 (entire, not excess).</t>
  </si>
  <si>
    <t xml:space="preserve">Two cash payments ₹6,000 + ₹5,000 same day same party -&gt; ₹11,000 flagged.</t>
  </si>
  <si>
    <t xml:space="preserve">₹10,000 exactly -&gt; not flagged (law says 'exceeds'); ₹30,000 cash to transporter for truck hire -&gt; not flagged (limit 35,000).</t>
  </si>
  <si>
    <t xml:space="preserve">Bill splitting; cash paid by employees and reimbursed; mis-tagging of 6DD exceptions.</t>
  </si>
  <si>
    <t xml:space="preserve">g=cash.groupby(['party','date']).sum()
lim=35000 if goods_carriage else 10000
flag=g[(g.amt&gt;lim)&amp;(~g.exempt)]</t>
  </si>
  <si>
    <t xml:space="preserve">Income Tax Department – Rule 6DD | https://www.incometaxindia.gov.in/w/rule-6dd | Rule 6DD, s.40A(3)
CalcGuru – Form 3CD checklist AY 2026-27 | https://calcguru.in/?p=8211 | cl. 21, 22, 26, 31, 34, 44
Taxmann – Non-compliance in reporting under clause 21 &amp; 31 of Form 3CD | https://www.taxmann.com/post/blog/instances-of-non-compliance-with-reporting-requirements-under-clause-21-31-of-form-3cd/ | cl. 21(a),(b),(d),(g)
Taxheal – Cash transaction limits under Income Tax Bill 2025 | https://www.taxheal.com/?p=99334 | Clauses 185, 186, 188, 36(4) of Bill
CBDT Circular No. 07/2026 dt 28-09-2026 | https://incometaxindia.gov.in/documents/d/guest/circular-7-2026-pdf | Tax audit date extended to 21-10-2026; ITR to 21-11-2026</t>
  </si>
  <si>
    <t xml:space="preserve">1961 Act position verified via incometaxindia Rule 6DD page. 2025 Act section number is from Bill-stage mapping (clause 36(4)); new-Act section not verified against enacted text. Rule 6DD equivalent under Income-tax Rules 2026 not verified.</t>
  </si>
  <si>
    <t xml:space="preserve">LED-003</t>
  </si>
  <si>
    <t xml:space="preserve">Ledger Scrutiny – Cash receipts (Income-tax)</t>
  </si>
  <si>
    <t xml:space="preserve">Cash receipts of ₹2 lakh or more (s.269ST)</t>
  </si>
  <si>
    <t xml:space="preserve">Detect receipts in contravention of s.269ST (penalty equal to amount u/s 271DA) and report in Form 3CD cl. 31(ba)-(bd).</t>
  </si>
  <si>
    <t xml:space="preserve">FY 2025-26: IT Act 1961 s.269ST, penalty s.271DA; Form 3CD cl. 31(ba)-(bd). Tax year 2026-27: Income-tax Act 2025 s.186 (verified text via secondary site); penalty section not verified (Bill clause 451/446 conflicting).</t>
  </si>
  <si>
    <t xml:space="preserve">All persons (not only businesses) except Government, banking companies, post office savings bank, co-operative banks, and notified persons.</t>
  </si>
  <si>
    <t xml:space="preserve">01-04-2017 (269ST); 01-04-2026 (s.186 ITA 2025)</t>
  </si>
  <si>
    <t xml:space="preserve">Receipt vouchers with mode and party; event/occasion tagging where available.</t>
  </si>
  <si>
    <t xml:space="preserve">receipt_date, party_id, amount, mode, invoice_id/event_id, transaction_id</t>
  </si>
  <si>
    <t xml:space="preserve">1. Filter receipts not by a/c payee cheque/draft/ECS/prescribed electronic modes (cash, bearer cheque etc.). 2. Test A: aggregate per party per day ≥ ₹2,00,000. 3. Test B: single transaction (invoice) total cash receipts ≥ ₹2,00,000 even across days (instalments). 4. Test C: receipts relating to one event/occasion from a person ≥ ₹2,00,000. 5. Exclude loans/deposits (covered by 269SS/s.185). 6. Flag; compute potential penalty = amount received.</t>
  </si>
  <si>
    <t xml:space="preserve">flag if max(Σday(party), Σtransaction, Σevent(party)) ≥ 2,00,000</t>
  </si>
  <si>
    <t xml:space="preserve">₹2,00,000 or more (note: 'or more', unlike 40A(3) 'exceeds').</t>
  </si>
  <si>
    <t xml:space="preserve">Receipts by Government, banking company, post office savings bank, co-operative bank; transactions covered by s.269SS (s.185); notified persons/receipts.</t>
  </si>
  <si>
    <t xml:space="preserve">Not specified in law – no rounding of threshold test.</t>
  </si>
  <si>
    <t xml:space="preserve">Tax audit report; penalty proceedings by AO.</t>
  </si>
  <si>
    <t xml:space="preserve">≥ 2,00,000 -&gt; Critical</t>
  </si>
  <si>
    <t xml:space="preserve">269ST/s.186 exception report with test (A/B/C) that triggered.</t>
  </si>
  <si>
    <t xml:space="preserve">Customer pays ₹1,50,000 cash on 01-Sep and ₹75,000 cash on 05-Sep against invoice INV-77 (₹2,25,000) -&gt; Test B: ₹2,25,000 ≥ ₹2,00,000 -&gt; violation; potential penalty ₹2,25,000.</t>
  </si>
  <si>
    <t xml:space="preserve">Single cash receipt ₹2,00,000 -&gt; flagged.</t>
  </si>
  <si>
    <t xml:space="preserve">₹1,99,999 cash in one day, different invoices, different days -&gt; not flagged.</t>
  </si>
  <si>
    <t xml:space="preserve">Cash sales split into multiple invoices; wedding/event-related receipts.</t>
  </si>
  <si>
    <t xml:space="preserve">cash=r[r.mode.isin(NON_PRESCRIBED)]
A=cash.groupby(['party','date']).amt.sum()
B=cash.groupby('invoice').amt.sum()
flags=A[A&gt;=200000].tolist()+B[B&gt;=200000].tolist()</t>
  </si>
  <si>
    <t xml:space="preserve">eztax – Income-tax Act 2025 section 186 | https://eztax.in/income-tax-act-2025/section-186 | s.186
Taxheal – Cash transaction limits under Income Tax Bill 2025 | https://www.taxheal.com/?p=99334 | Clauses 185, 186, 188, 36(4) of Bill
CA Sahuja – Clause 31 of Form 3CD for AY 2026-27 | https://www.casahuja.com/2026/09/clause-31-of-form-3cd-for-ay-2026-27.html | cl. 31(a)-(e), (ba)-(bd)</t>
  </si>
  <si>
    <t xml:space="preserve">s.186 ITA 2025 thresholds verified via eztax (secondary). Penalty section under 2025 Act ambiguous in secondary source.</t>
  </si>
  <si>
    <t xml:space="preserve">LED-004</t>
  </si>
  <si>
    <t xml:space="preserve">Ledger Scrutiny – Loans/deposits in cash</t>
  </si>
  <si>
    <t xml:space="preserve">Loans/deposits/specified sums accepted or repaid otherwise than by banking channel ≥ ₹20,000 (s.269SS/269T)</t>
  </si>
  <si>
    <t xml:space="preserve">Detect violations attracting penalty u/s 271D/271E and reporting in Form 3CD cl. 31(a)-(e).</t>
  </si>
  <si>
    <t xml:space="preserve">FY 2025-26: IT Act 1961 s.269SS, s.269T; penalties s.271D, s.271E; Form 3CD cl. 31. Tax year 2026-27: ITA 2025 s.185 (acceptance – verified via secondary text); repayment provision mapped to clause 188 in Bill – enacted section not verified.</t>
  </si>
  <si>
    <t xml:space="preserve">All persons accepting/repaying loans, deposits, specified sums (advance for transfer of immovable property).</t>
  </si>
  <si>
    <t xml:space="preserve">Long-standing; 2025 Act from 01-04-2026</t>
  </si>
  <si>
    <t xml:space="preserve">Loan/deposit ledgers (unsecured loans, deposits, director loans, property advances) and modes.</t>
  </si>
  <si>
    <t xml:space="preserve">party_id, txn_date, txn_type (accept/repay), amount, mode, prior_outstanding_balance, loan_type, party_category (bank/govt/etc.)</t>
  </si>
  <si>
    <t xml:space="preserve">1. For acceptances: if mode not in (a/c payee cheque, a/c payee draft, ECS, prescribed electronic) AND (amount ≥ 20,000 OR amount + outstanding_unpaid_balance ≥ 20,000) -&gt; violation. 2. Journal entries (book adjustment) crediting loan accounts also count as 'otherwise than' prescribed mode – flag Medium for review (judicial position varies). 3. For repayments: same test using amount ≥ 20,000 or aggregate outstanding incl. interest ≥ 20,000. 4. Report all ≥ 20,000 items in cl. 31 listing regardless of mode (31(a)-(c) list all). 5. Exclude exempt counterparties.</t>
  </si>
  <si>
    <t xml:space="preserve">violation if mode∉PRESCRIBED and max(amount, amount+outstanding) ≥ 20,000</t>
  </si>
  <si>
    <t xml:space="preserve">₹20,000; ₹2,00,000 for primary agricultural credit societies/co-op land development banks with members (per s.185 text).</t>
  </si>
  <si>
    <t xml:space="preserve">Government, banking companies, post office savings bank, co-operative banks, Govt corporations/companies, notified institutions; both parties having agricultural income and no taxable income.</t>
  </si>
  <si>
    <t xml:space="preserve">Not specified in law</t>
  </si>
  <si>
    <t xml:space="preserve">Tax audit report</t>
  </si>
  <si>
    <t xml:space="preserve">Cash ≥ 20,000 -&gt; Critical; journal-entry loans -&gt; Medium (review)</t>
  </si>
  <si>
    <t xml:space="preserve">Clause 31 schedule (party, PAN, amount, max balance, mode) + violations list.</t>
  </si>
  <si>
    <t xml:space="preserve">Director lends ₹15,000 cash on 01-May (outstanding nil) -&gt; OK; lends ₹10,000 cash on 20-May while ₹15,000 unpaid -&gt; aggregate ₹25,000 ≥ 20,000 -&gt; violation on ₹10,000 transaction.</t>
  </si>
  <si>
    <t xml:space="preserve">Repay ₹50,000 loan in cash -&gt; 269T violation.</t>
  </si>
  <si>
    <t xml:space="preserve">Loan ₹5,00,000 via RTGS -&gt; listed in cl.31 but no violation.</t>
  </si>
  <si>
    <t xml:space="preserve">Cash introduced by directors as loan; journal transfers between group companies.</t>
  </si>
  <si>
    <t xml:space="preserve">v=[t for t in loans if t.mode not in PRESCRIBED and max(t.amt,t.amt+t.out)&gt;=20000 and t.party_cat not in EXEMPT]</t>
  </si>
  <si>
    <t xml:space="preserve">eztax – Income-tax Act 2025 section 185 | https://eztax.in/income-tax-act-2025/section-185 | s.185
Taxheal – Cash transaction limits under Income Tax Bill 2025 | https://www.taxheal.com/?p=99334 | Clauses 185, 186, 188, 36(4) of Bill
CA Sahuja – Clause 31 of Form 3CD for AY 2026-27 | https://www.casahuja.com/2026/09/clause-31-of-form-3cd-for-ay-2026-27.html | cl. 31(a)-(e), (ba)-(bd)</t>
  </si>
  <si>
    <t xml:space="preserve">Treatment of journal entries is a CA judgement area.</t>
  </si>
  <si>
    <t xml:space="preserve">LED-005</t>
  </si>
  <si>
    <t xml:space="preserve">Ledger Scrutiny – Analytics</t>
  </si>
  <si>
    <t xml:space="preserve">Round-sum entries</t>
  </si>
  <si>
    <t xml:space="preserve">Flag entries with suspiciously round amounts (estimates, fictitious entries, provisions without basis).</t>
  </si>
  <si>
    <t xml:space="preserve">SA 240 (fraud – journal entry testing, ICAI) – professional practice</t>
  </si>
  <si>
    <t xml:space="preserve">Voucher lines</t>
  </si>
  <si>
    <t xml:space="preserve">voucher_no, date, ledger, amount, voucher_type, narration, user_id</t>
  </si>
  <si>
    <t xml:space="preserve">1. Flag amounts where amount ≥ threshold (default ₹10,000) and amount mod 1,000 == 0 (configurable 10,000 / 1,00,000 levels). 2. Prioritise: journal vouchers, expense ledgers, cash, entries without GST, entries by senior users, period-end entries. 3. Benford first-digit test on population (optional).</t>
  </si>
  <si>
    <t xml:space="preserve">round if amount % base == 0 and amount ≥ min_amt</t>
  </si>
  <si>
    <t xml:space="preserve">Implementation choice</t>
  </si>
  <si>
    <t xml:space="preserve">Salary, rent, EMIs, capital introduced commonly round – whitelist ledgers.</t>
  </si>
  <si>
    <t xml:space="preserve">Round JV to expense near year end -&gt; Medium</t>
  </si>
  <si>
    <t xml:space="preserve">Round-sum report ranked by risk score</t>
  </si>
  <si>
    <t xml:space="preserve">JV 31-Mar 'Repairs Dr 2,00,000 / Creditors Cr' -&gt; round, period-end, JV -&gt; score high.</t>
  </si>
  <si>
    <t xml:space="preserve">₹50,000 JV -&gt; flagged</t>
  </si>
  <si>
    <t xml:space="preserve">₹50,236 -&gt; not flagged</t>
  </si>
  <si>
    <t xml:space="preserve">Provisions without workings</t>
  </si>
  <si>
    <t xml:space="preserve">flag=[v for v in lines if v.amt&gt;=10000 and v.amt%1000==0 and v.ledger not in WHITELIST]</t>
  </si>
  <si>
    <t xml:space="preserve">Purely analytical procedure; thresholds are implementation choice.</t>
  </si>
  <si>
    <t xml:space="preserve">LED-006</t>
  </si>
  <si>
    <t xml:space="preserve">Ledger Scrutiny – Duplicates</t>
  </si>
  <si>
    <t xml:space="preserve">Duplicate vouchers / invoices</t>
  </si>
  <si>
    <t xml:space="preserve">Detect double-booking of purchases/expenses/payments.</t>
  </si>
  <si>
    <t xml:space="preserve">Voucher lines with party and reference</t>
  </si>
  <si>
    <t xml:space="preserve">voucher_no, voucher_type, date, party_id, party_gstin, supplier_invoice_no, amount, narration</t>
  </si>
  <si>
    <t xml:space="preserve">1. Exact duplicate: same party + same supplier_invoice_no (normalised: remove spaces, '/', '-', leading zeros, case) -&gt; High. 2. Near duplicate: same party + same amount within 30 days, different invoice no -&gt; Medium. 3. Same invoice no + same amount, different party -&gt; Medium (wrong party). 4. Same UTR/cheque no used in two payments -&gt; High. 5. Voucher number gaps/duplicates in auto-numbered series -&gt; Low.</t>
  </si>
  <si>
    <t xml:space="preserve">key=(party_id, norm(inv_no)); dup if count(key)&gt;1</t>
  </si>
  <si>
    <t xml:space="preserve">30-day window configurable</t>
  </si>
  <si>
    <t xml:space="preserve">Recurring monthly identical bills (rent) – use invoice no.</t>
  </si>
  <si>
    <t xml:space="preserve">Not specified in law – implementation choice</t>
  </si>
  <si>
    <t xml:space="preserve">See steps</t>
  </si>
  <si>
    <t xml:space="preserve">Duplicate clusters</t>
  </si>
  <si>
    <t xml:space="preserve">Supplier A inv 'INV/23-24/045' and 'inv-2324-45' both ₹1,18,000 -&gt; normalised duplicate -&gt; High.</t>
  </si>
  <si>
    <t xml:space="preserve">Same inv no booked twice -&gt; flagged</t>
  </si>
  <si>
    <t xml:space="preserve">Same amount rent each month with distinct invoice numbers -&gt; not flagged</t>
  </si>
  <si>
    <t xml:space="preserve">Invoice booked from both email and hard copy.</t>
  </si>
  <si>
    <t xml:space="preserve">norm=lambda s: re.sub(r'[^A-Z0-9]','',s.upper()).lstrip('0')
dups=df.groupby(['party',df.inv.map(norm)]).filter(lambda g:len(g)&gt;1)</t>
  </si>
  <si>
    <t xml:space="preserve">LED-007</t>
  </si>
  <si>
    <t xml:space="preserve">Ledger Scrutiny – Dates</t>
  </si>
  <si>
    <t xml:space="preserve">Entries dated on Sundays / public holidays / bank holidays</t>
  </si>
  <si>
    <t xml:space="preserve">Identify unusual-date entries for review (possible back-dating or fictitious transactions).</t>
  </si>
  <si>
    <t xml:space="preserve">SA 240 journal entry testing – professional practice</t>
  </si>
  <si>
    <t xml:space="preserve">Holiday calendar master (state-wise; RBI NI Act holidays for bank transactions).</t>
  </si>
  <si>
    <t xml:space="preserve">voucher_date, voucher_type, ledger, amount, mode, state</t>
  </si>
  <si>
    <t xml:space="preserve">1. Flag vouchers with date on Sunday or in holiday calendar. 2. Raise severity if mode = cheque/bank deposit (bank closed) or cash deposit. 3. Electronic payments (UPI/IMPS/NEFT 24x7) on holidays are normal – Low.</t>
  </si>
  <si>
    <t xml:space="preserve">flag if weekday(date)==6 or date in holidays[state]</t>
  </si>
  <si>
    <t xml:space="preserve">Businesses operating 7 days (retail) – configurable per client.</t>
  </si>
  <si>
    <t xml:space="preserve">Cheque deposit on bank holiday -&gt; Medium</t>
  </si>
  <si>
    <t xml:space="preserve">Holiday entry list</t>
  </si>
  <si>
    <t xml:space="preserve">Cheque deposit voucher dated Sun 05-Oct-2025 -&gt; Medium.</t>
  </si>
  <si>
    <t xml:space="preserve">Sunday JV -&gt; flagged</t>
  </si>
  <si>
    <t xml:space="preserve">UPI receipt Sunday in retail client -&gt; Low/ignored</t>
  </si>
  <si>
    <t xml:space="preserve">Low/Medium</t>
  </si>
  <si>
    <t xml:space="preserve">flag=[v for v in V if v.date.weekday()==6 or v.date in HOL]</t>
  </si>
  <si>
    <t xml:space="preserve">Holiday calendar source must be maintained by the CA firm (RBI holiday list per state).</t>
  </si>
  <si>
    <t xml:space="preserve">LED-008</t>
  </si>
  <si>
    <t xml:space="preserve">Ledger Scrutiny – Period close / Audit trail</t>
  </si>
  <si>
    <t xml:space="preserve">Entries after period close and back-dated entries (using audit-trail timestamps)</t>
  </si>
  <si>
    <t xml:space="preserve">Detect entries created/altered after books were closed or after audit/return filing; leverages Rule 3(1) edit log.</t>
  </si>
  <si>
    <t xml:space="preserve">Companies (Accounts) Rules 2014 Rule 3(1) proviso (audit trail; G.S.R. 205(E) 24-03-2021, applicable FY commencing on/after 01-04-2023); Rule 11(g) Companies (Audit and Auditors) Rules 2014.</t>
  </si>
  <si>
    <t xml:space="preserve">Companies (mandatory audit trail); good practice for all.</t>
  </si>
  <si>
    <t xml:space="preserve">FY 2023-24 onwards</t>
  </si>
  <si>
    <t xml:space="preserve">Audit-trail/edit-log export (created_at, modified_at, user, old/new values); period lock dates.</t>
  </si>
  <si>
    <t xml:space="preserve">voucher_no, voucher_date, created_at, modified_at, user_id, action (create/alter/delete), old_value, new_value, period_lock_date, gstr_filing_date, audit_sign_date</t>
  </si>
  <si>
    <t xml:space="preserve">1. Back-dated: created_at.date − voucher_date &gt; N days (default 30) -&gt; flag; &gt; into previous FY after year-end -&gt; High. 2. After close: created/modified_at &gt; period_lock_date for voucher_date ≤ period end -&gt; High. 3. After GST return filed for that month -&gt; High (books vs GSTR mismatch risk). 4. After audit sign date for audited year -&gt; Critical. 5. Deletions of vouchers -&gt; list with old values. 6. Gaps: edit-log disabled periods (no log entries for days with vouchers) -&gt; Critical (Rule 11(g) reporting).</t>
  </si>
  <si>
    <t xml:space="preserve">lag_days = created_at.date − voucher_date; flag if lag_days &gt; N or modified_at &gt; lock_date</t>
  </si>
  <si>
    <t xml:space="preserve">N = 30 days default (implementation choice).</t>
  </si>
  <si>
    <t xml:space="preserve">Year-end provisions/audit adjustments with approval – whitelist by approval reference.</t>
  </si>
  <si>
    <t xml:space="preserve">Back-dated/after-close entries report; audit-trail gap report.</t>
  </si>
  <si>
    <t xml:space="preserve">Voucher dated 28-Mar-2026, created 15-May-2026 -&gt; lag 48 days and after year-end -&gt; High.</t>
  </si>
  <si>
    <t xml:space="preserve">Entry altered 10-Oct-2026 for FY 2025-26 after audit report signed 05-Sep-2026 -&gt; Critical.</t>
  </si>
  <si>
    <t xml:space="preserve">Entry created next day -&gt; pass</t>
  </si>
  <si>
    <t xml:space="preserve">Accountants passing entries after GSTR-1 filing; audit trail switched off in Tally (pre-TallyPrime 'Edit Log' editions).</t>
  </si>
  <si>
    <t xml:space="preserve">High/Critical</t>
  </si>
  <si>
    <t xml:space="preserve">lag=(v.created_at.date()-v.date).days
if lag&gt;30 or v.modified_at&gt;lock[v.fy]: flag(v)</t>
  </si>
  <si>
    <t xml:space="preserve">Taxguru – Demystifying audit trail (edit log) | https://taxguru.in/company-law/demystifying-audit-trail-edit-log.html | Rule 3(1) proviso; Rule 11(g)
Taxheal – Companies (Accounts) Amendment Rules 2021 | https://www.taxheal.com/companies-accounts-amendment-rules-2021-mandatory-accounting-software-with-audit-trail-for-companies.html | G.S.R. 205(E) dt 24-03-2021
ICAI CA Journal – Audit Trail: Requirements &amp; Responsibilities | https://cajournal.icai.org/article-details/audit-trail-requirements-responsibilities | s.128, s.143(3)(j), Rule 11(g)</t>
  </si>
  <si>
    <t xml:space="preserve">See AUD-001 for statutory requirements.</t>
  </si>
  <si>
    <t xml:space="preserve">LED-009</t>
  </si>
  <si>
    <t xml:space="preserve">Ledger Scrutiny – Related parties</t>
  </si>
  <si>
    <t xml:space="preserve">Related-party transaction identification</t>
  </si>
  <si>
    <t xml:space="preserve">Identify transactions with related parties for AS 18 / Ind AS 24 disclosure, s.188 approvals, s.40A(2)(b) (Form 3CD cl.23) and CARO 3(xiii).</t>
  </si>
  <si>
    <t xml:space="preserve">Companies Act 2013 s.2(76), s.188, s.177; AS 18 / Ind AS 24; IT Act 1961 s.40A(2)(b) (Form 3CD cl.23) – 2025 Act equivalent not verified.</t>
  </si>
  <si>
    <t xml:space="preserve">Companies; all tax-audit assessees for 40A(2)(b).</t>
  </si>
  <si>
    <t xml:space="preserve">Related-party master (directors, KMP, relatives, group entities, firms where director is partner) with PAN/GSTIN.</t>
  </si>
  <si>
    <t xml:space="preserve">party_id, party_pan, party_gstin, related_party_flag, relationship, txn_type, amount, approval_reference (board/audit committee/shareholders), arm_length_flag</t>
  </si>
  <si>
    <t xml:space="preserve">1. Match vendor/customer masters to RP master by PAN, GSTIN, name similarity, address, bank account no., email/phone. 2. Aggregate transactions per RP per nature (sales, purchase, rent, loan, remuneration, reimbursement). 3. Check approval reference exists (s.188 board resolution / audit committee). 4. Flag unknown matches (vendor sharing bank account/PAN with director) as High. 5. Produce disclosure schedule.</t>
  </si>
  <si>
    <t xml:space="preserve">RP if pan∈RP_PANs or gstin∈RP_GSTINs or bank_ac∈RP_BANK or name_sim≥0.9</t>
  </si>
  <si>
    <t xml:space="preserve">s.188 thresholds per Rule 15 Companies (Meetings of Board) Rules – not verified in this session.</t>
  </si>
  <si>
    <t xml:space="preserve">Transactions in ordinary course at arm's length are exempt from s.188 approval (still disclosed).</t>
  </si>
  <si>
    <t xml:space="preserve">RP txn without approval -&gt; High; hidden RP match -&gt; High</t>
  </si>
  <si>
    <t xml:space="preserve">RP transactions schedule, approval gap list.</t>
  </si>
  <si>
    <t xml:space="preserve">Vendor 'Sai Traders' bank a/c = director's spouse's a/c -&gt; hidden RP -&gt; High; purchases ₹42 lakh.</t>
  </si>
  <si>
    <t xml:space="preserve">Rent paid to director ₹6 lakh with board approval -&gt; listed, no flag.</t>
  </si>
  <si>
    <t xml:space="preserve">Vendor name similar but PAN differs and no other match -&gt; not RP</t>
  </si>
  <si>
    <t xml:space="preserve">RP master incomplete; relatives' entities missing.</t>
  </si>
  <si>
    <t xml:space="preserve">rp=[p for p in parties if p.pan in RP.pan or p.bank in RP.bank]</t>
  </si>
  <si>
    <t xml:space="preserve">Section references from professional knowledge; no official page opened. s.188 Rule 15 thresholds not verified.</t>
  </si>
  <si>
    <t xml:space="preserve">LED-010</t>
  </si>
  <si>
    <t xml:space="preserve">Ledger Scrutiny – GST/TDS on expenses</t>
  </si>
  <si>
    <t xml:space="preserve">Expenses without GST input / without TDS where applicable</t>
  </si>
  <si>
    <t xml:space="preserve">Identify expenses where GST ITC was not captured (or should be blocked) and where TDS appears applicable but not deducted (40(a)(ia) disallowance; Form 3CD cl. 21(b), 34).</t>
  </si>
  <si>
    <t xml:space="preserve">IT Act 1961 s.40(a)(ia) (30% disallowance), Chapter XVII-B; Form 3CD cl. 21(b), 34. ITA 2025: TDS provisions consolidated (e.g., 194C-&gt;s.174, 194J-&gt;s.178 per secondary mapping, unverified); 2025 Act s.35(b) disallowance per Form 26 clause 51 (secondary). CGST Act s.16/17 (high level).</t>
  </si>
  <si>
    <t xml:space="preserve">Tax-audit / TDS-deductor assessees; GST-registered persons.</t>
  </si>
  <si>
    <t xml:space="preserve">FY 2025-26 (1961 Act); tax year 2026-27 (2025 Act)</t>
  </si>
  <si>
    <t xml:space="preserve">Expense ledger -&gt; TDS section/GST nature mapping; party PAN/GSTIN; TDS returns data.</t>
  </si>
  <si>
    <t xml:space="preserve">voucher_no, date, party_pan, party_gstin, expense_head, taxable_value, gst_amount, tds_section_expected, tds_deducted, tds_deposit_date, cumulative_party_amount_fy</t>
  </si>
  <si>
    <t xml:space="preserve">1. Map expense head to expected TDS nature (contract, professional fees, rent, commission, interest). 2. Aggregate per party per FY; if above section threshold and tds_deducted == 0 -&gt; flag possible 40(a)(ia) – disallow 30% of expense. 3. If deducted but deposited after return due date -&gt; flag. 4. GST: for party with GSTIN and expense head eligible, gst_amount == 0 -&gt; 'GST not captured / possible RCM' -&gt; Medium; check blocked credits list (s.17(5)) – refer GST module. 5. Feed Form 3CD cl.34 and cl.44 (see AUD-005).</t>
  </si>
  <si>
    <t xml:space="preserve">disallow_40aia = 0.30 × expense where TDS default</t>
  </si>
  <si>
    <t xml:space="preserve">Section thresholds per TDS module (not researched here).</t>
  </si>
  <si>
    <t xml:space="preserve">Payee furnishing Form 15G/15H; lower deduction certificates; payee filing return &amp; paying tax (proviso, Form 26A).</t>
  </si>
  <si>
    <t xml:space="preserve">TDS rounded to nearest rupee u/s 288B (1961 Act) – refer TDS module</t>
  </si>
  <si>
    <t xml:space="preserve">TDS deposit 7th of next month (March: 30 April) – refer TDS module</t>
  </si>
  <si>
    <t xml:space="preserve">Missing TDS above threshold -&gt; High</t>
  </si>
  <si>
    <t xml:space="preserve">Expense-wise GST/TDS exception report</t>
  </si>
  <si>
    <t xml:space="preserve">Professional fees ₹1,50,000 to CA firm, no TDS -&gt; possible 40(a)(ia) disallowance 30% = ₹45,000.</t>
  </si>
  <si>
    <t xml:space="preserve">Contract ₹2,00,000 no TDS -&gt; flagged</t>
  </si>
  <si>
    <t xml:space="preserve">Payment to Govt body -&gt; no TDS expected</t>
  </si>
  <si>
    <t xml:space="preserve">TDS deducted on net of GST vs gross confusion; PAN missing.</t>
  </si>
  <si>
    <t xml:space="preserve">if agg[party]&gt;TH[sec] and tds==0: flag('40a(ia)',0.3*exp)</t>
  </si>
  <si>
    <t xml:space="preserve">ClearTax – Form 26 tax audit (Income-tax Rules 2026) | https://cleartax.in/s/form-26-tax-audit | s.63 ITA 2025, Rule 47
CalcGuru – Form 3CD checklist AY 2026-27 | https://calcguru.in/?p=8211 | cl. 21, 22, 26, 31, 34, 44</t>
  </si>
  <si>
    <t xml:space="preserve">TDS thresholds/rates belong to TDS research domain; 30% disallowance stated from professional knowledge, not re-verified here.</t>
  </si>
  <si>
    <t xml:space="preserve">SAL-001</t>
  </si>
  <si>
    <t xml:space="preserve">Sales Reconciliation – Register vs Ledger vs GST</t>
  </si>
  <si>
    <t xml:space="preserve">Sales register vs sales ledger vs GSTR-1 / GSTR-3B vs e-invoice (high level)</t>
  </si>
  <si>
    <t xml:space="preserve">Ensure turnover recorded in books agrees with outward supplies reported under GST and in e-invoice/e-way bill systems.</t>
  </si>
  <si>
    <t xml:space="preserve">CGST Act 2017 s.37 (GSTR-1), s.39 (GSTR-3B), s.35/44 (accounts, annual return) – high level, detailed rules in GST module.</t>
  </si>
  <si>
    <t xml:space="preserve">GST-registered persons</t>
  </si>
  <si>
    <t xml:space="preserve">Sales register (invoice-level), sales/turnover ledgers, GSTR-1 JSON/Excel, GSTR-3B summary, e-invoice IRN list.</t>
  </si>
  <si>
    <t xml:space="preserve">invoice_no, invoice_date, customer_gstin, taxable_value, igst, cgst, sgst, cess, place_of_supply, hsn, credit_note_no, gstr1_period, gstr3b_taxable_value, irn</t>
  </si>
  <si>
    <t xml:space="preserve">1. Register vs ledger: Σtaxable_value per month = sales ledger credits (net of returns/discount ledgers). 2. Register vs GSTR-1: match invoice-level by (invoice_no normalised, date, GSTIN); report missing in GSTR-1, extra in GSTR-1, value mismatches. 3. GSTR-1 vs GSTR-3B: monthly taxable value and tax heads equal; else flag. 4. Books turnover vs GST turnover annual reconciliation (as in GSTR-9C logic): add/subtract unbilled revenue, advances, credit notes, non-GST income (interest, sale of fixed assets classified separately), stock transfers to other GSTINs. 5. E-invoice: B2B invoices without IRN where e-invoicing applicable -&gt; flag.</t>
  </si>
  <si>
    <t xml:space="preserve">diff_m = Σregister_m − ledger_m; diff_gst = register_m − gstr1_m; diff_3b = gstr1_m − gstr3b_m</t>
  </si>
  <si>
    <t xml:space="preserve">Tolerance ₹1 per invoice (rounding of tax); configurable.</t>
  </si>
  <si>
    <t xml:space="preserve">Exports/SEZ, nil-rated/exempt supplies reported in separate tables.</t>
  </si>
  <si>
    <t xml:space="preserve">Tax amounts: CGST s.170 rounding to nearest rupee permitted – refer GST module.</t>
  </si>
  <si>
    <t xml:space="preserve">Per GST module</t>
  </si>
  <si>
    <t xml:space="preserve">Invoice in books not in GSTR-1 -&gt; High; 3B &lt; 1 output tax -&gt; High</t>
  </si>
  <si>
    <t xml:space="preserve">3-way reconciliation with exceptions</t>
  </si>
  <si>
    <t xml:space="preserve">April: register ₹52,40,000; ledger ₹52,40,000; GSTR-1 ₹51,90,000 -&gt; diff ₹50,000 = invoice S-0412 missing in GSTR-1 -&gt; amend in next GSTR-1.</t>
  </si>
  <si>
    <t xml:space="preserve">All equal -&gt; OK</t>
  </si>
  <si>
    <t xml:space="preserve">Credit note in books but not in GSTR-1 -&gt; flag</t>
  </si>
  <si>
    <t xml:space="preserve">Invoices dated month-end uploaded next month; amendments.</t>
  </si>
  <si>
    <t xml:space="preserve">m=merge(reg,g1,on=['norm_inv','gstin'],how='outer',indicator=True)</t>
  </si>
  <si>
    <t xml:space="preserve">Cross-reference only; detailed GST rules are in the GST research domain. No GST source opened by this agent.</t>
  </si>
  <si>
    <t xml:space="preserve">PUR-001</t>
  </si>
  <si>
    <t xml:space="preserve">Purchase Reconciliation – Register vs Ledger vs GSTR-2B</t>
  </si>
  <si>
    <t xml:space="preserve">Purchase register vs purchase ledger vs GSTR-2B (ITC) (high level)</t>
  </si>
  <si>
    <t xml:space="preserve">Ensure purchases and ITC in books match supplier-reported data and ledger totals; feeds Form 3CD cl.44.</t>
  </si>
  <si>
    <t xml:space="preserve">CGST Act s.16(2)(aa) (ITC only if in GSTR-2B/supplier furnished) – high level; refer GST module.</t>
  </si>
  <si>
    <t xml:space="preserve">Purchase register invoice-level; GSTR-2B JSON; purchase/expense ledgers.</t>
  </si>
  <si>
    <t xml:space="preserve">supplier_gstin, supplier_invoice_no, invoice_date, taxable_value, igst, cgst, sgst, itc_claimed_period, gstr2b_period, ledger_head</t>
  </si>
  <si>
    <t xml:space="preserve">1. Register vs ledger monthly totals. 2. Register vs GSTR-2B match on (GSTIN, normalised invoice no, FY) with value tolerance; categories: matched, value mismatch, in books not in 2B (ITC at risk), in 2B not in books (unrecorded purchase or not ours), period mismatch. 3. ITC claimed in 3B vs eligible per 2B. 4. Supplier GSTIN status/composition flag -&gt; feeds clause 44 columns.</t>
  </si>
  <si>
    <t xml:space="preserve">itc_at_risk = Σ tax of invoices in books but not in 2B</t>
  </si>
  <si>
    <t xml:space="preserve">Tolerance ₹1</t>
  </si>
  <si>
    <t xml:space="preserve">Imports (ICEGATE), RCM self-invoices</t>
  </si>
  <si>
    <t xml:space="preserve">Refer GST module</t>
  </si>
  <si>
    <t xml:space="preserve">In 2B not in books -&gt; Medium (possible unrecorded liability); in books not in 2B -&gt; High (ITC reversal)</t>
  </si>
  <si>
    <t xml:space="preserve">Purchase reconciliation buckets</t>
  </si>
  <si>
    <t xml:space="preserve">Books ITC ₹4,10,000; 2B ₹3,85,000; missing supplier invoices ITC ₹25,000 -&gt; at risk.</t>
  </si>
  <si>
    <t xml:space="preserve">All matched</t>
  </si>
  <si>
    <t xml:space="preserve">Invoice no '045' vs '45' -&gt; normalised match</t>
  </si>
  <si>
    <t xml:space="preserve">Supplier filed under wrong GSTIN; invoice number formats.</t>
  </si>
  <si>
    <t xml:space="preserve">see SAL-001 merge pattern on 2B</t>
  </si>
  <si>
    <t xml:space="preserve">Cross-reference to GST domain.</t>
  </si>
  <si>
    <t xml:space="preserve">LED-011</t>
  </si>
  <si>
    <t xml:space="preserve">Receivables/Payables – Ageing</t>
  </si>
  <si>
    <t xml:space="preserve">Debtors and creditors ageing (FIFO) aligned to Schedule III buckets</t>
  </si>
  <si>
    <t xml:space="preserve">Produce ageing for credit control, ECL/provisioning, MSME overdue computation and Schedule III disclosures.</t>
  </si>
  <si>
    <t xml:space="preserve">Schedule III (G.S.R. 207(E) 24-03-2021): trade receivables buckets &lt;6m, 6m–1y, 1–2y, 2–3y, &gt;3y; trade payables &lt;1y, 1–2y, 2–3y, &gt;3y; ageing 'from due date of payment' (if no due date, from transaction date – per Schedule III note; wording not re-verified).</t>
  </si>
  <si>
    <t xml:space="preserve">Companies (Schedule III); all clients for management reporting</t>
  </si>
  <si>
    <t xml:space="preserve">FY 2021-22 onwards</t>
  </si>
  <si>
    <t xml:space="preserve">Party-wise open items (bill-wise) or FIFO allocation of receipts/payments; due dates/credit terms.</t>
  </si>
  <si>
    <t xml:space="preserve">party_id, invoice_no, invoice_date, due_date, amount, receipts/payments with allocation, disputed_flag, msme_flag, credit_period_days, reporting_date</t>
  </si>
  <si>
    <t xml:space="preserve">1. If bill-wise allocation exists use it; else allocate receipts/payments FIFO to oldest invoices; unallocated credits remain 'on account'. 2. age_basis = due_date if present else invoice_date. 3. age_days = reporting_date − age_basis. 4. Bucket per Schedule III. 5. Split disputed vs undisputed; receivables also by considered good/doubtful (and for Division II: significant increase in credit risk / credit impaired – verify). 6. Totals must equal control account (TB-004).</t>
  </si>
  <si>
    <t xml:space="preserve">age_days = (reporting_date − (due_date or invoice_date)).days</t>
  </si>
  <si>
    <t xml:space="preserve">Receivables: &lt;6m, 6m-1y, 1-2y, 2-3y, &gt;3y; Payables: &lt;1y, 1-2y, 2-3y, &gt;3y; unbilled shown separately.</t>
  </si>
  <si>
    <t xml:space="preserve">Per FS rounding (FS-005)</t>
  </si>
  <si>
    <t xml:space="preserve">Σbuckets ≠ control -&gt; High; &gt;3y debtors without provision -&gt; Medium</t>
  </si>
  <si>
    <t xml:space="preserve">Ageing schedules in Schedule III format + management ageing (0-30-60-90-180).</t>
  </si>
  <si>
    <t xml:space="preserve">Invoice ₹1,00,000 dated 01-Jan-2025, due 31-Jan-2025, part receipt ₹40,000; at 31-Mar-2026 outstanding ₹60,000; age from due date = 424 days -&gt; '1-2 years'.</t>
  </si>
  <si>
    <t xml:space="preserve">Σbuckets equals ledger</t>
  </si>
  <si>
    <t xml:space="preserve">Unallocated receipt larger than oldest bill -&gt; FIFO spills to next bill</t>
  </si>
  <si>
    <t xml:space="preserve">On-account receipts not allocated; due dates missing.</t>
  </si>
  <si>
    <t xml:space="preserve">for inv in sorted(open):
 alloc=min(credit,inv.amt); ...
bucket=bisect(BUCKETS,age_days)</t>
  </si>
  <si>
    <t xml:space="preserve">'From due date of payment' basis and Division II receivable rows not confirmed from the source opened; DPNC lists Division I rows (undisputed/disputed × good/doubtful).</t>
  </si>
  <si>
    <t xml:space="preserve">LED-012</t>
  </si>
  <si>
    <t xml:space="preserve">Receivables/Payables – Confirmation</t>
  </si>
  <si>
    <t xml:space="preserve">Balance confirmation tracking and reconciliation</t>
  </si>
  <si>
    <t xml:space="preserve">Obtain and reconcile external confirmations of party balances (SA 505).</t>
  </si>
  <si>
    <t xml:space="preserve">SA 505 External Confirmations (ICAI) – professional practice</t>
  </si>
  <si>
    <t xml:space="preserve">Audits; material parties</t>
  </si>
  <si>
    <t xml:space="preserve">Party master with email; selection criteria.</t>
  </si>
  <si>
    <t xml:space="preserve">party_id, book_balance, confirmation_date, confirmed_balance, response_status, reconciling_items(list: invoice in transit, payment in transit, TDS not accounted, debit/credit notes, disputes)</t>
  </si>
  <si>
    <t xml:space="preserve">1. Select parties: all &gt; materiality (configurable, e.g. top 80% value), plus random sample, nil-balance with high turnover, related parties, MSME. 2. Generate positive confirmation requests as at cut-off date. 3. Record responses; diff = book − confirmed. 4. Reconcile with categories; unexplained diff -&gt; adjust/flag. 5. Non-responses -&gt; alternate procedures (subsequent receipts/payments).</t>
  </si>
  <si>
    <t xml:space="preserve">unexplained = book − confirmed − Σreconciling_items</t>
  </si>
  <si>
    <t xml:space="preserve">Before audit sign-off</t>
  </si>
  <si>
    <t xml:space="preserve">Unexplained &gt; materiality -&gt; High; no response -&gt; Medium</t>
  </si>
  <si>
    <t xml:space="preserve">Confirmation status dashboard</t>
  </si>
  <si>
    <t xml:space="preserve">Book debit ₹5,00,000; confirmed ₹4,85,000; TDS 2% on ₹5,00,000 contract? Customer deducted ₹10,000 TDS not booked + ₹5,000 payment in transit -&gt; unexplained 0.</t>
  </si>
  <si>
    <t xml:space="preserve">Explained fully</t>
  </si>
  <si>
    <t xml:space="preserve">Party denies balance -&gt; High</t>
  </si>
  <si>
    <t xml:space="preserve">TDS deducted by customer not booked; GST credit notes.</t>
  </si>
  <si>
    <t xml:space="preserve">Medium/High</t>
  </si>
  <si>
    <t xml:space="preserve">unexpl=book-conf-sum(items)</t>
  </si>
  <si>
    <t xml:space="preserve">SA 505 cited from professional knowledge.</t>
  </si>
  <si>
    <t xml:space="preserve">Schedule III classification, ageing, ratios, rounding, inventory reconciliation.  Row 5 holds the YAML key for each column. Research date 13 October 2026. Every rule needs CA validation before use.</t>
  </si>
  <si>
    <t xml:space="preserve">FS-001</t>
  </si>
  <si>
    <t xml:space="preserve">Financial Statements – Schedule III classification</t>
  </si>
  <si>
    <t xml:space="preserve">Current vs non-current classification (12 months / operating cycle)</t>
  </si>
  <si>
    <t xml:space="preserve">Validate classification of assets and liabilities in the balance sheet.</t>
  </si>
  <si>
    <t xml:space="preserve">Schedule III to Companies Act 2013, Division I (AS) / Division II (Ind AS) – General Instructions for Balance Sheet (current asset/liability definitions); amended by G.S.R. 207(E) 24-03-2021 (current maturities of long-term borrowings shown under short-term borrowings).</t>
  </si>
  <si>
    <t xml:space="preserve">Companies</t>
  </si>
  <si>
    <t xml:space="preserve">FY 2021-22 onwards (amended format)</t>
  </si>
  <si>
    <t xml:space="preserve">TB mapped to Schedule III line items; loan repayment schedules; operating cycle per company (if not identifiable, assumed 12 months).</t>
  </si>
  <si>
    <t xml:space="preserve">ledger_id, schedule3_line, balance, expected_realisation_or_settlement_date, held_for_trading, operating_cycle_months, loan_repayment_schedule, unconditional_right_to_defer</t>
  </si>
  <si>
    <t xml:space="preserve">1. Asset is current if expected realised/sold/consumed in normal operating cycle, held for trading, due within 12 months of reporting date, or cash/cash equivalent unrestricted. 2. Liability current if settled in operating cycle, held for trading, due within 12 months, or no unconditional right to defer ≥12 months. 3. For term loans: split instalments due within 12 months -&gt; 'current maturities of long-term borrowings' under short-term borrowings. 4. Trade receivables/payables &amp; inventory current if within operating cycle even if &gt; 12 months. 5. Flag ledgers mapped inconsistently (e.g., security deposits recoverable after 12 months in current).</t>
  </si>
  <si>
    <t xml:space="preserve">current_portion = Σ instalments with due_date ≤ reporting_date + 12 months</t>
  </si>
  <si>
    <t xml:space="preserve">12 months or operating cycle (assumed 12 months where not identifiable).</t>
  </si>
  <si>
    <t xml:space="preserve">Deferred tax assets/liabilities always non-current.</t>
  </si>
  <si>
    <t xml:space="preserve">FS-005</t>
  </si>
  <si>
    <t xml:space="preserve">Current portion not split -&gt; High</t>
  </si>
  <si>
    <t xml:space="preserve">Reclassification entries and Schedule III mapped BS</t>
  </si>
  <si>
    <t xml:space="preserve">Term loan ₹60 lakh, EMI principal ₹1.25 lakh/month -&gt; current maturities ₹15 lakh; non-current ₹45 lakh.</t>
  </si>
  <si>
    <t xml:space="preserve">Split done</t>
  </si>
  <si>
    <t xml:space="preserve">Entire loan shown non-current -&gt; flag</t>
  </si>
  <si>
    <t xml:space="preserve">Current maturities not separated; advances for capital goods in current assets.</t>
  </si>
  <si>
    <t xml:space="preserve">cur=sum(i.principal for i in sched if i.due&lt;=rd+relativedelta(months=12))</t>
  </si>
  <si>
    <t xml:space="preserve">General Instruction text on current/non-current not quoted from official Schedule III in this session; 'current maturities' change verified via DPNC.</t>
  </si>
  <si>
    <t xml:space="preserve">FS-002</t>
  </si>
  <si>
    <t xml:space="preserve">Financial Statements – Trade payables</t>
  </si>
  <si>
    <t xml:space="preserve">Trade payables ageing schedule with MSME split and s.22 MSMED disclosures</t>
  </si>
  <si>
    <t xml:space="preserve">Validate Schedule III trade payables ageing and MSMED Act s.22 disclosures.</t>
  </si>
  <si>
    <t xml:space="preserve">Schedule III (G.S.R. 207(E) 24-03-2021): rows MSME / Others / Disputed dues – MSME / Disputed dues – Others; buckets &lt;1y, 1–2y, 2–3y, &gt;3y. MSMED Act 2006 s.22 (disclosure of principal &amp; interest unpaid, interest paid u/s 16, interest due &amp; payable, accrued &amp; remaining unpaid, further interest until actually paid – per professional knowledge; text not opened).</t>
  </si>
  <si>
    <t xml:space="preserve">Companies; s.22 applies to buyers required to get accounts audited</t>
  </si>
  <si>
    <t xml:space="preserve">LED-011 ageing; supplier MSME (Udyam) master with category micro/small/medium and registration date.</t>
  </si>
  <si>
    <t xml:space="preserve">supplier_id, udyam_no, msme_category, outstanding_amount, age_bucket, disputed_flag, interest_computed (MSME-002), interest_paid</t>
  </si>
  <si>
    <t xml:space="preserve">1. Produce 4×4 ageing matrix. 2. Σmatrix = trade payables total. 3. Note: Schedule III row label 'MSME' – CA to decide whether to include medium enterprises (MSMED s.15-16 protection applies to micro &amp; small only). 4. Compute s.22 disclosures from MSME-002: (i) principal and interest remaining unpaid at year end, (ii) interest paid u/s 16 with amounts paid beyond appointed day, (iii) interest due and payable for delay (paid but beyond appointed day), (iv) interest accrued and remaining unpaid, (v) further interest remaining due in succeeding years until actually paid (s.23 disallowable). 5. Cross-check with MSME Form 1 (MSME-003) and Form 3CD cl.22 (AUD-005).</t>
  </si>
  <si>
    <t xml:space="preserve">matrix[row][bucket] = Σ outstanding</t>
  </si>
  <si>
    <t xml:space="preserve">Buckets as stated</t>
  </si>
  <si>
    <t xml:space="preserve">Unbilled dues shown separately</t>
  </si>
  <si>
    <t xml:space="preserve">Annual FS</t>
  </si>
  <si>
    <t xml:space="preserve">MSME supplier dues &gt; 45 days with nil interest disclosure -&gt; High</t>
  </si>
  <si>
    <t xml:space="preserve">Schedule III payables ageing table + s.22 disclosure table</t>
  </si>
  <si>
    <t xml:space="preserve">MSME undisputed: &lt;1y ₹18,00,000, 1-2y ₹2,00,000; Others &lt;1y ₹75,00,000; Disputed others 2-3y ₹3,00,000; total ₹98,00,000 = TB creditors.</t>
  </si>
  <si>
    <t xml:space="preserve">Matrix total equals TB</t>
  </si>
  <si>
    <t xml:space="preserve">Supplier Udyam registered after invoice date -&gt; CA judgement (status at contract date)</t>
  </si>
  <si>
    <t xml:space="preserve">MSME master not updated; Udyam reclassification after 01-04-2025 limits.</t>
  </si>
  <si>
    <t xml:space="preserve">pivot(open_items, index=['row'], columns='bucket', values='amt', aggfunc='sum')</t>
  </si>
  <si>
    <t xml:space="preserve">DPNC – Amendment in Schedule III (w.e.f. 01.04.2021) | https://www.dpncindia.com/amendment-in-schedule-iii-of-the-companies-act-2013-applicable-w-e-f-01-04-2021 | G.S.R. 207(E) dt 24-03-2021
Taxmann – Study of MSMED Act provisions &amp; Schedule III disclosure | https://taxmann.com/post/blog/a-study-of-provisions-of-the-msmed-act-related-disclosure-under-schedule-iii-of-companies-act | s.15, s.16</t>
  </si>
  <si>
    <t xml:space="preserve">s.22 item list from professional knowledge; MSMED Act s.22 text not opened.</t>
  </si>
  <si>
    <t xml:space="preserve">FS-003</t>
  </si>
  <si>
    <t xml:space="preserve">Financial Statements – Trade receivables</t>
  </si>
  <si>
    <t xml:space="preserve">Trade receivables ageing schedule</t>
  </si>
  <si>
    <t xml:space="preserve">Validate Schedule III receivables ageing disclosures.</t>
  </si>
  <si>
    <t xml:space="preserve">Schedule III (G.S.R. 207(E) 24-03-2021)</t>
  </si>
  <si>
    <t xml:space="preserve">customer_id, outstanding, age_bucket, disputed_flag, credit_quality (good/doubtful; Div II: significant increase in credit risk / credit impaired)</t>
  </si>
  <si>
    <t xml:space="preserve">1. Rows: (i) Undisputed – considered good, (ii) Undisputed – considered doubtful, (iii) Disputed – considered good, (iv) Disputed – considered doubtful [Division I per DPNC]; Division II adds 'which have significant increase in credit risk' and 'credit impaired' (to be confirmed by CA). 2. Buckets &lt;6m, 6m–1y, 1–2y, 2–3y, &gt;3y. 3. Total = trade receivables before allowance; reconcile with allowance for doubtful debts.</t>
  </si>
  <si>
    <t xml:space="preserve">matrix sums = gross receivables</t>
  </si>
  <si>
    <t xml:space="preserve">Unbilled shown separately (if applicable)</t>
  </si>
  <si>
    <t xml:space="preserve">Doubtful row total ≠ provision -&gt; Medium</t>
  </si>
  <si>
    <t xml:space="preserve">Ageing table</t>
  </si>
  <si>
    <t xml:space="preserve">Gross ₹1.2 cr: undisputed good &lt;6m ₹90 lakh, 6m-1y ₹20 lakh, doubtful &gt;3y ₹10 lakh; provision ₹10 lakh ✓.</t>
  </si>
  <si>
    <t xml:space="preserve">Sums tie</t>
  </si>
  <si>
    <t xml:space="preserve">Credit balances netted inside receivables -&gt; flag (reclass, TB-005)</t>
  </si>
  <si>
    <t xml:space="preserve">as FS-002</t>
  </si>
  <si>
    <t xml:space="preserve">Division II rows not confirmed from official text.</t>
  </si>
  <si>
    <t xml:space="preserve">FS-004</t>
  </si>
  <si>
    <t xml:space="preserve">Financial Statements – Additional regulatory information</t>
  </si>
  <si>
    <t xml:space="preserve">Ratio computation and &gt;25% variance explanation</t>
  </si>
  <si>
    <t xml:space="preserve">Compute the 11 Schedule III ratios for current and previous year and require explanations for changes of more than 25%.</t>
  </si>
  <si>
    <t xml:space="preserve">Schedule III Additional Regulatory Information (G.S.R. 207(E) 24-03-2021)</t>
  </si>
  <si>
    <t xml:space="preserve">Companies (Division I and II); not NBFC Division III formats (different)</t>
  </si>
  <si>
    <t xml:space="preserve">Mapped FS for CY and PY.</t>
  </si>
  <si>
    <t xml:space="preserve">current_assets, current_liabilities, total_debt, shareholders_equity, earnings_available_for_debt_service, debt_service, net_profit_after_tax, preference_dividend, average_shareholders_equity, cogs_or_sales, average_inventory, net_credit_sales, average_trade_receivables, net_credit_purchases, average_trade_payables, revenue, working_capital, ebit, capital_employed, investment_income, average_investments</t>
  </si>
  <si>
    <t xml:space="preserve">1. Compute ratios: Current ratio = CA/CL; Debt-equity = total debt/shareholders' equity; DSCR = earnings available for debt service / debt service; ROE = (net profit − pref dividend)/average equity; Inventory turnover = COGS (or sales)/average inventory; Trade receivables turnover = net credit sales/average receivables; Trade payables turnover = net credit purchases/average payables; Net capital turnover = revenue/working capital; Net profit ratio = net profit/revenue; ROCE = EBIT/capital employed; ROI = income from investments/average investments. 2. variance% = (CY − PY)/|PY| × 100. 3. If |variance| &gt; 25% -&gt; require explanation text; block 'final' status until provided. 4. Disclose numerator/denominator definitions.</t>
  </si>
  <si>
    <t xml:space="preserve">var = (cy-py)/abs(py)*100; need_expl = abs(var) &gt; 25</t>
  </si>
  <si>
    <t xml:space="preserve">Explanation where change &gt; 25% (DPNC: 'more than 25%'; CAclub: '25% or more' – conflicting wording; safest: flag ≥ 25%).</t>
  </si>
  <si>
    <t xml:space="preserve">Ratio definitions not prescribed in detail by law – ICAI Guidance Note on Division I/II gives suggested formulae (not opened).</t>
  </si>
  <si>
    <t xml:space="preserve">Two decimals – implementation choice</t>
  </si>
  <si>
    <t xml:space="preserve">Missing explanation for &gt;25% -&gt; High; PY = 0 -&gt; 'not computable' with note</t>
  </si>
  <si>
    <t xml:space="preserve">Ratio table CY/PY/variance/explanation</t>
  </si>
  <si>
    <t xml:space="preserve">Current ratio CY 1.20 (CA 60L/CL 50L), PY 1.80 -&gt; variance (1.20−1.80)/1.80 = −33.3% -&gt; explanation required.</t>
  </si>
  <si>
    <t xml:space="preserve">Variance 10% -&gt; no explanation</t>
  </si>
  <si>
    <t xml:space="preserve">PY denominator 0 -&gt; NA flag</t>
  </si>
  <si>
    <t xml:space="preserve">Inconsistent definitions year-to-year.</t>
  </si>
  <si>
    <t xml:space="preserve">v=(cy-py)/abs(py)*100 if py else None
if v is None or abs(v)&gt;=25: require_expl()</t>
  </si>
  <si>
    <t xml:space="preserve">DPNC – Amendment in Schedule III (w.e.f. 01.04.2021) | https://www.dpncindia.com/amendment-in-schedule-iii-of-the-companies-act-2013-applicable-w-e-f-01-04-2021 | G.S.R. 207(E) dt 24-03-2021
CAclubindia – Amendment in Schedule III Division I | https://www.caclubindia.com/articles/amendment-schedule-iii-division-i-igaap-companies-act-2013-44527.asp | Rounding, AddI. regulatory info, ratios</t>
  </si>
  <si>
    <t xml:space="preserve">Secondary sources differ on 'more than' vs '25% or more'; check official Schedule III text. Formulae are as commonly per ICAI Guidance Note – not verified.</t>
  </si>
  <si>
    <t xml:space="preserve">Financial Statements – Rounding</t>
  </si>
  <si>
    <t xml:space="preserve">Rounding-off of figures in financial statements based on Total Income</t>
  </si>
  <si>
    <t xml:space="preserve">Validate the unit of presentation chosen is permitted and used uniformly.</t>
  </si>
  <si>
    <t xml:space="preserve">Schedule III General Instructions (amended by G.S.R. 207(E) 24-03-2021): rounding mandatory based on 'Total Income' (not turnover).</t>
  </si>
  <si>
    <t xml:space="preserve">Companies (Division I &amp; II)</t>
  </si>
  <si>
    <t xml:space="preserve">Total income (revenue from operations + other income) of the company</t>
  </si>
  <si>
    <t xml:space="preserve">total_income, presentation_unit, decimals_used</t>
  </si>
  <si>
    <t xml:space="preserve">1. If total_income &lt; ₹100 crore: allowed units = hundreds, thousands, lakhs, millions (or decimals thereof). 2. If total_income ≥ ₹100 crore: allowed units = lakhs, millions, crores (or decimals thereof). 3. Check same unit used uniformly throughout FS. 4. Check casting after rounding (rounding differences) – totals recomputed from unrounded values, difference ≤ 1 unit per line.</t>
  </si>
  <si>
    <t xml:space="preserve">allowed = ['hundreds','thousands','lakhs','millions'] if TI&lt;100e7 else ['lakhs','millions','crores']</t>
  </si>
  <si>
    <t xml:space="preserve">₹100 crore Total Income</t>
  </si>
  <si>
    <t xml:space="preserve">Schedule III General Instructions (legal basis); 'crores' not permitted below ₹100 cr per CAclub summary (verify).</t>
  </si>
  <si>
    <t xml:space="preserve">Unit not permitted -&gt; Medium; mixed units -&gt; Medium</t>
  </si>
  <si>
    <t xml:space="preserve">Pass/fail with allowed units</t>
  </si>
  <si>
    <t xml:space="preserve">Total income ₹85 crore; FS presented in crores -&gt; not permitted -&gt; Medium; present in lakhs.</t>
  </si>
  <si>
    <t xml:space="preserve">TI ₹250 cr, lakhs -&gt; OK</t>
  </si>
  <si>
    <t xml:space="preserve">TI ₹250 cr in thousands -&gt; fail</t>
  </si>
  <si>
    <t xml:space="preserve">Using turnover instead of total income.</t>
  </si>
  <si>
    <t xml:space="preserve">ok = unit in (LOW if ti&lt;1e9 else HIGH)</t>
  </si>
  <si>
    <t xml:space="preserve">CAclubindia – Amendment in Schedule III Division I | https://www.caclubindia.com/articles/amendment-schedule-iii-division-i-igaap-companies-act-2013-44527.asp | Rounding, AddI. regulatory info, ratios
DPNC – Amendment in Schedule III (w.e.f. 01.04.2021) | https://www.dpncindia.com/amendment-in-schedule-iii-of-the-companies-act-2013-applicable-w-e-f-01-04-2021 | G.S.R. 207(E) dt 24-03-2021</t>
  </si>
  <si>
    <t xml:space="preserve">The brief said 'turnover'; secondary sources say criterion changed to 'Total Income' from FY 2021-22. Whether exactly ₹100 cr falls in lower/upper band ('less than' vs 'one hundred crore or more') – treated as ≥100 cr upper; verify official text.</t>
  </si>
  <si>
    <t xml:space="preserve">FS-006</t>
  </si>
  <si>
    <t xml:space="preserve">Other Schedule III ARI checks (title deeds, CWIP ageing, struck-off companies, promoters' shareholding, borrowings use)</t>
  </si>
  <si>
    <t xml:space="preserve">Checklist-driven validation that required disclosures exist and tie to data.</t>
  </si>
  <si>
    <t xml:space="preserve">FAR, CWIP project list, promoter list, MCA struck-off list (manual upload), loan sanction letters</t>
  </si>
  <si>
    <t xml:space="preserve">property_title_holder, cwip_project, cwip_start_date, cwip_amount, promoter_shares_cy/py, struck_off_party_flag, borrowing_purpose, utilisation</t>
  </si>
  <si>
    <t xml:space="preserve">1. Immovable property title deeds not in company name -&gt; list. 2. CWIP &amp; intangible under development ageing &lt;1y,1–2y,2–3y,&gt;3y; overdue/cost overrun completion schedule. 3. Shareholding of promoters and % change. 4. Loans/advances to promoters/directors/KMP/RPs repayable on demand/without terms. 5. Transactions with struck-off companies. 6. Charges/satisfaction not registered with ROC within statutory period. 7. Borrowings not used for specified purpose. 8. Quarterly statements to banks vs books (see FS-007). 9. Benami, wilful defaulter, crypto (Division I/II also requires crypto disclosure – verify), layers rule, scheme of arrangement, undisclosed income, utilisation of borrowed funds/share premium.</t>
  </si>
  <si>
    <t xml:space="preserve">Missing disclosure where data shows item -&gt; High</t>
  </si>
  <si>
    <t xml:space="preserve">ARI checklist with auto-populated tables</t>
  </si>
  <si>
    <t xml:space="preserve">CWIP project started 15-Jun-2023 ₹40 lakh at 31-Mar-2026 -&gt; age 2.8 years -&gt; '2–3 years' bucket.</t>
  </si>
  <si>
    <t xml:space="preserve">Crypto disclosure item not seen in opened sources – CA to verify.</t>
  </si>
  <si>
    <t xml:space="preserve">FS-007</t>
  </si>
  <si>
    <t xml:space="preserve">Inventory – Reconciliation</t>
  </si>
  <si>
    <t xml:space="preserve">Inventory: stock register vs books vs stock statements submitted to bank</t>
  </si>
  <si>
    <t xml:space="preserve">Reconcile quantity and value of inventory across stock records, accounts, physical verification and statements to lenders (Schedule III ARI; CARO 2020 cl. 3(ii)(b)).</t>
  </si>
  <si>
    <t xml:space="preserve">CARO 2020 cl. 3(ii)(a) (physical verification; discrepancies ≥10% in aggregate per class – professional knowledge, not re-verified) and 3(ii)(b) (working capital limits &gt; ₹5 crore in aggregate secured by current assets – quarterly returns agree with books); Schedule III ARI (quarterly returns/statements vs books with reconciliation); AS 2 / Ind AS 2 valuation.</t>
  </si>
  <si>
    <t xml:space="preserve">Entities with inventory; 3(ii)(b) where sanctioned WC limits &gt; ₹5 crore aggregate from banks/FIs on security of current assets.</t>
  </si>
  <si>
    <t xml:space="preserve">CARO 2020 from FY 2021-22</t>
  </si>
  <si>
    <t xml:space="preserve">Item-wise stock register (qty, rate), physical verification sheets, quarterly stock statements filed with bank, GL inventory balances at quarter ends, sanctioned limit data.</t>
  </si>
  <si>
    <t xml:space="preserve">item_code, qty_register, qty_physical, rate, value_register, gl_inventory_value, quarter_end, bank_statement_inventory_value, bank_statement_debtors_value, bank_statement_creditors_value, books_debtors, books_creditors, sanctioned_wc_limit_total</t>
  </si>
  <si>
    <t xml:space="preserve">1. Register vs physical: diff_qty per item; aggregate discrepancy % per class = Σ|diff value| / book value; flag ≥10% (CARO 3(ii)(a) reporting). 2. Register value vs GL: equal at each quarter end/year-end. 3. Applicability 3(ii)(b): Σ sanctioned WC limits (fund + non-fund? – CA to decide) &gt; ₹5 crore at any time in year. 4. For each quarter: compare bank statement figures (inventory, receivables, payables) with books (pre/post audit adjustments). 5. Difference -&gt; list with reasons (provisional vs final figures, ageing exclusions, valuation basis). 6. Output Schedule III ARI table: quarter, bank, particulars, amount per books, amount per statement, difference, reason.</t>
  </si>
  <si>
    <t xml:space="preserve">disc% = Σ|qty_phys−qty_reg|×rate / Σ book_value ×100; q_diff = books_q − statement_q</t>
  </si>
  <si>
    <t xml:space="preserve">₹5 crore aggregate sanctioned WC limits; 10% physical discrepancy (verify).</t>
  </si>
  <si>
    <t xml:space="preserve">Ineligible stock (&gt;90/180 days) excluded per bank's DP computation – explain as reconciling item.</t>
  </si>
  <si>
    <t xml:space="preserve">Quarterly (bank-specific due dates)</t>
  </si>
  <si>
    <t xml:space="preserve">Unexplained quarterly difference -&gt; High; disc% ≥ 10 -&gt; High</t>
  </si>
  <si>
    <t xml:space="preserve">Quarterly reconciliation table; physical verification report</t>
  </si>
  <si>
    <t xml:space="preserve">Q3 (31-Dec-2025): stock per books ₹4,20,00,000; per statement ₹4,55,00,000; diff ₹35,00,000 (statement used provisional valuation incl. GST) -&gt; disclose.</t>
  </si>
  <si>
    <t xml:space="preserve">Equal -&gt; no disclosure of difference</t>
  </si>
  <si>
    <t xml:space="preserve">Limit ₹4.5 cr -&gt; 3(ii)(b) not applicable but ARI still applicable if borrowings secured on current assets</t>
  </si>
  <si>
    <t xml:space="preserve">Inventory valued at selling price in bank statements; including GST.</t>
  </si>
  <si>
    <t xml:space="preserve">if sum(limits)&gt;5e7: for q in quarters: diff=books[q]-stmt[q]</t>
  </si>
  <si>
    <t xml:space="preserve">Taxguru – Summary of CARO 2020 clauses &amp; Schedule III amendments | https://taxguru.in/company-law/summary-clauses-caro-2020-consequential-amendments-schedule-iii-companies-act-2013.html | CARO 2020 cl. 3(ii)(b), 3(viii)
DPNC – Amendment in Schedule III (w.e.f. 01.04.2021) | https://www.dpncindia.com/amendment-in-schedule-iii-of-the-companies-act-2013-applicable-w-e-f-01-04-2021 | G.S.R. 207(E) dt 24-03-2021</t>
  </si>
  <si>
    <t xml:space="preserve">10% threshold of 3(ii)(a) not verified in opened sources. Whether non-fund-based limits count toward ₹5 cr – CA judgement (ICAI Guidance Note on CARO).</t>
  </si>
  <si>
    <t xml:space="preserve">Classification, MSMED Act s.15/16 interest, MSME Form 1, s.43B(h).  Row 5 holds the YAML key for each column. Research date 13 October 2026. Every rule needs CA validation before use.</t>
  </si>
  <si>
    <t xml:space="preserve">MSME-001</t>
  </si>
  <si>
    <t xml:space="preserve">MSME – Classification</t>
  </si>
  <si>
    <t xml:space="preserve">Classify suppliers as Micro / Small / Medium (revised limits from 01-04-2025)</t>
  </si>
  <si>
    <t xml:space="preserve">Determine which suppliers are protected under MSMED Act Chapter V (micro &amp; small) and s.43B(h)/s.37(2)(g).</t>
  </si>
  <si>
    <t xml:space="preserve">MSMED Act 2006 s.7; Notification S.O. 1364(E) dated 21-03-2025 (amending S.O. 2119(E) 26-06-2020), effective 01-04-2025.</t>
  </si>
  <si>
    <t xml:space="preserve">All buyers; classification is per supplier's Udyam registration.</t>
  </si>
  <si>
    <t xml:space="preserve">01-04-2025 (previous limits: micro ₹1cr/₹5cr; small ₹10cr/₹50cr; medium ₹50cr/₹250cr)</t>
  </si>
  <si>
    <t xml:space="preserve">Supplier Udyam Registration Number &amp; certificate category; classification date.</t>
  </si>
  <si>
    <t xml:space="preserve">supplier_id, udyam_no, udyam_category, udyam_registration_date, investment_pm, turnover, activity (manufacturing/services/trader)</t>
  </si>
  <si>
    <t xml:space="preserve">1. Rely on Udyam certificate category (composite criterion: enterprise must satisfy BOTH investment and turnover limits; exceeding either moves it to next category). 2. Validate category vs disclosed investment/turnover if available: micro inv ≤ ₹2.5 cr AND turnover ≤ ₹10 cr; small ≤ ₹25 cr AND ≤ ₹100 cr; medium ≤ ₹125 cr AND ≤ ₹500 cr. 3. Protected = micro or small; medium not protected under s.15-16 for 43B(h) (traders: Udyam for retail/wholesale traders permitted only for priority sector lending – they are generally treated as outside s.43B(h) per Govt clarification – verify). 4. Record classification as at date of supply/agreement.</t>
  </si>
  <si>
    <t xml:space="preserve">cat = micro if inv&lt;=2.5e7 and to&lt;=10e7 else small if inv&lt;=25e7 and to&lt;=100e7 else medium if inv&lt;=125e7 and to&lt;=500e7 else 'large'</t>
  </si>
  <si>
    <t xml:space="preserve">Micro ₹2.5cr/₹10cr; Small ₹25cr/₹100cr; Medium ₹125cr/₹500cr (investment in P&amp;M or equipment / turnover).</t>
  </si>
  <si>
    <t xml:space="preserve">Traders (Udyam for PSL only); exports excluded from turnover (per 2020 notification – not re-verified).</t>
  </si>
  <si>
    <t xml:space="preserve">Udyam missing for supplier claiming MSME -&gt; Medium; category inconsistent with limits -&gt; Low</t>
  </si>
  <si>
    <t xml:space="preserve">Supplier MSME classification master</t>
  </si>
  <si>
    <t xml:space="preserve">Supplier: investment ₹2 cr, turnover ₹12 cr -&gt; exceeds micro turnover ₹10 cr -&gt; Small.</t>
  </si>
  <si>
    <t xml:space="preserve">inv 2.4cr/to 9cr -&gt; micro</t>
  </si>
  <si>
    <t xml:space="preserve">inv 2.6cr/to 5cr -&gt; small</t>
  </si>
  <si>
    <t xml:space="preserve">Stale MSME master from pre-2025 limits.</t>
  </si>
  <si>
    <t xml:space="preserve">see formula</t>
  </si>
  <si>
    <t xml:space="preserve">CA Sahuja – Govt revises MSME classification (S.O. 1364(E)) | https://www.casahuja.com/2025/04/regulatory-update-government-revises.html | S.O. 1364(E) dt 21-03-2025, eff 01-04-2025
FoxMandal – Monetary limits for MSME classification revised | https://foxmandal.in/news/monetary-limits-for-msme-classification-revised/ | amends S.O. 2119(E) dt 26-06-2020
S.O. 1364(E) dt 21-03-2025 (DC-MSME) | https://www.dcmsme.gov.in/Notification-S.O-no-1364-E-dated-21.03.2025-Revised-Definition.pdf | 
PIB – MSME limits enhanced | https://www.pib.gov.in/PressReleasePage.aspx?PRID=2098389&amp;reg=48&amp;lang=2 | </t>
  </si>
  <si>
    <t xml:space="preserve">[VERIFICATION 13-10-2026] Official S.O. 1364(E) dt 21-03-2025 (dcmsme.gov.in gazette copy), effective 01-04-2025, amending S.O. 2119(E) dt 26-06-2020: Micro – investment up to Rs 2.5 cr, turnover up to Rs 10 cr; Small – Rs 25 cr / Rs 100 cr; Medium – Rs 125 cr / Rs 500 cr. PIB Budget release matches. A PIB release of 29-01-2026 mentions 'revised' limits without new figures; no later superseding notification found. S.O. 1364(E) not opened on egazette directly; limits consistent across two secondary sources. Trader treatment not verified.</t>
  </si>
  <si>
    <t xml:space="preserve">MSME-002</t>
  </si>
  <si>
    <t xml:space="preserve">MSME – Delayed payment</t>
  </si>
  <si>
    <t xml:space="preserve">MSMED s.15 due-date test and s.16 compound interest (3× RBI bank rate, monthly rests)</t>
  </si>
  <si>
    <t xml:space="preserve">Identify payments to micro/small suppliers beyond the s.15 limit and compute interest payable (disclosure s.22; disallowance s.23; Form 3CD cl.22).</t>
  </si>
  <si>
    <t xml:space="preserve">MSMED Act 2006 s.15 (payment on agreed date ≤ 45 days from day of acceptance/deemed acceptance; if no agreement, before appointed day = 15 days), s.16 (compound interest with monthly rests at three times bank rate notified by RBI), s.23 (interest not deductible for income-tax).</t>
  </si>
  <si>
    <t xml:space="preserve">Buyers of goods/services from micro &amp; small enterprises</t>
  </si>
  <si>
    <t xml:space="preserve">MSMED Act from 02-10-2006</t>
  </si>
  <si>
    <t xml:space="preserve">MSME-001 classification; invoice acceptance date; agreed credit period; payment details; RBI bank rate history.</t>
  </si>
  <si>
    <t xml:space="preserve">supplier_id, msme_category, invoice_no, invoice_date, acceptance_date, deemed_acceptance_date, written_agreement_days, amount, payments(date, amount), bank_rate_history(date, rate)</t>
  </si>
  <si>
    <t xml:space="preserve">1. Day of acceptance = actual acceptance date (or date of delivery/rendering if no objection within 15 days -&gt; deemed acceptance). 2. Due date = acceptance + min(agreed_days, 45) if written agreement; else acceptance + 15 days ('appointed day'). 3. For each payment allocated FIFO, delay_days = payment_date − due_date. 4. Interest from day after due date (appointed day / agreed date) to payment date, compounded monthly at 3 × bank rate (use rate prevailing for each month – courts have held variable rates; CA choice). 5. Unpaid at year end -&gt; interest accrued to reporting date and 'interest remaining due'. 6. Output for s.22 disclosure and 3CD cl.22.</t>
  </si>
  <si>
    <t xml:space="preserve">r_m = 3 × bank_rate / 12 ; Interest = P × [(1 + r_m)^n − 1] where n = months of delay (fractional month: compound full months then simple for remaining days = P_n × r_annual × d/365 – implementation choice)</t>
  </si>
  <si>
    <t xml:space="preserve">Max credit 45 days with written agreement; 15 days without; rate = 3 × RBI Bank Rate (Bank Rate 5.75% as shown on RBI site on 13-10-2026 -&gt; 17.25% p.a.).</t>
  </si>
  <si>
    <t xml:space="preserve">Medium enterprises; suppliers not registered at time of contract (judicial view varies); disputed amounts (still interest may apply on final settlement).</t>
  </si>
  <si>
    <t xml:space="preserve">Not specified in law – implementation choice (round to nearest rupee for disclosure)</t>
  </si>
  <si>
    <t xml:space="preserve">Payment within 15/45 days; disclosure annually in FS; MSME Form 1 half-yearly</t>
  </si>
  <si>
    <t xml:space="preserve">Paid after due date -&gt; interest computed; unpaid beyond due date at year-end -&gt; High</t>
  </si>
  <si>
    <t xml:space="preserve">Invoice-wise delay &amp; interest schedule; totals for s.22 and 3CD cl.22.</t>
  </si>
  <si>
    <t xml:space="preserve">Micro supplier invoice ₹10,00,000 accepted 01-Oct-2025, written agreement 45 days -&gt; due 15-Nov-2025. Paid 15-Feb-2026 = 3 months late. Rate 3 × 5.75% = 17.25% p.a.; r_m = 1.4375%. Interest = 10,00,000 × [(1.014375)^3 − 1] = 10,00,000 × 0.043748 = ₹43,748. (Simple-interest comparison: ₹43,125.)</t>
  </si>
  <si>
    <t xml:space="preserve">No agreement, accepted 01-Jan, paid 20-Jan -&gt; due 16-Jan -&gt; 4 days delay -&gt; interest ≈ 10,00,000×17.25%×4/365 = ₹1,890.</t>
  </si>
  <si>
    <t xml:space="preserve">Agreement 60 days -&gt; capped at 45; paid on day 45 -&gt; no interest.</t>
  </si>
  <si>
    <t xml:space="preserve">Using invoice date instead of acceptance date; no interest provision; medium suppliers included.</t>
  </si>
  <si>
    <t xml:space="preserve">due = acc + timedelta(days=min(agreed,45) if agreed else 15)
n_full, rem = months_between(due, pay)
amt = P*((1+3*br/12)**n_full) ; amt += amt*3*br*rem/365
interest = amt - P</t>
  </si>
  <si>
    <t xml:space="preserve">MSMED Act 2006 s.16 text | https://lawx.in/acts/section/145/1245/10691 | s.16
Taxmann – Study of MSMED Act provisions &amp; Schedule III disclosure | https://taxmann.com/post/blog/a-study-of-provisions-of-the-msmed-act-related-disclosure-under-schedule-iii-of-companies-act | s.15, s.16
RBI home page – Current Rates (Bank Rate 5.75%) | https://rbi.org.in/ | Current rates panel as seen 13-10-2026</t>
  </si>
  <si>
    <t xml:space="preserve">s.16 wording verified (secondary bare-act site). Bank rate 5.75% read from RBI home page; rate history must be maintained by date. 'Appointed day' = 15 days after acceptance (s.2(b)) – from professional knowledge, not opened. Day-count convention and use of variable rate are judgement items.</t>
  </si>
  <si>
    <t xml:space="preserve">MSME-003</t>
  </si>
  <si>
    <t xml:space="preserve">MSME – MCA reporting</t>
  </si>
  <si>
    <t xml:space="preserve">MSME Form 1 half-yearly return (dues to micro/small &gt; 45 days)</t>
  </si>
  <si>
    <t xml:space="preserve">Identify specified companies required to file MSME Form 1 and populate its data.</t>
  </si>
  <si>
    <t xml:space="preserve">Companies Act 2013 s.405; Specified Companies (Furnishing of information about payment to micro and small enterprise suppliers) Order, 2019 (22-01-2019) as amended by S.O. 2751(E) dated 15-07-2024 (revised Form-1; filing only where dues pending &gt; 45 days from acceptance/deemed acceptance).</t>
  </si>
  <si>
    <t xml:space="preserve">Companies receiving supplies from micro/small enterprises with payments outstanding &gt; 45 days from acceptance.</t>
  </si>
  <si>
    <t xml:space="preserve">Revised form per S.O. 2751(E) 15-07-2024 (effective date not verified)</t>
  </si>
  <si>
    <t xml:space="preserve">MSME-001/002 data per half-year (Apr–Sep, Oct–Mar).</t>
  </si>
  <si>
    <t xml:space="preserve">supplier_name, supplier_pan, udyam_no, invoice_date, acceptance_date, amount_due, amount_paid, payment_date, outstanding_days, reason_for_delay</t>
  </si>
  <si>
    <t xml:space="preserve">1. For half-year, find micro/small invoices where payment outstanding/made beyond 45 days from acceptance. 2. If none -&gt; no filing required (post-2024 proviso). 3. Else prepare schedule: supplier details, amounts due, dates, delay reasons. 4. Due: Apr–Sep by 31 October; Oct–Mar by 30 April. 5. Penalty s.405(4) for non-compliance (secondary: ₹20,000 + ₹1,000/day up to ₹3 lakh – verify).</t>
  </si>
  <si>
    <t xml:space="preserve">include if (payment_date or report_end) − acceptance_date &gt; 45</t>
  </si>
  <si>
    <t xml:space="preserve">45 days</t>
  </si>
  <si>
    <t xml:space="preserve">Medium enterprises; non-company buyers</t>
  </si>
  <si>
    <t xml:space="preserve">30 April (Oct–Mar half) / 31 October (Apr–Sep half)</t>
  </si>
  <si>
    <t xml:space="preserve">Applicable but not filed -&gt; High</t>
  </si>
  <si>
    <t xml:space="preserve">MSME Form 1 data sheet</t>
  </si>
  <si>
    <t xml:space="preserve">Invoice accepted 01-Aug-2025, unpaid at 30-Sep-2025 -&gt; 60 days &gt; 45 -&gt; include in Apr–Sep return due 31-Oct-2025.</t>
  </si>
  <si>
    <t xml:space="preserve">As sample</t>
  </si>
  <si>
    <t xml:space="preserve">Paid on day 40 -&gt; exclude</t>
  </si>
  <si>
    <t xml:space="preserve">Reporting based on invoice date</t>
  </si>
  <si>
    <t xml:space="preserve">rows=[i for i in inv if i.msme in('micro','small') and days(i)&gt;45]</t>
  </si>
  <si>
    <t xml:space="preserve">Taxmann – MCA revises MSME Form-1 | https://www.taxmann.com/post/blog/mca-revises-msme-form-1-with-enhanced-disclosures-for-reporting-payments-pending-over-45-days-to-micro-small-enterprises/ | S.O. 2751(E) dt 15-07-2024
Patron Accounting – MSME Form 1 half-yearly return guide | https://www.patronaccounting.com/blog/msme-form-1-half-yearly-return-filing-guide | due dates 30 Apr / 31 Oct; s.405(4) penalty</t>
  </si>
  <si>
    <t xml:space="preserve">Whether V3 form requires all transactions with an affected supplier (not only overdue) – per secondary blog; verify against form instructions. Penalty amounts not verified officially.</t>
  </si>
  <si>
    <t xml:space="preserve">MSME-004</t>
  </si>
  <si>
    <t xml:space="preserve">MSME – Income-tax</t>
  </si>
  <si>
    <t xml:space="preserve">s.43B(h) disallowance for micro/small dues paid beyond s.15 period (and 2025 Act s.37(2)(g))</t>
  </si>
  <si>
    <t xml:space="preserve">Compute disallowance of expense where payment to micro/small supplier not made within s.15 time limit; report in Form 3CD cl.22 and 26.</t>
  </si>
  <si>
    <t xml:space="preserve">FY 2025-26: IT Act 1961 s.43B(h) (inserted by Finance Act 2023, from AY 2024-25); Form 3CD cl.22 &amp; 26 (Notification 27/2024 dt 05-03-2024; corrigendum 34/2024 dt 19-03-2024). Tax year 2026-27: ITA 2025 s.37(1) read with s.37(2)(g) (no extension to return due date per s.37(3)) – mapping verified via secondary text only.</t>
  </si>
  <si>
    <t xml:space="preserve">Assessees under PGBP buying from micro/small enterprises (not medium; traders generally excluded)</t>
  </si>
  <si>
    <t xml:space="preserve">AY 2024-25 onwards; 2025 Act from 01-04-2026</t>
  </si>
  <si>
    <t xml:space="preserve">MSME-002 due dates; year-end outstanding list; payments after year-end.</t>
  </si>
  <si>
    <t xml:space="preserve">supplier_id, msme_category, invoice_no, expense_amount, due_date_s15, payment_date, fy_end</t>
  </si>
  <si>
    <t xml:space="preserve">1. For each micro/small payable outstanding at FY end: if payment made by due_date_s15 (even after FY end) -&gt; allowed in that year; else -&gt; disallowed in current FY and allowed in year of actual payment. 2. For invoices whose due date fell within the year and paid late but within the year -&gt; no 43B(h) disallowance (paid in same year) – only interest disallowance under MSMED s.23. 3. Report amounts in Form 3CD cl.26 and cl.22. 4. Track for allowance in subsequent year.</t>
  </si>
  <si>
    <t xml:space="preserve">disallow = Σ outstanding_at_FY_end where (payment_date is None or payment_date &gt; due_date_s15)</t>
  </si>
  <si>
    <t xml:space="preserve">15/45 days per MSMED s.15</t>
  </si>
  <si>
    <t xml:space="preserve">Medium enterprises; traders; capital purchases (not expenditure) – judgement</t>
  </si>
  <si>
    <t xml:space="preserve">Amounts as per books</t>
  </si>
  <si>
    <t xml:space="preserve">Tax audit 2026-27 AY due 21-10-2026 (extended)</t>
  </si>
  <si>
    <t xml:space="preserve">Outstanding beyond due date at year-end -&gt; High</t>
  </si>
  <si>
    <t xml:space="preserve">43B(h) schedule (cl.22/26)</t>
  </si>
  <si>
    <t xml:space="preserve">Invoice ₹5,00,000 accepted 01-Mar-2026, 45-day agreement -&gt; due 15-Apr-2026. Paid 10-Apr-2026 -&gt; allowed in FY 2025-26. If paid 30-Apr-2026 -&gt; disallowed in FY 2025-26, allowed in FY 2026-27.</t>
  </si>
  <si>
    <t xml:space="preserve">Paid 30-Apr -&gt; disallow ₹5 lakh</t>
  </si>
  <si>
    <t xml:space="preserve">Medium supplier -&gt; no disallowance</t>
  </si>
  <si>
    <t xml:space="preserve">Applying ITR due-date relief incorrectly</t>
  </si>
  <si>
    <t xml:space="preserve">if cat in('micro','small') and (pay is None or pay&gt;due): disallow+=amt</t>
  </si>
  <si>
    <t xml:space="preserve">eztax – Income-tax Act 2025 section 37 | https://eztax.in/income-tax-act-2025/section-37 | s.37(2)(g)
Taxmann – CBDT corrigendum to include 43B(h) in clause 22 | https://www.taxmann.com/post/blog/cbdt-issues-corrigendum-to-include-sec-43bh-disallowance-under-clause-22-of-form-3cd/ | Notif 27/2024 dt 05-03-2024; corrigendum 34/2024 dt 19-03-2024
CalcGuru – Form 3CD checklist AY 2026-27 | https://calcguru.in/?p=8211 | cl. 21, 22, 26, 31, 34, 44
CBDT Circular No. 07/2026 dt 28-09-2026 | https://incometaxindia.gov.in/documents/d/guest/circular-7-2026-pdf | Tax audit date extended to 21-10-2026; ITR to 21-11-2026</t>
  </si>
  <si>
    <t xml:space="preserve">Mapping 43B(h) -&gt; s.37(2)(g) inferred from content of s.37 on eztax; not officially confirmed.</t>
  </si>
  <si>
    <t xml:space="preserve">Annual filings, other forms, late fees, small-company classification.  Row 5 holds the YAML key for each column. Research date 13 October 2026. Every rule needs CA validation before use.</t>
  </si>
  <si>
    <t xml:space="preserve">MCA-001</t>
  </si>
  <si>
    <t xml:space="preserve">Company Law – Annual filings</t>
  </si>
  <si>
    <t xml:space="preserve">AGM, AOC-4 and MGT-7/7A due dates</t>
  </si>
  <si>
    <t xml:space="preserve">Compute statutory due dates and flag delays.</t>
  </si>
  <si>
    <t xml:space="preserve">Companies Act 2013 s.96 (AGM within 6 months of FY end; first AGM within 9 months – professional knowledge), s.137 (AOC-4 within 30 days of AGM), s.92(4) (MGT-7/MGT-7A within 60 days of AGM).</t>
  </si>
  <si>
    <t xml:space="preserve">All companies (OPC: AOC-4 within 180 days of FY end – professional knowledge, not verified)</t>
  </si>
  <si>
    <t xml:space="preserve">FY end, AGM date (or last date it should have been held), extension by ROC (max 3 months, not for first AGM).</t>
  </si>
  <si>
    <t xml:space="preserve">cin, company_type, fy_end, agm_date, agm_extension_granted_days, aoc4_filing_date, mgt7_filing_date</t>
  </si>
  <si>
    <t xml:space="preserve">1. agm_due = fy_end + 6 months (30 Sept for 31-Mar FY) + extension if granted. 2. If AGM not held, base for AOC-4/MGT-7 = date by which AGM should have been held. 3. aoc4_due = agm_date + 30 days; mgt7_due = agm_date + 60 days. 4. Delay days -&gt; fee per MCA-003. 5. Check MCA general circulars for extensions (precedents e.g. GC 22/2021) – maintain an override table.</t>
  </si>
  <si>
    <t xml:space="preserve">aoc4_due = agm + 30d; mgt7_due = agm + 60d</t>
  </si>
  <si>
    <t xml:space="preserve">Circular-based extensions</t>
  </si>
  <si>
    <t xml:space="preserve">FY 2025-26: AGM by 30-09-2026; AOC-4 by 30-10-2026 (if AGM on 30-09); MGT-7 by 29-11-2026.</t>
  </si>
  <si>
    <t xml:space="preserve">Filed after due -&gt; High; AGM not held -&gt; Critical</t>
  </si>
  <si>
    <t xml:space="preserve">Compliance calendar &amp; delays</t>
  </si>
  <si>
    <t xml:space="preserve">AGM 26-Sep-2026 -&gt; AOC-4 due 26-Oct-2026; MGT-7 due 25-Nov-2026.</t>
  </si>
  <si>
    <t xml:space="preserve">Filed on due date -&gt; OK</t>
  </si>
  <si>
    <t xml:space="preserve">AGM 30-Sep, AOC-4 filed 05-Nov -&gt; 6 days late -&gt; ₹600 additional fee</t>
  </si>
  <si>
    <t xml:space="preserve">aoc4_due=agm+timedelta(30); mgt7_due=agm+timedelta(60)</t>
  </si>
  <si>
    <t xml:space="preserve">StudyCafe – MCA notifies additional fee Rs 100/day w.e.f. 1 July 2018 | https://studycafe.in/mca-notifies-additional-fee-of-rs-100-per-day-for-delay-in-filing-roc-forms-24895.html | Companies (Registration Offices and Fees) Second Amendment Rules 2018 dt 07-05-2018
Taxmann – MCA extends due date for financials &amp; annual return | https://taxmann.com/post/blog/mca-extends-due-date-for-filing-of-financials-and-annual-return | GC 22/2021 (precedent of extensions)</t>
  </si>
  <si>
    <t xml:space="preserve">Section timelines are well-established; official bare act not opened this session. No FY 2025-26 extension circular found as of 13-10-2026 (search not exhaustive).</t>
  </si>
  <si>
    <t xml:space="preserve">MCA-002</t>
  </si>
  <si>
    <t xml:space="preserve">Company Law – Other forms</t>
  </si>
  <si>
    <t xml:space="preserve">DIR-3 KYC (triennial from 31-03-2026), ADT-1, DPT-3 due dates</t>
  </si>
  <si>
    <t xml:space="preserve">Calendar and validation of recurring MCA forms.</t>
  </si>
  <si>
    <t xml:space="preserve">Companies (Appointment and Qualification of Directors) Amendment Rules 2025 (notified 31-12-2025, effective 31-03-2026) – KYC once in every three years via DIR-3-KYC-Web, event-based update within 30 days; s.139 + Rule 4 Companies (Audit and Auditors) Rules (ADT-1 within 15 days of AGM – professional knowledge); Rule 16/16A Companies (Acceptance of Deposits) Rules 2014 (DPT-3 by 30 June, data as on 31 March, audited).</t>
  </si>
  <si>
    <t xml:space="preserve">Directors holding DIN; companies appointing auditors; companies with deposits / outstanding receipts not treated as deposits (DPT-3).</t>
  </si>
  <si>
    <t xml:space="preserve">DIR-3 KYC triennial regime 31-03-2026; DPT-3 ongoing</t>
  </si>
  <si>
    <t xml:space="preserve">Director master with last KYC date; AGM date; deposit/loan ledgers.</t>
  </si>
  <si>
    <t xml:space="preserve">din, last_kyc_fy, contact_change_date, agm_date, auditor_appointment_date, adt1_filing_date, dpt3_filing_date, outstanding_loans_not_deposits</t>
  </si>
  <si>
    <t xml:space="preserve">1. DIR-3 KYC: next due = 30 June of relevant year in 3-year cycle (directors who completed KYC up to FY 2025-26 -&gt; next by 30-06-2028); change in mobile/email/address -&gt; file within 30 days. 2. ADT-1: within 15 days of AGM/appointment. 3. DPT-3: by 30 June every year with figures as on 31 March; flag if company has loans from non-exempt sources (e.g., from members/others) as data indicates need. 4. Late fee: DIR-3 KYC late fee per Fees Rules (₹5,000 under old regime – verify for new); ADT-1 &amp; DPT-3 multiples per MCA-003.</t>
  </si>
  <si>
    <t xml:space="preserve">adt1_due = agm + 15d; dpt3_due = date(fy_end.year,6,30)</t>
  </si>
  <si>
    <t xml:space="preserve">DIR-3 KYC 30-06-2028 (next cycle); ADT-1 AGM+15d; DPT-3 30 June annually</t>
  </si>
  <si>
    <t xml:space="preserve">Overdue -&gt; High</t>
  </si>
  <si>
    <t xml:space="preserve">Calendar entries</t>
  </si>
  <si>
    <t xml:space="preserve">AGM 26-Sep-2026 -&gt; ADT-1 due 11-Oct-2026. DPT-3 FY 2025-26 due 30-06-2026.</t>
  </si>
  <si>
    <t xml:space="preserve">Director changed email 01-Aug-2026, not updated by 31-Aug-2026 -&gt; flag</t>
  </si>
  <si>
    <t xml:space="preserve">Software still treating DIR-3 KYC as annual</t>
  </si>
  <si>
    <t xml:space="preserve">ICAI CLCGC – Director KYC compliance announcement | https://www.icai.org/post/clcgc-director-kyc-compliance-02012026 | Companies (Appointment and Qualification of Directors) Amendment Rules 2025 dt 31-12-2025
China Briefing – India director KYC moves to three-year filing | https://www.china-briefing.com/china-outbound-news/director-kyc-new-rules-india-companies-act-2013 | eff 31-03-2026; DIR-3-KYC-Web; 30-day event update
MCA Instruction Kit – Form DPT-3 | https://www.mca.gov.in:443/content/dam/mca-aem-forms/instructionkits/Instruction%20Kit_DPT-3.pdf | Rule 16/16A Companies (Acceptance of Deposits) Rules 2014
PIB – MCA replaces annual KYC with once-in-three-years | https://www.pib.gov.in/PressReleasePage.aspx?PRID=2210552&amp;reg=3&amp;lang=1 | 
PIB – MCA Year-end review 2025 | https://www.pib.gov.in/PressReleasePage.aspx?PRID=2210429&amp;reg=3&amp;lang=1 | </t>
  </si>
  <si>
    <t xml:space="preserve">[VERIFICATION 13-10-2026] DIR-3 KYC limb confirmed officially (PIB): Rule 12A amended by G.S.R. 943(E) dt 31-12-2025, effective 31-03-2026. Annual KYC is replaced by a KYC intimation once every three years. Directors who already completed KYC next file by 30 June 2028. The same form is used to update mobile, email or address (DSC + professional certification needed only for those updates). This resolves the cycle-anchor question for existing directors. Late fee, ADT-1 and DPT-3 not re-checked. CORRECTION: legal_provision: add 'G.S.R. 943(E) dt 31.12.2025'. due_dates: 'DIR-3 KYC (triennial) – next due by 30.06.2028 for directors who completed KYC; thereafter every three years; event-based updates via same form'. G.S.R. number of DIR KYC amendment not found. Exact cycle anchor year for new directors unclear – open question. Late fee amount under new regime not verified.</t>
  </si>
  <si>
    <t xml:space="preserve">MCA-003</t>
  </si>
  <si>
    <t xml:space="preserve">Company Law – Late fees</t>
  </si>
  <si>
    <t xml:space="preserve">Additional fee computation for late MCA filings</t>
  </si>
  <si>
    <t xml:space="preserve">Estimate additional fees for delayed e-forms.</t>
  </si>
  <si>
    <t xml:space="preserve">Companies (Registration Offices and Fees) Rules 2014 as amended: (a) Second Amendment Rules 2018 (07-05-2018) – ₹100 per day for forms under s.92 and s.137 (MGT-7/7A, AOC-4 variants) from 01-07-2018; (b) Fees Amendment Rules (effective 01-07-2022) – multiples of normal fee for other forms, 'higher additional fee' for certain cases.</t>
  </si>
  <si>
    <t xml:space="preserve">All companies</t>
  </si>
  <si>
    <t xml:space="preserve">01-07-2018 (₹100/day); 01-07-2022 (revised multiples)</t>
  </si>
  <si>
    <t xml:space="preserve">Normal fee (by nominal share capital), due date, filing date, form type.</t>
  </si>
  <si>
    <t xml:space="preserve">form_code, nominal_share_capital, due_date, filing_date, higher_fee_applicable</t>
  </si>
  <si>
    <t xml:space="preserve">1. delay = filing_date − due_date (days). 2. If form in (AOC-4, AOC-4 XBRL, AOC-4 CFS, MGT-7, MGT-7A): additional fee = ₹100 × delay (no cap mentioned in sources). 3. ADT-1/DIR-3C: ≤15 days 1×, 15–30 days 2× (higher 3×), then as other forms. 4. Other forms (e.g., DPT-3): ≤30 days 2×, 30–60 4×, 60–90 6×, 90–180 10×, &gt;180 12× normal fee (higher additional fee 3×/6×/9×/15×/18× per Taxmann table). 5. Normal fee by nominal capital: &lt;1 lakh ₹200; 1–4.99 lakh ₹300; 5–24.99 lakh ₹400; 25–99.99 lakh ₹500; ≥1 cr ₹600 (per DPT-3 instruction kit).</t>
  </si>
  <si>
    <t xml:space="preserve">fee_92_137 = 100 × delay_days; fee_other = normal_fee × multiple(delay)</t>
  </si>
  <si>
    <t xml:space="preserve">Small companies/OPC may have reduced penalties under s.446B (not fees).</t>
  </si>
  <si>
    <t xml:space="preserve">Estimated additional fee</t>
  </si>
  <si>
    <t xml:space="preserve">AOC-4 due 30-Oct-2026 filed 09-Dec-2026: delay 40 days -&gt; ₹4,000. DPT-3 (capital ₹10 lakh, normal ₹400) filed 45 days late -&gt; 4× = ₹1,600 additional.</t>
  </si>
  <si>
    <t xml:space="preserve">Delay 0 -&gt; 0</t>
  </si>
  <si>
    <t xml:space="preserve">Form in waiver scheme -&gt; override</t>
  </si>
  <si>
    <t xml:space="preserve">if form in S92_137: fee=100*d
else: fee=normal*mult(d)</t>
  </si>
  <si>
    <t xml:space="preserve">StudyCafe – MCA notifies additional fee Rs 100/day w.e.f. 1 July 2018 | https://studycafe.in/mca-notifies-additional-fee-of-rs-100-per-day-for-delay-in-filing-roc-forms-24895.html | Companies (Registration Offices and Fees) Second Amendment Rules 2018 dt 07-05-2018
Taxmann – MCA amends Registration Offices and Fees Rules (additional fee/higher additional fee) | https://www.taxmann.com/post/blog/mca-amends-companies-registration-offices-and-fees-rules-2014-tightens-norms-relating-to-additional-fee-and-higher-additional-fee/ | Fees Amendment Rules (eff 01-07-2022)
MCA Instruction Kit – Form DPT-3 | https://www.mca.gov.in:443/content/dam/mca-aem-forms/instructionkits/Instruction%20Kit_DPT-3.pdf | Rule 16/16A Companies (Acceptance of Deposits) Rules 2014</t>
  </si>
  <si>
    <t xml:space="preserve">Rules text not opened on mca.gov.in/egazette. Conditions triggering 'higher additional fee' not verified. Table bands for ADT-1 from Taxmann.</t>
  </si>
  <si>
    <t xml:space="preserve">MCA-004</t>
  </si>
  <si>
    <t xml:space="preserve">Company Law – Classification</t>
  </si>
  <si>
    <t xml:space="preserve">Small company status test (revised thresholds 01-12-2025)</t>
  </si>
  <si>
    <t xml:space="preserve">Determine small company status which drives exemptions (cash flow statement, CARO, audit rotation, MGT-7A, reduced penalties etc.).</t>
  </si>
  <si>
    <t xml:space="preserve">Companies Act 2013 s.2(85); Companies (Specification of Definition Details) Amendment Rules 2025, G.S.R. 880(E) dated 01-12-2025.</t>
  </si>
  <si>
    <t xml:space="preserve">Private companies (not public, s.8, holding/subsidiary, or body governed by special Act)</t>
  </si>
  <si>
    <t xml:space="preserve">01-12-2025</t>
  </si>
  <si>
    <t xml:space="preserve">Paid-up capital and previous-FY turnover</t>
  </si>
  <si>
    <t xml:space="preserve">company_type, paid_up_capital, turnover_prev_fy, is_holding_or_subsidiary, is_sec8</t>
  </si>
  <si>
    <t xml:space="preserve">1. Exclusions: public company, holding or subsidiary company, s.8, special-Act company. 2. Small if paid_up ≤ ₹10 cr AND turnover (immediately preceding FY) ≤ ₹100 cr (previous limits ₹4 cr / ₹40 cr). 3. Feed applicability flags.</t>
  </si>
  <si>
    <t xml:space="preserve">small = not excluded and puc&lt;=10e7 and to&lt;=100e7</t>
  </si>
  <si>
    <t xml:space="preserve">PUC ≤ ₹10 crore; Turnover ≤ ₹100 crore</t>
  </si>
  <si>
    <t xml:space="preserve">small_company flag</t>
  </si>
  <si>
    <t xml:space="preserve">PUC ₹5 cr, turnover ₹80 cr -&gt; small (was not small before 01-12-2025).</t>
  </si>
  <si>
    <t xml:space="preserve">Subsidiary of any company -&gt; not small</t>
  </si>
  <si>
    <t xml:space="preserve">Taxmann – MCA raises small company thresholds | https://www.taxmann.com/post/blog/mca-raises-small-company-thresholds-to-rs-10-cr-capital-and-rs-100-cr-turnover | G.S.R. 880(E) dt 01-12-2025
PIB – MCA Year-end review 2025 | https://www.pib.gov.in/PressReleasePage.aspx?PRID=2210429&amp;reg=3&amp;lang=1 | </t>
  </si>
  <si>
    <t xml:space="preserve">[VERIFICATION 13-10-2026] PIB MCA Year-end Review 2025 (official): G.S.R. 880(E) dt 01-12-2025 raised the small-company limits to paid-up capital up to Rs 10 crore and turnover up to Rs 100 crore. The egazette copy was blocked (robots). Whether 'not exceeding' both conditions – stated as both per source. Verify G.S.R. on egazette.</t>
  </si>
  <si>
    <t xml:space="preserve">Audit trail, CARO 2020, tax audit, depreciation, accounting framework, Act transition.  Row 5 holds the YAML key for each column. Research date 13 October 2026. Every rule needs CA validation before use.</t>
  </si>
  <si>
    <t xml:space="preserve">AUD-001</t>
  </si>
  <si>
    <t xml:space="preserve">Audit – Audit trail</t>
  </si>
  <si>
    <t xml:space="preserve">Audit trail (edit log) compliance check – Rule 3(1) and Rule 11(g)</t>
  </si>
  <si>
    <t xml:space="preserve">Verify accounting software maintained an un-disableable audit trail throughout the year; support auditor's Rule 11(g) reporting.</t>
  </si>
  <si>
    <t xml:space="preserve">Companies (Accounts) Rules 2014 Rule 3(1) proviso (inserted by G.S.R. 205(E) 24-03-2021; applicable for FY commencing on/after 01-04-2023); Companies (Audit and Auditors) Rules 2014 Rule 11(g); Companies Act s.128 (8-year preservation), s.143(3)(j); Companies (Accounts) Rules – daily backup on servers physically located in India (amendment dated 05-08-2022).</t>
  </si>
  <si>
    <t xml:space="preserve">All companies using accounting software</t>
  </si>
  <si>
    <t xml:space="preserve">Edit log export; software configuration evidence; user list; backup logs.</t>
  </si>
  <si>
    <t xml:space="preserve">log_id, voucher_id, action, timestamp, user_id, before_value, after_value, audit_trail_enabled_flag_history, backup_dates, backup_server_location</t>
  </si>
  <si>
    <t xml:space="preserve">1. Coverage: every voucher in books has a 'create' log entry; count vouchers without log -&gt; must be 0. 2. Continuity: audit_trail_enabled history shows no disabled interval during FY. 3. Tamper: log sequence ids continuous; timestamps monotonic; no deletions of log records. 4. Changes: report alterations/deletions by user, after period-close (LED-008). 5. Retention: logs available for 8 FYs. 6. Backup: daily backup dates cover all days; server location India. 7. Produce Rule 11(g) reporting matrix (used software with feature / operated throughout / not tampered / preserved).</t>
  </si>
  <si>
    <t xml:space="preserve">coverage% = vouchers_with_create_log / total_vouchers × 100</t>
  </si>
  <si>
    <t xml:space="preserve">100% coverage required</t>
  </si>
  <si>
    <t xml:space="preserve">Non-company entities (not mandatory)</t>
  </si>
  <si>
    <t xml:space="preserve">Any disabled period -&gt; Critical; coverage &lt; 100% -&gt; High</t>
  </si>
  <si>
    <t xml:space="preserve">Audit trail compliance report and Rule 11(g) draft observations</t>
  </si>
  <si>
    <t xml:space="preserve">12,450 vouchers; 12,431 with create log -&gt; 99.85% -&gt; 19 vouchers lack logs -&gt; High.</t>
  </si>
  <si>
    <t xml:space="preserve">100% &amp; no gaps</t>
  </si>
  <si>
    <t xml:space="preserve">Edit log turned on from 15-Apr-2025 -&gt; 1–14 Apr not covered -&gt; Critical</t>
  </si>
  <si>
    <t xml:space="preserve">Edit log enabled late; database-level changes outside application; third-party payroll/ERP modules lacking logs.</t>
  </si>
  <si>
    <t xml:space="preserve">missing=set(vouchers)-set(l.voucher_id for l in logs if l.action=='create')</t>
  </si>
  <si>
    <t xml:space="preserve">Taxguru – Demystifying audit trail (edit log) | https://taxguru.in/company-law/demystifying-audit-trail-edit-log.html | Rule 3(1) proviso; Rule 11(g)
Taxheal – Companies (Accounts) Amendment Rules 2021 | https://www.taxheal.com/companies-accounts-amendment-rules-2021-mandatory-accounting-software-with-audit-trail-for-companies.html | G.S.R. 205(E) dt 24-03-2021
ICAI CA Journal – Audit Trail: Requirements &amp; Responsibilities | https://cajournal.icai.org/article-details/audit-trail-requirements-responsibilities | s.128, s.143(3)(j), Rule 11(g)
Lexplosion – daily back-up of books on servers in India | https://lexplosion.in/companies-must-take-daily-back-up-of-books-of-accounts-etc-maintained-in-electronic-mode-including-at-a-place-outside-india-in-servers-physically-located-in-india/ | Companies (Accounts) Amendment dated 05-08-2022
ICAI (EIRC upload) – Revised 2024 Implementation Guide on Reporting of Audit Trail | https://www.eirc-icai.org/uploads/background_materials/Revised 2024_Implementation Guide on Reporting of Audit Trail (1)_1712114860.pdf | search result only – not opened</t>
  </si>
  <si>
    <t xml:space="preserve">Notification deferring applicability to 01-04-2023 (believed G.S.R. 235(E) dt 31-03-2022) not verified; ICAI CA Journal confirms FY 2023-24 applicability.</t>
  </si>
  <si>
    <t xml:space="preserve">AUD-002</t>
  </si>
  <si>
    <t xml:space="preserve">Audit – CARO 2020</t>
  </si>
  <si>
    <t xml:space="preserve">CARO 2020 applicability and data-driven clauses</t>
  </si>
  <si>
    <t xml:space="preserve">Determine applicability and prepare data for key quantitative CARO clauses.</t>
  </si>
  <si>
    <t xml:space="preserve">Companies (Auditor's Report) Order, 2020 (issued Feb 2020, applicable FY 2021-22 onwards) – cl. 3(ii)(b) WC limits &gt; ₹5 cr; 3(vii) statutory dues; 3(viii) unrecorded income; 3(ix) defaults; 3(xvii) cash losses; exemptions for small companies/OPC/s.8 and private companies meeting thresholds (professional knowledge).</t>
  </si>
  <si>
    <t xml:space="preserve">Companies other than exempt classes</t>
  </si>
  <si>
    <t xml:space="preserve">Company classification (MCA-004), financial data.</t>
  </si>
  <si>
    <t xml:space="preserve">company_type, is_small_company, paid_up_capital_plus_reserves, borrowings_max_during_year, revenue, wc_limits, statutory_dues_outstanding(&gt; 6 months), disputed_dues, cash_loss_cy, cash_loss_py</t>
  </si>
  <si>
    <t xml:space="preserve">1. Exempt if banking/insurance/s.8/OPC/small company; private company exempt if not holding/subsidiary of public company AND PUC+reserves ≤ ₹1 cr AND borrowings ≤ ₹1 cr at any point AND total revenue ≤ ₹10 cr (thresholds from professional knowledge – verify). 2. 3(ii)(b): see FS-007. 3. 3(vii)(a): undisputed statutory dues (GST, PF, ESI, TDS, income tax, customs, cess) outstanding &gt; 6 months from due date at year-end -&gt; list. 3(vii)(b): disputed dues with forum. 4. 3(xvii): cash loss = net loss adjusted for non-cash items (depreciation, provisions) for CY &amp; PY. 5. 3(viii): income surrendered in tax assessments not recorded in books.</t>
  </si>
  <si>
    <t xml:space="preserve">cash_loss = PAT + depreciation + non-cash expenses − non-cash income (if negative)</t>
  </si>
  <si>
    <t xml:space="preserve">₹5 cr WC limits; 6 months for statutory dues</t>
  </si>
  <si>
    <t xml:space="preserve">See step 1</t>
  </si>
  <si>
    <t xml:space="preserve">With audit report</t>
  </si>
  <si>
    <t xml:space="preserve">CARO data pack</t>
  </si>
  <si>
    <t xml:space="preserve">TDS for Aug-2025 due 07-Sep-2025, unpaid at 31-Mar-2026 -&gt; &gt;6 months -&gt; report under 3(vii)(a).</t>
  </si>
  <si>
    <t xml:space="preserve">Taxguru – Summary of CARO 2020 clauses &amp; Schedule III amendments | https://taxguru.in/company-law/summary-clauses-caro-2020-consequential-amendments-schedule-iii-companies-act-2013.html | CARO 2020 cl. 3(ii)(b), 3(viii)</t>
  </si>
  <si>
    <t xml:space="preserve">Private company exemption thresholds and 3(vii) 6-month rule from professional knowledge – not re-verified. Note small company thresholds changed 01-12-2025 (MCA-004) which expands CARO exemption.</t>
  </si>
  <si>
    <t xml:space="preserve">AUD-003</t>
  </si>
  <si>
    <t xml:space="preserve">Audit – Tax audit</t>
  </si>
  <si>
    <t xml:space="preserve">Tax audit (Form 3CD for AY 2026-27 / Form 26 from tax year 2026-27) – reconciliation data map</t>
  </si>
  <si>
    <t xml:space="preserve">Map reconciliation outputs to tax audit report clauses.</t>
  </si>
  <si>
    <t xml:space="preserve">FY 2025-26 / AY 2026-27: IT Act 1961 s.44AB, Rule 6G, Form 3CA/3CB/3CD (as amended by Notification 27/2024, corrigendum 34/2024 and Notification 23/2025 dt 28-03-2025). Tax year 2026-27 onwards: ITA 2025 s.63 read with Income-tax Rules 2026 Rule 47, Form 26 (replaces 3CA/3CB/3CD) – secondary sources only.</t>
  </si>
  <si>
    <t xml:space="preserve">Assessees crossing s.44AB / s.63 thresholds</t>
  </si>
  <si>
    <t xml:space="preserve">AY 2026-27 (3CD); tax year 2026-27 (Form 26)</t>
  </si>
  <si>
    <t xml:space="preserve">Outputs of LED, MSME, PUR/SAL modules</t>
  </si>
  <si>
    <t xml:space="preserve">see mapped rules</t>
  </si>
  <si>
    <t xml:space="preserve">Form 3CD mapping (AY 2026-27): cl.21(a) capital/personal/advertisement/penalties; cl.21(b) s.40(a) incl. 40(a)(ia) TDS defaults &lt;- LED-010; cl.21(d) s.40A(3)/(3A) &lt;- LED-002; cl.22 MSMED s.23 interest + 43B(h) amount &lt;- MSME-002/004; cl.23 s.40A(2)(b) payments to specified persons &lt;- LED-009; cl.26 s.43B incl. 43B(h) &lt;- MSME-004 and statutory dues; cl.31 269SS/269T/269ST &lt;- LED-003/004; cl.34 TDS/TCS compliance &lt;- TDS module; cl.44 GST break-up of expenditure &lt;- AUD-005. Form 26 (tax year 2026-27): clause numbering changed (e.g., cl.49-51 TDS per ClearTax) – full mapping not verified.</t>
  </si>
  <si>
    <t xml:space="preserve">AY 2026-27: tax audit report due date extended to 21-10-2026 (CBDT Circular 07/2026 dt 28-09-2026); ITR for audit cases to 21-11-2026.</t>
  </si>
  <si>
    <t xml:space="preserve">Clause-wise data pack</t>
  </si>
  <si>
    <t xml:space="preserve">Cl.22 vs cl.26 double reporting of 43B(h) (by design after corrigendum)</t>
  </si>
  <si>
    <t xml:space="preserve">Taxguru – Tax Audit FY 2025-26 guide: Form 3CD | https://taxguru.in/income-tax/tax-audit-fy-2025-26-guide-form-3cd.html | CBDT Notification 23/2025 dt 28-03-2025
CalcGuru – Form 3CD checklist AY 2026-27 | https://calcguru.in/?p=8211 | cl. 21, 22, 26, 31, 34, 44
Taxmann – CBDT corrigendum to include 43B(h) in clause 22 | https://www.taxmann.com/post/blog/cbdt-issues-corrigendum-to-include-sec-43bh-disallowance-under-clause-22-of-form-3cd/ | Notif 27/2024 dt 05-03-2024; corrigendum 34/2024 dt 19-03-2024
Taxmann – Non-compliance in reporting under clause 21 &amp; 31 of Form 3CD | https://www.taxmann.com/post/blog/instances-of-non-compliance-with-reporting-requirements-under-clause-21-31-of-form-3cd/ | cl. 21(a),(b),(d),(g)
CA Sahuja – Clause 31 of Form 3CD for AY 2026-27 | https://www.casahuja.com/2026/09/clause-31-of-form-3cd-for-ay-2026-27.html | cl. 31(a)-(e), (ba)-(bd)
ClearTax – Form 26 tax audit (Income-tax Rules 2026) | https://cleartax.in/s/form-26-tax-audit | s.63 ITA 2025, Rule 47
CBDT Circular No. 07/2026 dt 28-09-2026 | https://incometaxindia.gov.in/documents/d/guest/circular-7-2026-pdf | Tax audit date extended to 21-10-2026; ITR to 21-11-2026
eztax – Compare old/new section codes | https://eztax.in/income-tax-act-2025/compare-old-new-section-codes | 44AB -&gt; 63</t>
  </si>
  <si>
    <t xml:space="preserve">Clause 23 = 40A(2)(b) from professional knowledge; clause 34 TDS confirmed by CalcGuru. A Bajaj Finserv page gives a completely different (incorrect) clause numbering – ignored. Form 26 clause-level mapping not verified.</t>
  </si>
  <si>
    <t xml:space="preserve">AUD-004</t>
  </si>
  <si>
    <t xml:space="preserve">Audit – Depreciation</t>
  </si>
  <si>
    <t xml:space="preserve">Depreciation master: Companies Act Schedule II useful lives vs Income-tax WDV block rates</t>
  </si>
  <si>
    <t xml:space="preserve">Maintain dual depreciation (book vs tax) and reconcile difference for deferred tax and tax audit cl.18.</t>
  </si>
  <si>
    <t xml:space="preserve">Companies Act 2013 Schedule II (Part A residual value ≤5%; Part C useful lives; Note 6 extra shift). IT Act 1961 s.32 + Rule 5 Appendix I (FY 2025-26); ITA 2025 s.33 + Income-tax Rules 2026 Rule 25 (draft per secondary source) from tax year 2026-27.</t>
  </si>
  <si>
    <t xml:space="preserve">Companies (book); all assessees (tax)</t>
  </si>
  <si>
    <t xml:space="preserve">Schedule II from 01-04-2014; ITA 2025 from 01-04-2026</t>
  </si>
  <si>
    <t xml:space="preserve">FAR with asset class mapping to both Schedule II class and IT block; put-to-use dates; shift working</t>
  </si>
  <si>
    <t xml:space="preserve">asset_id, cost, put_to_use_date, sch2_class, useful_life_years, residual_pct, it_block, it_rate, days_used_in_year, shift_type, nesd_flag, disposal_date, sale_value</t>
  </si>
  <si>
    <t xml:space="preserve">1. Book: SLM/WDV over useful life per Schedule II (or justified different life); residual ≤5% unless justified; pro-rata by days for additions/disposals; double shift +50%, triple shift +100% for that period unless NESD. 2. Tax: block-wise WDV; additions used &lt; 180 days -&gt; half rate; sale proceeds reduce block; block negative -&gt; STCG; block empty -&gt; STCL/STCG. 3. Master table design: asset_class -&gt; {sch2_life, it_block, it_rate}. 4. Reconcile book vs tax depreciation; timing difference to DTA/DTL. 5. Validate Schedule II life ≥? (flag deviations requiring disclosure).</t>
  </si>
  <si>
    <t xml:space="preserve">Book SLM = (cost − residual)/life × days/365 ; Tax = WDV_block × rate (half for &lt;180 days additions)</t>
  </si>
  <si>
    <t xml:space="preserve">Sch II lives: RCC buildings 60y; non-RCC &amp; factory buildings 30y; P&amp;M general 15y; continuous process plant 25y; furniture 10y; motor cars 8y (6y if hire business); motorcycles 10y; computers end-user 3y; servers &amp; networks 6y; office equipment 5y; electrical installations 10y. IT rates (Appendix I, professional knowledge – not re-verified): residential building 5%, other building 10%, furniture 10%, P&amp;M general 15%, motor cars 15%, computers incl. software 40%, intangibles 25%.</t>
  </si>
  <si>
    <t xml:space="preserve">Goodwill not depreciable for tax (from AY 2021-22 – professional knowledge). Concessional regime (115BAA etc.) – no additional depreciation; 40% cap per draft Rule 25(2).</t>
  </si>
  <si>
    <t xml:space="preserve">Life used ≠ Sch II without justification -&gt; Medium; residual &gt;5% -&gt; Medium</t>
  </si>
  <si>
    <t xml:space="preserve">Dual depreciation schedule; cl.18 data</t>
  </si>
  <si>
    <t xml:space="preserve">Laptop ₹1,20,000 put to use 15-Nov-2025: Book (3y, 5% residual): (1,20,000−6,000)/3 × 137/365 = ₹14,264. Tax: 40% × 50% (used &lt;180 days) = ₹24,000.</t>
  </si>
  <si>
    <t xml:space="preserve">Addition on 30-Sep -&gt; used 183 days -&gt; full rate</t>
  </si>
  <si>
    <t xml:space="preserve">book=(c-c*rv)/life*days/365*shift_factor
tax=wdv*rate*(0.5 if days&lt;180 else 1)</t>
  </si>
  <si>
    <t xml:space="preserve">ca2013.com – Schedule II Companies Act 2013 | https://ca2013.com/schedule-ii/ | Part A, Part C, Note 6
Patron Accounting – Depreciation rules 2026 | https://www.patronaccounting.com/blog/depreciation-rules-2026-rates-block-assets | s.33 ITA 2025; draft Rule 25</t>
  </si>
  <si>
    <t xml:space="preserve">Schedule II lives verified (secondary reproduction of Act). IT Appendix I rates not opened on official site this session; Income-tax Rules 2026 rule number per draft – verify final.</t>
  </si>
  <si>
    <t xml:space="preserve">AUD-005</t>
  </si>
  <si>
    <t xml:space="preserve">Audit – Tax audit cl.44</t>
  </si>
  <si>
    <t xml:space="preserve">Clause 44 GST break-up of expenditure</t>
  </si>
  <si>
    <t xml:space="preserve">Classify total expenditure by supplier GST status for Form 3CD cl.44.</t>
  </si>
  <si>
    <t xml:space="preserve">Form 3CD clause 44 (inserted 2018; reporting kept in abeyance till 31-03-2022, applicable thereafter)</t>
  </si>
  <si>
    <t xml:space="preserve">Tax audit assessees</t>
  </si>
  <si>
    <t xml:space="preserve">Reports filed after 31-03-2022</t>
  </si>
  <si>
    <t xml:space="preserve">Expense &amp; capital expenditure lines with supplier GSTIN, composition flag, exempt flag</t>
  </si>
  <si>
    <t xml:space="preserve">expense_line_id, amount, supplier_gstin, supplier_type (regular/composition/unregistered), supply_type (taxable/exempt/nil/non-GST), is_capital</t>
  </si>
  <si>
    <t xml:space="preserve">1. Population: total expenditure incl. capital, excluding non-cash items (depreciation, provisions) and non-supplies (salary, etc.). 2. Col 3: exempt/nil from registered; Col 4: composition; Col 5: other registered; Col 6 = 3+4+5; Col 7: unregistered. 3. Check col6 + col7 = col2. 4. Reconcile col2 to P&amp;L + capex.</t>
  </si>
  <si>
    <t xml:space="preserve">col6 = col3+col4+col5; check col2 == col6 + col7</t>
  </si>
  <si>
    <t xml:space="preserve">Salary, depreciation, provisions excluded</t>
  </si>
  <si>
    <t xml:space="preserve">Nearest rupee – implementation choice</t>
  </si>
  <si>
    <t xml:space="preserve">Tax audit</t>
  </si>
  <si>
    <t xml:space="preserve">Imbalance -&gt; High</t>
  </si>
  <si>
    <t xml:space="preserve">Cl.44 table</t>
  </si>
  <si>
    <t xml:space="preserve">Total ₹2,00,00,000: exempt reg ₹10 lakh, composition ₹5 lakh, regular ₹1.6 cr, unregistered ₹25 lakh -&gt; col6 ₹1.75 cr + col7 ₹25 lakh = ₹2 cr ✓.</t>
  </si>
  <si>
    <t xml:space="preserve">Taxmann – Analysis of Clause 44 of Tax Audit Report | https://taxmann.com/post/blog/analysis-clause-44-of-tax-audit-report-along-with-illustrations | cl. 44 columns
CalcGuru – Form 3CD checklist AY 2026-27 | https://calcguru.in/?p=8211 | cl. 21, 22, 26, 31, 34, 44</t>
  </si>
  <si>
    <t xml:space="preserve">AUD-006</t>
  </si>
  <si>
    <t xml:space="preserve">Audit – Accounting framework</t>
  </si>
  <si>
    <t xml:space="preserve">Ind AS vs AS applicability test</t>
  </si>
  <si>
    <t xml:space="preserve">Decide which accounting framework/Schedule III division applies (drives FS templates and checks).</t>
  </si>
  <si>
    <t xml:space="preserve">Companies (Indian Accounting Standards) Rules 2015 Rule 4; Companies (Accounting Standards) Rules 2021 (SMC definition).</t>
  </si>
  <si>
    <t xml:space="preserve">Ind AS Phase I FY 2016-17; Phase II FY 2017-18; AS Rules 2021 from periods beginning 01-04-2021</t>
  </si>
  <si>
    <t xml:space="preserve">Net worth (standalone, IGAAP), listing status, group relationships, turnover, borrowings</t>
  </si>
  <si>
    <t xml:space="preserve">is_listed_or_in_process, net_worth, is_nbfc, parent/subsidiary/jv/associate_of_ind_as_company, turnover_prev_year, borrowings_max_prev_year, is_bank_fi_insurance</t>
  </si>
  <si>
    <t xml:space="preserve">1. Ind AS mandatory if: listed/in process of listing (any net worth); or unlisted with net worth ≥ ₹250 cr; or holding/subsidiary/JV/associate of such company. NBFC: net worth ≥ ₹250 cr or listed. Once Ind AS, no reversion. 2. Else AS. 3. If AS: SMC if not listed, not bank/FI/insurance, turnover (excl. other income) ≤ ₹250 cr in preceding year, borrowings ≤ ₹50 cr at any time in preceding year, not holding/subsidiary of non-SMC -&gt; SMC relaxations. 4. Select Schedule III Division I (AS) / II (Ind AS) / III (NBFC Ind AS).</t>
  </si>
  <si>
    <t xml:space="preserve">Net worth ₹250 cr / ₹500 cr; SMC turnover ₹250 cr, borrowings ₹50 cr</t>
  </si>
  <si>
    <t xml:space="preserve">Voluntary Ind AS adoption allowed</t>
  </si>
  <si>
    <t xml:space="preserve">framework flag + Schedule III division</t>
  </si>
  <si>
    <t xml:space="preserve">Unlisted co, net worth ₹180 cr, subsidiary of listed co -&gt; Ind AS.</t>
  </si>
  <si>
    <t xml:space="preserve">Net worth ₹240 cr standalone, no group -&gt; AS</t>
  </si>
  <si>
    <t xml:space="preserve">Treelife – Ind AS applicability for private companies | https://treelife.in/legal/ind-as-applicability-for-private-companies/ | Companies (Ind AS) Rules 2015 Rule 4
Mondaq – Accounting Standards for SMCs under Companies Act 2013 | https://mondaq.com/india/accounting-standards/1310822/accounting-standards-for-smcs-under-the-companies-act-2013 | Companies (Accounting Standards) Rules 2021</t>
  </si>
  <si>
    <t xml:space="preserve">AUD-007</t>
  </si>
  <si>
    <t xml:space="preserve">Audit – Income-tax Act transition</t>
  </si>
  <si>
    <t xml:space="preserve">Dual-regime switch: 1961 Act (FY 2025-26) vs Income-tax Act 2025 (tax year 2026-27)</t>
  </si>
  <si>
    <t xml:space="preserve">Ensure software labels each rule with correct statute based on period.</t>
  </si>
  <si>
    <t xml:space="preserve">Income-tax Act 2025 effective 01-04-2026 (replaces 1961 Act; 'tax year' concept); Income-tax Rules 2026; Form 26 replaces 3CA/3CB/3CD.</t>
  </si>
  <si>
    <t xml:space="preserve">All income-tax linked checks</t>
  </si>
  <si>
    <t xml:space="preserve">01-04-2026</t>
  </si>
  <si>
    <t xml:space="preserve">Period of data</t>
  </si>
  <si>
    <t xml:space="preserve">period_start, period_end</t>
  </si>
  <si>
    <t xml:space="preserve">1. If FY ends ≤ 31-03-2026 -&gt; 1961 Act sections &amp; Form 3CD. 2. If tax year starts ≥ 01-04-2026 -&gt; 2025 Act sections &amp; Form 26. 3. Known mappings (secondary): 44AB-&gt;63; 269SS-&gt;185; 269ST-&gt;186; 269T-&gt;188 (Bill); 40A(3)-&gt;36(4) (Bill); 43B(h)-&gt;37(2)(g); 32-&gt;33; 194C-&gt;174; 194J-&gt;178 (secondary, unverified). 4. Maintain mapping table editable by CA.</t>
  </si>
  <si>
    <t xml:space="preserve">Cash thresholds unchanged in substance (₹10,000/₹35,000; ₹2 lakh; ₹20,000)</t>
  </si>
  <si>
    <t xml:space="preserve">statute label</t>
  </si>
  <si>
    <t xml:space="preserve">act='1961' if period_end&lt;=date(2026,3,31) else '2025'</t>
  </si>
  <si>
    <t xml:space="preserve">eztax – Compare old/new section codes | https://eztax.in/income-tax-act-2025/compare-old-new-section-codes | 44AB -&gt; 63
eztax – Income-tax Act 2025 section 185 | https://eztax.in/income-tax-act-2025/section-185 | s.185
eztax – Income-tax Act 2025 section 186 | https://eztax.in/income-tax-act-2025/section-186 | s.186
eztax – Income-tax Act 2025 section 37 | https://eztax.in/income-tax-act-2025/section-37 | s.37(2)(g)
Taxheal – Cash transaction limits under Income Tax Bill 2025 | https://www.taxheal.com/?p=99334 | Clauses 185, 186, 188, 36(4) of Bill
ClearTax – Form 26 tax audit (Income-tax Rules 2026) | https://cleartax.in/s/form-26-tax-audit | s.63 ITA 2025, Rule 47
Patron Accounting – Depreciation rules 2026 | https://www.patronaccounting.com/blog/depreciation-rules-2026-rates-block-assets | s.33 ITA 2025; draft Rule 25</t>
  </si>
  <si>
    <t xml:space="preserve">Mappings for 40A(3), 269T, 40A(2)(b), 271D/DA/E not confirmed from enacted text.</t>
  </si>
  <si>
    <t xml:space="preserve">Income-tax Act, 1961 → Income-tax Act, 2025 section map</t>
  </si>
  <si>
    <t xml:space="preserve">The 2025 Act received assent on 21 Aug 2025 and came into force on 1 April 2026; Income-tax Rules, 2026 notified 20 Mar 2026. Pick the law by transaction / tax-period date.</t>
  </si>
  <si>
    <t xml:space="preserve">Topic</t>
  </si>
  <si>
    <t xml:space="preserve">Income-tax Act, 1961 (FY 2025-26 / AY 2026-27)</t>
  </si>
  <si>
    <t xml:space="preserve">Income-tax Act, 2025 (Tax Year 2026-27 onwards)</t>
  </si>
  <si>
    <t xml:space="preserve">Mapping status</t>
  </si>
  <si>
    <t xml:space="preserve">Commencement</t>
  </si>
  <si>
    <t xml:space="preserve">—</t>
  </si>
  <si>
    <t xml:space="preserve">In force 1 April 2026</t>
  </si>
  <si>
    <t xml:space="preserve">Confirmed (CBDT press release)</t>
  </si>
  <si>
    <t xml:space="preserve">https://www.incometaxindia.gov.in/documents/d/guest/press-release-income-tax-act-2025-comes-into-force-from-01-april-2026-pdf</t>
  </si>
  <si>
    <t xml:space="preserve">Period concept</t>
  </si>
  <si>
    <t xml:space="preserve">Previous year / Assessment year</t>
  </si>
  <si>
    <t xml:space="preserve">"Tax year"</t>
  </si>
  <si>
    <t xml:space="preserve">Confirmed on incometaxindia.gov.in (Act text)</t>
  </si>
  <si>
    <t xml:space="preserve">Standard deduction (salary)</t>
  </si>
  <si>
    <t xml:space="preserve">s.16(ia)</t>
  </si>
  <si>
    <t xml:space="preserve">s.19</t>
  </si>
  <si>
    <t xml:space="preserve">https://www.incometaxindia.gov.in/w/section-19-206</t>
  </si>
  <si>
    <t xml:space="preserve">Cash payment disallowance</t>
  </si>
  <si>
    <t xml:space="preserve">s.40A(3)</t>
  </si>
  <si>
    <t xml:space="preserve">s.36(4), 36(6)</t>
  </si>
  <si>
    <t xml:space="preserve">Deduction on actual payment / MSME dues</t>
  </si>
  <si>
    <t xml:space="preserve">s.43B / s.43B(h)</t>
  </si>
  <si>
    <t xml:space="preserve">s.37 / s.37(2)(g)</t>
  </si>
  <si>
    <t xml:space="preserve">https://www.incometaxindia.gov.in/w/section-37-169</t>
  </si>
  <si>
    <t xml:space="preserve">s.44AB</t>
  </si>
  <si>
    <t xml:space="preserve">s.63</t>
  </si>
  <si>
    <t xml:space="preserve">https://www.incometaxindia.gov.in/w/section-63-134</t>
  </si>
  <si>
    <t xml:space="preserve">Presumptive taxation</t>
  </si>
  <si>
    <t xml:space="preserve">s.44AD / s.44ADA</t>
  </si>
  <si>
    <t xml:space="preserve">s.58</t>
  </si>
  <si>
    <t xml:space="preserve">https://www.incometaxindia.gov.in/w/section-58-144</t>
  </si>
  <si>
    <t xml:space="preserve">Rebate</t>
  </si>
  <si>
    <t xml:space="preserve">s.87A</t>
  </si>
  <si>
    <t xml:space="preserve">s.156</t>
  </si>
  <si>
    <t xml:space="preserve">https://www.incometaxindia.gov.in/w/section-156-84</t>
  </si>
  <si>
    <t xml:space="preserve">LTCG tax</t>
  </si>
  <si>
    <t xml:space="preserve">s.112</t>
  </si>
  <si>
    <t xml:space="preserve">s.197</t>
  </si>
  <si>
    <t xml:space="preserve">New tax regime</t>
  </si>
  <si>
    <t xml:space="preserve">s.115BAC</t>
  </si>
  <si>
    <t xml:space="preserve">s.202</t>
  </si>
  <si>
    <t xml:space="preserve">Return of income</t>
  </si>
  <si>
    <t xml:space="preserve">s.139</t>
  </si>
  <si>
    <t xml:space="preserve">s.263</t>
  </si>
  <si>
    <t xml:space="preserve">Advance tax</t>
  </si>
  <si>
    <t xml:space="preserve">s.207 / 208 / 211</t>
  </si>
  <si>
    <t xml:space="preserve">s.403 / 404 / 408</t>
  </si>
  <si>
    <t xml:space="preserve">Interest – return / advance tax / deferment</t>
  </si>
  <si>
    <t xml:space="preserve">s.234A / 234B / 234C</t>
  </si>
  <si>
    <t xml:space="preserve">s.423 / 424 / 425</t>
  </si>
  <si>
    <t xml:space="preserve">https://www.incometaxindia.gov.in/w/section-424-5</t>
  </si>
  <si>
    <t xml:space="preserve">s.234F</t>
  </si>
  <si>
    <t xml:space="preserve">s.428</t>
  </si>
  <si>
    <t xml:space="preserve">Interest on refund</t>
  </si>
  <si>
    <t xml:space="preserve">s.244A</t>
  </si>
  <si>
    <t xml:space="preserve">s.437</t>
  </si>
  <si>
    <t xml:space="preserve">Rounding of income and tax</t>
  </si>
  <si>
    <t xml:space="preserve">s.288A / s.288B</t>
  </si>
  <si>
    <t xml:space="preserve">s.516</t>
  </si>
  <si>
    <t xml:space="preserve">https://www.incometaxindia.gov.in/w/section-516-3</t>
  </si>
  <si>
    <t xml:space="preserve">Interest computation rules</t>
  </si>
  <si>
    <t xml:space="preserve">Rule 119A (1962 Rules)</t>
  </si>
  <si>
    <t xml:space="preserve">Rule 269 (2026 Rules)</t>
  </si>
  <si>
    <t xml:space="preserve">https://www.incometaxindia.gov.in/w/rule-269-1</t>
  </si>
  <si>
    <t xml:space="preserve">Cash loans / receipts / repayments</t>
  </si>
  <si>
    <t xml:space="preserve">s.269SS / 269ST / 269T</t>
  </si>
  <si>
    <t xml:space="preserve">s.185 / 186 / 188 (reported)</t>
  </si>
  <si>
    <t xml:space="preserve">Inferred / Bill-stage or secondary – verify</t>
  </si>
  <si>
    <t xml:space="preserve">Credit for TDS</t>
  </si>
  <si>
    <t xml:space="preserve">s.199 / Rule 37BA</t>
  </si>
  <si>
    <t xml:space="preserve">s.390 (reported; s.390(6) is a rule-making power)</t>
  </si>
  <si>
    <t xml:space="preserve">TDS on salary</t>
  </si>
  <si>
    <t xml:space="preserve">s.192</t>
  </si>
  <si>
    <t xml:space="preserve">s.392(1)</t>
  </si>
  <si>
    <t xml:space="preserve">TDS on EPF withdrawal</t>
  </si>
  <si>
    <t xml:space="preserve">s.192A</t>
  </si>
  <si>
    <t xml:space="preserve">s.392(7)</t>
  </si>
  <si>
    <t xml:space="preserve">TDS – residents (non-salary)</t>
  </si>
  <si>
    <t xml:space="preserve">ss.193, 194, 194A, 194C, 194D, 194H, 194-I, 194-IA, 194-IB, 194-IC, 194J, 194K, 194LA, 194M, 194-O, 194P, 194Q, 194R, 194S, 194DA</t>
  </si>
  <si>
    <t xml:space="preserve">s.393(1) Table: Sl.1 commission, Sl.2 rent, Sl.3 property, Sl.4 investment income, Sl.5 interest, Sl.6 contractors &amp; professionals, Sl.7 dividend, Sl.8 other cases</t>
  </si>
  <si>
    <t xml:space="preserve">Section confirmed; per-item pairing by nature of payment</t>
  </si>
  <si>
    <t xml:space="preserve">https://www.incometaxindia.gov.in/w/section-393-6</t>
  </si>
  <si>
    <t xml:space="preserve">TDS – non-residents</t>
  </si>
  <si>
    <t xml:space="preserve">s.195 and other NR sections</t>
  </si>
  <si>
    <t xml:space="preserve">s.393(2)</t>
  </si>
  <si>
    <t xml:space="preserve">Section confirmed; pairing by nature</t>
  </si>
  <si>
    <t xml:space="preserve">TDS – any person</t>
  </si>
  <si>
    <t xml:space="preserve">ss.194B, 194BB, 194G, 194N, 194T</t>
  </si>
  <si>
    <t xml:space="preserve">s.393(3)</t>
  </si>
  <si>
    <t xml:space="preserve">Form 15G / 15H</t>
  </si>
  <si>
    <t xml:space="preserve">s.197A</t>
  </si>
  <si>
    <t xml:space="preserve">s.393(6)–(7); single Form 121</t>
  </si>
  <si>
    <t xml:space="preserve">s.206C</t>
  </si>
  <si>
    <t xml:space="preserve">s.394(1) Table</t>
  </si>
  <si>
    <t xml:space="preserve">Lower / nil deduction certificate</t>
  </si>
  <si>
    <t xml:space="preserve">s.395(1)</t>
  </si>
  <si>
    <t xml:space="preserve">TDS certificates</t>
  </si>
  <si>
    <t xml:space="preserve">s.203</t>
  </si>
  <si>
    <t xml:space="preserve">s.395(4)</t>
  </si>
  <si>
    <t xml:space="preserve">No-PAN higher rate</t>
  </si>
  <si>
    <t xml:space="preserve">s.206AA / s.206CC</t>
  </si>
  <si>
    <t xml:space="preserve">s.397(2)</t>
  </si>
  <si>
    <t xml:space="preserve">TDS default &amp; interest</t>
  </si>
  <si>
    <t xml:space="preserve">s.201 / 201(1A)</t>
  </si>
  <si>
    <t xml:space="preserve">s.398 / 398(3)</t>
  </si>
  <si>
    <t xml:space="preserve">TDS/TCS statement late fee</t>
  </si>
  <si>
    <t xml:space="preserve">s.234E</t>
  </si>
  <si>
    <t xml:space="preserve">s.427</t>
  </si>
  <si>
    <t xml:space="preserve">Penalty – statement failure</t>
  </si>
  <si>
    <t xml:space="preserve">s.271H</t>
  </si>
  <si>
    <t xml:space="preserve">s.461</t>
  </si>
  <si>
    <t xml:space="preserve">Deposit due dates</t>
  </si>
  <si>
    <t xml:space="preserve">Rule 30</t>
  </si>
  <si>
    <t xml:space="preserve">Rule 218</t>
  </si>
  <si>
    <t xml:space="preserve">Statement due dates</t>
  </si>
  <si>
    <t xml:space="preserve">Rule 31A</t>
  </si>
  <si>
    <t xml:space="preserve">Rule 219</t>
  </si>
  <si>
    <t xml:space="preserve">TDS/TCS forms</t>
  </si>
  <si>
    <t xml:space="preserve">24Q, 26Q, 27Q, 27EQ, 26QB/QC/QD/QE, 16, 16A, 27D, 13, 24G</t>
  </si>
  <si>
    <t xml:space="preserve">138, 140, 144, 143, 141, 130, 131, 133, 128, 137</t>
  </si>
  <si>
    <t xml:space="preserve">Confirmed from official notes; Form 168 replaces 26AS (AIS) under s.510 / Rule 245</t>
  </si>
  <si>
    <t xml:space="preserve">TCS statement due date</t>
  </si>
  <si>
    <t xml:space="preserve">27EQ: 15th after quarter</t>
  </si>
  <si>
    <t xml:space="preserve">Form 143: 31st after quarter</t>
  </si>
  <si>
    <t xml:space="preserve">TDS statement content changes</t>
  </si>
  <si>
    <t xml:space="preserve">Forms 138/140/143/144: surcharge, cess and penalty columns removed from challan details; interest and others allocation added (FVU 1.2, 19 Aug 2026)</t>
  </si>
  <si>
    <t xml:space="preserve">Official ITD notes (round 2)</t>
  </si>
  <si>
    <t xml:space="preserve">Tax audit report forms</t>
  </si>
  <si>
    <t xml:space="preserve">Forms 3CA / 3CB / 3CD</t>
  </si>
  <si>
    <t xml:space="preserve">Form 26 under s.63; clause equivalents not verified</t>
  </si>
  <si>
    <t xml:space="preserve">Late tax audit report</t>
  </si>
  <si>
    <t xml:space="preserve">Penalty s.271B</t>
  </si>
  <si>
    <t xml:space="preserve">Penalty s.446 replaced by fee under s.428(c): ₹75,000 (≤1 month late) / ₹1,50,000</t>
  </si>
  <si>
    <t xml:space="preserve">Finance Act 2026 Memorandum; portal s.428 page not yet updated</t>
  </si>
  <si>
    <t xml:space="preserve">Worked calculation examples (live formulas)</t>
  </si>
  <si>
    <t xml:space="preserve">Blue text on cream = inputs you can change; black = formulas. Each block re-performs the sample calculation in the cited rule and checks it.</t>
  </si>
  <si>
    <t xml:space="preserve">1. Income tax – new regime FY 2025-26 / Tax Year 2026-27 with s.87A (s.156) marginal relief   [IT-002, IT-007, IT-011, IT-012]</t>
  </si>
  <si>
    <t xml:space="preserve">Gross salary (₹)</t>
  </si>
  <si>
    <t xml:space="preserve">Standard deduction (₹)</t>
  </si>
  <si>
    <t xml:space="preserve">s.16(ia) / s.19</t>
  </si>
  <si>
    <t xml:space="preserve">Total income before rounding</t>
  </si>
  <si>
    <t xml:space="preserve">Total income rounded to nearest ₹10 (s.288A / s.516)</t>
  </si>
  <si>
    <t xml:space="preserve">Slab tax (0–4L nil; 5/10/15/20/25%; 30% above 24L)</t>
  </si>
  <si>
    <t xml:space="preserve">Rebate u/s 87A incl. marginal relief</t>
  </si>
  <si>
    <t xml:space="preserve">Normal-rate income only; surcharge not modelled (income ≤ ₹50 lakh)</t>
  </si>
  <si>
    <t xml:space="preserve">Tax after rebate</t>
  </si>
  <si>
    <t xml:space="preserve">Health &amp; education cess 4%</t>
  </si>
  <si>
    <t xml:space="preserve">Tax payable rounded to nearest ₹10 (s.288B / s.516)</t>
  </si>
  <si>
    <t xml:space="preserve">Expected per IT-007 example (a)</t>
  </si>
  <si>
    <t xml:space="preserve">2. Interest u/s 234C (s.425) – deferment of advance tax   [ADV-006, ADV-007]</t>
  </si>
  <si>
    <t xml:space="preserve">Tax due on returned income (₹)</t>
  </si>
  <si>
    <t xml:space="preserve">Cumulative paid by 15 June</t>
  </si>
  <si>
    <t xml:space="preserve">Cumulative paid by 15 Sept</t>
  </si>
  <si>
    <t xml:space="preserve">Cumulative paid by 15 Dec</t>
  </si>
  <si>
    <t xml:space="preserve">Cumulative paid by 15 March</t>
  </si>
  <si>
    <t xml:space="preserve">June: if paid &lt; 12% → 1%×3 on (15% − paid), base floored to ₹100</t>
  </si>
  <si>
    <t xml:space="preserve">Rule 119A(c) / Rule 269</t>
  </si>
  <si>
    <t xml:space="preserve">Sept: if paid &lt; 36% → 1%×3 on (45% − paid)</t>
  </si>
  <si>
    <t xml:space="preserve">Dec: if paid &lt; 75% → 1%×3 on (75% − paid)</t>
  </si>
  <si>
    <t xml:space="preserve">March: if paid &lt; 100% → 1%×1 on (100% − paid)</t>
  </si>
  <si>
    <t xml:space="preserve">Total interest u/s 234C</t>
  </si>
  <si>
    <t xml:space="preserve">Expected per ADV-006</t>
  </si>
  <si>
    <t xml:space="preserve">3. TDS interest u/s 201(1A) (s.398(3)) – calendar-month method   [TDS-037, RC-TDS]</t>
  </si>
  <si>
    <t xml:space="preserve">TDS amount (₹)</t>
  </si>
  <si>
    <t xml:space="preserve">Date tax was deductible (credit / payment)</t>
  </si>
  <si>
    <t xml:space="preserve">Date actually deducted</t>
  </si>
  <si>
    <t xml:space="preserve">Date deposited</t>
  </si>
  <si>
    <t xml:space="preserve">Months, late deduction (part month = full month)</t>
  </si>
  <si>
    <t xml:space="preserve">Calendar-month counting is common practice; TRACES method not published</t>
  </si>
  <si>
    <t xml:space="preserve">Months, late payment (deduction → deposit)</t>
  </si>
  <si>
    <t xml:space="preserve">Apply only if deposit is after the due date</t>
  </si>
  <si>
    <t xml:space="preserve">Interest @1% p.m. on late deduction</t>
  </si>
  <si>
    <t xml:space="preserve">Interest @1.5% p.m. on late payment</t>
  </si>
  <si>
    <t xml:space="preserve">Total interest</t>
  </si>
  <si>
    <t xml:space="preserve">Expected per TDS-037</t>
  </si>
  <si>
    <t xml:space="preserve">4. GST interest u/s 50(1) – delayed payment on net cash liability (per tax head)   [GST-022, RC-GST-022]</t>
  </si>
  <si>
    <t xml:space="preserve">Tax paid in cash (CGST) (₹)</t>
  </si>
  <si>
    <t xml:space="preserve">Due date of GSTR-3B</t>
  </si>
  <si>
    <t xml:space="preserve">Date of filing / debit</t>
  </si>
  <si>
    <t xml:space="preserve">Rate p.a. (18% for both s.50(1) and s.50(3))</t>
  </si>
  <si>
    <t xml:space="preserve">Days of delay</t>
  </si>
  <si>
    <t xml:space="preserve">Interest, rounded to nearest rupee (CGST s.170)</t>
  </si>
  <si>
    <t xml:space="preserve">Expected per GST-022 example (A)</t>
  </si>
  <si>
    <t xml:space="preserve">5. GST Rule 42 – common ITC reversal (monthly)   [GST-019]</t>
  </si>
  <si>
    <t xml:space="preserve">T – total ITC on inputs &amp; input services</t>
  </si>
  <si>
    <t xml:space="preserve">T1 – exclusively non-business</t>
  </si>
  <si>
    <t xml:space="preserve">T2 – exclusively exempt</t>
  </si>
  <si>
    <t xml:space="preserve">T3 – blocked u/s 17(5)</t>
  </si>
  <si>
    <t xml:space="preserve">T4 – exclusively taxable supplies</t>
  </si>
  <si>
    <t xml:space="preserve">E – exempt turnover</t>
  </si>
  <si>
    <t xml:space="preserve">F – total turnover</t>
  </si>
  <si>
    <t xml:space="preserve">C1 = T − (T1+T2+T3)</t>
  </si>
  <si>
    <t xml:space="preserve">C2 = C1 − T4</t>
  </si>
  <si>
    <t xml:space="preserve">D1 = (E/F) × C2</t>
  </si>
  <si>
    <t xml:space="preserve">D2 = 5% × C2</t>
  </si>
  <si>
    <t xml:space="preserve">C3 = C2 − (D1+D2) – eligible common credit</t>
  </si>
  <si>
    <t xml:space="preserve">Expected per GST-019</t>
  </si>
  <si>
    <t xml:space="preserve">6. EPF / EPS / EDLI / admin – per employee per month   [PAY-004, PAY-005, RC-PAY-001]</t>
  </si>
  <si>
    <t xml:space="preserve">EPF wages (basic + DA per Code "wages") (₹)</t>
  </si>
  <si>
    <t xml:space="preserve">Statutory wage ceiling (₹)</t>
  </si>
  <si>
    <t xml:space="preserve">₹15,000 up to 16.09.2026; ₹25,000 from 17.09.2026 (S.O. 5109(E), confirmed by PIB). Change to 25000 for Oct-2026 onwards.</t>
  </si>
  <si>
    <t xml:space="preserve">Contribution wages (contributing on ceiling)</t>
  </si>
  <si>
    <t xml:space="preserve">Employee share 12% (rounded to rupee, EPF Scheme 2026 para 18(5))</t>
  </si>
  <si>
    <t xml:space="preserve">Employer – EPS 8.33% on min(wage, ceiling)</t>
  </si>
  <si>
    <t xml:space="preserve">Employer – EPF balance (12% − EPS)</t>
  </si>
  <si>
    <t xml:space="preserve">EDLI 0.5% on min(wage, ceiling)</t>
  </si>
  <si>
    <t xml:space="preserve">Admin charges 0.5% (minimum ₹500 per establishment at challan level)</t>
  </si>
  <si>
    <t xml:space="preserve">Total remittance for employee</t>
  </si>
  <si>
    <t xml:space="preserve">Expected per PAY-004 (₹15,000 ceiling)</t>
  </si>
  <si>
    <t xml:space="preserve">7. EPF damages – EPF Scheme 2026 para 23 (defaults on or after 14-06-2024)   [PAY-009 (corrected), RC-PAY-002]</t>
  </si>
  <si>
    <t xml:space="preserve">Arrears (₹)</t>
  </si>
  <si>
    <t xml:space="preserve">Months late = days × 12/365</t>
  </si>
  <si>
    <t xml:space="preserve">Rate per month: ≤2 months 0.25%; ≤4 months 0.50%; else 1%</t>
  </si>
  <si>
    <t xml:space="preserve">Damages = min(arrears, arrears × rate × months)</t>
  </si>
  <si>
    <t xml:space="preserve">Interest u/s 7Q @12% p.a. (separate)</t>
  </si>
  <si>
    <t xml:space="preserve">Expected per PAY-009 (corrected)</t>
  </si>
  <si>
    <t xml:space="preserve">8. ESI contribution (0.75% employee / 3.25% employer, each rounded up)   [PAY-014, RC-PAY-003]</t>
  </si>
  <si>
    <t xml:space="preserve">Gross ESI wages for the month (₹)</t>
  </si>
  <si>
    <t xml:space="preserve">Days worked</t>
  </si>
  <si>
    <t xml:space="preserve">Within ₹21,000 coverage ceiling? (1 = yes)</t>
  </si>
  <si>
    <t xml:space="preserve">Coverage tested at start of contribution period – see PAY-015</t>
  </si>
  <si>
    <t xml:space="preserve">Employee share (nil if average daily wage ≤ ₹176)</t>
  </si>
  <si>
    <t xml:space="preserve">Employer share</t>
  </si>
  <si>
    <t xml:space="preserve">Total ESI</t>
  </si>
  <si>
    <t xml:space="preserve">Expected employer share per PAY-014</t>
  </si>
  <si>
    <t xml:space="preserve">9. Gratuity (Payment of Gratuity Act / Code on Social Security)   [PAY-026]</t>
  </si>
  <si>
    <t xml:space="preserve">Last drawn wages (₹ per month)</t>
  </si>
  <si>
    <t xml:space="preserve">Completed years of service</t>
  </si>
  <si>
    <t xml:space="preserve">Additional months</t>
  </si>
  <si>
    <t xml:space="preserve">Years counted (part year &gt; 6 months = full year)</t>
  </si>
  <si>
    <t xml:space="preserve">Ceiling (₹)</t>
  </si>
  <si>
    <t xml:space="preserve">₹20 lakh; ceiling under the Code still "to be notified"</t>
  </si>
  <si>
    <t xml:space="preserve">Gratuity = min(wages × 15/26 × years, ceiling)</t>
  </si>
  <si>
    <t xml:space="preserve">Expected per PAY-026</t>
  </si>
  <si>
    <t xml:space="preserve">10. MSMED Act s.16 – compound interest on delayed payment (monthly rests)   [MSME-002, RC-ACC]</t>
  </si>
  <si>
    <t xml:space="preserve">Principal outstanding (₹)</t>
  </si>
  <si>
    <t xml:space="preserve">RBI Bank Rate</t>
  </si>
  <si>
    <t xml:space="preserve">As shown on RBI site on 13-10-2026 per research; re-check before use</t>
  </si>
  <si>
    <t xml:space="preserve">Months of delay</t>
  </si>
  <si>
    <t xml:space="preserve">Interest = P × ((1 + 3×BankRate/12)^n − 1)</t>
  </si>
  <si>
    <t xml:space="preserve">Expected per MSME-002</t>
  </si>
  <si>
    <t xml:space="preserve">11. Bank reconciliation statement (book balance → bank balance)   [BRS-003, RC-BNK-001]</t>
  </si>
  <si>
    <t xml:space="preserve">Balance per bank book (Dr) (₹)</t>
  </si>
  <si>
    <t xml:space="preserve">Add: cheques issued, not yet presented</t>
  </si>
  <si>
    <t xml:space="preserve">Less: cheques deposited, not yet credited</t>
  </si>
  <si>
    <t xml:space="preserve">Less: bank charges not in books</t>
  </si>
  <si>
    <t xml:space="preserve">Add: interest credited not in books</t>
  </si>
  <si>
    <t xml:space="preserve">Add: direct credits not in books</t>
  </si>
  <si>
    <t xml:space="preserve">Balance as per bank statement</t>
  </si>
  <si>
    <t xml:space="preserve">Adjusted book balance (after posting bank-only items)</t>
  </si>
  <si>
    <t xml:space="preserve">Control: adjusted book − (bank + uncredited − unpresented) = 0</t>
  </si>
  <si>
    <t xml:space="preserve">Expected per BRS-003</t>
  </si>
  <si>
    <t xml:space="preserve">CA review register – rules not fully verified on an official source</t>
  </si>
  <si>
    <t xml:space="preserve">Sign off each rule here before enabling it (set enabled: true in YAML). Columns G–H are for the reviewer.</t>
  </si>
  <si>
    <t xml:space="preserve">Domain</t>
  </si>
  <si>
    <t xml:space="preserve">What must be checked</t>
  </si>
  <si>
    <t xml:space="preserve">CA reviewer</t>
  </si>
  <si>
    <t xml:space="preserve">Decision / date</t>
  </si>
  <si>
    <t xml:space="preserve">Accounting, Audit &amp; MCA</t>
  </si>
  <si>
    <t xml:space="preserve">Payroll statutory</t>
  </si>
  <si>
    <t xml:space="preserve">Reconciliation – non-GST</t>
  </si>
  <si>
    <t xml:space="preserve">Reconciliation – GST</t>
  </si>
  <si>
    <t xml:space="preserve">TDS / TCS</t>
  </si>
  <si>
    <t xml:space="preserve">(verify against primary source)</t>
  </si>
  <si>
    <t xml:space="preserve">Outdated / superseded provisions</t>
  </si>
  <si>
    <t xml:space="preserve">Keep both versions with valid_from / valid_to in the rule store; never apply the old position after the effective date.</t>
  </si>
  <si>
    <t xml:space="preserve">Old position</t>
  </si>
  <si>
    <t xml:space="preserve">New position</t>
  </si>
  <si>
    <t xml:space="preserve">Effective</t>
  </si>
  <si>
    <t xml:space="preserve">Governing statute</t>
  </si>
  <si>
    <t xml:space="preserve">Income-tax Act, 1961 (previous year / assessment year)</t>
  </si>
  <si>
    <t xml:space="preserve">Income-tax Act, 2025 (Act No. 30 of 2025; assent 21-08-2025) - unified 'tax year'</t>
  </si>
  <si>
    <t xml:space="preserve">01-04-2026 (Tax Year 2026-27 onwards)</t>
  </si>
  <si>
    <t xml:space="preserve">Income-tax Rules</t>
  </si>
  <si>
    <t xml:space="preserve">Income-tax Rules, 1962</t>
  </si>
  <si>
    <t xml:space="preserve">Income-tax Rules, 2026 (notified 20-03-2026)</t>
  </si>
  <si>
    <t xml:space="preserve">Interest computation rule</t>
  </si>
  <si>
    <t xml:space="preserve">Rule 269 (2026 Rules) under s.533(2)(u)</t>
  </si>
  <si>
    <t xml:space="preserve">New regime slabs</t>
  </si>
  <si>
    <t xml:space="preserve">0-3L nil, 3-7L 5%, 7-10L 10%, 10-12L 15%, 12-15L 20%, &gt;15L 30% (AY 2025-26)</t>
  </si>
  <si>
    <t xml:space="preserve">0-4L nil, 4-8L 5%, 8-12L 10%, 12-16L 15%, 16-20L 20%, 20-24L 25%, &gt;24L 30%</t>
  </si>
  <si>
    <t xml:space="preserve">AY 2026-27 (Finance Act 2025)</t>
  </si>
  <si>
    <t xml:space="preserve">https://www.incometax.gov.in/iec/foportal/help/individual/return-applicable-1</t>
  </si>
  <si>
    <t xml:space="preserve">Rebate u/s 87A (new regime)</t>
  </si>
  <si>
    <t xml:space="preserve">Rs 25,000 up to Rs 7 lakh</t>
  </si>
  <si>
    <t xml:space="preserve">Rs 60,000 up to Rs 12 lakh with marginal relief; not against special-rate tax (s.156 in 2025 Act)</t>
  </si>
  <si>
    <t xml:space="preserve">AY 2026-27</t>
  </si>
  <si>
    <t xml:space="preserve">STCG u/s 111A</t>
  </si>
  <si>
    <t xml:space="preserve">15%</t>
  </si>
  <si>
    <t xml:space="preserve">20% (s.196 in 2025 Act)</t>
  </si>
  <si>
    <t xml:space="preserve">Transfers on/after 23-07-2024</t>
  </si>
  <si>
    <t xml:space="preserve">https://www.incometaxindia.gov.in/w/tax-on-short-term-capital-gains%E2%80%8B</t>
  </si>
  <si>
    <t xml:space="preserve">LTCG u/s 112A</t>
  </si>
  <si>
    <t xml:space="preserve">10% above Rs 1 lakh</t>
  </si>
  <si>
    <t xml:space="preserve">12.5% above Rs 1.25 lakh (s.198)</t>
  </si>
  <si>
    <t xml:space="preserve">https://eztax.in/income-tax-act-2025/section-198</t>
  </si>
  <si>
    <t xml:space="preserve">Holding period (non-listed assets)</t>
  </si>
  <si>
    <t xml:space="preserve">36 months</t>
  </si>
  <si>
    <t xml:space="preserve">24 months (listed securities 12 months)</t>
  </si>
  <si>
    <t xml:space="preserve">Return due date - non-audited business/profession</t>
  </si>
  <si>
    <t xml:space="preserve">31 July</t>
  </si>
  <si>
    <t xml:space="preserve">31 August</t>
  </si>
  <si>
    <t xml:space="preserve">AY 2026-27 (1961 Expl. 2 to s.139(1)) and Tax Year 2026-27 (s.263(1)) - Finance Act 2026</t>
  </si>
  <si>
    <t xml:space="preserve">https://incometaxindia.gov.in/Budgets%20and%20Bills/2026/Notes-on-clauses-2026.pdf</t>
  </si>
  <si>
    <t xml:space="preserve">Revised return time limit</t>
  </si>
  <si>
    <t xml:space="preserve">3 months before end of AY (31 Dec) / 9 months from end of tax year</t>
  </si>
  <si>
    <t xml:space="preserve">End of AY (31 March) / 12 months; fee Rs 1,000/5,000 if revised after 9 months (s.234-I / s.428)</t>
  </si>
  <si>
    <t xml:space="preserve">1961: w.e.f. 01-03-2026; 2025 Act: 01-04-2026 (Finance Act 2026)</t>
  </si>
  <si>
    <t xml:space="preserve">Updated return window</t>
  </si>
  <si>
    <t xml:space="preserve">24 months from end of AY</t>
  </si>
  <si>
    <t xml:space="preserve">48 months (Finance Act 2025); s.263(6) 48 months from end of FY succeeding tax year</t>
  </si>
  <si>
    <t xml:space="preserve">01-04-2025 / 01-04-2026</t>
  </si>
  <si>
    <t xml:space="preserve">https://www.incometaxindia.gov.in/w/section-263-72</t>
  </si>
  <si>
    <t xml:space="preserve">Tax audit report default</t>
  </si>
  <si>
    <t xml:space="preserve">Penalty s.271B (0.5% of turnover, max Rs 1.5 lakh)</t>
  </si>
  <si>
    <t xml:space="preserve">Fee u/s 428: Rs 75,000 (delay up to 1 month) / Rs 1,50,000 (Finance Act 2026, per Notes on Clauses)</t>
  </si>
  <si>
    <t xml:space="preserve">Tax Year 2026-27</t>
  </si>
  <si>
    <t xml:space="preserve">Form 26AS / Form 16 / Form 16A</t>
  </si>
  <si>
    <t xml:space="preserve">Form 26AS, Form 16, Form 16A</t>
  </si>
  <si>
    <t xml:space="preserve">Form 168, Form 130, Form 131 (Income-tax Rules 2026)</t>
  </si>
  <si>
    <t xml:space="preserve">https://cleartax.in/s/income-tax-changes-from-april-2026</t>
  </si>
  <si>
    <t xml:space="preserve">s.58(11)(a)(i) eligibility exclusion (presumptive)</t>
  </si>
  <si>
    <t xml:space="preserve">Excluded assessee claiming deduction u/s 144</t>
  </si>
  <si>
    <t xml:space="preserve">Clause omitted</t>
  </si>
  <si>
    <t xml:space="preserve">01-04-2026 (Act No. 4 of 2026)</t>
  </si>
  <si>
    <t xml:space="preserve">TDS law</t>
  </si>
  <si>
    <t xml:space="preserve">Income-tax Act, 1961 Chapter XVII-B (ss.192-206AB)</t>
  </si>
  <si>
    <t xml:space="preserve">Income-tax Act, 2025 Chapter XIX: s.392 (salary), s.393 (tables for residents/NR/any person), s.395 certificates, s.397 TAN/PAN/statements, s.398 default &amp; interest</t>
  </si>
  <si>
    <t xml:space="preserve">TCS law</t>
  </si>
  <si>
    <t xml:space="preserve">s.206C(1)-(1H)</t>
  </si>
  <si>
    <t xml:space="preserve">s.394(1) Table Sl.1-9</t>
  </si>
  <si>
    <t xml:space="preserve">https://www.incometaxindia.gov.in/w/section-394-6</t>
  </si>
  <si>
    <t xml:space="preserve">s.206AB / s.206CCA</t>
  </si>
  <si>
    <t xml:space="preserve">Higher TDS/TCS for non-filers</t>
  </si>
  <si>
    <t xml:space="preserve">Omitted</t>
  </si>
  <si>
    <t xml:space="preserve">https://www.incometaxindia.gov.in/w/higher-deduction-of-tax-at-source-in-certain-cases-section-206aa-and-section-206ab-</t>
  </si>
  <si>
    <t xml:space="preserve">s.206C(1H)</t>
  </si>
  <si>
    <t xml:space="preserve">0.1% TCS on sale of goods &gt; ₹50 lakh</t>
  </si>
  <si>
    <t xml:space="preserve">Omitted (194Q only)</t>
  </si>
  <si>
    <t xml:space="preserve">https://www.rsm.global/india/sites/default/files/media/publications/2025/RSM%20India%20Newsflash%20-%20Overview%20of%20Changes%20in%20TDS%20and%20TCS%20provisions%20w.e.f.%201st%20April%202025.pdf</t>
  </si>
  <si>
    <t xml:space="preserve">194A thresholds</t>
  </si>
  <si>
    <t xml:space="preserve">₹40,000 / ₹50,000 senior / ₹5,000 others</t>
  </si>
  <si>
    <t xml:space="preserve">₹50,000 / ₹1,00,000 senior / ₹10,000 others</t>
  </si>
  <si>
    <t xml:space="preserve">194-I threshold</t>
  </si>
  <si>
    <t xml:space="preserve">₹2,40,000 p.a.</t>
  </si>
  <si>
    <t xml:space="preserve">₹50,000 per month or part</t>
  </si>
  <si>
    <t xml:space="preserve">194J threshold</t>
  </si>
  <si>
    <t xml:space="preserve">₹30,000</t>
  </si>
  <si>
    <t xml:space="preserve">₹50,000</t>
  </si>
  <si>
    <t xml:space="preserve">194H/194D/194G threshold</t>
  </si>
  <si>
    <t xml:space="preserve">₹15,000</t>
  </si>
  <si>
    <t xml:space="preserve">₹20,000</t>
  </si>
  <si>
    <t xml:space="preserve">194B/194BB threshold</t>
  </si>
  <si>
    <t xml:space="preserve">Aggregate &gt; ₹10,000</t>
  </si>
  <si>
    <t xml:space="preserve">₹10,000 per single transaction</t>
  </si>
  <si>
    <t xml:space="preserve">194 / 194K / 193 threshold</t>
  </si>
  <si>
    <t xml:space="preserve">₹5,000</t>
  </si>
  <si>
    <t xml:space="preserve">₹10,000</t>
  </si>
  <si>
    <t xml:space="preserve">194LA threshold</t>
  </si>
  <si>
    <t xml:space="preserve">₹2,50,000</t>
  </si>
  <si>
    <t xml:space="preserve">₹5,00,000</t>
  </si>
  <si>
    <t xml:space="preserve">194T</t>
  </si>
  <si>
    <t xml:space="preserve">10% on partner payments &gt; ₹20,000</t>
  </si>
  <si>
    <t xml:space="preserve">https://incometaxindia.gov.in/w/tds-rates-1</t>
  </si>
  <si>
    <t xml:space="preserve">206C(1G) LRS threshold</t>
  </si>
  <si>
    <t xml:space="preserve">₹7 lakh</t>
  </si>
  <si>
    <t xml:space="preserve">₹10 lakh</t>
  </si>
  <si>
    <t xml:space="preserve">194DA/194G/194H/194-IB/194M rates</t>
  </si>
  <si>
    <t xml:space="preserve">5%</t>
  </si>
  <si>
    <t xml:space="preserve">2%</t>
  </si>
  <si>
    <t xml:space="preserve">1 October 2024</t>
  </si>
  <si>
    <t xml:space="preserve">https://blog.tdsman.com/2024/09/reduction-optimization-of-tds-rates-w-e-f-1st-october-24</t>
  </si>
  <si>
    <t xml:space="preserve">194-O rate</t>
  </si>
  <si>
    <t xml:space="preserve">1%</t>
  </si>
  <si>
    <t xml:space="preserve">0.1%</t>
  </si>
  <si>
    <t xml:space="preserve">TCS rates liquor/scrap/minerals</t>
  </si>
  <si>
    <t xml:space="preserve">1 April 2026 (Finance Act 2026)</t>
  </si>
  <si>
    <t xml:space="preserve">TCS tendu leaves</t>
  </si>
  <si>
    <t xml:space="preserve">TCS LRS education/medical</t>
  </si>
  <si>
    <t xml:space="preserve">TCS overseas tour package</t>
  </si>
  <si>
    <t xml:space="preserve">5% up to ₹10 lakh / 20% above</t>
  </si>
  <si>
    <t xml:space="preserve">2% flat</t>
  </si>
  <si>
    <t xml:space="preserve">27EQ – 15th of month after quarter</t>
  </si>
  <si>
    <t xml:space="preserve">Form 143 – 31 Jul/31 Oct/31 Jan/31 May</t>
  </si>
  <si>
    <t xml:space="preserve">TY 2026-27</t>
  </si>
  <si>
    <t xml:space="preserve">https://www.incometaxindia.gov.in/w/rule-219-1</t>
  </si>
  <si>
    <t xml:space="preserve">Forms</t>
  </si>
  <si>
    <t xml:space="preserve">24Q/26Q/27Q/27EQ/26QB-QE/16/16A/27D/13/15G-15H/12BB</t>
  </si>
  <si>
    <t xml:space="preserve">138/140/144/143/141/130/131/133/128/121/124</t>
  </si>
  <si>
    <t xml:space="preserve">https://taxguru.in/income-tax/q1-tax-year-2026-27-tds-tcs-return-filing-forms-due-dates.html</t>
  </si>
  <si>
    <t xml:space="preserve">Late-filing penalty grace</t>
  </si>
  <si>
    <t xml:space="preserve">271H(3): one year</t>
  </si>
  <si>
    <t xml:space="preserve">one month (271H as amended per secondary; s.461(2))</t>
  </si>
  <si>
    <t xml:space="preserve">https://www.incometaxindia.gov.in/w/section-461-6</t>
  </si>
  <si>
    <t xml:space="preserve">Default order limitation</t>
  </si>
  <si>
    <t xml:space="preserve">s.201(3): 7 years</t>
  </si>
  <si>
    <t xml:space="preserve">s.398(5): 6 years (or 2 years from correction)</t>
  </si>
  <si>
    <t xml:space="preserve">https://www.incometaxindia.gov.in/w/section-398-5</t>
  </si>
  <si>
    <t xml:space="preserve">Correction statement window</t>
  </si>
  <si>
    <t xml:space="preserve">s.200(3) proviso (6 years per secondary, from 1-4-2025)</t>
  </si>
  <si>
    <t xml:space="preserve">s.397(3)(f): 2 years from end of tax year in which statement due</t>
  </si>
  <si>
    <t xml:space="preserve">https://www.incometaxindia.gov.in/w/section-397-6</t>
  </si>
  <si>
    <t xml:space="preserve">TAN for resident ind/HUF buying property from NR</t>
  </si>
  <si>
    <t xml:space="preserve">TAN required (s.195)</t>
  </si>
  <si>
    <t xml:space="preserve">No TAN – PAN-based Form 141 (s.397(1)(c))</t>
  </si>
  <si>
    <t xml:space="preserve">1 October 2026</t>
  </si>
  <si>
    <t xml:space="preserve">MACT interest TDS</t>
  </si>
  <si>
    <t xml:space="preserve">Exempt only if ≤ ₹50,000</t>
  </si>
  <si>
    <t xml:space="preserve">Fully exempt for individuals</t>
  </si>
  <si>
    <t xml:space="preserve">GST rate slabs on goods</t>
  </si>
  <si>
    <t xml:space="preserve">0/5/12/18/28% + compensation cess (N.1/2017-CT(Rate))</t>
  </si>
  <si>
    <t xml:space="preserve">5% merit, 18% standard, 40% special (+3%, 0.25%, 1.5% special schedules); 28% Sch VII only for tobacco/pan masala till 31.01.2026 (N.9/2025-CT(Rate))</t>
  </si>
  <si>
    <t xml:space="preserve">22.09.2025</t>
  </si>
  <si>
    <t xml:space="preserve">https://www.taxheal.com/?p=104994</t>
  </si>
  <si>
    <t xml:space="preserve">Tobacco / pan masala rate</t>
  </si>
  <si>
    <t xml:space="preserve">28% + compensation cess</t>
  </si>
  <si>
    <t xml:space="preserve">40% (biris 18%); cess Nil (N.19/2025-CT(Rate), 03/2025-CC(Rate))</t>
  </si>
  <si>
    <t xml:space="preserve">01.02.2026</t>
  </si>
  <si>
    <t xml:space="preserve">https://comtax.wb.gov.in/GST/GST_PPU/GST_Updates_Dec_2025.pdf</t>
  </si>
  <si>
    <t xml:space="preserve">Compensation cess on most goods (motor vehicles, aerated drinks etc.)</t>
  </si>
  <si>
    <t xml:space="preserve">Cess at various rates</t>
  </si>
  <si>
    <t xml:space="preserve">Nil for listed entries (02/2025-CC(Rate))</t>
  </si>
  <si>
    <t xml:space="preserve">https://www.caclubindia.com/notice_circulars/substitution-of-compensation-cess-rates-with-nil-on-specified-goods-effective-22nd-september-2025--11496.asp</t>
  </si>
  <si>
    <t xml:space="preserve">GSTR-3B Table 3 editability</t>
  </si>
  <si>
    <t xml:space="preserve">Auto-populated values editable</t>
  </si>
  <si>
    <t xml:space="preserve">Locked to GSTR-1/1A/IFF; correct via GSTR-1A</t>
  </si>
  <si>
    <t xml:space="preserve">July 2025 tax period</t>
  </si>
  <si>
    <t xml:space="preserve">https://cleartax.in/s/gst-return-filing-rule-changes-from-july-2025</t>
  </si>
  <si>
    <t xml:space="preserve">GSTR-3B Table 3.2</t>
  </si>
  <si>
    <t xml:space="preserve">Editable</t>
  </si>
  <si>
    <t xml:space="preserve">Non-editable</t>
  </si>
  <si>
    <t xml:space="preserve">November 2025 tax period</t>
  </si>
  <si>
    <t xml:space="preserve">https://taxguru.in/goods-and-service-tax/gstn-issues-4-advisories-december-2025-clarify-key-compliance-procedures.html</t>
  </si>
  <si>
    <t xml:space="preserve">GSTR-9 filing</t>
  </si>
  <si>
    <t xml:space="preserve">Optional for AATO up to Rs 2 crore by year-wise notifications</t>
  </si>
  <si>
    <t xml:space="preserve">Exempt for AATO up to Rs 2 crore for FY 2024-25 onwards (N.15/2025-CT)</t>
  </si>
  <si>
    <t xml:space="preserve">FY 2024-25</t>
  </si>
  <si>
    <t xml:space="preserve">https://www.taxheal.com/?p=105269</t>
  </si>
  <si>
    <t xml:space="preserve">GSTR-4 due date</t>
  </si>
  <si>
    <t xml:space="preserve">30 April following FY</t>
  </si>
  <si>
    <t xml:space="preserve">30 June following FY (N.12/2024-CT)</t>
  </si>
  <si>
    <t xml:space="preserve">FY 2024-25 onwards</t>
  </si>
  <si>
    <t xml:space="preserve">https://www.indiafilings.com/learn/gstr-4-filing/</t>
  </si>
  <si>
    <t xml:space="preserve">TCS rate by ECO u/s 52</t>
  </si>
  <si>
    <t xml:space="preserve">1% (0.5+0.5)</t>
  </si>
  <si>
    <t xml:space="preserve">0.5% (0.25+0.25) (N.15/2024-CT)</t>
  </si>
  <si>
    <t xml:space="preserve">10.07.2024</t>
  </si>
  <si>
    <t xml:space="preserve">https://www.taxheal.com/?p=96048</t>
  </si>
  <si>
    <t xml:space="preserve">ISD</t>
  </si>
  <si>
    <t xml:space="preserve">Optional (cross-charge permitted, Circular 199/11/2023)</t>
  </si>
  <si>
    <t xml:space="preserve">Mandatory for common input services incl. RCM (s.2(61), s.20 as amended)</t>
  </si>
  <si>
    <t xml:space="preserve">https://taxguru.in/goods-and-service-tax/input-service-distributor-mandatory-1st-april-2025.html</t>
  </si>
  <si>
    <t xml:space="preserve">E-invoice 30-day reporting limit</t>
  </si>
  <si>
    <t xml:space="preserve">AATO &gt;= Rs 100 crore</t>
  </si>
  <si>
    <t xml:space="preserve">AATO &gt;= Rs 10 crore</t>
  </si>
  <si>
    <t xml:space="preserve">https://www.taxmann.com/post/blog/time-limit-of-30-days-for-reporting-e-invoice-on-irp-portal-for-taxpayers-with-aato-of-10-crores-and-above-gstn-update/</t>
  </si>
  <si>
    <t xml:space="preserve">s.17(5)(d)</t>
  </si>
  <si>
    <t xml:space="preserve">'plant or machinery' (Safari Retreats SC interpretation)</t>
  </si>
  <si>
    <t xml:space="preserve">'plant and machinery' retrospectively</t>
  </si>
  <si>
    <t xml:space="preserve">01.07.2017 (notified in force 01.10.2025)</t>
  </si>
  <si>
    <t xml:space="preserve">https://taxguru.in/goods-and-service-tax/gst-amendments-finance-act-2025-effective-oct-1-2025-notified.html</t>
  </si>
  <si>
    <t xml:space="preserve">Credit note s.34(2)</t>
  </si>
  <si>
    <t xml:space="preserve">Supplier reduces liability subject to incidence not passed on</t>
  </si>
  <si>
    <t xml:space="preserve">Reduction only if recipient reverses ITC</t>
  </si>
  <si>
    <t xml:space="preserve">01.10.2025</t>
  </si>
  <si>
    <t xml:space="preserve">IMS credit notes</t>
  </si>
  <si>
    <t xml:space="preserve">CN could not be kept pending; auto ITC reduction on acceptance</t>
  </si>
  <si>
    <t xml:space="preserve">CN pending allowed for one period; recipient declares ITC reduction</t>
  </si>
  <si>
    <t xml:space="preserve">October 2025 tax period / Dec 2025 advisory</t>
  </si>
  <si>
    <t xml:space="preserve">https://cleartax.in/s/faqs-on-invoice-management-system-ims-gst</t>
  </si>
  <si>
    <t xml:space="preserve">Rule 86B 1% cash restriction</t>
  </si>
  <si>
    <t xml:space="preserve">Applies to taxpayers with taxable supplies &gt; Rs 50 lakh/month</t>
  </si>
  <si>
    <t xml:space="preserve">Limited to manufacturers of pan masala &amp; tobacco products (N.20/2025-CT)</t>
  </si>
  <si>
    <t xml:space="preserve">Intermediary place of supply</t>
  </si>
  <si>
    <t xml:space="preserve">Location of supplier (IGST s.13(8)(b))</t>
  </si>
  <si>
    <t xml:space="preserve">Default rule – location of recipient (FA 2026)</t>
  </si>
  <si>
    <t xml:space="preserve">30.03.2026 (per secondary source)</t>
  </si>
  <si>
    <t xml:space="preserve">https://taxo.online/latest-news/31-03-2026-finance-act-2026-enacted-on-30-03-2026-key-amendments-in-valuation-refunds-and-place-of-supply/</t>
  </si>
  <si>
    <t xml:space="preserve">GTA rate options</t>
  </si>
  <si>
    <t xml:space="preserve">5% RCM/forward without ITC or 12% with ITC</t>
  </si>
  <si>
    <t xml:space="preserve">5% without ITC or 18% with ITC</t>
  </si>
  <si>
    <t xml:space="preserve">https://gstcouncil.gov.in/sites/default/files/2025-09/faq.pdf</t>
  </si>
  <si>
    <t xml:space="preserve">s.50(3) interest rate</t>
  </si>
  <si>
    <t xml:space="preserve">24% (N.13/2017-CT)</t>
  </si>
  <si>
    <t xml:space="preserve">18% (FA 2022 Sixth Schedule, retrospective) – conflicting sources</t>
  </si>
  <si>
    <t xml:space="preserve">01.07.2017 (retrospective)</t>
  </si>
  <si>
    <t xml:space="preserve">https://www.taxtmi.com/forum/issue?id=118761</t>
  </si>
  <si>
    <t xml:space="preserve">EPF wage ceiling</t>
  </si>
  <si>
    <t xml:space="preserve">Rs 15,000 per month (from 01.09.2014; re-notified under SS Code by S.O. 2702(E) dt 29.05.2026)</t>
  </si>
  <si>
    <t xml:space="preserve">Rs 25,000 per month (S.O. 5109(E))</t>
  </si>
  <si>
    <t xml:space="preserve">https://www.sgcms.com/regulatory-updates/faqs-by-epfo-wage-ceiling-raised-to-25000/</t>
  </si>
  <si>
    <t xml:space="preserve">EPF Scheme</t>
  </si>
  <si>
    <t xml:space="preserve">EPF Scheme 1952, EPS 1995, EDLI 1976 under EPF&amp;MP Act 1952</t>
  </si>
  <si>
    <t xml:space="preserve">EPF Scheme 2026 (G.S.R. 525(E)), EPS 2026 (G.S.R. 527(E)), EDLI Scheme 2026 (G.S.R. 526(E)) under SS Code</t>
  </si>
  <si>
    <t xml:space="preserve">29.06.2026 (publication; dates differ by source)</t>
  </si>
  <si>
    <t xml:space="preserve">https://assets.kpmg.com/content/dam/kpmgsites/in/pdf/2026/07/KPMG-Flash-News-New-Social-Security-Schemes-2026.pdf</t>
  </si>
  <si>
    <t xml:space="preserve">EPF damages (para 32A)</t>
  </si>
  <si>
    <t xml:space="preserve">5%-25% p.a. slabs by delay period</t>
  </si>
  <si>
    <t xml:space="preserve">1% of arrears per month (12% p.a.)</t>
  </si>
  <si>
    <t xml:space="preserve">15.06.2024</t>
  </si>
  <si>
    <t xml:space="preserve">https://khaitanco.com/thought-leadership/Big-Move-in-the-EPF-Regime</t>
  </si>
  <si>
    <t xml:space="preserve">Labour law framework</t>
  </si>
  <si>
    <t xml:space="preserve">29 central labour Acts (Payment of Wages, Minimum Wages, Bonus, Gratuity, EPF, ESI etc.)</t>
  </si>
  <si>
    <t xml:space="preserve">Four Labour Codes (S.O. 5319-5322(E))</t>
  </si>
  <si>
    <t xml:space="preserve">https://www.ey.com/content/dam/ey-unified-site/ey-com/en-in/alerts-hub/2025/11/new-labour-codes-implemented-across-the-country-effective-21-november-2025.pdf</t>
  </si>
  <si>
    <t xml:space="preserve">West Bengal PT (salaried)</t>
  </si>
  <si>
    <t xml:space="preserve">2014 slab: nil to 8,500; 90/110/130/150/200</t>
  </si>
  <si>
    <t xml:space="preserve">nil to 20,000; 100/140/170/208</t>
  </si>
  <si>
    <t xml:space="preserve">01.10.2026</t>
  </si>
  <si>
    <t xml:space="preserve">https://wbxpress.com/schedule-rates-tax-professions-trades-callings-employments-2026/</t>
  </si>
  <si>
    <t xml:space="preserve">Karnataka PT</t>
  </si>
  <si>
    <t xml:space="preserve">Rs 200 per month flat (Rs 2,400 p.a.) for salary &gt;= 25,000</t>
  </si>
  <si>
    <t xml:space="preserve">Rs 200 per month, Rs 300 in February</t>
  </si>
  <si>
    <t xml:space="preserve">https://lexplosion.in/karnataka-govt-notifies-revised-professional-tax-rate-under-karnataka-tax-on-profession-trades-callings-and-employments-amendment-act-2025/</t>
  </si>
  <si>
    <t xml:space="preserve">Chennai PT (half-yearly)</t>
  </si>
  <si>
    <t xml:space="preserve">21,001-30,000: 135; 30,001-45,000: 315; 45,001-60,000: 690 (old figures per general knowledge – not verified)</t>
  </si>
  <si>
    <t xml:space="preserve">180 / 425 / 930</t>
  </si>
  <si>
    <t xml:space="preserve">H2 FY 2024-25</t>
  </si>
  <si>
    <t xml:space="preserve">https://ascent-hr.com/notification/professional-tax-slab-revision-chennai/</t>
  </si>
  <si>
    <t xml:space="preserve">Leave encashment exemption s.10(10AA)</t>
  </si>
  <si>
    <t xml:space="preserve">Rs 3 lakh</t>
  </si>
  <si>
    <t xml:space="preserve">Rs 25 lakh (Notification 31/2023)</t>
  </si>
  <si>
    <t xml:space="preserve">01.04.2023</t>
  </si>
  <si>
    <t xml:space="preserve">https://www.gconnect.in/personal-income-tax/increased-limit-tax-exemption-leave-encashment-non-govt-salaried-employees.html</t>
  </si>
  <si>
    <t xml:space="preserve">Rule 9D (taxable PF interest)</t>
  </si>
  <si>
    <t xml:space="preserve">Income-tax Rules 1962 r.9D</t>
  </si>
  <si>
    <t xml:space="preserve">Income-tax Rules 2026 r.277</t>
  </si>
  <si>
    <t xml:space="preserve">Tax year 2026-27</t>
  </si>
  <si>
    <t xml:space="preserve">https://www.incometaxindia.gov.in/w/rule-277-1</t>
  </si>
  <si>
    <t xml:space="preserve">Gratuity tax exemption section</t>
  </si>
  <si>
    <t xml:space="preserve">ITA 1961 s.10(10)</t>
  </si>
  <si>
    <t xml:space="preserve">ITA 2025 s.19 Table Sl. Nos. 5 &amp; 6</t>
  </si>
  <si>
    <t xml:space="preserve">01.04.2026</t>
  </si>
  <si>
    <t xml:space="preserve">Cheque/draft validity</t>
  </si>
  <si>
    <t xml:space="preserve">6 months</t>
  </si>
  <si>
    <t xml:space="preserve">3 months from instrument date</t>
  </si>
  <si>
    <t xml:space="preserve">https://www.rbi.org.in/commonman/English/scripts/Notification.aspx?Id=961</t>
  </si>
  <si>
    <t xml:space="preserve">MSME classification limits</t>
  </si>
  <si>
    <t xml:space="preserve">Micro ₹1cr/₹5cr; Small ₹10cr/₹50cr; Medium ₹50cr/₹250cr</t>
  </si>
  <si>
    <t xml:space="preserve">Micro ₹2.5cr/₹10cr; Small ₹25cr/₹100cr; Medium ₹125cr/₹500cr</t>
  </si>
  <si>
    <t xml:space="preserve">01-04-2025</t>
  </si>
  <si>
    <t xml:space="preserve">https://www.casahuja.com/2025/04/regulatory-update-government-revises.html</t>
  </si>
  <si>
    <t xml:space="preserve">DIR-3 KYC</t>
  </si>
  <si>
    <t xml:space="preserve">Annual DIR-3 KYC by 30 September</t>
  </si>
  <si>
    <t xml:space="preserve">KYC once in every three years via DIR-3-KYC-Web (next due 30-06-2028 for those compliant); event-based updates within 30 days</t>
  </si>
  <si>
    <t xml:space="preserve">31-03-2026</t>
  </si>
  <si>
    <t xml:space="preserve">https://www.icai.org/post/clcgc-director-kyc-compliance-02012026</t>
  </si>
  <si>
    <t xml:space="preserve">Schedule III rounding criterion</t>
  </si>
  <si>
    <t xml:space="preserve">Optional rounding based on turnover</t>
  </si>
  <si>
    <t xml:space="preserve">Mandatory rounding based on Total Income (&lt;₹100 cr: hundreds/thousands/lakhs/millions; ≥₹100 cr: lakhs/millions/crores)</t>
  </si>
  <si>
    <t xml:space="preserve">FY 2021-22</t>
  </si>
  <si>
    <t xml:space="preserve">https://www.caclubindia.com/articles/amendment-schedule-iii-division-i-igaap-companies-act-2013-44527.asp</t>
  </si>
  <si>
    <t xml:space="preserve">Small company definition</t>
  </si>
  <si>
    <t xml:space="preserve">PUC ≤ ₹4 cr, turnover ≤ ₹40 cr</t>
  </si>
  <si>
    <t xml:space="preserve">PUC ≤ ₹10 cr, turnover ≤ ₹100 cr</t>
  </si>
  <si>
    <t xml:space="preserve">https://www.taxmann.com/post/blog/mca-raises-small-company-thresholds-to-rs-10-cr-capital-and-rs-100-cr-turnover</t>
  </si>
  <si>
    <t xml:space="preserve">MSME Form 1</t>
  </si>
  <si>
    <t xml:space="preserve">Original form (2019 Order) – all specified companies with dues &gt; 45 days at half-year</t>
  </si>
  <si>
    <t xml:space="preserve">Revised Form-1 (S.O. 2751(E) 15-07-2024) with proviso – only companies with dues pending &gt; 45 days from acceptance</t>
  </si>
  <si>
    <t xml:space="preserve">2024 (exact date not verified)</t>
  </si>
  <si>
    <t xml:space="preserve">https://www.taxmann.com/post/blog/mca-revises-msme-form-1-with-enhanced-disclosures-for-reporting-payments-pending-over-45-days-to-micro-small-enterprises/</t>
  </si>
  <si>
    <t xml:space="preserve">Tax audit report form</t>
  </si>
  <si>
    <t xml:space="preserve">Form 3CA/3CB + 3CD under s.44AB IT Act 1961</t>
  </si>
  <si>
    <t xml:space="preserve">Form 26 under s.63 ITA 2025 / Rule 47 IT Rules 2026</t>
  </si>
  <si>
    <t xml:space="preserve">https://cleartax.in/s/form-26-tax-audit</t>
  </si>
  <si>
    <t xml:space="preserve">Annual filing late fee (AOC-4/MGT-7)</t>
  </si>
  <si>
    <t xml:space="preserve">Slab multiples of normal fee</t>
  </si>
  <si>
    <t xml:space="preserve">₹100 per day</t>
  </si>
  <si>
    <t xml:space="preserve">01-07-2018</t>
  </si>
  <si>
    <t xml:space="preserve">https://studycafe.in/mca-notifies-additional-fee-of-rs-100-per-day-for-delay-in-filing-roc-forms-24895.html</t>
  </si>
  <si>
    <t xml:space="preserve">Form 3CD cl.22/26 for 43B(h)</t>
  </si>
  <si>
    <t xml:space="preserve">Cl.22 – MSMED interest only</t>
  </si>
  <si>
    <t xml:space="preserve">43B(h) amount reported in cl.26 and cl.22</t>
  </si>
  <si>
    <t xml:space="preserve">Notification 27/2024 &amp; corrigendum 34/2024 (March 2024)</t>
  </si>
  <si>
    <t xml:space="preserve">https://www.taxmann.com/post/blog/cbdt-issues-corrigendum-to-include-sec-43bh-disallowance-under-clause-22-of-form-3cd/</t>
  </si>
  <si>
    <t xml:space="preserve">EPF damages (s.14B)</t>
  </si>
  <si>
    <t xml:space="preserve">Flat 1% per month (from 15-06-2024), as recorded in round 1</t>
  </si>
  <si>
    <t xml:space="preserve">EPF Scheme 2026 para 23: 0.25% / 0.50% / 1% per month by total default period, for defaults from 14-06-2024</t>
  </si>
  <si>
    <t xml:space="preserve">EPF Scheme 2026 (G.S.R. 525(E), 29-06-2026)</t>
  </si>
  <si>
    <t xml:space="preserve">s.194D rate (non-company payee)</t>
  </si>
  <si>
    <t xml:space="preserve">s.206C(7) interest – collected but not paid</t>
  </si>
  <si>
    <t xml:space="preserve">1% per month</t>
  </si>
  <si>
    <t xml:space="preserve">1.5% per month or part</t>
  </si>
  <si>
    <t xml:space="preserve">24% (original N.13/2017-CT)</t>
  </si>
  <si>
    <t xml:space="preserve">18% (Finance Act 2022 s.116, Sixth Schedule)</t>
  </si>
  <si>
    <t xml:space="preserve">Retrospective 01-07-2017</t>
  </si>
  <si>
    <t xml:space="preserve">Form 26AS</t>
  </si>
  <si>
    <t xml:space="preserve">Form 26AS (s.203AA)</t>
  </si>
  <si>
    <t xml:space="preserve">Form 168 – Annual Information Statement (s.510 ITA 2025 / Rule 245)</t>
  </si>
  <si>
    <t xml:space="preserve">Unresolved questions for CA decision</t>
  </si>
  <si>
    <t xml:space="preserve">Raised where law is ambiguous, sources conflict, official text was unreachable, or the data model needs a business decision.</t>
  </si>
  <si>
    <t xml:space="preserve">Q#</t>
  </si>
  <si>
    <t xml:space="preserve">Unresolved question</t>
  </si>
  <si>
    <t xml:space="preserve">CA decision</t>
  </si>
  <si>
    <t xml:space="preserve">Cross-cutting</t>
  </si>
  <si>
    <t xml:space="preserve">Transition dating: select the 1961 Act or 2025 Act version of a rule by transaction date, payment/credit date, or tax period? (e.g., TDS on a credit booked in March 2026 but paid in April 2026).</t>
  </si>
  <si>
    <t xml:space="preserve">Open</t>
  </si>
  <si>
    <t xml:space="preserve">Finance Act 2026: several changes were researched from the Bill / Memorandum. Confirm each against the enacted text before enabling. s.234-I (revised-return fee) reads literally as never applicable – firm policy needed (ITR-003).</t>
  </si>
  <si>
    <t xml:space="preserve">Tolerances (₹1 per tax head per document, ₹10 per summary bucket, bank date windows, fuzzy invoice-number matching) are implementation choices, not law. Confirm firm-wide defaults.</t>
  </si>
  <si>
    <t xml:space="preserve">Official portals (CBIC, EPFO, e-Gazette, Protean) often blocked automated access; rules sourced from secondary copies need checking against gazette text.</t>
  </si>
  <si>
    <t xml:space="preserve">GSTN return JSON keys differ between GSTR-1 / 2A (idt, iamt…) and GSTR-2B (dt, igst…), and several keys are marked "[JSON name unverified]". Confirm against the first real downloads before finalising import parsers.</t>
  </si>
  <si>
    <t xml:space="preserve">Date formats differ by source (GSTN dd-mm-yyyy, NIC dd/mm/yyyy, EWB dd/mm/yyyy hh:mm:ss AM/PM, ECR none). Confirm each on a real file.</t>
  </si>
  <si>
    <t xml:space="preserve">Books documents (sales/purchase registers, GL, TB, bank book) use a recommended Tally-based field set, not a statutory format. Agree the input templates with Parth before building parsers.</t>
  </si>
  <si>
    <t xml:space="preserve">Some mismatch-category descriptions in non-GST reconciliation rules were generated from the code name and are thin; expand them during CA review.</t>
  </si>
  <si>
    <t xml:space="preserve">Exact transitional/savings provision (s.536 of Income-tax Act 2025): confirm that interest u/s 234A/B/C, revised/updated returns and assessments for AY 2026-27 and earlier continue entirely under the 1961 Act.</t>
  </si>
  <si>
    <t xml:space="preserve">Several old-to-new section mappings are inferred (ss.185, 186, 188 for 269SS/ST/T; 266/267/270/279/280/289 for 140A/140B/143(1)/147/148/156; 390 for 199; 405-407 for 209-210; penalty sections for 271D/271DA/271E). Confirm against CBDT's official mapping utility / enacted text.</t>
  </si>
  <si>
    <t xml:space="preserve">Whether 234A interest for AY 2026-27 audit cases runs from the original 31-10-2026 or extended 21-11-2026 due date - Circular 07/2026 is silent.</t>
  </si>
  <si>
    <t xml:space="preserve">Whether the CBDT-extended due date (21-11-2026) applies as the 'due date u/s 139(1)' for s.43B and s.40(a)(ia) purposes for AY 2026-27.</t>
  </si>
  <si>
    <t xml:space="preserve">Treatment of short deduction of TDS under s.40(a)(ia) / s.35 (proportionate vs nil disallowance).</t>
  </si>
  <si>
    <t xml:space="preserve">s.43B(h): exclusion of traders registered on Udyam, applicability to capital goods, and use of acceptance vs invoice date where acceptance not documented.</t>
  </si>
  <si>
    <t xml:space="preserve">Algorithm for surcharge and marginal relief where total income includes special-rate gains capped at 15% surcharge.</t>
  </si>
  <si>
    <t xml:space="preserve">Whether the Finance Act 2026 as enacted (Act No. 4 of 2026, assent 30-03-2026) retained Bill provisions on 31-August due date, 12-month revised return, s.234-I fee and s.428 audit fees without change (Lok Sabha passed the Bill with 30+ amendments on 25-03-2026).</t>
  </si>
  <si>
    <t xml:space="preserve">Rebate: whether marginal relief under s.87A / s.156(2)(b) is computed on total income including special-rate income while rebate is restricted to slab tax - edge-case algorithm needs CA sign-off.</t>
  </si>
  <si>
    <t xml:space="preserve">Holiday roll-over of advance tax due dates (15th falling on a bank holiday).</t>
  </si>
  <si>
    <t xml:space="preserve">Whether CPC computes 234B segments after a part self-assessment payment from the month of payment or the following month.</t>
  </si>
  <si>
    <t xml:space="preserve">194D rate for non-company payees from 1-4-2025: 2% (RSM/India Briefing/TDSMAN) vs 5% (official incometaxindia TDS rate chart) – confirm from Finance Act 2025 First Schedule Part II and Finance Act 2026.</t>
  </si>
  <si>
    <t xml:space="preserve">Cash-withdrawal TDS (s.393(3) Sl.5): confirm that non-filer 2%/5% from ₹20 lakh proviso of s.194N has not been carried into the 2025 Act, and whether 2% applies on excess or entire amount.</t>
  </si>
  <si>
    <t xml:space="preserve">Transitional: TDS on amounts credited in FY 2025-26 but paid in TY 2026-27 (and vice versa) – which Act, section code and form.</t>
  </si>
  <si>
    <t xml:space="preserve">Interest month counting: calendar-month (TRACES practice per TDSMAN) vs period-of-month method – choose default.</t>
  </si>
  <si>
    <t xml:space="preserve">s.206C(7) interest for TCS collected-but-not-paid in FY 2025-26: 1% (official 1961 page) or 1.5% (secondary – Finance (No.2) Act 2024/2025 amendment).</t>
  </si>
  <si>
    <t xml:space="preserve">s.271H(3) grace for FY 2025-26 statements: one year (official page) or one month (secondary – amended w.e.f. 1-4-2025).</t>
  </si>
  <si>
    <t xml:space="preserve">Rounding of TDS lines: nearest rupee vs s.288B ₹10 – firm policy.</t>
  </si>
  <si>
    <t xml:space="preserve">LRS TCS under s.394 Sl.7: whether rate applies only on excess over ₹10 lakh.</t>
  </si>
  <si>
    <t xml:space="preserve">Luxury goods ₹10 lakh threshold – per item vs per transaction, and continuation of Notification 36/2025 under s.394 Sl.6(b).</t>
  </si>
  <si>
    <t xml:space="preserve">Form 141 / Rule 218(3) inserted w.e.f. 1-10-2026: compliance route for Apr-Sep 2026 for 194-IA/IB/M/S-type payments.</t>
  </si>
  <si>
    <t xml:space="preserve">Salary slab rates, rebate and standard deduction for FY 2025-26 and TY 2026-27 – not re-verified in this research.</t>
  </si>
  <si>
    <t xml:space="preserve">Section of the 2025 Act replacing s.40(a)(ia) and s.199/Rule 37BA (credit for TDS) – not verified.</t>
  </si>
  <si>
    <t xml:space="preserve">Continued applicability of CBDT Circular 23/2017 (GST exclusion) and Circular 13/2021 (194Q) under the 2025 Act.</t>
  </si>
  <si>
    <t xml:space="preserve">Inoperative PAN (PAN-Aadhaar not linked) treatment under s.397(2) – not researched.</t>
  </si>
  <si>
    <t xml:space="preserve">Payment/section codes (e.g. 1005, 1023, 1064) reported by secondary sources for the new FVU – obtain official Protean/TIN file format.</t>
  </si>
  <si>
    <t xml:space="preserve">Is the s.50(3) interest rate 18% (Finance Act 2022 retrospective substitution in N.13/2017-CT) or 24%? Sources conflict; confirm from the Finance Act 2022 Sixth Schedule.</t>
  </si>
  <si>
    <t xml:space="preserve">For Rule 37 reversals, should interest be computed under s.50(3) from date of utilisation (Rule 88B(3)) or under s.50(1)? Credit was not 'wrongly availed' at inception.</t>
  </si>
  <si>
    <t xml:space="preserve">Rule 37A insertion: Notification 26/2022-CT (01.10.2022) per one secondary copy vs Notification 38/2023-CT per brief – which is correct, and from which FY does it apply?</t>
  </si>
  <si>
    <t xml:space="preserve">How should accumulated compensation cess ITC in the electronic credit ledger be treated after cess became Nil (22.09.2025 / 01.02.2026)?</t>
  </si>
  <si>
    <t xml:space="preserve">Has the Finance Act 2026 amendment to s.15(3)(b)/s.34(1) (post-supply discounts) and s.54(6) been brought into force by notification as of Oct 2026?</t>
  </si>
  <si>
    <t xml:space="preserve">Has GSTN implemented hard-locking of ITC (GSTR-3B Table 4) and blocking of negative ECRRS/RCM ledger balances (advisory 29.12.2025)? If so, from which tax period?</t>
  </si>
  <si>
    <t xml:space="preserve">What are the currently notified thresholds for Rule 88C (DRC-01B) and Rule 88D (DRC-01C) intimations?</t>
  </si>
  <si>
    <t xml:space="preserve">Exact list of states that did not adopt the Rs 40 lakh goods threshold and the Rs 10 lakh special-category states (N.10/2019-CT and s.22 proviso).</t>
  </si>
  <si>
    <t xml:space="preserve">Does the GSTR-9 late fee continue to run until GSTR-9C is filed, and is there a separate cap for the 9C delay?</t>
  </si>
  <si>
    <t xml:space="preserve">Does Phase-III HSN validation require HSN in the B2C tab of Table 12 for AATO &lt;= Rs 5 crore, and are validations still warnings or now blocking?</t>
  </si>
  <si>
    <t xml:space="preserve">Tolerance levels for books-vs-2B and books-vs-GSTR-1 matching are not prescribed by law – firm policy needed (default Re 1 per head suggested).</t>
  </si>
  <si>
    <t xml:space="preserve">Which of the 57th GST Council (08.10.2026) recommendations (s.17(5) relaxations, late fee waiver, April 2027 liability/ITC correction mechanism) get notified, and when?</t>
  </si>
  <si>
    <t xml:space="preserve">Day-count convention for s.50 interest (exclude due date, include payment date) – confirm alignment with GST portal interest computation.</t>
  </si>
  <si>
    <t xml:space="preserve">Mapping of specific goods to S.Nos. in 02/2025-Compensation Cess (Rate) – requires the gazette text.</t>
  </si>
  <si>
    <t xml:space="preserve">September 2026 EPF ceiling: apply EPFO FAQ day-wise split (15,000 for 1-16, 25,000 for 17-30) or full-month Rs 25,000 (Argus view)? Default set to EPFO FAQ.</t>
  </si>
  <si>
    <t xml:space="preserve">Was the September 2026 ECR due date (15.10.2026) extended to 31.10.2026? Unverified news headline dated 13.10.2026.</t>
  </si>
  <si>
    <t xml:space="preserve">Regular damages rate under EPF Scheme 2026: is it 1% per month flat or 0.25/0.50/1% slabs (CAM) – or are slabs only for VISHWAS 2026?</t>
  </si>
  <si>
    <t xml:space="preserve">ESI under the Code: are ESI contributions to be computed on Code s.2(88) wages from 21.11.2025 (ESIC letter 04.06.2026) or does s.29 operate only after Chapter IV benefits notification (LKS)? Do ESI Act regulations lapse on 20.11.2026 under s.164(2)(b)?</t>
  </si>
  <si>
    <t xml:space="preserve">Gratuity ceiling under SS Code: has the Rs 20 lakh ceiling been notified under the Code (s.53(3)), and has a fresh Rs 20 lakh / Rs 25 lakh notification been issued under ITA 2025 s.19 Sl. 6 / Sl. 14?</t>
  </si>
  <si>
    <t xml:space="preserve">Treatment of November 2025 payroll that straddles 21.11.2025 (split vs full month under Code wage definition).</t>
  </si>
  <si>
    <t xml:space="preserve">Whether employer EPS contribution counts toward the Rs 7.5 lakh perquisite limit (s.17(2)(vii) / ITA 2025 s.17(1)(h)).</t>
  </si>
  <si>
    <t xml:space="preserve">EPF admin charge rate under SS Code/EPF Scheme 2026: does S.O. 2011(E) (0.50%, min Rs 500/75) continue, or has a fresh notification issued?</t>
  </si>
  <si>
    <t xml:space="preserve">Bonus calculation ceiling: 'minimum wage fixed by Central Government' vs appropriate-government minimum wage for state-sphere employers.</t>
  </si>
  <si>
    <t xml:space="preserve">State Code rules status as of Oct 2026 for West Bengal, Tamil Nadu, Telangana (minimum wages, PT/LWF are state-sphere).</t>
  </si>
  <si>
    <t xml:space="preserve">EPF rounding methodology (nearest rupee vs paise in split month) – no statutory provision located.</t>
  </si>
  <si>
    <t xml:space="preserve">Old Karnataka PT lower slab (&lt; Rs 25,000) and Maharashtra women threshold effective date to be confirmed from official state sites.</t>
  </si>
  <si>
    <t xml:space="preserve">National floor wage – not notified as of May 2026; status as of Oct 2026 not verified.</t>
  </si>
  <si>
    <t xml:space="preserve">4 years 240 days rule for gratuity eligibility under Code s.54 continuous service – CA to set policy.</t>
  </si>
  <si>
    <t xml:space="preserve">MSMED s.16 interest: use the bank rate prevailing on the due date throughout, or variable bank rate month by month? How to treat part-months (compound monthly rests vs daily)?</t>
  </si>
  <si>
    <t xml:space="preserve">Schedule III trade payables 'MSME' row: include medium enterprises or only micro &amp; small (s.22 disclosure covers micro &amp; small)?</t>
  </si>
  <si>
    <t xml:space="preserve">Schedule III ratio variance: explanation for 'more than 25%' or '25% or more' – confirm official wording; and ratio formula definitions (ICAI Guidance Note).</t>
  </si>
  <si>
    <t xml:space="preserve">Rounding: exact boundary at ₹100 crore Total Income and whether 'crores' permissible below ₹100 cr – confirm from official Schedule III text.</t>
  </si>
  <si>
    <t xml:space="preserve">DIR-3 KYC triennial regime: cycle anchor year for directors appointed after 31-03-2026 and applicable late fee under new rules (G.S.R. number not found).</t>
  </si>
  <si>
    <t xml:space="preserve">CARO 3(ii)(b): include non-fund-based limits in the ₹5 crore aggregate? Compare quarterly statements with books before or after year-end audit adjustments?</t>
  </si>
  <si>
    <t xml:space="preserve">Journal-entry loans (book adjustments) for s.269SS/269T – flag as violation or only for review?</t>
  </si>
  <si>
    <t xml:space="preserve">MSME Form 1 (revised 2024): report only overdue invoices or all invoices of a supplier with any overdue invoice in the half year?</t>
  </si>
  <si>
    <t xml:space="preserve">Income-tax Act 2025 section numbers for 40A(3), 40A(2)(b), 269T, 271D/271DA/271E and Form 26 clause numbers equivalent to 3CD cl.21, 22, 23, 26, 31, 44 – need official mapping (ICAI/CBDT).</t>
  </si>
  <si>
    <t xml:space="preserve">Traders registered on Udyam: treat as outside s.43B(h)/s.37(2)(g) as per Government clarification?</t>
  </si>
  <si>
    <t xml:space="preserve">Whether any MCA extension/waiver circular for FY 2025-26 AOC-4/MGT-7 is issued after 13-10-2026 – maintain override table.</t>
  </si>
  <si>
    <t xml:space="preserve">Rule 88C (DRC-01B) and Rule 88D (DRC-01C) thresholds: rules say 'amount and percentage recommended by the Council'; BDO cites Council-recommended Rs 25 lakh and 20% for DRC-01B and Razorpay 'around Rs 25 lakh / 20%' for DRC-01C, but no notification/official advisory states them. Defaults kept as editable risk params.</t>
  </si>
  <si>
    <t xml:space="preserve">Has GSTN activated the hard validations announced in Advisory No. 643 dt 29.12.2025 (ECRRS re-claim and RCM ledger), and from which tax period? Busy (July 2026) says activation date not stated.</t>
  </si>
  <si>
    <t xml:space="preserve">Is GSTR-3B Table 4 ITC hard-locked to GSTR-2B/IMS as of Oct 2026? CompuTax (09.07.2026) could not find an official advisory; RC-GST-014 treats it as not locked.</t>
  </si>
  <si>
    <t xml:space="preserve">B2CL threshold: N.12/2024-CT reduced it to Rs 1 lakh, but the GSTN advisory asked taxpayers to continue Rs 2.5 lakh until portal changes – from which tax period does the portal enforce Rs 1 lakh?</t>
  </si>
  <si>
    <t xml:space="preserve">Rule 37 interest: start date (availment vs utilisation) and section (s.50(1) vs s.50(3)); rate for s.50(3) 18% vs 24% (carried from gst.json).</t>
  </si>
  <si>
    <t xml:space="preserve">Do the 30-day e-invoice reporting limit (AATO &gt;= Rs 10 crore) and its AATO test apply to credit/debit notes, and is AATO measured for preceding FY or any FY?</t>
  </si>
  <si>
    <t xml:space="preserve">For GSTR-9C Table 12, should 12B/12C be derived from GSTR-9 Tables 6A1/8C/13 (implementation approximation used) – CA to confirm.</t>
  </si>
  <si>
    <t xml:space="preserve">Whether payments by set-off/journal entries count as 'payment' to the supplier for Rule 37 (180-day) purposes – firm policy.</t>
  </si>
  <si>
    <t xml:space="preserve">Portal treatment when a supplier's credit note is rejected by the recipient after 01.10.2025 (exact mechanics of adding back to supplier's GSTR-3B) – confirm from GSTN advisory text.</t>
  </si>
  <si>
    <t xml:space="preserve">Default numeric tolerances (Rs 1 per head per document; Rs 10 per summary bucket) are implementation choices – firm policy needed.</t>
  </si>
  <si>
    <t xml:space="preserve">New document codes proposed: RCM_STMT (RCM Liability/ITC Statement), and suggested (not used in doc fields) GSTR6 (ISD return), ICEGATE_BOE (Bill of Entry data), RATE_MASTER (HSN rate table). Confirm before implementation.</t>
  </si>
  <si>
    <t xml:space="preserve">Mapping of GSTR-1 tables into GSTR-3B 3.1/3.1.1 rows (ECO s.9(5) supplies, advances) – confirm against current GSTN auto-population logic.</t>
  </si>
  <si>
    <t xml:space="preserve">57th GST Council (08.10.2026) recommendations (liability/ITC correction mechanism from April 2027, late fee waiver, time-limit alignment) – not law; rules must be updated when notified.</t>
  </si>
  <si>
    <t xml:space="preserve">26AS booking status 'P' (provisional – government deductors): should the tool treat TDS with status P as claimable (default true) or only status F?</t>
  </si>
  <si>
    <t xml:space="preserve">Month counting for s.201(1A)/s.398(3) interest: TRACES calendar-month practice (default) vs 30-day periods – confirm firm policy (RC-TDS-004/005).</t>
  </si>
  <si>
    <t xml:space="preserve">Does a short deduction (as opposed to non-deduction) attract s.40(a)(ia) / s.35 disallowance? Default: flag only, CA decides (RC-TDS-002).</t>
  </si>
  <si>
    <t xml:space="preserve">Rule under Income-tax Rules 2026 corresponding to Rule 37BA (TDS credit timing) – not verified; tool applies Rule 37BA logic for tax year 2026-27 until confirmed (RC-IT-002).</t>
  </si>
  <si>
    <t xml:space="preserve">Form 26 (tax audit report under 2025 Act) clause mapping for cl.21/22/26/34/44 equivalents – not verified; RC-IT-008..012 currently map Form 3CD (FY 2025-26).</t>
  </si>
  <si>
    <t xml:space="preserve">Whether CBDT-extended due date (Circular 07/2026: 21-11-2026) is the 'due date' for s.43B proviso (RC-IT-008) – default yes, CA review.</t>
  </si>
  <si>
    <t xml:space="preserve">s.43B(h): exclude traders (Udyam registered as trading) – default exclude; and MSME status basis (registration on invoice date vs year end).</t>
  </si>
  <si>
    <t xml:space="preserve">EPF damages rate post EPF Scheme 2026 (1% per month flat vs 0.25/0.50/1% slabs) – parameter default 1% per month (RC-PAY-002).</t>
  </si>
  <si>
    <t xml:space="preserve">ESI wage basis after 21-11-2025: Code s.2(88) wages (50% rule) vs ESI Act wages – parameter (RC-PAY-003).</t>
  </si>
  <si>
    <t xml:space="preserve">Holiday roll-over for PF/ESI/TDS due dates (15th / 7th falling on holiday) – no statutory provision verified; default no roll-over.</t>
  </si>
  <si>
    <t xml:space="preserve">CARO 3(ii)(b): include non-fund-based limits in ₹5 crore threshold? Materiality for 'not in agreement' reporting (RC-ACC-007).</t>
  </si>
  <si>
    <t xml:space="preserve">Balance confirmations have no document code; propose new code BAL_CONF in the catalogue (RC-ACC-005) – not added pending approval.</t>
  </si>
  <si>
    <t xml:space="preserve">GST rate on bank charges (18%) taken from secondary source – confirm notification entry (RC-BNK-002).</t>
  </si>
  <si>
    <t xml:space="preserve">Inoperative PAN (not linked with Aadhaar) – treat as 'PAN not furnished' for higher-rate checks (RC-TDS-006)? Not researched.</t>
  </si>
  <si>
    <t xml:space="preserve">Field model</t>
  </si>
  <si>
    <t xml:space="preserve">Low-confidence field mapping GSTR1.b2b_sections → b2b_sections_taxable_value (RC-GST-011): Which sections GSTN expects in the HSN B2B tab (esp. treatment of notes and amendments) is not in the catalogue - confirm against the GSTN HSN advisory before using as a hard check.</t>
  </si>
  <si>
    <t xml:space="preserve">Low-confidence field mapping GSTR1.b2c_sections → b2c_sections_taxable_value (RC-GST-011): Inclusion of exports/cdnur in the HSN B2C tab is not established in the catalogue - confirm with GSTN advisory.</t>
  </si>
  <si>
    <t xml:space="preserve">Low-confidence field mapping GL.period_tos → period_tos (RC-GST-019): Time-of-supply rules for RCM not modelled in catalogue.</t>
  </si>
  <si>
    <t xml:space="preserve">Low-confidence field mapping SALES_REG.time_of_supply → time_of_supply (RC-GST-033): Statutory time-of-supply rules are not modelled in the catalogue.</t>
  </si>
  <si>
    <t xml:space="preserve">Low-confidence field mapping SALES_REG.cess_rate → cess_rate (RC-GST-033): Better captured from item master; add as new field if clients carry it.</t>
  </si>
  <si>
    <t xml:space="preserve">Low-confidence field mapping ECL.tds_credit_h → tds_credit_h (RC-GST-035): Description text for TDS credit rows not catalogued - configure on first real file.</t>
  </si>
  <si>
    <t xml:space="preserve">Low-confidence field mapping GL.pos → pos (RC-GST-039): POS for services can differ from customer state; GL has no POS field.</t>
  </si>
  <si>
    <t xml:space="preserve">Low-confidence field mapping GL.rate → gst_rate (RC-GST-039): Output-GST credited / advance amount excl. tax on the receipt voucher, rounded to the nearest configured GST rate.</t>
  </si>
  <si>
    <t xml:space="preserve">Low-confidence field mapping BANK_STMT.tds_debits → tds_debits (RC-BNK-003): debit on rows whose description matches the configured TDS-on-interest pattern.</t>
  </si>
  <si>
    <t xml:space="preserve">Source citations by rule (one row per citation)</t>
  </si>
  <si>
    <t xml:space="preserve">URLs are those opened or seen in search results during research on 13 Oct 2026.</t>
  </si>
  <si>
    <t xml:space="preserve">Source title</t>
  </si>
  <si>
    <t xml:space="preserve">URL</t>
  </si>
  <si>
    <t xml:space="preserve">Section / rule / notification / para</t>
  </si>
  <si>
    <t xml:space="preserve">Official domain?</t>
  </si>
  <si>
    <t xml:space="preserve">CBDT Press Release - Income-tax Act, 2025 comes into force from 01 April 2026</t>
  </si>
  <si>
    <t xml:space="preserve">Assent 21-08-2025; in force 01-04-2026; Income-tax Rules, 2026 notified 20-03-2026</t>
  </si>
  <si>
    <t xml:space="preserve">Yes</t>
  </si>
  <si>
    <t xml:space="preserve">Income-tax Act, 2025 (Wikipedia)</t>
  </si>
  <si>
    <t xml:space="preserve">https://en.wikipedia.org/wiki/Income-tax_Act,_2025</t>
  </si>
  <si>
    <t xml:space="preserve">Act No. 30 of 2025; 536 sections, 23 chapters, 16 schedules; unified 'tax year' (secondary)</t>
  </si>
  <si>
    <t xml:space="preserve">No</t>
  </si>
  <si>
    <t xml:space="preserve">eztax.in - Compare old/new section codes</t>
  </si>
  <si>
    <t xml:space="preserve">https://eztax.in/income-tax-act-2025/compare-old-new-section-codes</t>
  </si>
  <si>
    <t xml:space="preserve">Mapping table: 44AB-&gt;63, 44AD/44ADA-&gt;58, 87A-&gt;156, 111A-&gt;196, 112A-&gt;198, 115BAC-&gt;202, 139-&gt;263, 234A-&gt;423, 234B-&gt;424, 234C-&gt;425, 234F-&gt;428 (secondary)</t>
  </si>
  <si>
    <t xml:space="preserve">IncorpX - Income Tax Act 2025 vs 1961 section mapping</t>
  </si>
  <si>
    <t xml:space="preserve">https://www.incorpx.io/blog/income-tax-act-2025-vs-1961-section-mapping</t>
  </si>
  <si>
    <t xml:space="preserve">44AD/44ADA -&gt; 58; 139 -&gt; 263; 3 -&gt; 3 (tax year) (secondary)</t>
  </si>
  <si>
    <t xml:space="preserve">CBDT Circular No. 07/2026 dated 28-09-2026</t>
  </si>
  <si>
    <t xml:space="preserve">https://incometaxindia.gov.in/documents/d/guest/circular-7-2026-pdf</t>
  </si>
  <si>
    <t xml:space="preserve">AY 2026-27: audit report to 21-10-2026; ITR (Expl. 2 to s.139(1) sl. no. 2) 31-10-2026 -&gt; 21-11-2026</t>
  </si>
  <si>
    <t xml:space="preserve">ClearTax - Income tax changes from April 2026</t>
  </si>
  <si>
    <t xml:space="preserve">Form 26AS -&gt; Form 168; Form 16 -&gt; 130; STT/TCS/buyback changes (secondary)</t>
  </si>
  <si>
    <t xml:space="preserve">Income-tax Rules, 2026 - Rule 269 (procedure for calculating interest)</t>
  </si>
  <si>
    <t xml:space="preserve">Under s.533(2)(u); part month = full month; amount rounded to Rs 100</t>
  </si>
  <si>
    <t xml:space="preserve">TaxHeal - Section 424 Income Tax Act 2025</t>
  </si>
  <si>
    <t xml:space="preserve">https://www.taxheal.com/section-424-income-tax-act-2025.html</t>
  </si>
  <si>
    <t xml:space="preserve">s.424(1)-(6) summary (secondary)</t>
  </si>
  <si>
    <t xml:space="preserve">Income Tax e-filing portal - Tax rates (Individual, AY 2026-27)</t>
  </si>
  <si>
    <t xml:space="preserve">Slabs, surcharge, 87A, cess for AY 2026-27</t>
  </si>
  <si>
    <t xml:space="preserve">Income-tax Act, 2025 - Section 202 (incometaxindia.gov.in)</t>
  </si>
  <si>
    <t xml:space="preserve">https://www.incometaxindia.gov.in/w/section-202-76</t>
  </si>
  <si>
    <t xml:space="preserve">s.202(1) slab table; s.202(4) option</t>
  </si>
  <si>
    <t xml:space="preserve">LiveLaw - Centre notifies Finance Act, 2026</t>
  </si>
  <si>
    <t xml:space="preserve">https://www.livelawbiz.com/amp/top-stories/union-budget-central-govt-notifies-finance-act-528353</t>
  </si>
  <si>
    <t xml:space="preserve">Assent 30-03-2026; 4% cess</t>
  </si>
  <si>
    <t xml:space="preserve">Income Tax Department - Tax on short-term capital gains</t>
  </si>
  <si>
    <t xml:space="preserve">111A 15% before / 20% on or after 23-07-2024; holding periods 12/24 months</t>
  </si>
  <si>
    <t xml:space="preserve">Income-tax Act, 2025 - Section 156 Rebate (incometaxindia.gov.in)</t>
  </si>
  <si>
    <t xml:space="preserve">s.156(1) Rs 12,500 / Rs 5 lakh; s.156(2)(a)/(b) Rs 60,000 / Rs 12 lakh + marginal relief; s.156(3)</t>
  </si>
  <si>
    <t xml:space="preserve">TaxGuru - Section 87A &amp; Section 156 rebate: why tax may still be payable below Rs 12 lakh</t>
  </si>
  <si>
    <t xml:space="preserve">https://taxguru.in/income-tax/section-87a-section-156-rebate-tax-payable-rs-12-lakh.html</t>
  </si>
  <si>
    <t xml:space="preserve">Special-rate income excluded from rebate; s.112A(6) / s.198(7) (secondary)</t>
  </si>
  <si>
    <t xml:space="preserve">eztax.in - Section 198, Income-tax Act 2025</t>
  </si>
  <si>
    <t xml:space="preserve">LTCG &gt; Rs 1,25,000 at 12.5%; rebate s.156 excluded (secondary)</t>
  </si>
  <si>
    <t xml:space="preserve">Income-tax Act, 2025 - Section 19 Deductions from salaries</t>
  </si>
  <si>
    <t xml:space="preserve">Table Sl. 1 professional tax; Sl. 2 standard deduction 75,000 / 50,000</t>
  </si>
  <si>
    <t xml:space="preserve">Income-tax Act, 2025 - Section 516 Rounding off</t>
  </si>
  <si>
    <t xml:space="preserve">Rounding of total income and amount payable/refundable to nearest Rs 10</t>
  </si>
  <si>
    <t xml:space="preserve">TaxTMI note - Clause 516 (rounding) vs s.288A</t>
  </si>
  <si>
    <t xml:space="preserve">https://www.taxtmi.com/tmi_notes?id=2069</t>
  </si>
  <si>
    <t xml:space="preserve">Clause 516 replaces 288A/288B</t>
  </si>
  <si>
    <t xml:space="preserve">Income-tax Act, 2025 - Section 63 Tax audit</t>
  </si>
  <si>
    <t xml:space="preserve">s.63(1) Table; s.63(2); s.63(5)(a) specified date; s.63(5)(b) non-a/c-payee cheque = cash</t>
  </si>
  <si>
    <t xml:space="preserve">Income Tax Department - Limit on cash transactions</t>
  </si>
  <si>
    <t xml:space="preserve">https://www.incometaxindia.gov.in/w/prohibited-transaction-in-cash/limit-on-cash-transactions%E2%80%8B</t>
  </si>
  <si>
    <t xml:space="preserve">40A(3), 269SS, 269ST, 269SU, 269T and penalties 271D/271DA/271DB/271E (1961 Act)</t>
  </si>
  <si>
    <t xml:space="preserve">Income-tax Act, 2025 - Section 58 Presumptive taxation</t>
  </si>
  <si>
    <t xml:space="preserve">s.58(2) Table Sl. 1/2/3; s.58(7),(8); s.58(11)(a)(i) omitted by Act No. 4 of 2026 w.e.f. 1-4-2026</t>
  </si>
  <si>
    <t xml:space="preserve">Income-tax Act, 2025 - Section 37 Certain deductions allowed on actual payment</t>
  </si>
  <si>
    <t xml:space="preserve">s.37(2)(a)-(g); s.37(3) excludes clause (g)</t>
  </si>
  <si>
    <t xml:space="preserve">TaxGuru - Finance Ministry clarifies s.43B(h) 45-day MSME payment rule</t>
  </si>
  <si>
    <t xml:space="preserve">https://taxguru.in/income-tax/finance-ministry-clarifies-section-43bh-45-day-msme-payment-rule.html</t>
  </si>
  <si>
    <t xml:space="preserve">Rajya Sabha Unstarred Q. 242 dated 21-07-2026; 43B(h) -&gt; s.37(2)(g)</t>
  </si>
  <si>
    <t xml:space="preserve">Income-tax Act, 2025 - Section 36 Expenses or payments not deductible in certain circumstances</t>
  </si>
  <si>
    <t xml:space="preserve">https://www.incometaxindia.gov.in/w/section-36-171</t>
  </si>
  <si>
    <t xml:space="preserve">s.36(2) related party; s.36(4) cash &gt; Rs 10,000; s.36(6) Rs 35,000 goods carriage</t>
  </si>
  <si>
    <t xml:space="preserve">TaxHeal - Cash transaction limits under Income Tax Bill 2025</t>
  </si>
  <si>
    <t xml:space="preserve">https://www.taxheal.com/new-cash-transaction-limits-under-the-income-tax-act-2025.html</t>
  </si>
  <si>
    <t xml:space="preserve">Clauses 36(4), 36(6), 39, 185, 186, 188 (Bill numbering, secondary)</t>
  </si>
  <si>
    <t xml:space="preserve">eztax.in - Section 186, Income-tax Act 2025</t>
  </si>
  <si>
    <t xml:space="preserve">https://eztax.in/income-tax-act-2025/section-186</t>
  </si>
  <si>
    <t xml:space="preserve">Receipt of Rs 2,00,000 or more otherwise than by banking mode (secondary)</t>
  </si>
  <si>
    <t xml:space="preserve">TaxTMI note - Clause 186 of Income Tax Bill 2025 vs s.269ST</t>
  </si>
  <si>
    <t xml:space="preserve">https://www.taxtmi.com/tmi_notes?id=1989</t>
  </si>
  <si>
    <t xml:space="preserve">Bill clause 185 (loans/deposits) and 186 (mode of undertaking transactions)</t>
  </si>
  <si>
    <t xml:space="preserve">eztax.in - Section 188, Income-tax Act 2025</t>
  </si>
  <si>
    <t xml:space="preserve">https://eztax.in/income-tax-act-2025/section-188</t>
  </si>
  <si>
    <t xml:space="preserve">Repayment of loans/deposits Rs 20,000 or more (secondary)</t>
  </si>
  <si>
    <t xml:space="preserve">eztax.in - Section 35, Income-tax Act 2025</t>
  </si>
  <si>
    <t xml:space="preserve">https://eztax.in/income-tax-act-2025/section-35</t>
  </si>
  <si>
    <t xml:space="preserve">Amounts not deductible: 30% for residents where TDS not deducted/paid (secondary)</t>
  </si>
  <si>
    <t xml:space="preserve">Income-tax Act, 2025 - Section 197 Tax on long-term capital gains</t>
  </si>
  <si>
    <t xml:space="preserve">https://www.incometaxindia.gov.in/w/section-197-78</t>
  </si>
  <si>
    <t xml:space="preserve">12.5%; s.197(3) land/building acquired before 23-07-2024</t>
  </si>
  <si>
    <t xml:space="preserve">Ebizfiling - Sections 196 and 198</t>
  </si>
  <si>
    <t xml:space="preserve">https://ebizfiling.com/blog/section-196-and-198-short-term-and-long-term-capital-gains/</t>
  </si>
  <si>
    <t xml:space="preserve">196 = 111A (20%); 198 = 112A (12.5%) (secondary)</t>
  </si>
  <si>
    <t xml:space="preserve">TaxTMI note - Section 2(101) short-term capital asset</t>
  </si>
  <si>
    <t xml:space="preserve">https://www.taxtmi.com/tmi_notes?id=2099</t>
  </si>
  <si>
    <t xml:space="preserve">s.2(101) two-tier holding period (secondary)</t>
  </si>
  <si>
    <t xml:space="preserve">Income-tax Act, 2025 - Section 437 Interest on refunds</t>
  </si>
  <si>
    <t xml:space="preserve">https://www.incometaxindia.gov.in/w/section-437-6</t>
  </si>
  <si>
    <t xml:space="preserve">0.5% per month or part; 10% threshold; exclusions</t>
  </si>
  <si>
    <t xml:space="preserve">TaxTMI note - Clause 437 Interest on refunds vs s.244A</t>
  </si>
  <si>
    <t xml:space="preserve">https://www.taxtmi.com/tmi_notes?id=1949</t>
  </si>
  <si>
    <t xml:space="preserve">Clause 437 replaces 244A</t>
  </si>
  <si>
    <t xml:space="preserve">Income-tax Rules, 1962 - Rule 119A</t>
  </si>
  <si>
    <t xml:space="preserve">https://www.incometaxindia.gov.in/w/rule-119a</t>
  </si>
  <si>
    <t xml:space="preserve">Clauses (a),(b),(c)</t>
  </si>
  <si>
    <t xml:space="preserve">Income-tax Act, 2025 - Section 403 Liability for payment of advance tax</t>
  </si>
  <si>
    <t xml:space="preserve">https://www.incometaxindia.gov.in/w/section-403-5</t>
  </si>
  <si>
    <t xml:space="preserve">s.403(3) resident senior citizen without business income exempt</t>
  </si>
  <si>
    <t xml:space="preserve">Income-tax Act, 2025 - Section 404 Conditions of liability</t>
  </si>
  <si>
    <t xml:space="preserve">https://www.incometaxindia.gov.in/w/section-404-5</t>
  </si>
  <si>
    <t xml:space="preserve">Advance tax payable where tax &gt;= Rs 10,000</t>
  </si>
  <si>
    <t xml:space="preserve">Income-tax Act, 2025 - Section 408 Instalments of advance tax and due dates</t>
  </si>
  <si>
    <t xml:space="preserve">https://www.incometaxindia.gov.in/w/section-408-5</t>
  </si>
  <si>
    <t xml:space="preserve">s.408(1) 15/45/75/100%; s.408(2) presumptive 15 March; s.408(3) 31 March</t>
  </si>
  <si>
    <t xml:space="preserve">Income-tax Act, 1961 - Section 234C</t>
  </si>
  <si>
    <t xml:space="preserve">https://www.incometaxindia.gov.in/w/section-234c-37</t>
  </si>
  <si>
    <t xml:space="preserve">234C(1)(a),(b), provisos, Explanation 1</t>
  </si>
  <si>
    <t xml:space="preserve">Income-tax Act, 2025 - Section 425 Interest for deferment of advance tax</t>
  </si>
  <si>
    <t xml:space="preserve">https://www.incometaxindia.gov.in/w/section-425-5</t>
  </si>
  <si>
    <t xml:space="preserve">s.425(1) table; (2) 12%/36%; (3) presumptive; (4) exceptions; (5) tax due on returned income</t>
  </si>
  <si>
    <t xml:space="preserve">Income-tax Act, 2025 - Section 423 Interest for default in furnishing return</t>
  </si>
  <si>
    <t xml:space="preserve">https://www.incometaxindia.gov.in/w/section-423-5</t>
  </si>
  <si>
    <t xml:space="preserve">I = 1% x A x T</t>
  </si>
  <si>
    <t xml:space="preserve">Income-tax Act, 1961 - Section 234B</t>
  </si>
  <si>
    <t xml:space="preserve">https://www.incometaxindia.gov.in/w/section-234b-37</t>
  </si>
  <si>
    <t xml:space="preserve">234B(1), Explanations 1-3</t>
  </si>
  <si>
    <t xml:space="preserve">Income-tax Act, 2025 - Section 424 Interest for defaults in payment of advance tax</t>
  </si>
  <si>
    <t xml:space="preserve">90% of assessed tax; 1% per month or part</t>
  </si>
  <si>
    <t xml:space="preserve">Income-tax Act, 2025 - Section 428 Fee for default in furnishing return</t>
  </si>
  <si>
    <t xml:space="preserve">https://www.incometaxindia.gov.in/w/section-428-5</t>
  </si>
  <si>
    <t xml:space="preserve">Rs 1,000 (income &lt;= Rs 5 lakh) / Rs 5,000</t>
  </si>
  <si>
    <t xml:space="preserve">Notes on Clauses - Finance Bill 2026</t>
  </si>
  <si>
    <t xml:space="preserve">Cl. 5 (s.139), 6 (s.140B), 12 (s.234-I), 47 (s.202), 57 (s.263), 81-83 (ss.424, 425, 428)</t>
  </si>
  <si>
    <t xml:space="preserve">KS&amp;K newsletter - ITR deadline AY 2026-27 extended to 21 Nov 2026</t>
  </si>
  <si>
    <t xml:space="preserve">https://ksandk.com/newsletter/income-tax-return-filing-deadline-for-ay-2026-27-extended-to-21-november-2026-tax-audit-deadline-revised/</t>
  </si>
  <si>
    <t xml:space="preserve">Secondary summary of Circular 07/2026</t>
  </si>
  <si>
    <t xml:space="preserve">CalcGuru - ITR due dates AY 2026-27: why 31 August applies to ITR-3/ITR-4</t>
  </si>
  <si>
    <t xml:space="preserve">https://calcguru.in/?p=5373</t>
  </si>
  <si>
    <t xml:space="preserve">Explanation 2 to s.139(1) substituted by Finance Act 2026; s.234-I fee (secondary)</t>
  </si>
  <si>
    <t xml:space="preserve">IncorpX - ITR due date 31 August 2026</t>
  </si>
  <si>
    <t xml:space="preserve">https://www.incorpx.io/blog/itr-due-date-extended-august-31-2026</t>
  </si>
  <si>
    <t xml:space="preserve">Secondary; internally inconsistent</t>
  </si>
  <si>
    <t xml:space="preserve">Taxmann - Finance Act 2026 receives assent of the President</t>
  </si>
  <si>
    <t xml:space="preserve">https://www.taxmann.com/post/blog/finance-act-receives-assent-of-the-president/</t>
  </si>
  <si>
    <t xml:space="preserve">Assent 30-03-2026; Act No. 4 of 2026</t>
  </si>
  <si>
    <t xml:space="preserve">Finance Act, 2026 (No. 4 of 2026) – official PDF on incometaxindia.gov.in</t>
  </si>
  <si>
    <t xml:space="preserve">https://www.incometaxindia.gov.in/documents/d/guest/finance-act-2026-pdf-1</t>
  </si>
  <si>
    <t xml:space="preserve">Memorandum explaining provisions of Finance Bill 2026 (indiabudget.gov.in)</t>
  </si>
  <si>
    <t xml:space="preserve">https://www.indiabudget.gov.in/doc/memo.pdf</t>
  </si>
  <si>
    <t xml:space="preserve">Income-tax Act, 2025 - Section 263 Return of income (portal text)</t>
  </si>
  <si>
    <t xml:space="preserve">s.263(1)(c) table; (4) belated; (5) revised; (6) updated 48 months - portal text appears pre-Finance Act 2026</t>
  </si>
  <si>
    <t xml:space="preserve">StudyCafe - Revised ITR rules from FY 2026-27</t>
  </si>
  <si>
    <t xml:space="preserve">https://studycafe.in/revised-itr-rules-from-fy-2026-27-fees-deadlines-and-key-changes-explained-409375.html</t>
  </si>
  <si>
    <t xml:space="preserve">s.263(5), s.428(b) (secondary; written at Bill stage)</t>
  </si>
  <si>
    <t xml:space="preserve">Income-tax Rules, 1962 - Rule 37BA</t>
  </si>
  <si>
    <t xml:space="preserve">https://www.incometaxindia.gov.in/w/rule-37ba</t>
  </si>
  <si>
    <t xml:space="preserve">Credit for TDS for s.199</t>
  </si>
  <si>
    <t xml:space="preserve">TaxTMI note - Clause 390 Income Tax Bill 2025 vs s.199</t>
  </si>
  <si>
    <t xml:space="preserve">https://www.taxtmi.com/tmi_notes?id=1895</t>
  </si>
  <si>
    <t xml:space="preserve">Clause 390(5)-(6) (old Bill numbering)</t>
  </si>
  <si>
    <t xml:space="preserve">ITD portal – ITA 2025 s.428</t>
  </si>
  <si>
    <t xml:space="preserve">CBDT Press Release – Income-tax Act, 2025 comes into force from 1 April 2026</t>
  </si>
  <si>
    <t xml:space="preserve">Income-tax Act, 2025 – Section 393 (incometaxindia.gov.in)</t>
  </si>
  <si>
    <t xml:space="preserve">ClearTax – TDS and TCS changes from April 2026</t>
  </si>
  <si>
    <t xml:space="preserve">https://cleartax.in/s/tds-and-tcs-changes-from-april-2026</t>
  </si>
  <si>
    <t xml:space="preserve">Income-tax Act, 2025 – Section 392 (incometaxindia.gov.in)</t>
  </si>
  <si>
    <t xml:space="preserve">https://www.incometaxindia.gov.in/w/section-392-6</t>
  </si>
  <si>
    <t xml:space="preserve">Income-tax Act, 2025 – Section 394 (incometaxindia.gov.in)</t>
  </si>
  <si>
    <t xml:space="preserve">Income-tax Act, 2025 – Section 395 (incometaxindia.gov.in)</t>
  </si>
  <si>
    <t xml:space="preserve">https://www.incometaxindia.gov.in/w/section-395-6</t>
  </si>
  <si>
    <t xml:space="preserve">Income-tax Act, 2025 – Section 397 (incometaxindia.gov.in)</t>
  </si>
  <si>
    <t xml:space="preserve">Income-tax Act, 2025 – Section 398 (incometaxindia.gov.in)</t>
  </si>
  <si>
    <t xml:space="preserve">Income-tax Act, 2025 – Section 427 (incometaxindia.gov.in)</t>
  </si>
  <si>
    <t xml:space="preserve">https://www.incometaxindia.gov.in/w/section-427-6</t>
  </si>
  <si>
    <t xml:space="preserve">Income-tax Act, 2025 – Section 461 (incometaxindia.gov.in)</t>
  </si>
  <si>
    <t xml:space="preserve">Income-tax Rules, 2026 – Rule 218 (incometaxindia.gov.in)</t>
  </si>
  <si>
    <t xml:space="preserve">https://www.incometaxindia.gov.in/w/rule-218-1</t>
  </si>
  <si>
    <t xml:space="preserve">Income-tax Rules, 2026 – Rule 219 (incometaxindia.gov.in)</t>
  </si>
  <si>
    <t xml:space="preserve">CBDT FAQs – Form No. 130 (erstwhile Form 16)</t>
  </si>
  <si>
    <t xml:space="preserve">https://www.incometaxindia.gov.in/documents/d/guest/form-130-faqs</t>
  </si>
  <si>
    <t xml:space="preserve">CBDT FAQs – Form No. 128 (erstwhile Form 13)</t>
  </si>
  <si>
    <t xml:space="preserve">https://www.incometaxindia.gov.in/documents/d/guest/form-128-faqs</t>
  </si>
  <si>
    <t xml:space="preserve">CBDT FAQs – Form No. 121 (erstwhile Forms 15G/15H)</t>
  </si>
  <si>
    <t xml:space="preserve">https://www.incometaxindia.gov.in/documents/d/guest/form-121-faqs</t>
  </si>
  <si>
    <t xml:space="preserve">TaxGuru – Q1 Tax Year 2026-27 TDS/TCS return forms and due dates</t>
  </si>
  <si>
    <t xml:space="preserve">CA Surekha Ahuja – TDS rewritten: 1961 vs 2025 Act</t>
  </si>
  <si>
    <t xml:space="preserve">https://www.casahuja.com/2026/04/tds-rewritten-income-tax-act-1961-vs.html</t>
  </si>
  <si>
    <t xml:space="preserve">CalcGuru – Section mapping 1961 to 2025</t>
  </si>
  <si>
    <t xml:space="preserve">https://calcguru.in/?p=5458</t>
  </si>
  <si>
    <t xml:space="preserve">India Briefing – Section 393 of Income-tax Act 2025</t>
  </si>
  <si>
    <t xml:space="preserve">https://india-briefing.com/news/section-393-income-tax-act-2025-tds-rules-rates-compliance-guide-44450.html/</t>
  </si>
  <si>
    <t xml:space="preserve">India Briefing – TDS rates FY 2025-26</t>
  </si>
  <si>
    <t xml:space="preserve">https://www.india-briefing.com/news/a-guide-to-indias-tds-rates-for-fy-2025-26-36999.html/</t>
  </si>
  <si>
    <t xml:space="preserve">RSM India Newsflash – Changes in TDS/TCS w.e.f. 1 April 2025</t>
  </si>
  <si>
    <t xml:space="preserve">TDSMAN – TDS/TCS changes w.e.f. 1 April 2025</t>
  </si>
  <si>
    <t xml:space="preserve">https://blog.tdsman.com/2025/03/tds-tcs-changes-w-e-f-1st-april-2025/</t>
  </si>
  <si>
    <t xml:space="preserve">TDSMAN – Key TDS/TCS proposed changes Budget 2026-27</t>
  </si>
  <si>
    <t xml:space="preserve">https://blog.tdsman.com/2026/02/key-tds-tcs-proposed-changes-in-budget-2026-27/</t>
  </si>
  <si>
    <t xml:space="preserve">TaxGuru – CBDT Circular 23/2017: no TDS on GST component</t>
  </si>
  <si>
    <t xml:space="preserve">https://taxguru.in/income-tax/tds-deductible-gst-component-cbdt.html</t>
  </si>
  <si>
    <t xml:space="preserve">Income Tax Department – TDS Rates chart (AY 2026-27, as amended by Finance Act 2026)</t>
  </si>
  <si>
    <t xml:space="preserve">TDSMAN – TDS on insurance commission s.393(1) (194D)</t>
  </si>
  <si>
    <t xml:space="preserve">https://blog.tdsman.com/2026/04/tds-on-insurance-commission-or-brokerage-section-3931-section-194d/</t>
  </si>
  <si>
    <t xml:space="preserve">ClearTax – Section 194D/194DA</t>
  </si>
  <si>
    <t xml:space="preserve">https://cleartax.in/s/section-194d-194da-income-tax</t>
  </si>
  <si>
    <t xml:space="preserve">Memorandum explaining provisions of Finance (No.2) Bill 2024 (indiabudget.gov.in)</t>
  </si>
  <si>
    <t xml:space="preserve">https://www.indiabudget.gov.in/budget2024-25/doc/memo.pdf</t>
  </si>
  <si>
    <t xml:space="preserve">Memorandum explaining provisions of Finance Bill 2025 (indiabudget.gov.in)</t>
  </si>
  <si>
    <t xml:space="preserve">https://www.indiabudget.gov.in/budget2025-26/doc/memo.pdf</t>
  </si>
  <si>
    <t xml:space="preserve">TDSMAN – Reduction of TDS rates w.e.f. 1 Oct 2024</t>
  </si>
  <si>
    <t xml:space="preserve">Income-tax Act, 1961 – Section 194-IA (incometaxindia.gov.in)</t>
  </si>
  <si>
    <t xml:space="preserve">https://www.incometaxindia.gov.in/w/section-194ia-10</t>
  </si>
  <si>
    <t xml:space="preserve">Income Tax Dept tutorial – Section 194N</t>
  </si>
  <si>
    <t xml:space="preserve">https://incometaxindia.gov.in/Tutorials/52.Section-194N.pdf</t>
  </si>
  <si>
    <t xml:space="preserve">TaxHeal – TDS on cash withdrawal under new Rules 2026</t>
  </si>
  <si>
    <t xml:space="preserve">https://www.taxheal.com/?p=128626</t>
  </si>
  <si>
    <t xml:space="preserve">CBDT FAQs on higher rate of TDS under section 397</t>
  </si>
  <si>
    <t xml:space="preserve">https://www.incometaxindia.gov.in/documents/d/guest/faqs-on-higher-rate-of-tds-under-section-397</t>
  </si>
  <si>
    <t xml:space="preserve">Income Tax Dept – Higher deduction of TDS in certain cases (s.206AA and s.206AB)</t>
  </si>
  <si>
    <t xml:space="preserve">TDSMAN – Higher rate for non-furnishing of PAN s.397(2)</t>
  </si>
  <si>
    <t xml:space="preserve">https://blog.tdsman.com/2026/05/higher-rate-of-tds-for-non-furnishing-of-pan-section-3972-206aa-206cc/</t>
  </si>
  <si>
    <t xml:space="preserve">TaxHeal – Removal of higher TDS/TCS for non-filers (Finance Bill 2025)</t>
  </si>
  <si>
    <t xml:space="preserve">https://www.taxheal.com/?p=98720</t>
  </si>
  <si>
    <t xml:space="preserve">TaxHeal – Due dates for deposit of TDS AY 2026-27</t>
  </si>
  <si>
    <t xml:space="preserve">https://www.taxheal.com/?p=129187</t>
  </si>
  <si>
    <t xml:space="preserve">Income-tax Act, 1961 – Section 201 (incometaxindia.gov.in)</t>
  </si>
  <si>
    <t xml:space="preserve">https://www.incometaxindia.gov.in/w/section-201-60</t>
  </si>
  <si>
    <t xml:space="preserve">TDSMAN – Interest calculation for delayed payment of TDS</t>
  </si>
  <si>
    <t xml:space="preserve">https://blog.tdsman.com/2015/04/interest-calculation-delayed-payment-tds/</t>
  </si>
  <si>
    <t xml:space="preserve">TDSMAN – Section 398 consequences of TDS defaults</t>
  </si>
  <si>
    <t xml:space="preserve">https://blog.tdsman.com/2026/07/section-398-of-the-income-tax-act-2025-consequences-of-tds-defaults/</t>
  </si>
  <si>
    <t xml:space="preserve">TaxHeal – TCS rates FY 2026-27 (pre-Finance Act 2026 table)</t>
  </si>
  <si>
    <t xml:space="preserve">https://www.taxheal.com/?p=120775</t>
  </si>
  <si>
    <t xml:space="preserve">TaxHeal – Late fee under section 427</t>
  </si>
  <si>
    <t xml:space="preserve">https://www.taxheal.com/?p=122445</t>
  </si>
  <si>
    <t xml:space="preserve">Income-tax Act, 1961 – Section 271H (incometaxindia.gov.in)</t>
  </si>
  <si>
    <t xml:space="preserve">https://www.incometaxindia.gov.in/w/section-271h-1</t>
  </si>
  <si>
    <t xml:space="preserve">TDSMAN – Section 461 penalty for not filing TDS/TCS returns</t>
  </si>
  <si>
    <t xml:space="preserve">https://blog.tdsman.com/2026/02/section-271h-penalty-on-taxpayers-for-not-filing-tds-or-tcs-returns/</t>
  </si>
  <si>
    <t xml:space="preserve">TaxGuru – Form 131 TDS certificate u/s 395(4)</t>
  </si>
  <si>
    <t xml:space="preserve">https://taxguru.in/income-tax/income-tax-form-131-tds-certificate-u-s-395-4-non-salary-pension-senior-citizen-interest.html</t>
  </si>
  <si>
    <t xml:space="preserve">Income-tax Act, 1961 – Section 288B (incometaxindia.gov.in)</t>
  </si>
  <si>
    <t xml:space="preserve">https://www.incometaxindia.gov.in/w/section-288b-59</t>
  </si>
  <si>
    <t xml:space="preserve">Income-tax Act, 1961 – Section 206C (incometaxindia.gov.in)</t>
  </si>
  <si>
    <t xml:space="preserve">https://www.incometaxindia.gov.in/w/section-206c-37</t>
  </si>
  <si>
    <t xml:space="preserve">BDO India – CBDT notifies luxury goods for TCS u/s 206C(1F)</t>
  </si>
  <si>
    <t xml:space="preserve">https://www.bdo.in/en-gb/insights/alerts-updates/direct-tax-alert-cbdt-notifies-luxury-goods-for-levy-of-tcs-under-section-206c(1f)-of-the-it-act</t>
  </si>
  <si>
    <t xml:space="preserve">python-stdnum gstin.py (Luhn mod 36 check digit)</t>
  </si>
  <si>
    <t xml:space="preserve">https://arthurdejong.org/git/python-stdnum/plain/stdnum/in_/gstin.py</t>
  </si>
  <si>
    <t xml:space="preserve">Code inspected from PyPI package python-stdnum 2.2</t>
  </si>
  <si>
    <t xml:space="preserve">GSTIN format explained (AI Accountant)</t>
  </si>
  <si>
    <t xml:space="preserve">https://www.aiaccountant.com/blog/gstin-format</t>
  </si>
  <si>
    <t xml:space="preserve">structure positions 1-15</t>
  </si>
  <si>
    <t xml:space="preserve">Special category states GST registration (VJM Global)</t>
  </si>
  <si>
    <t xml:space="preserve">https://www.vjmglobal.com/feeds/blog/special-category-states-gst-registration</t>
  </si>
  <si>
    <t xml:space="preserve">secondary; partial</t>
  </si>
  <si>
    <t xml:space="preserve">CBIC – CGST s.22</t>
  </si>
  <si>
    <t xml:space="preserve">https://taxinformation.cbic.gov.in/content/html/tax_repository/gst/acts/2017_CGST_act/active/chapter6/section22_v1.00.html</t>
  </si>
  <si>
    <t xml:space="preserve">Circular 170/02/2022-GST (gstcouncil.gov.in)</t>
  </si>
  <si>
    <t xml:space="preserve">https://www.gstcouncil.gov.in/sites/default/files/2024-06/cir-170-02-2022-cgst.pdf</t>
  </si>
  <si>
    <t xml:space="preserve">GSTR-3B Table 4 &amp; 3.2 reporting</t>
  </si>
  <si>
    <t xml:space="preserve">GST Amendments proposed through Finance Bill, 2026 (ICAI CA Journal)</t>
  </si>
  <si>
    <t xml:space="preserve">https://cajournal.icai.org/article-details/gst-amendments-proposed-through-the-finance-bill-2026</t>
  </si>
  <si>
    <t xml:space="preserve">Clauses 137-141</t>
  </si>
  <si>
    <t xml:space="preserve">31.03.2026: Finance Act, 2026 enacted on 30.03.2026 (TaxO)</t>
  </si>
  <si>
    <t xml:space="preserve">commencement status</t>
  </si>
  <si>
    <t xml:space="preserve">09.01.2025 Advisory – Phase III HSN in GSTR-1/1A (TaxO)</t>
  </si>
  <si>
    <t xml:space="preserve">https://taxo.online/latest-news/09-01-2025-advisory-issued-relating-implementation-of-phase-iii-for-mentioning-of-hsn-codes-in-gstr-1-gstr-1a/</t>
  </si>
  <si>
    <t xml:space="preserve">Table 12 B2B/B2C split; dropdown</t>
  </si>
  <si>
    <t xml:space="preserve">HSN code mandatory for B2C – turnover threshold (TaxHeal)</t>
  </si>
  <si>
    <t xml:space="preserve">https://www.taxheal.com/?p=97083</t>
  </si>
  <si>
    <t xml:space="preserve">4/6 digit rule</t>
  </si>
  <si>
    <t xml:space="preserve">Notification 78/2020-Central Tax dt 15.10.2020 (IRIS GST)</t>
  </si>
  <si>
    <t xml:space="preserve">https://irisgst.com/for-taxpayer-with-turnover-upto-rs-5-cr-mention-4-digit-hsn-code-and-for-turnover-above-rs-5-cr-mention-6-digit-hsn-code/</t>
  </si>
  <si>
    <t xml:space="preserve">seen in search results</t>
  </si>
  <si>
    <t xml:space="preserve">Notification No. 9/2025-Integrated Tax (Rate) dt 17.09.2025 (TaxHeal reproduction)</t>
  </si>
  <si>
    <t xml:space="preserve">Sch I 5%, II 18%, III 40%, IV 3%, V 0.25%, VI 1.5%, VII 28%; supersedes 1/2017-IT(Rate)</t>
  </si>
  <si>
    <t xml:space="preserve">Notification No. 9/2025-Central Tax (Rate) – new CGST rates from 22.09.2025 (TaxHeal)</t>
  </si>
  <si>
    <t xml:space="preserve">https://www.taxheal.com/?p=104997</t>
  </si>
  <si>
    <t xml:space="preserve">9/2025-CT(Rate)</t>
  </si>
  <si>
    <t xml:space="preserve">17.09.2025: CBIC issued notifications for 56th Council goods rates (TaxO)</t>
  </si>
  <si>
    <t xml:space="preserve">https://taxo.online/latest-news/17-09-2025-cbic-issued-various-notifications-to-give-effect-to-the-recommendations-of-the-56th-council-meeting-in-respect-to-rate-on-goods/</t>
  </si>
  <si>
    <t xml:space="preserve">9/2025-CT(Rate) effective 22.09.2025</t>
  </si>
  <si>
    <t xml:space="preserve">PIB press release – recommendations of 56th GST Council (hosted on gstcouncil.gov.in)</t>
  </si>
  <si>
    <t xml:space="preserve">https://gstcouncil.gov.in/sites/default/files/2025-09/press_release_press_information_bureau.pdf</t>
  </si>
  <si>
    <t xml:space="preserve">2-rate structure 5%/18% + 40%; effective 22.09.2025; tobacco deferred</t>
  </si>
  <si>
    <t xml:space="preserve">GST Council FAQs on 56th Council rate changes</t>
  </si>
  <si>
    <t xml:space="preserve">FAQ 1, 4-10, 60-62, 71</t>
  </si>
  <si>
    <t xml:space="preserve">PIB FAQ document on GST rate changes w.e.f. 22.09.2025</t>
  </si>
  <si>
    <t xml:space="preserve">https://static.pib.gov.in/WriteReadData/specificdocs/documents/2025/sep/doc2025921642801.pdf</t>
  </si>
  <si>
    <t xml:space="preserve">Q10-Q20</t>
  </si>
  <si>
    <t xml:space="preserve">West Bengal CTD – GST Updates Dec 2025</t>
  </si>
  <si>
    <t xml:space="preserve">19/2025-CT(Rate), 03/2025-CC(Rate), 19/2025-CT, 20/2025-CT dt 31.12.2025, effective 01.02.2026</t>
  </si>
  <si>
    <t xml:space="preserve">Notification 15/2025-Central Tax (Rate) – services rates amended w.e.f. 22.09.2025 (TaxHeal)</t>
  </si>
  <si>
    <t xml:space="preserve">https://www.taxheal.com/?p=105314</t>
  </si>
  <si>
    <t xml:space="preserve">amends 11/2017-CT(Rate); G.S.R. 663(E)</t>
  </si>
  <si>
    <t xml:space="preserve">ITC treatment under GST rate rationalisation (India Briefing)</t>
  </si>
  <si>
    <t xml:space="preserve">https://www.india-briefing.com/news/gst-itc-rules-2025-rate-rationalization-guide-39988.html</t>
  </si>
  <si>
    <t xml:space="preserve">hotel 5% w/o ITC; multimodal</t>
  </si>
  <si>
    <t xml:space="preserve">GST 2.0 Notifications in Action (GSTZen)</t>
  </si>
  <si>
    <t xml:space="preserve">https://gstzen.in/a/gst-2-0-notifications-in-action-key-updates-on-rates-refunds-compliance.html</t>
  </si>
  <si>
    <t xml:space="preserve">List of 17.09.2025 notifications (contains numbering inconsistencies)</t>
  </si>
  <si>
    <t xml:space="preserve">CBIC – N.9/2025-IT(Rate)</t>
  </si>
  <si>
    <t xml:space="preserve">https://courier.cbic.gov.in/ECCS/advisory/2025/NOTIFICATION%20NO.%209_2025-INTEGRATED%20TAX%20(RATE)%20-1759486719.pdf</t>
  </si>
  <si>
    <t xml:space="preserve">PIB – 56th GST Council recommendations</t>
  </si>
  <si>
    <t xml:space="preserve">https://www.pib.gov.in/PressReleasePage.aspx?PRID=2163555&amp;reg=48&amp;lang=2</t>
  </si>
  <si>
    <t xml:space="preserve">GST Council newsletter April 2026</t>
  </si>
  <si>
    <t xml:space="preserve">https://gstcouncil.gov.in/sites/default/files/2026-05/newsletter_april_issue.pdf</t>
  </si>
  <si>
    <t xml:space="preserve">N.01/2026-CT(Rate)</t>
  </si>
  <si>
    <t xml:space="preserve">Notification 02/2025-Compensation Cess (Rate) dt 17.09.2025 (CAclubindia)</t>
  </si>
  <si>
    <t xml:space="preserve">Nil cess on S.No. 2,3,4,4A,4B,39-42,47,48,50-55 of 1/2017-CC(Rate) from 22.09.2025</t>
  </si>
  <si>
    <t xml:space="preserve">Zero Compensation Cess on pan masala &amp; tobacco (TaxHeal)</t>
  </si>
  <si>
    <t xml:space="preserve">https://www.taxheal.com/zero-compensation-cess-major-shift-for-pan-masala-tobacco.html</t>
  </si>
  <si>
    <t xml:space="preserve">03/2025-CC(Rate) dt 31.12.2025, w.e.f. 01.02.2026</t>
  </si>
  <si>
    <t xml:space="preserve">GST return filing changes from July 2025 – GSTR-3B hard lock, 3-year bar (ClearTax)</t>
  </si>
  <si>
    <t xml:space="preserve">GSTN advisories 07.06.2025, 18.06.2025, 29.10.2025</t>
  </si>
  <si>
    <t xml:space="preserve">GSTN warns pending GST returns cannot be filed after 3 years (Taxmann)</t>
  </si>
  <si>
    <t xml:space="preserve">https://www.taxmann.com/post/blog/gstn-warns-pending-gst-returns-cannot-be-filed-after-3-years</t>
  </si>
  <si>
    <t xml:space="preserve">N.28/2023-CT; advisory 25.09.2025</t>
  </si>
  <si>
    <t xml:space="preserve">Hard-locking GSTR-3B: a new compliance milestone (LKS)</t>
  </si>
  <si>
    <t xml:space="preserve">https://www.lkslaw.com/insights/articles/hard-locking-gstr-3b-a-new-compliance-milestone-and-its-pitfalls</t>
  </si>
  <si>
    <t xml:space="preserve">GSTN issues 4 advisories December 2025 (TaxGuru)</t>
  </si>
  <si>
    <t xml:space="preserve">Advisories 05.12.2025, 18.12.2025, 29.12.2025</t>
  </si>
  <si>
    <t xml:space="preserve">GST amendments of Finance Act 2025 effective 1 Oct 2025 notified (TaxGuru)</t>
  </si>
  <si>
    <t xml:space="preserve">Notification 16/2025-CT, S.O. 4206(E)</t>
  </si>
  <si>
    <t xml:space="preserve">57th GST Council Meeting 2026: key decisions (Startup Movers)</t>
  </si>
  <si>
    <t xml:space="preserve">https://www.startup-movers.com/57th-gst-council-meeting-2026-key-decisions</t>
  </si>
  <si>
    <t xml:space="preserve">recommendations only</t>
  </si>
  <si>
    <t xml:space="preserve">GSTN FAQ – Form GSTR-3B</t>
  </si>
  <si>
    <t xml:space="preserve">https://tutorial.gst.gov.in/userguide/returns/GSTR3B.htm</t>
  </si>
  <si>
    <t xml:space="preserve">Time limit of 30 days for reporting e-invoice for AATO &gt;= Rs 10 crore (Taxmann)</t>
  </si>
  <si>
    <t xml:space="preserve">GSTN Advisory – Time limit for reporting e-invoice; lowering of threshold to AATO 10 crores (MahaGST copy)</t>
  </si>
  <si>
    <t xml:space="preserve">https://www.mahagst.gov.in/public/uploads/gstnadvisory/1760531580_293 Advisory Time Limit for Reporting e Invoice on the IRP Portal  Lowering of Threshold to AATO 10 Crores and Above.pdf</t>
  </si>
  <si>
    <t xml:space="preserve">seen in search results; fetch blocked</t>
  </si>
  <si>
    <t xml:space="preserve">EY – CBIC lowers e-invoicing threshold to INR 5 crore w.e.f. 1 August 2023</t>
  </si>
  <si>
    <t xml:space="preserve">https://www.ey.com/en_in/alerts-hub/2023/05/cbic-lowers-turnover-threshold-for-e-invoicing-to-inr5-crores-with-effect-from-1-august-2023</t>
  </si>
  <si>
    <t xml:space="preserve">Notification 10/2023-CT; seen in search results</t>
  </si>
  <si>
    <t xml:space="preserve">New time limit for e-way bill generation and extension (ClearTax)</t>
  </si>
  <si>
    <t xml:space="preserve">https://cleartax.in/s/time-limit-for-e-way-bill-generation</t>
  </si>
  <si>
    <t xml:space="preserve">180-day document; 360-day extension; Rs 50,000</t>
  </si>
  <si>
    <t xml:space="preserve">Claim ITC as per GSTR-2B mandatory w.e.f. 01.01.2022 (TaxGuru)</t>
  </si>
  <si>
    <t xml:space="preserve">https://taxguru.in/goods-and-service-tax/claim-itc-gstr-2b-mandatory-w-e-f-01-01-2022.html</t>
  </si>
  <si>
    <t xml:space="preserve">N.39/2021-CT, N.40/2021-CT</t>
  </si>
  <si>
    <t xml:space="preserve">FAQs on Invoice Management System (ClearTax)</t>
  </si>
  <si>
    <t xml:space="preserve">IMS from 01.10.2024; advisory 23.09.2025 on pending credit notes</t>
  </si>
  <si>
    <t xml:space="preserve">CBIC – CGST s.16</t>
  </si>
  <si>
    <t xml:space="preserve">https://taxinformation.cbic.gov.in/content/html/tax_repository/gst/acts/2017_CGST_act/active/chapter5/section16_v1.00.html</t>
  </si>
  <si>
    <t xml:space="preserve">GST ITC locking in GSTR-3B: what's changing (CompuTax, July 2026)</t>
  </si>
  <si>
    <t xml:space="preserve">https://www.computaxonline.com/blog/post/2026/07/09/gst-itc-auto-restriction-gstr-2b-gstr-3b-hard-locking</t>
  </si>
  <si>
    <t xml:space="preserve">Table 4 locking not officially confirmed</t>
  </si>
  <si>
    <t xml:space="preserve">EY – Government notifies effective date for GST amendments of Finance Act 2024</t>
  </si>
  <si>
    <t xml:space="preserve">https://ey.com/content/dam/ey-unified-site/ey-com/en-in/alerts-hub/government-notifies-effective-date-for-amendments-made-in-gst-law-vide-finance-act-2024.pdf</t>
  </si>
  <si>
    <t xml:space="preserve">s.16(5), 16(6), 74A, 128A; Notifications 17/2024, 18/2024, 19/2024-CT</t>
  </si>
  <si>
    <t xml:space="preserve">Rule 37 CGST Rules (Chhattisgarh GST copy)</t>
  </si>
  <si>
    <t xml:space="preserve">https://www.cggst.com/uploads/document/1755064447-rule-37.pdf</t>
  </si>
  <si>
    <t xml:space="preserve">Rule 37(1),(2),(4); 37(3) omitted by N.19/2022-CT</t>
  </si>
  <si>
    <t xml:space="preserve">Rule 37 – CBIC tax information portal</t>
  </si>
  <si>
    <t xml:space="preserve">https://taxinformation.cbic.gov.in/content/html/tax_repository/gst/rules/cgst_rules/active/chapter5/rule37_v1.00.html</t>
  </si>
  <si>
    <t xml:space="preserve">Rule 88B CGST Rules (Chhattisgarh GST copy)</t>
  </si>
  <si>
    <t xml:space="preserve">https://www.cggst.com/uploads/document/1754119329-rule-88b.pdf</t>
  </si>
  <si>
    <t xml:space="preserve">Rule 88B(1)-(3) &amp; Explanation</t>
  </si>
  <si>
    <t xml:space="preserve">CBIC – CGST Act s.16</t>
  </si>
  <si>
    <t xml:space="preserve">second proviso to s.16(2)</t>
  </si>
  <si>
    <t xml:space="preserve">Rule 37A CGST Rules (Chhattisgarh GST copy)</t>
  </si>
  <si>
    <t xml:space="preserve">https://www.cggst.com/uploads/document/1753958879-rule-37a-1.pdf</t>
  </si>
  <si>
    <t xml:space="preserve">inserted by N.26/2022-CT</t>
  </si>
  <si>
    <t xml:space="preserve">GST Council – 48th GST Council knowledge document</t>
  </si>
  <si>
    <t xml:space="preserve">https://www.gstcouncil.gov.in/sites/default/files/gst-knowledge/48-GST-Council.pdf</t>
  </si>
  <si>
    <t xml:space="preserve">GST Council – 26/2022-Central Tax dt 26-12-2022</t>
  </si>
  <si>
    <t xml:space="preserve">https://www.gstcouncil.gov.in/node/4354</t>
  </si>
  <si>
    <t xml:space="preserve">CBIC – CGST Rule 37A</t>
  </si>
  <si>
    <t xml:space="preserve">https://taxinformation.cbic.gov.in/content/html/tax_repository/gst/rules/cgst_rules/active/chapter5/rule37a_v1.00.html</t>
  </si>
  <si>
    <t xml:space="preserve">fn 1: N.12/2024-CT</t>
  </si>
  <si>
    <t xml:space="preserve">Electronic Credit Reversal and Reclaimed Statement (GSTHero)</t>
  </si>
  <si>
    <t xml:space="preserve">https://gsthero.com/blog/electronic-credit-reversal-and-reclaimed-statement/</t>
  </si>
  <si>
    <t xml:space="preserve">from Aug 2023 return period</t>
  </si>
  <si>
    <t xml:space="preserve">Rule 42 CGST Rules (Chhattisgarh GST copy)</t>
  </si>
  <si>
    <t xml:space="preserve">https://www.cggst.com/uploads/document/1755064648-rule-42.pdf</t>
  </si>
  <si>
    <t xml:space="preserve">Rule 42(1)-(2)</t>
  </si>
  <si>
    <t xml:space="preserve">CBIC – CGST Rule 42</t>
  </si>
  <si>
    <t xml:space="preserve">https://taxinformation.cbic.gov.in/content/html/tax_repository/gst/rules/cgst_rules/active/chapter5/rule42_v1.00.html</t>
  </si>
  <si>
    <t xml:space="preserve">CBIC – CGST Rule 43</t>
  </si>
  <si>
    <t xml:space="preserve">https://taxinformation.cbic.gov.in/content/html/tax_repository/gst/rules/cgst_rules/active/chapter5/rule43_v1.00.html</t>
  </si>
  <si>
    <t xml:space="preserve">RCM on services – Notification 13/2017-CT(Rate) consolidated (TaxRoutine)</t>
  </si>
  <si>
    <t xml:space="preserve">https://taxroutine.com/repository/gst-notifications/rcm-services/</t>
  </si>
  <si>
    <t xml:space="preserve">amendments 9/2024-CT(R), 7/2025-CT(R)</t>
  </si>
  <si>
    <t xml:space="preserve">RCM on rent of commercial property (ClearTax)</t>
  </si>
  <si>
    <t xml:space="preserve">https://cleartax.in/s/rcm-on-rent-of-commercial-property-under-gst</t>
  </si>
  <si>
    <t xml:space="preserve">from 10.10.2024; composition excluded 16.01.2025</t>
  </si>
  <si>
    <t xml:space="preserve">Rule 88B – CBIC tax information portal</t>
  </si>
  <si>
    <t xml:space="preserve">https://taxinformation.cbic.gov.in/content/html/tax_repository/gst/rules/cgst_rules/active/chapter9/rule88b_v1.00.html</t>
  </si>
  <si>
    <t xml:space="preserve">Analysis of notifications of 05.07.2022 (TaxGuru)</t>
  </si>
  <si>
    <t xml:space="preserve">https://taxguru.in/goods-and-service-tax/analysis-gst-notifications-issued-cbic-05th-july-2022.html</t>
  </si>
  <si>
    <t xml:space="preserve">14/2022-CT inserted Rule 88B</t>
  </si>
  <si>
    <t xml:space="preserve">Interest on wrongly availed ITC under s.50(3) (Masters India)</t>
  </si>
  <si>
    <t xml:space="preserve">https://www.mastersindia.co/blog/interest-on-wrongly-availed-itc-under-section-503-gst/</t>
  </si>
  <si>
    <t xml:space="preserve">Notification 9/2022-CT; retrospective 01.07.2017</t>
  </si>
  <si>
    <t xml:space="preserve">CBIC notifies retrospective amendment to s.50(3) (Taxmann)</t>
  </si>
  <si>
    <t xml:space="preserve">https://www.taxmann.com/post/blog/cbic-notifies-retrospective-amendment-to-section-503-of-the-cgst-act/</t>
  </si>
  <si>
    <t xml:space="preserve">Notification 9/2022-CT dt 05.07.2022</t>
  </si>
  <si>
    <t xml:space="preserve">TaxTMI forum – rate of interest u/s 50(3)</t>
  </si>
  <si>
    <t xml:space="preserve">Finance Act 2022 s.116 &amp; Sixth Schedule substitute 18 for 24 in N.13/2017-CT Sl.2</t>
  </si>
  <si>
    <t xml:space="preserve">CGST interest rates notified – Notification 13/2017 (Teachoo)</t>
  </si>
  <si>
    <t xml:space="preserve">https://www.teachoo.com/6596/2144/CGST-Interest-Rates-Notified-(Notifications-13-2017)/category/Latest-GST-Notification/</t>
  </si>
  <si>
    <t xml:space="preserve">original rates 18%/24%/6%/9%</t>
  </si>
  <si>
    <t xml:space="preserve">CBIC tax information – CGST Act s.50</t>
  </si>
  <si>
    <t xml:space="preserve">https://taxinformation.cbic.gov.in/content/html/tax_repository/gst/acts/2017_CGST_act/active/chapter10/section50_v1.00.html</t>
  </si>
  <si>
    <t xml:space="preserve">fn 2: s.50(3) substituted w.e.f. 1-7-2017 by s.111 FA 2022</t>
  </si>
  <si>
    <t xml:space="preserve">Finance Act 2022 – Sixth Schedule (reproduction, taxmanagementindia)</t>
  </si>
  <si>
    <t xml:space="preserve">https://www.taxmanagementindia.com/visitor/detail_act.asp?ID=40754</t>
  </si>
  <si>
    <t xml:space="preserve">G.S.R. 661(E) Table Sl.2 col.(3): '24' -&gt; '18' w.e.f. 1-7-2017</t>
  </si>
  <si>
    <t xml:space="preserve">Finance Act 2022 – s.116 (reproduction)</t>
  </si>
  <si>
    <t xml:space="preserve">https://www.taxmanagementindia.com/visitor/detail_act.asp?ID=40738</t>
  </si>
  <si>
    <t xml:space="preserve">Finance Act 2022 – Seventh Schedule (reproduction)</t>
  </si>
  <si>
    <t xml:space="preserve">https://www.taxmanagementindia.com/visitor/detail_act.asp?ID=40755</t>
  </si>
  <si>
    <t xml:space="preserve">G.S.R. 698(E) '24' -&gt; '18'</t>
  </si>
  <si>
    <t xml:space="preserve">GSTN advisory – re-computation of interest in Table 5.1 of GSTR-3B</t>
  </si>
  <si>
    <t xml:space="preserve">https://tutorial.gst.gov.in/downloads/news/advisory_on_interest_calculator_6th_march_2026.pdf</t>
  </si>
  <si>
    <t xml:space="preserve">Relief regarding late fee for GSTR-3B (TaxHeal) – Notification 19/2021-CT</t>
  </si>
  <si>
    <t xml:space="preserve">https://www.taxheal.com/?p=89438</t>
  </si>
  <si>
    <t xml:space="preserve">caps from June 2021 tax period</t>
  </si>
  <si>
    <t xml:space="preserve">GST late fee &amp; interest calculator (CalcGuru)</t>
  </si>
  <si>
    <t xml:space="preserve">https://calcguru.in/gst-late-fee-calculator/</t>
  </si>
  <si>
    <t xml:space="preserve">secondary summary of caps</t>
  </si>
  <si>
    <t xml:space="preserve">CBIC – N.19/2021-CT</t>
  </si>
  <si>
    <t xml:space="preserve">https://cbic-gst.gov.in/pdf/central-tax/notfctn-19-central-tax-english-2021.pdf</t>
  </si>
  <si>
    <t xml:space="preserve">CBIC – N.20/2021-CT</t>
  </si>
  <si>
    <t xml:space="preserve">https://cbic-gst.gov.in/pdf/central-tax/notfctn-20-central-tax-english-2021.pdf</t>
  </si>
  <si>
    <t xml:space="preserve">CBIC – CGST s.47</t>
  </si>
  <si>
    <t xml:space="preserve">https://taxinformation.cbic.gov.in/content/html/tax_repository/gst/acts/2017_CGST_act/active/chapter9/section47_v1.00.html</t>
  </si>
  <si>
    <t xml:space="preserve">Late fees for GSTR-9 reduced from FY 2022-23 (Lexplosion) – Notification 7/2023-CT</t>
  </si>
  <si>
    <t xml:space="preserve">https://lexplosion.in/late-fees-for-filing-annual-return-in-form-gstr-9-reduced-from-fy-2022-23-onwards/</t>
  </si>
  <si>
    <t xml:space="preserve">N.7/2023-CT dt 31.03.2023</t>
  </si>
  <si>
    <t xml:space="preserve">Notification No. 15/2025-Central Tax dt 17.09.2025 – annual return exemption up to Rs 2 crore</t>
  </si>
  <si>
    <t xml:space="preserve">S.O. 4205(E)</t>
  </si>
  <si>
    <t xml:space="preserve">GSTR-9C reconciliation statement (ClearTax)</t>
  </si>
  <si>
    <t xml:space="preserve">https://cleartax.in/s/gst-reconciliation-statement-gstr-9c</t>
  </si>
  <si>
    <t xml:space="preserve">N.30/2021-CT; &gt; Rs 5 crore</t>
  </si>
  <si>
    <t xml:space="preserve">GSTN FAQ GSTR-9/9C FY 2024-25</t>
  </si>
  <si>
    <t xml:space="preserve">https://tutorial.gst.gov.in/downloads/news/faq_on_gstr9_for_24_25_dt_15_oct_25_v6_final.pdf</t>
  </si>
  <si>
    <t xml:space="preserve">GSTN consolidated FAQ GSTR-9/9C (17-12-2025)</t>
  </si>
  <si>
    <t xml:space="preserve">https://tutorial.gst.gov.in/downloads/news/combined_faq_on_gstr_9_and_9c_17122025.pdf</t>
  </si>
  <si>
    <t xml:space="preserve">Due dates for GSTR-3B from January 2021 – Notification 82/2020-CT (TaxHeal)</t>
  </si>
  <si>
    <t xml:space="preserve">https://www.taxheal.com/?p=89244</t>
  </si>
  <si>
    <t xml:space="preserve">22nd / 24th state groups</t>
  </si>
  <si>
    <t xml:space="preserve">GSTR-4 filing (IndiaFilings)</t>
  </si>
  <si>
    <t xml:space="preserve">30 June from FY 2024-25 per N.12/2024-CT</t>
  </si>
  <si>
    <t xml:space="preserve">FAQs on GSTR-9 &amp; 9C changes FY 2024-25 (GSTZen)</t>
  </si>
  <si>
    <t xml:space="preserve">https://gstzen.in/a/faqs-on-gstr-9-9c-changes-fy-2024-25.html</t>
  </si>
  <si>
    <t xml:space="preserve">Tables 6A1, 8H1, 6H; GSTN advisory 15.10.2025</t>
  </si>
  <si>
    <t xml:space="preserve">CBIC – CGST Rule 80</t>
  </si>
  <si>
    <t xml:space="preserve">https://taxinformation.cbic.gov.in/content/html/tax_repository/gst/rules/cgst_rules/active/chapter8/rule80_v1.00.html</t>
  </si>
  <si>
    <t xml:space="preserve">Changes in GSTR-8 from July 2024 – Notification 15/2024-CT TCS 0.5% (TaxHeal)</t>
  </si>
  <si>
    <t xml:space="preserve">N.15/2024-CT dt 10.07.2024</t>
  </si>
  <si>
    <t xml:space="preserve">CBIC – CGST s.52</t>
  </si>
  <si>
    <t xml:space="preserve">https://taxinformation.cbic.gov.in/content/html/tax_repository/gst/acts/2017_CGST_act/active/chapter10/section52_v1.00.html</t>
  </si>
  <si>
    <t xml:space="preserve">Guide to maximizing utilisation of GST ITC (Taxmann)</t>
  </si>
  <si>
    <t xml:space="preserve">https://www.taxmann.com/post/blog/guide-to-maximizing-the-utilization-of-gst-input-tax-credit/</t>
  </si>
  <si>
    <t xml:space="preserve">s.49(5), 49A, 49B, Rule 88A, N.16/2019-CT, Circ 98/17/2019</t>
  </si>
  <si>
    <t xml:space="preserve">CBIC – CGST s.37</t>
  </si>
  <si>
    <t xml:space="preserve">https://taxinformation.cbic.gov.in/content/html/tax_repository/gst/acts/2017_CGST_act/active/chapter9/section37_v1.00.html</t>
  </si>
  <si>
    <t xml:space="preserve">CBIC – CGST s.39</t>
  </si>
  <si>
    <t xml:space="preserve">https://taxinformation.cbic.gov.in/content/html/tax_repository/gst/acts/2017_CGST_act/active/chapter9/section39_v1.00.html</t>
  </si>
  <si>
    <t xml:space="preserve">s.52(15) fn 7</t>
  </si>
  <si>
    <t xml:space="preserve">GST Council newsletter Oct 2025</t>
  </si>
  <si>
    <t xml:space="preserve">https://gstcouncil.gov.in/sites/default/files/2025-11/october_issue.pdf</t>
  </si>
  <si>
    <t xml:space="preserve">Input Service Distributor mandatory from 1 April 2025 (TaxGuru)</t>
  </si>
  <si>
    <t xml:space="preserve">Notification 16/2024-CT; s.2(61), s.20</t>
  </si>
  <si>
    <t xml:space="preserve">Section 170 CGST Act (Chhattisgarh GST copy)</t>
  </si>
  <si>
    <t xml:space="preserve">https://www.cggst.com/uploads/document/1752824769-section-170.pdf</t>
  </si>
  <si>
    <t xml:space="preserve">s.170</t>
  </si>
  <si>
    <t xml:space="preserve">BDO – Recommendations of 57th GST Council meeting</t>
  </si>
  <si>
    <t xml:space="preserve">https://www.bdo.in/en-gb/insights/alerts-updates/indirect-tax-alert-recommendations-of-57th-gst-council-meeting</t>
  </si>
  <si>
    <t xml:space="preserve">meeting 08.10.2026</t>
  </si>
  <si>
    <t xml:space="preserve">EY Alert - New labour codes implemented effective 21 November 2025</t>
  </si>
  <si>
    <t xml:space="preserve">S.O. 5319(E), 5320(E), 5321(E), 5322(E) dt 21.11.2025</t>
  </si>
  <si>
    <t xml:space="preserve">TaxGuru - Labour Code sections brought into force</t>
  </si>
  <si>
    <t xml:space="preserve">https://taxguru.in/corporate-law/major-labour-code-sections-force-notifications.html</t>
  </si>
  <si>
    <t xml:space="preserve">Sections notified / excluded under S.O. 5319(E), 5322(E)</t>
  </si>
  <si>
    <t xml:space="preserve">SCC Online - Corrigendum to Code on Social Security enforcement dates (19.12.2025)</t>
  </si>
  <si>
    <t xml:space="preserve">https://www.scconline.com/blog/post/2025/12/24/corrigendum-to-code-on-social-security-2020-enforcement-dates/</t>
  </si>
  <si>
    <t xml:space="preserve">S.O. 2060(E) (3.5.2023) &amp; S.O. 5319(E)</t>
  </si>
  <si>
    <t xml:space="preserve">KPMG Flash News - Notification of final Rules on Four Labour Codes</t>
  </si>
  <si>
    <t xml:space="preserve">https://www.in.kpmg.com/taxflashnews/KPMG-Flash-News-Notification-of-final-Rules-on-Four-Labour-Codes.pdf</t>
  </si>
  <si>
    <t xml:space="preserve">Final Central Rules notified 8 May 2026</t>
  </si>
  <si>
    <t xml:space="preserve">BDO India - Final Central Rules notified under all four Labour Codes</t>
  </si>
  <si>
    <t xml:space="preserve">https://www.bdo.in/en-gb/insights/alerts-updates/alert-final-central-rules-notified-under-all-four-labour-codes</t>
  </si>
  <si>
    <t xml:space="preserve">Alert 12 May 2026</t>
  </si>
  <si>
    <t xml:space="preserve">iPleaders - Labour Codes 2026 implementation guide (last verified 8 May 2026)</t>
  </si>
  <si>
    <t xml:space="preserve">https://blog.ipleaders.in/labour-codes-2026-implementation-complete-guide-to-what-is-in-force-what-changed-and-what-to-do-now/</t>
  </si>
  <si>
    <t xml:space="preserve">50% wage rule s.2(y); state rules table; MoLE FAQs 16.03.2026</t>
  </si>
  <si>
    <t xml:space="preserve">Taxmann - Code on Wages (Central) Rules 2026 notified</t>
  </si>
  <si>
    <t xml:space="preserve">https://www.taxmann.com/post/blog/govt-notifies-code-on-wages-central-rules/</t>
  </si>
  <si>
    <t xml:space="preserve">G.S.R. 343(E) dt 08.05.2026</t>
  </si>
  <si>
    <t xml:space="preserve">StaffNews - Social Security (Central) Rules 2026, G.S.R. 344(E) dated 08.05.2026</t>
  </si>
  <si>
    <t xml:space="preserve">https://www.staffnews.in/2026/05/the-social-security-central-rules-2026.html</t>
  </si>
  <si>
    <t xml:space="preserve">G.S.R. 344(E)</t>
  </si>
  <si>
    <t xml:space="preserve">KPMG Flash News - New Social Security Schemes 2026</t>
  </si>
  <si>
    <t xml:space="preserve">EPF Scheme 2026 G.S.R. 525(E); EDLI Scheme 2026 G.S.R. 526(E); EPS 2026 G.S.R. 527(E) dt 29.06.2026</t>
  </si>
  <si>
    <t xml:space="preserve">Cyril Amarchand Mangaldas - Client Alert: Schemes under the Code on Social Security 2020</t>
  </si>
  <si>
    <t xml:space="preserve">https://www.cyrilshroff.com/wp-content/uploads/2026/07/Client-Alert-Labour-Codes-Schemes-under-the-Code-on-Social-Security-2020-1.pdf</t>
  </si>
  <si>
    <t xml:space="preserve">EPF/EPS/EDLI Schemes 2026; 12%/10%; 9.49% EPS for higher-wage option</t>
  </si>
  <si>
    <t xml:space="preserve">PIB – Four Labour Codes effective</t>
  </si>
  <si>
    <t xml:space="preserve">https://www.pib.gov.in/PressReleseDetailm.aspx?PRID=2192463&amp;reg=3&amp;lang=2</t>
  </si>
  <si>
    <t xml:space="preserve">S.O. 5322(E) Code on Wages commencement</t>
  </si>
  <si>
    <t xml:space="preserve">https://labour.gov.in/sites/default/files/e-noti-wage_0.pdf</t>
  </si>
  <si>
    <t xml:space="preserve">Corrigendum S.O. 5936(E) to S.O. 5319(E)</t>
  </si>
  <si>
    <t xml:space="preserve">https://www.labour.gov.in/static/uploads/2026/01/639a9f531898f5a767b1e45e762c2d87.pdf</t>
  </si>
  <si>
    <t xml:space="preserve">IR Code (Amendment) Act 2026</t>
  </si>
  <si>
    <t xml:space="preserve">https://www.labour.gov.in/static/uploads/2026/02/91ef39e2096112f8b798e6c45c732e2f.pdf</t>
  </si>
  <si>
    <t xml:space="preserve">MoLE FAQs on Labour Codes</t>
  </si>
  <si>
    <t xml:space="preserve">https://www.labour.gov.in/static/uploads/2026/01/de4758d5bfeffc456d7de97a801891b0.pdf</t>
  </si>
  <si>
    <t xml:space="preserve">EDLI Scheme 2026 G.S.R. 526(E)</t>
  </si>
  <si>
    <t xml:space="preserve">https://egazette.gov.in/WriteReadData/2026/273942.pdf</t>
  </si>
  <si>
    <t xml:space="preserve">King Stubb &amp; Kasiva - 50% wage rule under new Labour Codes</t>
  </si>
  <si>
    <t xml:space="preserve">https://ksandk.com/labour-employment/50-wage-rule-labour-codes-salary-pf-gratuity/</t>
  </si>
  <si>
    <t xml:space="preserve">Code on Wages s.2(y)</t>
  </si>
  <si>
    <t xml:space="preserve">SGCMS - FAQs by EPFO: Wage ceiling raised to 25000</t>
  </si>
  <si>
    <t xml:space="preserve">S.O. 5109(E) dt 17.09.2026; EPFO FAQ Q6-Q13, Q37-Q45</t>
  </si>
  <si>
    <t xml:space="preserve">Ascent HR - ESIC clarification on implementation of Code on Social Security (letter P-11012/4/2026-INSPECTION dt 04.06.2026)</t>
  </si>
  <si>
    <t xml:space="preserve">https://ascent-hr.com/notification/esic-clarification-regarding-the-implementation-of-code-on-social-security-2020/</t>
  </si>
  <si>
    <t xml:space="preserve">Ceiling Rs 21,000 (Rs 25,000 PwD) continues; s.2(88) wages since 21.11.2025</t>
  </si>
  <si>
    <t xml:space="preserve">MoLE Additional FAQs on Labour Codes (16-03-2026)</t>
  </si>
  <si>
    <t xml:space="preserve">https://www.labour.gov.in/static/uploads/2026/03/a4ccf4c6d97c4f1f36a6d83f8c64213d.pdf</t>
  </si>
  <si>
    <t xml:space="preserve">Q1, Q4, Q6-8, Q11</t>
  </si>
  <si>
    <t xml:space="preserve">Taxmann - EPF under Code on Social Security 2020: coverage, contribution, schemes</t>
  </si>
  <si>
    <t xml:space="preserve">https://www.taxmann.com/post/blog/analysis-epf-under-code-on-social-security</t>
  </si>
  <si>
    <t xml:space="preserve">First Schedule (20 employees); s.16; S.O. 3582(E) &amp; S.O. 3581(E); S.O. 2702(E) dt 29.05.2026</t>
  </si>
  <si>
    <t xml:space="preserve">KPMG Flash News - FAQs on EPFO Wage Ceiling Limit (26 Sep 2026)</t>
  </si>
  <si>
    <t xml:space="preserve">https://assets.kpmg.com/content/dam/kpmgsites/in/pdf/2026/09/KPMG-Flash-News-FAQs-on-EPFO-Wage-Ceiling-Limit.pdf</t>
  </si>
  <si>
    <t xml:space="preserve">September 2026 apportionment; ECR due 15.10.2026</t>
  </si>
  <si>
    <t xml:space="preserve">Argus Partners - Revision to EPF wage ceiling: September transition</t>
  </si>
  <si>
    <t xml:space="preserve">https://www.argus-p.com/papers-publications/thought-paper/revision-to-epf-wage-ceiling-coverage-contributions-and-the-september-transition/</t>
  </si>
  <si>
    <t xml:space="preserve">S.O. 5109(E) supersedes S.O. 2702(E); para 18(4) EPF Scheme 2026</t>
  </si>
  <si>
    <t xml:space="preserve">ELP - EPFO wage ceiling increased from INR 15,000 to INR 25,000</t>
  </si>
  <si>
    <t xml:space="preserve">https://elplaw.in/wp-content/uploads/2026/09/EPFO-wage-ceiling-increased-from-INR-15000-to-INR-25000-per-month.pdf</t>
  </si>
  <si>
    <t xml:space="preserve">Effective 17.09.2026</t>
  </si>
  <si>
    <t xml:space="preserve">StaffNews reproduction of PIB release - Cabinet approves enhancement of EPFO wage ceiling (16.09.2026)</t>
  </si>
  <si>
    <t xml:space="preserve">https://www.staffnews.in/2026/09/cabinet-approves-enhancement-of-epfo-wage-ceiling.html</t>
  </si>
  <si>
    <t xml:space="preserve">PIB Delhi 16.09.2026</t>
  </si>
  <si>
    <t xml:space="preserve">IndianPayCalculator - EPF wage ceiling stays 15000 under SS Code (29.05.2026 notification)</t>
  </si>
  <si>
    <t xml:space="preserve">https://www.indianpaycalculator.in/govt-news/epf-wage-ceiling-stays-15000-ss-code-2026</t>
  </si>
  <si>
    <t xml:space="preserve">MoLE notification 29.05.2026</t>
  </si>
  <si>
    <t xml:space="preserve">Lexplosion - EPF Scheme 2026 notified; Enrolment Campaign, VISHWAS, AMNESTY</t>
  </si>
  <si>
    <t xml:space="preserve">https://lexplosion.in/epf-scheme-2026-notified-under-social-security-code-replaces-epf-scheme-1952-and-introduces-employees-enrolment-campaign-vishwas-and-amnesty-schemes/</t>
  </si>
  <si>
    <t xml:space="preserve">EPF Scheme 2026</t>
  </si>
  <si>
    <t xml:space="preserve">PIB – S.O. 5109(E)</t>
  </si>
  <si>
    <t xml:space="preserve">https://www.pib.gov.in/PressReleasePage.aspx?PRID=2313829&amp;reg=48&amp;lang=2</t>
  </si>
  <si>
    <t xml:space="preserve">MoLE Cabinet note</t>
  </si>
  <si>
    <t xml:space="preserve">https://www.labour.gov.in/static/uploads/2026/09/4f607a88c5342aeb980c6b999997caab.pdf</t>
  </si>
  <si>
    <t xml:space="preserve">CAclub - PF admin charges reduced to 0.5% from 1 June 2018; EDLI admin waived</t>
  </si>
  <si>
    <t xml:space="preserve">https://caclub.in/pf-admin-charges-reduced-and-edli-admin-charges-waived-by-epfo</t>
  </si>
  <si>
    <t xml:space="preserve">S.O. 2011(E) dt 21.05.2018</t>
  </si>
  <si>
    <t xml:space="preserve">Zoho Payroll KB - EPF admin charges</t>
  </si>
  <si>
    <t xml:space="preserve">https://www.zoho.com/in/payroll/kb/employer/settings/admin-charges.md</t>
  </si>
  <si>
    <t xml:space="preserve">0.50%, min Rs 500 / Rs 75</t>
  </si>
  <si>
    <t xml:space="preserve">EPFO - Contribution Rate (epfindia.gov.in) [seen in search results; fetch failed]</t>
  </si>
  <si>
    <t xml:space="preserve">https://www.epfindia.gov.in:443/site_docs/PDFs/MiscPDFs/ContributionRate.pdf</t>
  </si>
  <si>
    <t xml:space="preserve">EPFO contribution rate table</t>
  </si>
  <si>
    <t xml:space="preserve">Frappe HR docs - India payroll Employee Provident Fund</t>
  </si>
  <si>
    <t xml:space="preserve">https://docs.frappe.io/hr/india-payroll/employee-provident-fund.md</t>
  </si>
  <si>
    <t xml:space="preserve">Rounding convention (software vendor)</t>
  </si>
  <si>
    <t xml:space="preserve">Lawrbit - Employees' Pension Scheme 1995</t>
  </si>
  <si>
    <t xml:space="preserve">https://www.lawrbit.com/article/employees-pension-scheme/</t>
  </si>
  <si>
    <t xml:space="preserve">New members &gt; Rs 15,000 not eligible (2014 amendment)</t>
  </si>
  <si>
    <t xml:space="preserve">EPF Scheme 2026 (gazette copy)</t>
  </si>
  <si>
    <t xml:space="preserve">https://www.staffnews.in/wp-content/uploads/2026/07/Employees-Provident-Funds-Scheme-2026-273957.pdf</t>
  </si>
  <si>
    <t xml:space="preserve">paras 18, 28, 29</t>
  </si>
  <si>
    <t xml:space="preserve">Gazette S.O. 2701(E) dt 29-05-2026 – inspection charges for exempted establishments (labour.gov.in)</t>
  </si>
  <si>
    <t xml:space="preserve">https://www.labour.gov.in/static/uploads/2026/06/0c9a83a81e01bef6936dc4437c7fc310.pdf</t>
  </si>
  <si>
    <t xml:space="preserve">PSU Connect - EPFO explains September 2026 ECR calculation</t>
  </si>
  <si>
    <t xml:space="preserve">https://www.psuconnect.in/news/epfo-explains-september-2026-ecr-calculation-after-new-25-000-wage-ceiling</t>
  </si>
  <si>
    <t xml:space="preserve">EPS A/c 10 examples 777.47 / 1443.87</t>
  </si>
  <si>
    <t xml:space="preserve">PIB – EPFO raises wage ceiling to Rs 25,000 (S.O. 5109(E))</t>
  </si>
  <si>
    <t xml:space="preserve">PIB – EPFO Goa guidelines, effective 17-09-2026</t>
  </si>
  <si>
    <t xml:space="preserve">https://www.pib.gov.in/PressReleasePage.aspx?PRID=2313790&amp;reg=48&amp;lang=2</t>
  </si>
  <si>
    <t xml:space="preserve">MoLE – Cabinet approves higher EPFO wage ceiling</t>
  </si>
  <si>
    <t xml:space="preserve">EPF Scheme 2026, G.S.R. 525(E) dt 29-06-2026 (gazette copy hosted on staffnews.in; egazette blocked)</t>
  </si>
  <si>
    <t xml:space="preserve">paras 9(4), 18(3), 18(5), 19, 28(3)</t>
  </si>
  <si>
    <t xml:space="preserve">Gazette S.O. 3582(E) dt 01-07-2026 (egazette)</t>
  </si>
  <si>
    <t xml:space="preserve">https://egazette.gov.in/WriteReadData/2026/274112.pdf</t>
  </si>
  <si>
    <t xml:space="preserve">Khaitan &amp; Co - Big Move in the EPF Regime: revision in rate of damages</t>
  </si>
  <si>
    <t xml:space="preserve">Para 32A EPF Scheme 1952 - 1% per month w.e.f. 15.06.2024</t>
  </si>
  <si>
    <t xml:space="preserve">SCC Online - EPFO launches VISHWAS 2026</t>
  </si>
  <si>
    <t xml:space="preserve">https://www.scconline.com/blog/post/2026/07/15/epfo-launches-vishwas-2026-damages-settlement-scheme/</t>
  </si>
  <si>
    <t xml:space="preserve">Para 60 EPF Scheme 2026; defaults before 14.06.2024</t>
  </si>
  <si>
    <t xml:space="preserve">TaxGuru - VISHWAS 2026 (PIB)</t>
  </si>
  <si>
    <t xml:space="preserve">https://taxguru.in/?p=1076899</t>
  </si>
  <si>
    <t xml:space="preserve">Closes 28.12.2026</t>
  </si>
  <si>
    <t xml:space="preserve">EPF Scheme 2026, G.S.R. 525(E) (gazette copy)</t>
  </si>
  <si>
    <t xml:space="preserve">para 23(1)-(2), 13(7)</t>
  </si>
  <si>
    <t xml:space="preserve">EDLI Scheme 2026, G.S.R. 526(E) dt 29-06-2026 (egazette)</t>
  </si>
  <si>
    <t xml:space="preserve">para 6, 7</t>
  </si>
  <si>
    <t xml:space="preserve">Outlook Money - EPF rate unchanged at 8.25% for 2025-26</t>
  </si>
  <si>
    <t xml:space="preserve">https://www.outlookmoney.com/retirement/pension/epf-rates-unchanged-at-825-per-cent-for-2025-26-announces-epfo</t>
  </si>
  <si>
    <t xml:space="preserve">CBT decision</t>
  </si>
  <si>
    <t xml:space="preserve">Outlook Money - Govt ratifies 8.25% EPF interest rate for 2025-26</t>
  </si>
  <si>
    <t xml:space="preserve">https://www.outlookmoney.com/retirement/govt-ratifies-825-per-cent-epf-interest-rate-for-2025-26-interest-likely-to-be-credited-from-this-month</t>
  </si>
  <si>
    <t xml:space="preserve">Ratification</t>
  </si>
  <si>
    <t xml:space="preserve">KPMG Flash News - GOI notifies SOP on PMVBRY</t>
  </si>
  <si>
    <t xml:space="preserve">https://www.in.kpmg.com/taxflashnews/KPMG-Flash-News-GOI-notifies-SOP-on-PMVBRY.pdf</t>
  </si>
  <si>
    <t xml:space="preserve">Part A / Part B incentive mechanics</t>
  </si>
  <si>
    <t xml:space="preserve">TaxHeal - Notification under Section 2(26) CoSS (S.O. 2351(E) dt 08.05.2026)</t>
  </si>
  <si>
    <t xml:space="preserve">https://www.taxheal.com/?p=129388</t>
  </si>
  <si>
    <t xml:space="preserve">First proviso to s.2(26) - continuation till end of contribution period</t>
  </si>
  <si>
    <t xml:space="preserve">Lakshmikumaran &amp; Sridharan - Status of ESI compliance under the Code on Social Security</t>
  </si>
  <si>
    <t xml:space="preserve">https://www.lkslaw.com/insights/articles/status-of-esi-compliance-under-the-code-on-social-security-2020-an-analytical-review</t>
  </si>
  <si>
    <t xml:space="preserve">s.164(2)(b) savings; s.29 not yet operational</t>
  </si>
  <si>
    <t xml:space="preserve">Bhatt &amp; Joshi - ESIC wage ceiling change</t>
  </si>
  <si>
    <t xml:space="preserve">https://bhattandjoshiassociates.com/esic-wage-ceiling-change-what-it-would-mean-for-employers/</t>
  </si>
  <si>
    <t xml:space="preserve">No revision notified as of June 2026</t>
  </si>
  <si>
    <t xml:space="preserve">ESIC - Contribution (official)</t>
  </si>
  <si>
    <t xml:space="preserve">https://web.esic.gov.in/web/esic/contribution</t>
  </si>
  <si>
    <t xml:space="preserve">Rates 0.75%/3.25%; Rs 176 exemption; contribution &amp; benefit periods; due date 15 days</t>
  </si>
  <si>
    <t xml:space="preserve">MoLE Additional FAQs (Q12)</t>
  </si>
  <si>
    <t xml:space="preserve">MoLE Compliance Handbook – Four Labour Codes</t>
  </si>
  <si>
    <t xml:space="preserve">https://www.labour.gov.in/static/uploads/2026/02/83978455025732b99b0165def80ab171.pdf</t>
  </si>
  <si>
    <t xml:space="preserve">TaxClue - Rule 19 &amp; 20 Social Security (Central) Rules 2026</t>
  </si>
  <si>
    <t xml:space="preserve">https://taxclue.in/blog/rule-19-20-social-security-central-rules-2026-rate-of-contributions-and-administrative-expenses/</t>
  </si>
  <si>
    <t xml:space="preserve">Rule 19 - ESI contribution 3.25%/0.75%, rounded up; G.S.R. 344(E) dt 08.05.2026</t>
  </si>
  <si>
    <t xml:space="preserve">Tally - ESI calculation formula &amp; example</t>
  </si>
  <si>
    <t xml:space="preserve">https://tallysolutions.com/business-guides/esi-calculation-formula-contribution-rate-example/</t>
  </si>
  <si>
    <t xml:space="preserve">Contribution period continuation</t>
  </si>
  <si>
    <t xml:space="preserve">StudyCafe - Govt clarifies ESI coverage continuity despite salary hike</t>
  </si>
  <si>
    <t xml:space="preserve">https://studycafe.in/government-clarifies-esi-coverage-continuity-despite-salary-hike-above-wage-ceiling-420646.html</t>
  </si>
  <si>
    <t xml:space="preserve">S.O. 2351(E)</t>
  </si>
  <si>
    <t xml:space="preserve">Tally - ESI return filing due date 2026</t>
  </si>
  <si>
    <t xml:space="preserve">https://tallysolutions.com/accounting/esi-return-filing-due-date-2026/</t>
  </si>
  <si>
    <t xml:space="preserve">Reg 31-A interest 12%; Reg 31C damages slabs</t>
  </si>
  <si>
    <t xml:space="preserve">BankBazaar - Maharashtra Professional Tax slab 2026</t>
  </si>
  <si>
    <t xml:space="preserve">https://bankbazaar.com/tax/maharashtra-professional-tax-slab-rate.html</t>
  </si>
  <si>
    <t xml:space="preserve">Salaried men/women slabs</t>
  </si>
  <si>
    <t xml:space="preserve">Lexplosion - Karnataka revised PT under KTPTCE (Amendment) Act 2025</t>
  </si>
  <si>
    <t xml:space="preserve">Rs 200/month, Rs 300 Feb, w.e.f. 01.04.2025</t>
  </si>
  <si>
    <t xml:space="preserve">WBXpress - West Bengal schedule of rates of tax on professions 2026 (Notification 1407-F.T. dt 18.08.2026)</t>
  </si>
  <si>
    <t xml:space="preserve">Part A Sl. 1 w.e.f. 01.10.2026</t>
  </si>
  <si>
    <t xml:space="preserve">Ascent HR - Professional Tax slab revision - Chennai</t>
  </si>
  <si>
    <t xml:space="preserve">GCC circular R.D.(HQ).C.No.PT/SPL/2024 dt 20.01.2025</t>
  </si>
  <si>
    <t xml:space="preserve">WBXpress - West Bengal PT slab 2014</t>
  </si>
  <si>
    <t xml:space="preserve">https://wbxpress.com/professional-tax-slab/</t>
  </si>
  <si>
    <t xml:space="preserve">w.e.f. 01.04.2014</t>
  </si>
  <si>
    <t xml:space="preserve">Simpliance - West Bengal professional tax</t>
  </si>
  <si>
    <t xml:space="preserve">https://www.simpliance.in/professional-tax-detail/west-bengal</t>
  </si>
  <si>
    <t xml:space="preserve">Revised slab</t>
  </si>
  <si>
    <t xml:space="preserve">Simpliance - Telangana professional tax</t>
  </si>
  <si>
    <t xml:space="preserve">https://nt.simpliance.in/professional-tax-detail/telangana</t>
  </si>
  <si>
    <t xml:space="preserve">Slabs; monthly due date 10th</t>
  </si>
  <si>
    <t xml:space="preserve">greytHR - Professional Tax Gujarat</t>
  </si>
  <si>
    <t xml:space="preserve">https://www.greythr.com/wiki/acts/professional-tax-gujarat/</t>
  </si>
  <si>
    <t xml:space="preserve">Rs 12,000 threshold; Rs 200</t>
  </si>
  <si>
    <t xml:space="preserve">EZHRM - Labour Welfare Fund India 2026 state-wise guide</t>
  </si>
  <si>
    <t xml:space="preserve">https://ezhrm.in/labour-welfare-fund-india-2026-state-wise-guide/</t>
  </si>
  <si>
    <t xml:space="preserve">State-wise LWF rates (secondary; verified by publisher Apr 2026)</t>
  </si>
  <si>
    <t xml:space="preserve">Lakshmikumaran &amp; Sridharan - Gratuity guide 2025</t>
  </si>
  <si>
    <t xml:space="preserve">https://employmentlaw.lkslaw.com/gratuity-guide-2025</t>
  </si>
  <si>
    <t xml:space="preserve">PG Act s.4; SS Code s.53, s.2(88)</t>
  </si>
  <si>
    <t xml:space="preserve">MoLE Additional FAQs (Q16, Q17)</t>
  </si>
  <si>
    <t xml:space="preserve">MoLE Compliance Handbook</t>
  </si>
  <si>
    <t xml:space="preserve">s.53, s.56</t>
  </si>
  <si>
    <t xml:space="preserve">PIB – Labour Codes effective</t>
  </si>
  <si>
    <t xml:space="preserve">MoLE Additional FAQs</t>
  </si>
  <si>
    <t xml:space="preserve">Q14, Q19</t>
  </si>
  <si>
    <t xml:space="preserve">Income Tax Department - Income-tax Act 2025 Section 19 (Deductions from salaries)</t>
  </si>
  <si>
    <t xml:space="preserve">Table Sl. Nos. 5, 6, 13, 14</t>
  </si>
  <si>
    <t xml:space="preserve">eztax - Income-tax Act 2025 section 19</t>
  </si>
  <si>
    <t xml:space="preserve">https://eztax.in/income-tax-act-2025/section-19</t>
  </si>
  <si>
    <t xml:space="preserve">Sl. 6 &amp; 14 limits by notification</t>
  </si>
  <si>
    <t xml:space="preserve">GConnect - Leave encashment exemption limit Rs 25 lakh (Notification 31/2023)</t>
  </si>
  <si>
    <t xml:space="preserve">Notification 31/2023, S.O. 2276(E) dt 24.05.2023, w.e.f. 01.04.2023</t>
  </si>
  <si>
    <t xml:space="preserve">SCC Online - Bonus eligibility &amp; calculation rules under Code on Wages (25.08.2026)</t>
  </si>
  <si>
    <t xml:space="preserve">https://www.scconline.com/blog/post/2026/08/26/bonus-rules-under-code-on-wages-eligibility-calculation/</t>
  </si>
  <si>
    <t xml:space="preserve">s.26(1) Code on Wages; Rs 21,000 / Rs 7,000; retro 21.11.2025</t>
  </si>
  <si>
    <t xml:space="preserve">Lexplosion - Central Govt specifies bonus eligibility &amp; calculation under Code on Wages</t>
  </si>
  <si>
    <t xml:space="preserve">https://lexplosion.in/?p=152253</t>
  </si>
  <si>
    <t xml:space="preserve">8.33% or Rs 100; 30 days</t>
  </si>
  <si>
    <t xml:space="preserve">s.26</t>
  </si>
  <si>
    <t xml:space="preserve">SGCMS - Central sphere VDA revision w.e.f. 1 October 2026</t>
  </si>
  <si>
    <t xml:space="preserve">https://www.sgcms.com/regulatory-updates/central-sphere-vda-revision-w-e-f-1-october-2026-revised-minimum-wages/</t>
  </si>
  <si>
    <t xml:space="preserve">Central sphere minimum wages</t>
  </si>
  <si>
    <t xml:space="preserve">eztax - Income-tax Act 2025 section 17</t>
  </si>
  <si>
    <t xml:space="preserve">https://eztax.in/income-tax-act-2025/section-17</t>
  </si>
  <si>
    <t xml:space="preserve">s.17(1)(h), (i)</t>
  </si>
  <si>
    <t xml:space="preserve">Income Tax Department - Rule 277, Income-tax Rules 2026</t>
  </si>
  <si>
    <t xml:space="preserve">Taxable interest on PF contribution; Schedule II Sl. 3 &amp; 4</t>
  </si>
  <si>
    <t xml:space="preserve">Patron Accounting - PF taxable interest rules 2026</t>
  </si>
  <si>
    <t xml:space="preserve">https://www.patronaccounting.com/blog/provident-fund-taxable-interest-rules-2026-high-value-pf-contributions</t>
  </si>
  <si>
    <t xml:space="preserve">Rule 9D successor (draft reference)</t>
  </si>
  <si>
    <t xml:space="preserve">CaseMine - Supreme Court affirmation on disallowance of late employee contributions s.36(1)(va)</t>
  </si>
  <si>
    <t xml:space="preserve">https://www.casemine.com/commentary/in/supreme-court-affirmation-on-disallowance-of-late-employee-contributions-under-section-36(1)(va)/view</t>
  </si>
  <si>
    <t xml:space="preserve">Checkmate Services (SC 2022)</t>
  </si>
  <si>
    <t xml:space="preserve">TaxGuru - PF/ESI deduction denied where deposited after statutory due date (ITAT, following Checkmate SC)</t>
  </si>
  <si>
    <t xml:space="preserve">https://taxguru.in/income-tax/pf-esi-deduction-denied-employees-contribution-deposited-statutory-due-date.html</t>
  </si>
  <si>
    <t xml:space="preserve">s.36(1)(va)</t>
  </si>
  <si>
    <t xml:space="preserve">eztax - Income-tax Act 2025 section 29</t>
  </si>
  <si>
    <t xml:space="preserve">https://eztax.in/income-tax-act-2025/section-29</t>
  </si>
  <si>
    <t xml:space="preserve">s.29(1)(a), 29(1)(e)</t>
  </si>
  <si>
    <t xml:space="preserve">s.17</t>
  </si>
  <si>
    <t xml:space="preserve">para 18(5)</t>
  </si>
  <si>
    <t xml:space="preserve">RBI – Payment of cheques/drafts/pay orders/banker's cheques presented beyond 3 months</t>
  </si>
  <si>
    <t xml:space="preserve">RBI/2011-12/251 DBOD.AML BC.No.47/14.01.001/2011-12 dated 04-11-2011, eff. 01-04-2012</t>
  </si>
  <si>
    <t xml:space="preserve">DPNC – Amendment in Schedule III (w.e.f. 01.04.2021)</t>
  </si>
  <si>
    <t xml:space="preserve">https://www.dpncindia.com/amendment-in-schedule-iii-of-the-companies-act-2013-applicable-w-e-f-01-04-2021</t>
  </si>
  <si>
    <t xml:space="preserve">G.S.R. 207(E) dt 24-03-2021</t>
  </si>
  <si>
    <t xml:space="preserve">Income Tax Department – Rule 6DD</t>
  </si>
  <si>
    <t xml:space="preserve">https://www.incometaxindia.gov.in/w/rule-6dd</t>
  </si>
  <si>
    <t xml:space="preserve">Rule 6DD, s.40A(3)</t>
  </si>
  <si>
    <t xml:space="preserve">CalcGuru – Form 3CD checklist AY 2026-27</t>
  </si>
  <si>
    <t xml:space="preserve">https://calcguru.in/?p=8211</t>
  </si>
  <si>
    <t xml:space="preserve">cl. 21, 22, 26, 31, 34, 44</t>
  </si>
  <si>
    <t xml:space="preserve">Taxmann – Non-compliance in reporting under clause 21 &amp; 31 of Form 3CD</t>
  </si>
  <si>
    <t xml:space="preserve">https://www.taxmann.com/post/blog/instances-of-non-compliance-with-reporting-requirements-under-clause-21-31-of-form-3cd/</t>
  </si>
  <si>
    <t xml:space="preserve">cl. 21(a),(b),(d),(g)</t>
  </si>
  <si>
    <t xml:space="preserve">Taxheal – Cash transaction limits under Income Tax Bill 2025</t>
  </si>
  <si>
    <t xml:space="preserve">https://www.taxheal.com/?p=99334</t>
  </si>
  <si>
    <t xml:space="preserve">Clauses 185, 186, 188, 36(4) of Bill</t>
  </si>
  <si>
    <t xml:space="preserve">CBDT Circular No. 07/2026 dt 28-09-2026</t>
  </si>
  <si>
    <t xml:space="preserve">Tax audit date extended to 21-10-2026; ITR to 21-11-2026</t>
  </si>
  <si>
    <t xml:space="preserve">eztax – Income-tax Act 2025 section 186</t>
  </si>
  <si>
    <t xml:space="preserve">s.186</t>
  </si>
  <si>
    <t xml:space="preserve">CA Sahuja – Clause 31 of Form 3CD for AY 2026-27</t>
  </si>
  <si>
    <t xml:space="preserve">https://www.casahuja.com/2026/09/clause-31-of-form-3cd-for-ay-2026-27.html</t>
  </si>
  <si>
    <t xml:space="preserve">cl. 31(a)-(e), (ba)-(bd)</t>
  </si>
  <si>
    <t xml:space="preserve">eztax – Income-tax Act 2025 section 185</t>
  </si>
  <si>
    <t xml:space="preserve">https://eztax.in/income-tax-act-2025/section-185</t>
  </si>
  <si>
    <t xml:space="preserve">s.185</t>
  </si>
  <si>
    <t xml:space="preserve">Taxguru – Demystifying audit trail (edit log)</t>
  </si>
  <si>
    <t xml:space="preserve">https://taxguru.in/company-law/demystifying-audit-trail-edit-log.html</t>
  </si>
  <si>
    <t xml:space="preserve">Rule 3(1) proviso; Rule 11(g)</t>
  </si>
  <si>
    <t xml:space="preserve">Taxheal – Companies (Accounts) Amendment Rules 2021</t>
  </si>
  <si>
    <t xml:space="preserve">https://www.taxheal.com/companies-accounts-amendment-rules-2021-mandatory-accounting-software-with-audit-trail-for-companies.html</t>
  </si>
  <si>
    <t xml:space="preserve">G.S.R. 205(E) dt 24-03-2021</t>
  </si>
  <si>
    <t xml:space="preserve">ICAI CA Journal – Audit Trail: Requirements &amp; Responsibilities</t>
  </si>
  <si>
    <t xml:space="preserve">https://cajournal.icai.org/article-details/audit-trail-requirements-responsibilities</t>
  </si>
  <si>
    <t xml:space="preserve">s.128, s.143(3)(j), Rule 11(g)</t>
  </si>
  <si>
    <t xml:space="preserve">ClearTax – Form 26 tax audit (Income-tax Rules 2026)</t>
  </si>
  <si>
    <t xml:space="preserve">s.63 ITA 2025, Rule 47</t>
  </si>
  <si>
    <t xml:space="preserve">Taxmann – Study of MSMED Act provisions &amp; Schedule III disclosure</t>
  </si>
  <si>
    <t xml:space="preserve">https://taxmann.com/post/blog/a-study-of-provisions-of-the-msmed-act-related-disclosure-under-schedule-iii-of-companies-act</t>
  </si>
  <si>
    <t xml:space="preserve">s.15, s.16</t>
  </si>
  <si>
    <t xml:space="preserve">CAclubindia – Amendment in Schedule III Division I</t>
  </si>
  <si>
    <t xml:space="preserve">Rounding, AddI. regulatory info, ratios</t>
  </si>
  <si>
    <t xml:space="preserve">Taxguru – Summary of CARO 2020 clauses &amp; Schedule III amendments</t>
  </si>
  <si>
    <t xml:space="preserve">https://taxguru.in/company-law/summary-clauses-caro-2020-consequential-amendments-schedule-iii-companies-act-2013.html</t>
  </si>
  <si>
    <t xml:space="preserve">CARO 2020 cl. 3(ii)(b), 3(viii)</t>
  </si>
  <si>
    <t xml:space="preserve">CA Sahuja – Govt revises MSME classification (S.O. 1364(E))</t>
  </si>
  <si>
    <t xml:space="preserve">S.O. 1364(E) dt 21-03-2025, eff 01-04-2025</t>
  </si>
  <si>
    <t xml:space="preserve">FoxMandal – Monetary limits for MSME classification revised</t>
  </si>
  <si>
    <t xml:space="preserve">https://foxmandal.in/news/monetary-limits-for-msme-classification-revised/</t>
  </si>
  <si>
    <t xml:space="preserve">amends S.O. 2119(E) dt 26-06-2020</t>
  </si>
  <si>
    <t xml:space="preserve">S.O. 1364(E) dt 21-03-2025 (DC-MSME)</t>
  </si>
  <si>
    <t xml:space="preserve">https://www.dcmsme.gov.in/Notification-S.O-no-1364-E-dated-21.03.2025-Revised-Definition.pdf</t>
  </si>
  <si>
    <t xml:space="preserve">PIB – MSME limits enhanced</t>
  </si>
  <si>
    <t xml:space="preserve">https://www.pib.gov.in/PressReleasePage.aspx?PRID=2098389&amp;reg=48&amp;lang=2</t>
  </si>
  <si>
    <t xml:space="preserve">MSMED Act 2006 s.16 text</t>
  </si>
  <si>
    <t xml:space="preserve">https://lawx.in/acts/section/145/1245/10691</t>
  </si>
  <si>
    <t xml:space="preserve">s.16</t>
  </si>
  <si>
    <t xml:space="preserve">RBI home page – Current Rates (Bank Rate 5.75%)</t>
  </si>
  <si>
    <t xml:space="preserve">https://rbi.org.in/</t>
  </si>
  <si>
    <t xml:space="preserve">Current rates panel as seen 13-10-2026</t>
  </si>
  <si>
    <t xml:space="preserve">Taxmann – MCA revises MSME Form-1</t>
  </si>
  <si>
    <t xml:space="preserve">S.O. 2751(E) dt 15-07-2024</t>
  </si>
  <si>
    <t xml:space="preserve">Patron Accounting – MSME Form 1 half-yearly return guide</t>
  </si>
  <si>
    <t xml:space="preserve">https://www.patronaccounting.com/blog/msme-form-1-half-yearly-return-filing-guide</t>
  </si>
  <si>
    <t xml:space="preserve">due dates 30 Apr / 31 Oct; s.405(4) penalty</t>
  </si>
  <si>
    <t xml:space="preserve">eztax – Income-tax Act 2025 section 37</t>
  </si>
  <si>
    <t xml:space="preserve">https://eztax.in/income-tax-act-2025/section-37</t>
  </si>
  <si>
    <t xml:space="preserve">s.37(2)(g)</t>
  </si>
  <si>
    <t xml:space="preserve">Taxmann – CBDT corrigendum to include 43B(h) in clause 22</t>
  </si>
  <si>
    <t xml:space="preserve">Notif 27/2024 dt 05-03-2024; corrigendum 34/2024 dt 19-03-2024</t>
  </si>
  <si>
    <t xml:space="preserve">StudyCafe – MCA notifies additional fee Rs 100/day w.e.f. 1 July 2018</t>
  </si>
  <si>
    <t xml:space="preserve">Companies (Registration Offices and Fees) Second Amendment Rules 2018 dt 07-05-2018</t>
  </si>
  <si>
    <t xml:space="preserve">Taxmann – MCA extends due date for financials &amp; annual return</t>
  </si>
  <si>
    <t xml:space="preserve">https://taxmann.com/post/blog/mca-extends-due-date-for-filing-of-financials-and-annual-return</t>
  </si>
  <si>
    <t xml:space="preserve">GC 22/2021 (precedent of extensions)</t>
  </si>
  <si>
    <t xml:space="preserve">ICAI CLCGC – Director KYC compliance announcement</t>
  </si>
  <si>
    <t xml:space="preserve">Companies (Appointment and Qualification of Directors) Amendment Rules 2025 dt 31-12-2025</t>
  </si>
  <si>
    <t xml:space="preserve">China Briefing – India director KYC moves to three-year filing</t>
  </si>
  <si>
    <t xml:space="preserve">https://www.china-briefing.com/china-outbound-news/director-kyc-new-rules-india-companies-act-2013</t>
  </si>
  <si>
    <t xml:space="preserve">eff 31-03-2026; DIR-3-KYC-Web; 30-day event update</t>
  </si>
  <si>
    <t xml:space="preserve">MCA Instruction Kit – Form DPT-3</t>
  </si>
  <si>
    <t xml:space="preserve">https://www.mca.gov.in:443/content/dam/mca-aem-forms/instructionkits/Instruction%20Kit_DPT-3.pdf</t>
  </si>
  <si>
    <t xml:space="preserve">Rule 16/16A Companies (Acceptance of Deposits) Rules 2014</t>
  </si>
  <si>
    <t xml:space="preserve">PIB – MCA replaces annual KYC with once-in-three-years</t>
  </si>
  <si>
    <t xml:space="preserve">https://www.pib.gov.in/PressReleasePage.aspx?PRID=2210552&amp;reg=3&amp;lang=1</t>
  </si>
  <si>
    <t xml:space="preserve">PIB – MCA Year-end review 2025</t>
  </si>
  <si>
    <t xml:space="preserve">https://www.pib.gov.in/PressReleasePage.aspx?PRID=2210429&amp;reg=3&amp;lang=1</t>
  </si>
  <si>
    <t xml:space="preserve">Taxmann – MCA amends Registration Offices and Fees Rules (additional fee/higher additional fee)</t>
  </si>
  <si>
    <t xml:space="preserve">https://www.taxmann.com/post/blog/mca-amends-companies-registration-offices-and-fees-rules-2014-tightens-norms-relating-to-additional-fee-and-higher-additional-fee/</t>
  </si>
  <si>
    <t xml:space="preserve">Fees Amendment Rules (eff 01-07-2022)</t>
  </si>
  <si>
    <t xml:space="preserve">Taxmann – MCA raises small company thresholds</t>
  </si>
  <si>
    <t xml:space="preserve">G.S.R. 880(E) dt 01-12-2025</t>
  </si>
  <si>
    <t xml:space="preserve">Lexplosion – daily back-up of books on servers in India</t>
  </si>
  <si>
    <t xml:space="preserve">https://lexplosion.in/companies-must-take-daily-back-up-of-books-of-accounts-etc-maintained-in-electronic-mode-including-at-a-place-outside-india-in-servers-physically-located-in-india/</t>
  </si>
  <si>
    <t xml:space="preserve">Companies (Accounts) Amendment dated 05-08-2022</t>
  </si>
  <si>
    <t xml:space="preserve">ICAI (EIRC upload) – Revised 2024 Implementation Guide on Reporting of Audit Trail</t>
  </si>
  <si>
    <t xml:space="preserve">https://www.eirc-icai.org/uploads/background_materials/Revised 2024_Implementation Guide on Reporting of Audit Trail (1)_1712114860.pdf</t>
  </si>
  <si>
    <t xml:space="preserve">search result only – not opened</t>
  </si>
  <si>
    <t xml:space="preserve">Taxguru – Tax Audit FY 2025-26 guide: Form 3CD</t>
  </si>
  <si>
    <t xml:space="preserve">https://taxguru.in/income-tax/tax-audit-fy-2025-26-guide-form-3cd.html</t>
  </si>
  <si>
    <t xml:space="preserve">CBDT Notification 23/2025 dt 28-03-2025</t>
  </si>
  <si>
    <t xml:space="preserve">eztax – Compare old/new section codes</t>
  </si>
  <si>
    <t xml:space="preserve">44AB -&gt; 63</t>
  </si>
  <si>
    <t xml:space="preserve">ca2013.com – Schedule II Companies Act 2013</t>
  </si>
  <si>
    <t xml:space="preserve">https://ca2013.com/schedule-ii/</t>
  </si>
  <si>
    <t xml:space="preserve">Part A, Part C, Note 6</t>
  </si>
  <si>
    <t xml:space="preserve">Patron Accounting – Depreciation rules 2026</t>
  </si>
  <si>
    <t xml:space="preserve">https://www.patronaccounting.com/blog/depreciation-rules-2026-rates-block-assets</t>
  </si>
  <si>
    <t xml:space="preserve">s.33 ITA 2025; draft Rule 25</t>
  </si>
  <si>
    <t xml:space="preserve">Taxmann – Analysis of Clause 44 of Tax Audit Report</t>
  </si>
  <si>
    <t xml:space="preserve">https://taxmann.com/post/blog/analysis-clause-44-of-tax-audit-report-along-with-illustrations</t>
  </si>
  <si>
    <t xml:space="preserve">cl. 44 columns</t>
  </si>
  <si>
    <t xml:space="preserve">Treelife – Ind AS applicability for private companies</t>
  </si>
  <si>
    <t xml:space="preserve">https://treelife.in/legal/ind-as-applicability-for-private-companies/</t>
  </si>
  <si>
    <t xml:space="preserve">Companies (Ind AS) Rules 2015 Rule 4</t>
  </si>
  <si>
    <t xml:space="preserve">Mondaq – Accounting Standards for SMCs under Companies Act 2013</t>
  </si>
  <si>
    <t xml:space="preserve">https://mondaq.com/india/accounting-standards/1310822/accounting-standards-for-smcs-under-the-companies-act-2013</t>
  </si>
  <si>
    <t xml:space="preserve">Companies (Accounting Standards) Rules 2021</t>
  </si>
  <si>
    <t xml:space="preserve">TaxGuru – Advisory on Form GSTR-1A</t>
  </si>
  <si>
    <t xml:space="preserve">https://taxguru.in/goods-and-service-tax/advisory-form-gstr-1a.html</t>
  </si>
  <si>
    <t xml:space="preserve">N.12/2024-CT; from July 2024 period; once per period; window till 3B filed; auto-populates 3B</t>
  </si>
  <si>
    <t xml:space="preserve">ClearTax – GST return filing rule changes from July 2025</t>
  </si>
  <si>
    <t xml:space="preserve">GSTN advisories 07.06.2025 (3B Table 3 lock), 3-year bar</t>
  </si>
  <si>
    <t xml:space="preserve">Taxmann – returns cannot be filed after 3 years</t>
  </si>
  <si>
    <t xml:space="preserve">TaxHeal – GSTN advisory on reporting supplies to unregistered dealers in GSTR-1/GSTR-5</t>
  </si>
  <si>
    <t xml:space="preserve">https://www.taxheal.com/?p=96273</t>
  </si>
  <si>
    <t xml:space="preserve">N.12/2024-CT dt 10.07.2024: invoice-wise threshold for inter-state B2C reduced Rs 2.5 lakh -&gt; Rs 1 lakh; Table 5</t>
  </si>
  <si>
    <t xml:space="preserve">GSTN advisory – auto-population of e-invoice details into GSTR-1 (ICMAI copy)</t>
  </si>
  <si>
    <t xml:space="preserve">https://icmai.in/upload/Taxation/Advisory_auto-population_GSTR-1.pdf</t>
  </si>
  <si>
    <t xml:space="preserve">B2B 4A/4B, EXP 6A, CDNR 9B, CDNUR(exports) auto-populated; edits blank the IRN; cancelled IRN deleted</t>
  </si>
  <si>
    <t xml:space="preserve">TaxGuru – Finance Act 2025 GST amendments effective 01.10.2025</t>
  </si>
  <si>
    <t xml:space="preserve">N.16/2025-CT; s.34(2) proviso; s.38; s.39(1)</t>
  </si>
  <si>
    <t xml:space="preserve">EY alert – GSTN advisory on IMS changes (23.09.2025)</t>
  </si>
  <si>
    <t xml:space="preserve">https://www.ey.com/en_in/technical/alerts-hub/2025/09/gstn-issues-advisory-on-the-changes-introduced-in-the-invoice-management-system</t>
  </si>
  <si>
    <t xml:space="preserve">pending CN one period; ITC reversal declaration; from Oct 2025 period</t>
  </si>
  <si>
    <t xml:space="preserve">Rule 88C CGST Rules (Chhattisgarh GST dept copy)</t>
  </si>
  <si>
    <t xml:space="preserve">https://cggst.com/wp-content/uploads/2023/07/Rule-88C-3.pdf</t>
  </si>
  <si>
    <t xml:space="preserve">Rule 88C inserted by N.26/2022-CT dt 26.12.2022; threshold 'as recommended by Council' – not stated</t>
  </si>
  <si>
    <t xml:space="preserve">BDO – GSTN advisory: online functionality for difference in tax liability (DRC-01B)</t>
  </si>
  <si>
    <t xml:space="preserve">https://www.bdo.in/en-gb/insights/alerts-updates/gstn-advisory-online-functionality-in-respect-of-the-difference-in-tax</t>
  </si>
  <si>
    <t xml:space="preserve">Council-recommended predefined limit Rs 25 lakh (footnote) and 20%; GSTR-1/IFF of next period blocked if no reply</t>
  </si>
  <si>
    <t xml:space="preserve">Razorpay – DRC-01B guide</t>
  </si>
  <si>
    <t xml:space="preserve">https://razorpay.com/learn/drc-01b-gst-liability-mismatch-guide/</t>
  </si>
  <si>
    <t xml:space="preserve">thresholds not publicly disclosed; DRC-01C 'around Rs 25 lakh / 20%'</t>
  </si>
  <si>
    <t xml:space="preserve">CompuTax – GSTR-3B ITC locking status (09.07.2026)</t>
  </si>
  <si>
    <t xml:space="preserve">3.1/3.2 locked from July 2025 (Advisory 606); Table 4 lock not officially confirmed</t>
  </si>
  <si>
    <t xml:space="preserve">TaxGuru – GSTN 4 advisories December 2025</t>
  </si>
  <si>
    <t xml:space="preserve">05.12.2025 Table 3.2 lock; 18.12.2025 IMS CN; 29.12.2025 ECRRS/RCM</t>
  </si>
  <si>
    <t xml:space="preserve">EY – e-invoicing threshold lowered to Rs 5 crore</t>
  </si>
  <si>
    <t xml:space="preserve">N.10/2023-CT (seen in search results)</t>
  </si>
  <si>
    <t xml:space="preserve">Taxmann – 30-day e-invoice reporting for AATO &gt;= Rs 10 crore</t>
  </si>
  <si>
    <t xml:space="preserve">from 01.04.2025 (seen in search results)</t>
  </si>
  <si>
    <t xml:space="preserve">ClearTax – time limit for e-way bill generation</t>
  </si>
  <si>
    <t xml:space="preserve">Rs 50,000; 180-day document age; 360-day extension</t>
  </si>
  <si>
    <t xml:space="preserve">ClearTax – blocking EWB generation without e-invoice</t>
  </si>
  <si>
    <t xml:space="preserve">https://cleartax.in/s/blocking-e-way-bill-generation-without-e-invoice</t>
  </si>
  <si>
    <t xml:space="preserve">NIC advisory 05.01.2024 withdrawn 10.01.2024</t>
  </si>
  <si>
    <t xml:space="preserve">TaxHeal – 4/6 digit HSN rule (N.78/2020-CT)</t>
  </si>
  <si>
    <t xml:space="preserve">AATO &lt;= 5 cr: 4 digits; &gt; 5 cr: 6 digits</t>
  </si>
  <si>
    <t xml:space="preserve">Taxo – Phase-III HSN advisory (Jan 2025)</t>
  </si>
  <si>
    <t xml:space="preserve">Taxmann – HSN dropdown &amp; Table 13 mandatory in GSTR-1 from May 2025</t>
  </si>
  <si>
    <t xml:space="preserve">https://www.taxmann.com/post/blog/hsn-dropdown-table-13-mandatory-in-gstr-1</t>
  </si>
  <si>
    <t xml:space="preserve">GSTN advisory 01.05.2025; Table 12 B2B/B2C split; Table 13 mandatory from May 2025 return period</t>
  </si>
  <si>
    <t xml:space="preserve">TaxGuru – ITC only as per GSTR-2B w.e.f. 01.01.2022</t>
  </si>
  <si>
    <t xml:space="preserve">N.39/2021-CT (s.16(2)(aa)), N.40/2021-CT (Rule 36(4))</t>
  </si>
  <si>
    <t xml:space="preserve">ClearTax – FAQs on IMS</t>
  </si>
  <si>
    <t xml:space="preserve">IMS from 01.10.2024; deemed acceptance</t>
  </si>
  <si>
    <t xml:space="preserve">ClearTax – Rule 88D DRC-01C</t>
  </si>
  <si>
    <t xml:space="preserve">https://cleartax.in/s/rule-88d-cgst-itc-mismatch-gstr-2b-vs-gstr-3b</t>
  </si>
  <si>
    <t xml:space="preserve">N.38/2023-CT dt 04.08.2023; 7 days; DRC-03; GSTR-1/IFF blocking</t>
  </si>
  <si>
    <t xml:space="preserve">Taxo – GSTN advisory 06.10.2023 on DRC-01C</t>
  </si>
  <si>
    <t xml:space="preserve">https://taxo.online/latest-news/06-10-2023-gstn-issued-advisory-in-respect-of-introduction-of-compliance-pertaining-to-drc-01c/</t>
  </si>
  <si>
    <t xml:space="preserve">2B vs 3B per return period; 'predefined limits'; subsequent GSTR-1/IFF blocked</t>
  </si>
  <si>
    <t xml:space="preserve">Circular 170/02/2022-GST</t>
  </si>
  <si>
    <t xml:space="preserve">GSTR-3B Table 4 and 3.2 reporting</t>
  </si>
  <si>
    <t xml:space="preserve">TaxGuru – ITC reclaim ledger &amp; RCM ledger hard validations</t>
  </si>
  <si>
    <t xml:space="preserve">https://taxguru.in/goods-and-service-tax/gstn-itc-reclaim-ledger-rcm-ledger-hard-validations-block-gstr-3b-filing.html</t>
  </si>
  <si>
    <t xml:space="preserve">advisory 29.12.2025: 4D(1) &lt;= reclaim balance + 4B(2) current; 4A(2)+4A(3) &lt;= 3.1(d) + RCM ledger balance</t>
  </si>
  <si>
    <t xml:space="preserve">Rule 37 CGST Rules (Chhattisgarh GST dept copy)</t>
  </si>
  <si>
    <t xml:space="preserve">Rule 37(1),(2),(4) as substituted by N.19/2022-CT</t>
  </si>
  <si>
    <t xml:space="preserve">Rule 88B CGST Rules (Chhattisgarh GST dept copy)</t>
  </si>
  <si>
    <t xml:space="preserve">Rule 88B(1)-(3)</t>
  </si>
  <si>
    <t xml:space="preserve">GSTHero – ECRRS</t>
  </si>
  <si>
    <t xml:space="preserve">Busy – GSTR-3B hard block survival guide (July 2026)</t>
  </si>
  <si>
    <t xml:space="preserve">https://busy.in/business-updates/how-to-fix-gstr-3b-hard-block/</t>
  </si>
  <si>
    <t xml:space="preserve">Advisory No. 643 dt 29.12.2025; activation date not stated</t>
  </si>
  <si>
    <t xml:space="preserve">TaxRoutine – RCM services notification consolidated</t>
  </si>
  <si>
    <t xml:space="preserve">N.13/2017-CT(Rate) as amended (9/2024, 7/2025)</t>
  </si>
  <si>
    <t xml:space="preserve">ClearTax – RCM on renting of commercial property</t>
  </si>
  <si>
    <t xml:space="preserve">GST Council FAQ on GST 2.0 rate changes</t>
  </si>
  <si>
    <t xml:space="preserve">FAQ 60 (GTA 5%/18%)</t>
  </si>
  <si>
    <t xml:space="preserve">Taxo – GSTN advisory 29.12.2025 on ECRRS &amp; RCM liability/ITC statement</t>
  </si>
  <si>
    <t xml:space="preserve">https://taxo.online/latest-news/29-12-2025-gstn-has-issued-an-advisory-on-electronic-credit-reversal-and-re-claimed-statement-rcm-liability-itc-statement/</t>
  </si>
  <si>
    <t xml:space="preserve">Taxmann – ITC utilisation guide</t>
  </si>
  <si>
    <t xml:space="preserve">s.49(5), 49A, 49B, Rule 88A, Circ 98/17/2019</t>
  </si>
  <si>
    <t xml:space="preserve">Masters India – interest on wrongly availed ITC s.50(3)</t>
  </si>
  <si>
    <t xml:space="preserve">N.9/2022-CT; retrospective 01.07.2017</t>
  </si>
  <si>
    <t xml:space="preserve">TaxTMI forum – FA 2022 substitution of 18% for 24%</t>
  </si>
  <si>
    <t xml:space="preserve">Finance Act 2022 s.116 &amp; Sixth Schedule (secondary)</t>
  </si>
  <si>
    <t xml:space="preserve">Section 170 CGST Act (Chhattisgarh GST dept copy)</t>
  </si>
  <si>
    <t xml:space="preserve">rounding to nearest rupee</t>
  </si>
  <si>
    <t xml:space="preserve">TaxHeal – GSTR-3B QRMP due dates 22nd/24th</t>
  </si>
  <si>
    <t xml:space="preserve">N.82/2020-CT state groups</t>
  </si>
  <si>
    <t xml:space="preserve">TaxHeal – N.19/2021-CT late fee caps GSTR-3B</t>
  </si>
  <si>
    <t xml:space="preserve">caps from June 2021 period</t>
  </si>
  <si>
    <t xml:space="preserve">Lexplosion – GSTR-9 late fee reduced (N.7/2023-CT)</t>
  </si>
  <si>
    <t xml:space="preserve">CalcGuru – GST late fee calculator</t>
  </si>
  <si>
    <t xml:space="preserve">TaxHeal – N.15/2025-CT annual return exemption</t>
  </si>
  <si>
    <t xml:space="preserve">AATO up to Rs 2 crore exempt from GSTR-9 from FY 2024-25</t>
  </si>
  <si>
    <t xml:space="preserve">VJM Global – GSTN FAQs on GSTR-9/9C FY 2024-25</t>
  </si>
  <si>
    <t xml:space="preserve">https://www.vjmglobal.com/blog/gstn-issued-faqs-on-newly-released-form-gstr-9-9c-for-fy-2024-25</t>
  </si>
  <si>
    <t xml:space="preserve">8A from 2B; 8C; 6A1; 8H1; Table 4/5 from GSTR-1/1A/IFF; Table 9 from 3B 6.1</t>
  </si>
  <si>
    <t xml:space="preserve">GSTZen – FAQs on GSTR-9/9C changes FY 2024-25</t>
  </si>
  <si>
    <t xml:space="preserve">Tables 6A1, 8H1; advisory 15.10.2025</t>
  </si>
  <si>
    <t xml:space="preserve">ClearTax – revised GSTR-9C from FY 2020-21</t>
  </si>
  <si>
    <t xml:space="preserve">https://cleartax.in/s/revised-gstr-9c-fy-2020-21</t>
  </si>
  <si>
    <t xml:space="preserve">self-certification; N.29/30/2021-CT; Table 5, 9, 11, 12, 14</t>
  </si>
  <si>
    <t xml:space="preserve">ClearTax – GSTR-9C reconciliation statement</t>
  </si>
  <si>
    <t xml:space="preserve">Rule 42 CGST Rules (Chhattisgarh GST dept copy)</t>
  </si>
  <si>
    <t xml:space="preserve">ICAI CA Journal – GST amendments in Finance Bill 2026</t>
  </si>
  <si>
    <t xml:space="preserve">s.15(3)(b), s.34(1)</t>
  </si>
  <si>
    <t xml:space="preserve">EY – effective date for FA 2024 GST amendments</t>
  </si>
  <si>
    <t xml:space="preserve">s.16(5),(6); N.17/2024-CT</t>
  </si>
  <si>
    <t xml:space="preserve">TaxHeal – N.9/2025-IT(Rate) schedules</t>
  </si>
  <si>
    <t xml:space="preserve">Sch I 5%, II 18%, III 40%, IV 3%, V 0.25%, VI 1.5%, VII 28% (omitted 01.02.2026)</t>
  </si>
  <si>
    <t xml:space="preserve">GST Council 56th meeting press release</t>
  </si>
  <si>
    <t xml:space="preserve">5%/18%/40%; effective 22.09.2025</t>
  </si>
  <si>
    <t xml:space="preserve">West Bengal CTD – GST updates Dec 2025</t>
  </si>
  <si>
    <t xml:space="preserve">19/2025-CT(Rate) w.e.f. 01.02.2026</t>
  </si>
  <si>
    <t xml:space="preserve">GST Portal user manual – TDS and TCS Credit Received</t>
  </si>
  <si>
    <t xml:space="preserve">https://tutorial.gst.gov.in/userguide/inputtaxcredit/manual_tds_and_tcs_credit_received.htm</t>
  </si>
  <si>
    <t xml:space="preserve">accept -&gt; ECL after filing; reject -&gt; back to GSTR-7/8; invoice-level action from Sept 2025</t>
  </si>
  <si>
    <t xml:space="preserve">TaxHeal – N.15/2024-CT TCS rate</t>
  </si>
  <si>
    <t xml:space="preserve">TCS 0.25%+0.25% from 10.07.2024</t>
  </si>
  <si>
    <t xml:space="preserve">TaxGuru – ISD mandatory from 1 April 2025</t>
  </si>
  <si>
    <t xml:space="preserve">N.16/2024-CT; s.2(61), s.20</t>
  </si>
  <si>
    <t xml:space="preserve">TaxHeal – on-demand fetching of BoE from ICEGATE</t>
  </si>
  <si>
    <t xml:space="preserve">https://www.taxheal.com/?p=90244</t>
  </si>
  <si>
    <t xml:space="preserve">IMPG/IMPGSEZ fields; reference date; ~2 days lag; Search BoE</t>
  </si>
  <si>
    <t xml:space="preserve">IndiaFilings – GSTR-4 filing</t>
  </si>
  <si>
    <t xml:space="preserve">Income-tax Act 2025 – section 393 (TDS table)</t>
  </si>
  <si>
    <t xml:space="preserve">s.393(1)-(4)</t>
  </si>
  <si>
    <t xml:space="preserve">Income-tax Act 2025 – section 397 (TAN, statements, higher rate)</t>
  </si>
  <si>
    <t xml:space="preserve">s.397(2),(3)</t>
  </si>
  <si>
    <t xml:space="preserve">Income-tax Rules 2026 – Rule 219 (statements)</t>
  </si>
  <si>
    <t xml:space="preserve">Protean – Do's and Don'ts for deductors/collectors (e-TDS)</t>
  </si>
  <si>
    <t xml:space="preserve">https://tinpan.proteantech.in/downloads/e-tds/download/DosandDontsdeductorscollectors.pdf</t>
  </si>
  <si>
    <t xml:space="preserve">CIN = BSR(7) + challan serial(≤5) + date; one challan entry with full amount; Annexure II only in Q4 24Q</t>
  </si>
  <si>
    <t xml:space="preserve">Form 26Q layout (TDSMAN copy)</t>
  </si>
  <si>
    <t xml:space="preserve">https://www.tdsman.com/downloads/forms/Form-26Q.pdf</t>
  </si>
  <si>
    <t xml:space="preserve">challan cols 401-411; deductee cols 412-425; reason codes A/B/C/T/Y/Z</t>
  </si>
  <si>
    <t xml:space="preserve">CBDT FAQs – higher rate of TDS under section 397</t>
  </si>
  <si>
    <t xml:space="preserve">TaxGuru – TDS not deductible on GST component (Circular 23/2017)</t>
  </si>
  <si>
    <t xml:space="preserve">Circular 23/2017</t>
  </si>
  <si>
    <t xml:space="preserve">eztax – Income-tax Act 2025 section 35</t>
  </si>
  <si>
    <t xml:space="preserve">30% disallowance (secondary)</t>
  </si>
  <si>
    <t xml:space="preserve">TheTaxTalk – checklist for clause 34 of tax audit report</t>
  </si>
  <si>
    <t xml:space="preserve">https://thetaxtalk.com/2025/07/a-simple-checklist-for-clause-34-of-tax-audit-report-to-be-considered-by-auditors/</t>
  </si>
  <si>
    <t xml:space="preserve">cl.34(a)/(b)/(c)</t>
  </si>
  <si>
    <t xml:space="preserve">Income Tax Department – Statement and challan status</t>
  </si>
  <si>
    <t xml:space="preserve">https://www.incometaxindia.gov.in/tax-services/statement-and-challan-status</t>
  </si>
  <si>
    <t xml:space="preserve">TRACES challan status / consumption</t>
  </si>
  <si>
    <t xml:space="preserve">Income-tax Rules 2026 – Rule 218 (time for deposit)</t>
  </si>
  <si>
    <t xml:space="preserve">TDSMAN – FAQ on Form 26AS (booking status F/O/U/P)</t>
  </si>
  <si>
    <t xml:space="preserve">https://blog.tdsman.com/2018/09/faq-on-form-26as-2/</t>
  </si>
  <si>
    <t xml:space="preserve">booking status codes; Parts A/A1/B/C/D/E</t>
  </si>
  <si>
    <t xml:space="preserve">Income-tax Act 1961 – section 201</t>
  </si>
  <si>
    <t xml:space="preserve">s.201(1A)</t>
  </si>
  <si>
    <t xml:space="preserve">Income-tax Act 2025 – section 398 (consequences of failure; interest)</t>
  </si>
  <si>
    <t xml:space="preserve">s.398(3)</t>
  </si>
  <si>
    <t xml:space="preserve">TDSMAN – interest calculation on delayed payment of TDS</t>
  </si>
  <si>
    <t xml:space="preserve">calendar-month counting practice</t>
  </si>
  <si>
    <t xml:space="preserve">TDSMAN – Evaluate TDS defaults using justification report</t>
  </si>
  <si>
    <t xml:space="preserve">https://blog.tdsman.com/2013/07/evaluate-your-tds-defaults-using-justification-report-downloaded-from-traces/</t>
  </si>
  <si>
    <t xml:space="preserve">PAN errors, late payment 1.5%, short deduction</t>
  </si>
  <si>
    <t xml:space="preserve">Income-tax Act 2025 – section 395 (certificates / lower deduction)</t>
  </si>
  <si>
    <t xml:space="preserve">s.395(1),(4)</t>
  </si>
  <si>
    <t xml:space="preserve">CBDT FAQs – Form 128 (lower deduction certificate)</t>
  </si>
  <si>
    <t xml:space="preserve">Form 128 (erstwhile Form 13)</t>
  </si>
  <si>
    <t xml:space="preserve">Income-tax Act 2025 – section 427 (fee for late statement)</t>
  </si>
  <si>
    <t xml:space="preserve">s.427(1)</t>
  </si>
  <si>
    <t xml:space="preserve">CBDT FAQs – Form 130</t>
  </si>
  <si>
    <t xml:space="preserve">Form 130 (erstwhile Form 16)</t>
  </si>
  <si>
    <t xml:space="preserve">Income-tax Act 2025 – section 392 (salary TDS)</t>
  </si>
  <si>
    <t xml:space="preserve">s.392</t>
  </si>
  <si>
    <t xml:space="preserve">TDSMAN – Simple guide for employee income details, Form 24Q-Q4</t>
  </si>
  <si>
    <t xml:space="preserve">https://blog.tdsman.com/2024/04/simple-guide-for-employee-income-details-form-24q-q4/</t>
  </si>
  <si>
    <t xml:space="preserve">Annexure II feeds Form 16 Part B</t>
  </si>
  <si>
    <t xml:space="preserve">Income-tax Rules 1962 – Rule 37BA (credit for TDS)</t>
  </si>
  <si>
    <t xml:space="preserve">Rule 37BA(1)-(3)</t>
  </si>
  <si>
    <t xml:space="preserve">Income-tax Act 2025 – section 390 (payment of tax; rules for credit)</t>
  </si>
  <si>
    <t xml:space="preserve">https://www.incometaxindia.gov.in/w/section-390-6</t>
  </si>
  <si>
    <t xml:space="preserve">s.390(6) – rule-making power for credit</t>
  </si>
  <si>
    <t xml:space="preserve">Income Tax Department – Annual Information Statement</t>
  </si>
  <si>
    <t xml:space="preserve">https://www.incometaxindia.gov.in/annual-information-statement</t>
  </si>
  <si>
    <t xml:space="preserve">AIS Part A/B, TIS derived value, feedback options</t>
  </si>
  <si>
    <t xml:space="preserve">NSDL – FAQs on Annual Information Statement</t>
  </si>
  <si>
    <t xml:space="preserve">https://investor.nsdl.com/portal/en/kb/articles/faqs-on-annual-information-statement-ais-26-10-2023</t>
  </si>
  <si>
    <t xml:space="preserve">feedback options A-F; reported/processed/derived value</t>
  </si>
  <si>
    <t xml:space="preserve">TaxGuru – commonly observed AIS mismatches</t>
  </si>
  <si>
    <t xml:space="preserve">https://taxguru.in/income-tax/commonly-observed-ais-mismatches-trigger-income-tax-notice.html</t>
  </si>
  <si>
    <t xml:space="preserve">GST turnover vs ITR, interest, securities, property</t>
  </si>
  <si>
    <t xml:space="preserve">ClearTax – Income-tax changes from April 2026</t>
  </si>
  <si>
    <t xml:space="preserve">Form 26AS -&gt; Form 168 (secondary)</t>
  </si>
  <si>
    <t xml:space="preserve">TaxAJ – SFT codes in AIS</t>
  </si>
  <si>
    <t xml:space="preserve">https://www.taxaj.com/learn/?p=304</t>
  </si>
  <si>
    <t xml:space="preserve">SFT-001..018 and thresholds (secondary)</t>
  </si>
  <si>
    <t xml:space="preserve">Income Tax Department – Understanding Statement of Financial Transaction (SFT)</t>
  </si>
  <si>
    <t xml:space="preserve">https://www.incometaxindia.gov.in/w/understanding-statement-of-financial-transaction-sft-</t>
  </si>
  <si>
    <t xml:space="preserve">seen in search results only</t>
  </si>
  <si>
    <t xml:space="preserve">Income-tax Act 2025 – section 408 (advance tax instalments)</t>
  </si>
  <si>
    <t xml:space="preserve">s.408</t>
  </si>
  <si>
    <t xml:space="preserve">CBDT Circular 07/2026 – extension of tax audit / ITR due dates AY 2026-27</t>
  </si>
  <si>
    <t xml:space="preserve">Circular 07/2026 dt 28-09-2026</t>
  </si>
  <si>
    <t xml:space="preserve">Income-tax Act 2025 – section 63 (tax audit)</t>
  </si>
  <si>
    <t xml:space="preserve">TaxGuru – Tax audit FY 2025-26 guide, Form 3CD</t>
  </si>
  <si>
    <t xml:space="preserve">Income-tax Act 2025 – section 37 (deduction on actual payment)</t>
  </si>
  <si>
    <t xml:space="preserve">s.37(2)(g), s.37(3)</t>
  </si>
  <si>
    <t xml:space="preserve">India Briefing – MSME tax audit Form 3CD clauses 22 &amp; 26 FY 2025-26</t>
  </si>
  <si>
    <t xml:space="preserve">https://www.india-briefing.com/news/msme-tax-audit-form-3cd-clauses-22-26-fy-2025-26-47290.html/</t>
  </si>
  <si>
    <t xml:space="preserve">cl.22 / cl.26</t>
  </si>
  <si>
    <t xml:space="preserve">Taxmann – analysis of clause 44 of tax audit report</t>
  </si>
  <si>
    <t xml:space="preserve">cl.44 columns</t>
  </si>
  <si>
    <t xml:space="preserve">MSMED Act 2006 (PRS India copy)</t>
  </si>
  <si>
    <t xml:space="preserve">https://PRSINDIA.org/files/bills_acts/acts_parliament/2006/the-micro-small-and-medium-enterprises-development-act-2006.pdf</t>
  </si>
  <si>
    <t xml:space="preserve">s.2(b), 15, 16, 22, 23</t>
  </si>
  <si>
    <t xml:space="preserve">Taxmann – CBDT corrigendum: 43B(h) disallowance under clause 22 of Form 3CD</t>
  </si>
  <si>
    <t xml:space="preserve">Notification 27/2024, corrigendum 34/2024</t>
  </si>
  <si>
    <t xml:space="preserve">TaxGuru – Finance Ministry clarifies 43B(h) 45-day rule</t>
  </si>
  <si>
    <t xml:space="preserve">EPFO – Introduction to ECR 2.0</t>
  </si>
  <si>
    <t xml:space="preserve">https://www.epfindia.gov.in:443/site_docs/PDFs/EPFOUnifiedPortal/Introduction_ECR2.0.pdf</t>
  </si>
  <si>
    <t xml:space="preserve">UAN-wise gross/EPF/EPS/EDLI wages, NCP days, validations</t>
  </si>
  <si>
    <t xml:space="preserve">EPFO – ECR file structure for employers</t>
  </si>
  <si>
    <t xml:space="preserve">https://epfindia.gov.in/site_docs/PDFs/OnlineECR_PDFs/ECR_ForEmployers_FileStructure.pdf</t>
  </si>
  <si>
    <t xml:space="preserve">field list, whole rupees, due ≥ remitted</t>
  </si>
  <si>
    <t xml:space="preserve">SGCMS – FAQs by EPFO: wage ceiling raised to ₹25,000</t>
  </si>
  <si>
    <t xml:space="preserve">ceiling ₹25,000 from 17-09-2026; Sep-2026 split</t>
  </si>
  <si>
    <t xml:space="preserve">KPMG Flash News – New Social Security Schemes 2026</t>
  </si>
  <si>
    <t xml:space="preserve">EPF Scheme 2026 – ECR within 15 days</t>
  </si>
  <si>
    <t xml:space="preserve">Khaitan &amp; Co – Big move in the EPF regime</t>
  </si>
  <si>
    <t xml:space="preserve">interest 12% p.a. separately; damages</t>
  </si>
  <si>
    <t xml:space="preserve">ESIC – Contribution (rates, due date)</t>
  </si>
  <si>
    <t xml:space="preserve">0.75% / 3.25%; due 15th; ₹176 exemption</t>
  </si>
  <si>
    <t xml:space="preserve">TaxClue – Rule 19/20 Social Security (Central) Rules 2026</t>
  </si>
  <si>
    <t xml:space="preserve">ESI round-up</t>
  </si>
  <si>
    <t xml:space="preserve">BankBazaar – Maharashtra PT slab</t>
  </si>
  <si>
    <t xml:space="preserve">MH slab (secondary)</t>
  </si>
  <si>
    <t xml:space="preserve">TaxGuru – summary of CARO 2020 clauses &amp; Schedule III amendments</t>
  </si>
  <si>
    <t xml:space="preserve">3(ii)(b)</t>
  </si>
  <si>
    <t xml:space="preserve">CaseMine – SC affirms disallowance of late employee contributions u/s 36(1)(va)</t>
  </si>
  <si>
    <t xml:space="preserve">TaxGuru – PF/ESI deduction denied where employees' contribution deposited after statutory due date</t>
  </si>
  <si>
    <t xml:space="preserve">eztax – Income-tax Act 2025 section 29</t>
  </si>
  <si>
    <t xml:space="preserve">employee contribution (secondary)</t>
  </si>
  <si>
    <t xml:space="preserve">KS&amp;K – 50% wage rule under Labour Codes</t>
  </si>
  <si>
    <t xml:space="preserve">50% wage definition</t>
  </si>
  <si>
    <t xml:space="preserve">LKS – Gratuity guide 2025</t>
  </si>
  <si>
    <t xml:space="preserve">15/26 formula; ceiling</t>
  </si>
  <si>
    <t xml:space="preserve">SCC Online – Bonus rules under Code on Wages</t>
  </si>
  <si>
    <t xml:space="preserve">eligibility ₹21,000; calc ceiling ₹7,000/min wage</t>
  </si>
  <si>
    <t xml:space="preserve">RBI notification – validity of cheques reduced to 3 months</t>
  </si>
  <si>
    <t xml:space="preserve">RBI/2011-12/251</t>
  </si>
  <si>
    <t xml:space="preserve">Bajaj Finserv – GST on bank account services</t>
  </si>
  <si>
    <t xml:space="preserve">https://www.bajajfinserv.in/gst-on-bank-account</t>
  </si>
  <si>
    <t xml:space="preserve">18% on bank service charges (secondary, no notification cited)</t>
  </si>
  <si>
    <t xml:space="preserve">IDFC FIRST Bank – FAQs on cash withdrawal TDS (194N)</t>
  </si>
  <si>
    <t xml:space="preserve">https://www.idfcfirst.bank.in/content/dam/IDFCFirstBank/PDF/TDS/FAQs_on_cash_withdrawal_TDS.pdf</t>
  </si>
  <si>
    <t xml:space="preserve">aggregation across accounts with one bank; TDS on excess; shown in 26AS</t>
  </si>
  <si>
    <t xml:space="preserve">194N</t>
  </si>
  <si>
    <t xml:space="preserve">DPNC – Amendment in Schedule III (w.e.f. 01-04-2021)</t>
  </si>
  <si>
    <t xml:space="preserve">ageing schedules; ARI</t>
  </si>
  <si>
    <t xml:space="preserve">useful lives; residual ≤5%</t>
  </si>
  <si>
    <t xml:space="preserve">TheTaxTalk – CARO 2020 quarterly returns with bankers</t>
  </si>
  <si>
    <t xml:space="preserve">https://thetaxtalk.com/2022/05/caro-2020-auditor-now-required-to-check-the-quarterly-return-filed-by-the-company-with-the-banker/</t>
  </si>
  <si>
    <t xml:space="preserve">CARO 3(ii)(b)</t>
  </si>
  <si>
    <t xml:space="preserve">Taxmann – MSMED Act disclosure under Schedule III</t>
  </si>
  <si>
    <t xml:space="preserve">s.22 disclosures</t>
  </si>
  <si>
    <t xml:space="preserve">Taxmann – MCA revises MSME Form 1</t>
  </si>
  <si>
    <t xml:space="preserve">S.O. 2751(E) 15-07-2024</t>
  </si>
  <si>
    <t xml:space="preserve">Reserve Bank of India – home (Bank Rate)</t>
  </si>
  <si>
    <t xml:space="preserve">Bank Rate as displayed</t>
  </si>
  <si>
    <t xml:space="preserve">All sources consulted</t>
  </si>
  <si>
    <t xml:space="preserve">Every page consulted during research, by stream (de-duplicated within stream).</t>
  </si>
  <si>
    <t xml:space="preserve">Research stream</t>
  </si>
  <si>
    <t xml:space="preserve">Finance Bill 2026 (incometaxindia.gov.in)</t>
  </si>
  <si>
    <t xml:space="preserve">https://incometaxindia.gov.in/Budgets%20and%20Bills/2026/Finance_Bill-2026.pdf</t>
  </si>
  <si>
    <t xml:space="preserve">Taxmann - Lok Sabha passes Finance Bill 2026 with 30+ amendments</t>
  </si>
  <si>
    <t xml:space="preserve">https://www.taxmann.com/post/blog/lok-sabha-passes-the-finance-bill-incorporating-over-30-amendments/</t>
  </si>
  <si>
    <t xml:space="preserve">Deccan Herald - Centre notifies Income Tax Act 2025 to come into effect from 1 April 2026</t>
  </si>
  <si>
    <t xml:space="preserve">https://www.deccanherald.com/business/centre-notifies-income-tax-act-2025-law-to-come-into-effect-from-april-1-2026-3693171</t>
  </si>
  <si>
    <t xml:space="preserve">News On AIR - Income-tax Act 2025 gets President's assent</t>
  </si>
  <si>
    <t xml:space="preserve">https://www.newsonair.gov.in/income-tax-act-2025-gets-presidents-assent-will-be-effective-from-1st-april-2026</t>
  </si>
  <si>
    <t xml:space="preserve">TaxHeal - Section-wise mapping of new Income Tax Act 2025</t>
  </si>
  <si>
    <t xml:space="preserve">https://www.taxheal.com/section-wise-mapping-of-new-income-tax-act-2025.html</t>
  </si>
  <si>
    <t xml:space="preserve">JSA - EPF Act remains operational despite repeal</t>
  </si>
  <si>
    <t xml:space="preserve">https://www.jsalaw.com/jsa_news/epf-act-remains-operational-despite-being-repealed-in-new-labour-laws-heres-why</t>
  </si>
  <si>
    <t xml:space="preserve">TaxClue - Leave encashment ITA 2025</t>
  </si>
  <si>
    <t xml:space="preserve">https://taxclue.in/blog/leave-encashment-ita-2025-exempt-limit</t>
  </si>
  <si>
    <t xml:space="preserve">Taxo – GSTN advisory 30.06.2023 on DRC-01B</t>
  </si>
  <si>
    <t xml:space="preserve">https://taxo.online/latest-news/30-06-2023-advisory-issued-on-online-compliance-pertaining-to-liability-difference-appearing-in-r1-r3b-drc-01b/</t>
  </si>
  <si>
    <t xml:space="preserve">Document catalogue</t>
  </si>
  <si>
    <t xml:space="preserve">Vayana GSP docs – GSTR-1 download (GSTN payload sample, b2b)</t>
  </si>
  <si>
    <t xml:space="preserve">https://docs.enriched-api.vayana.com/routes/basic/gstn/apis/returns/Gstr-Download-Lite-Api/gstr-1/</t>
  </si>
  <si>
    <t xml:space="preserve">india-compliance (ERPNext GST app) – GSTR-1 field map (gst_returns/fields/gstr1.py, RawField = portal JSON keys)</t>
  </si>
  <si>
    <t xml:space="preserve">https://github.com/resilient-tech/india-compliance</t>
  </si>
  <si>
    <t xml:space="preserve">GST Developer Portal – Taxpayer API (returns/ledger lists)</t>
  </si>
  <si>
    <t xml:space="preserve">https://developer.gst.gov.in/apiportal/taxpayer/returns/apilist</t>
  </si>
  <si>
    <t xml:space="preserve">GSTN advisory 01.05.2025 – HSN Table 12 and Table 13 (TaxO reproduction)</t>
  </si>
  <si>
    <t xml:space="preserve">https://taxo.online/latest-news/02-05-2025-gstn-issued-advisory-relating-to-reporting-of-hsn-codes-in-table-12-and-list-of-documents-in-table-13-of-gstr-1-1a/</t>
  </si>
  <si>
    <t xml:space="preserve">GSTN advisory 15.01.2024 – new Tables 14 &amp; 15 in GSTR-1 (TaxO reproduction)</t>
  </si>
  <si>
    <t xml:space="preserve">https://taxo.online/latest-news/16-01-2024-gstn-issued-advisory-on-introduction-of-new-tables-14-15-in-gstr-1/</t>
  </si>
  <si>
    <t xml:space="preserve">GST portal contextual help – GSTR-1 Table 14</t>
  </si>
  <si>
    <t xml:space="preserve">https://tutorial.gst.gov.in/contextualhelp/Einv/SUPECO_14.htm</t>
  </si>
  <si>
    <t xml:space="preserve">GSTN advisory 26.07.2024 on GSTR-1A (TaxO reproduction)</t>
  </si>
  <si>
    <t xml:space="preserve">https://taxo.online/latest-news/27-07-2024-advisory-issued-relating-to-form-gstr-1a/</t>
  </si>
  <si>
    <t xml:space="preserve">Masters India API docs – Save GSTR-3B data (payload keys)</t>
  </si>
  <si>
    <t xml:space="preserve">https://docs.mastersindia.co/goods-and-services-tax-gst-api/save_3b_data</t>
  </si>
  <si>
    <t xml:space="preserve">Form GSTR-3B (reproduction, Rule 61(5))</t>
  </si>
  <si>
    <t xml:space="preserve">https://www.gstgyaan.com/pdf/form-gstr-3b.pdf</t>
  </si>
  <si>
    <t xml:space="preserve">Changes in GSTR-3B w.e.f. 01.09.2022 (VJM Global)</t>
  </si>
  <si>
    <t xml:space="preserve">https://www.vjmglobal.com/blog/changes-in-gstr-3b-with-effect-from-01-09-2022</t>
  </si>
  <si>
    <t xml:space="preserve">Table 3.1.1 of GSTR-3B (ClearTax)</t>
  </si>
  <si>
    <t xml:space="preserve">https://cleartax.in/s/table-3-1-1-of-gstr-3b-for-e-commerce-transactions-under-95</t>
  </si>
  <si>
    <t xml:space="preserve">Manual &gt; GSTR-9 (8A source change 2A -&gt; 2B)</t>
  </si>
  <si>
    <t xml:space="preserve">https://tutorial.gst.gov.in/userguide/returns/Manual_gstr9.htm</t>
  </si>
  <si>
    <t xml:space="preserve">Vayana GSP docs – GSTR-2B download (GSTN payload sample)</t>
  </si>
  <si>
    <t xml:space="preserve">https://docs.enriched-api.vayana.com/routes/basic/gstn/apis/returns/Gstr-Download-Lite-Api/gstr-2b/</t>
  </si>
  <si>
    <t xml:space="preserve">GSTN FAQs on IMS (gstgyaan copy)</t>
  </si>
  <si>
    <t xml:space="preserve">https://www.gstgyaan.com/pdf/faqs-on-invoice-management-system.pdf</t>
  </si>
  <si>
    <t xml:space="preserve">Form GSTR-9 (reproduction)</t>
  </si>
  <si>
    <t xml:space="preserve">https://www.gstgyaan.com/pdf/form-gstr-9.pdf</t>
  </si>
  <si>
    <t xml:space="preserve">GSTR-9 FY 2024-25 changes (TaxGuru)</t>
  </si>
  <si>
    <t xml:space="preserve">https://taxguru.in/?p=1004189</t>
  </si>
  <si>
    <t xml:space="preserve">Notification No. 15/2025-Central Tax (TaxHeal)</t>
  </si>
  <si>
    <t xml:space="preserve">Form GSTR-9C (reproduction)</t>
  </si>
  <si>
    <t xml:space="preserve">https://www.gstgyaan.com/pdf/form-gstr-9c.pdf</t>
  </si>
  <si>
    <t xml:space="preserve">Form GSTR-4 (reproduction)</t>
  </si>
  <si>
    <t xml:space="preserve">https://www.gstgyaan.com/pdf/form-gstr-4.pdf</t>
  </si>
  <si>
    <t xml:space="preserve">FORM GST CMP-08 (Chhattisgarh GST copy)</t>
  </si>
  <si>
    <t xml:space="preserve">https://www.cggst.com/uploads/document/1748517231-form-gst-cmp-08.pdf</t>
  </si>
  <si>
    <t xml:space="preserve">FORM GSTR-7 (Chhattisgarh GST copy)</t>
  </si>
  <si>
    <t xml:space="preserve">https://www.cggst.com/uploads/document/1745416157-r-07.pdf</t>
  </si>
  <si>
    <t xml:space="preserve">GSTN advisory 07.05.2025 – deferment of invoice-wise reporting in GSTR-7 (TaxO)</t>
  </si>
  <si>
    <t xml:space="preserve">https://taxo.online/latest-news/07-05-2025-gstn-issued-advisory-on-deferment-invoice-wise-reporting-functionality-in-form-gstr-7/</t>
  </si>
  <si>
    <t xml:space="preserve">FAQs &gt; Form GSTR-7 (GST portal)</t>
  </si>
  <si>
    <t xml:space="preserve">https://tutorial.gst.gov.in/userguide/returns/GSTR7_FAQ.htm</t>
  </si>
  <si>
    <t xml:space="preserve">Form GSTR-8 (reproduction)</t>
  </si>
  <si>
    <t xml:space="preserve">https://www.gstgyaan.com/pdf/form-gstr-8.pdf</t>
  </si>
  <si>
    <t xml:space="preserve">NIC e-Invoice API sandbox – Generate IRN (schema v1.1)</t>
  </si>
  <si>
    <t xml:space="preserve">https://einv-apisandbox.nic.in/version1.03/generate-irn.html</t>
  </si>
  <si>
    <t xml:space="preserve">Logitax – Standard Create E-invoice (field list)</t>
  </si>
  <si>
    <t xml:space="preserve">https://docs.logitax.in/Docs/Standard_Create_E_invoice</t>
  </si>
  <si>
    <t xml:space="preserve">Schema (Version 1.1) – e-invoice field table (ICAI branch reproduction)</t>
  </si>
  <si>
    <t xml:space="preserve">https://mspa.in/detail/38865.aspx</t>
  </si>
  <si>
    <t xml:space="preserve">EY – e-invoicing threshold Rs 5 crore w.e.f. 01.08.2023</t>
  </si>
  <si>
    <t xml:space="preserve">NIC E-Way Bill API docs – Generate E-Way Bill (v1.03)</t>
  </si>
  <si>
    <t xml:space="preserve">https://docs.ewaybillgst.gov.in/apidocs/version1.03/generate-eway-bill.html</t>
  </si>
  <si>
    <t xml:space="preserve">Logitax – Get E-Way Bill by EWB No (response sample)</t>
  </si>
  <si>
    <t xml:space="preserve">https://docs.logitax.in/Docs/Standard_Get_E_Way_Bill_By_EWB_No</t>
  </si>
  <si>
    <t xml:space="preserve">Process of generating e-way bill and validity (Taxmann)</t>
  </si>
  <si>
    <t xml:space="preserve">https://www.taxmann.com/post/blog/process-of-generating-e-way-bill/</t>
  </si>
  <si>
    <t xml:space="preserve">GST payment forms PMT-01 to PMT-06 (Goa State Tax)</t>
  </si>
  <si>
    <t xml:space="preserve">https://statetax.goa.gov.in/PDF/gst_forms/Payment.pdf</t>
  </si>
  <si>
    <t xml:space="preserve">Get Cash Ledger – GST API sandbox sample (Qodex)</t>
  </si>
  <si>
    <t xml:space="preserve">https://developers.qodex.ai/sandbox-api/gst-compliance/taxpayer-ledgers/get-cash-ledger</t>
  </si>
  <si>
    <t xml:space="preserve">GST Developer Portal – Ledger API index</t>
  </si>
  <si>
    <t xml:space="preserve">https://developer.gst.gov.in/apiportal/taxpayer/ledger</t>
  </si>
  <si>
    <t xml:space="preserve">Understanding ECRS (Cygnet)</t>
  </si>
  <si>
    <t xml:space="preserve">https://www.cygnet.one/blog/understanding-electronic-credit-reversal-and-re-claimed-statement-ecrs</t>
  </si>
  <si>
    <t xml:space="preserve">Manual – GST FORM DRC-03 (GST portal user guide)</t>
  </si>
  <si>
    <t xml:space="preserve">https://tutorial.gst.gov.in/userguide/demandsandrecovery/Manual_GST_FORM_DRC-03.htm</t>
  </si>
  <si>
    <t xml:space="preserve">Advisory for Form GST DRC-03A dated 05.06.2024 (gstgyaan)</t>
  </si>
  <si>
    <t xml:space="preserve">https://www.gstgyaan.com/advisory-for-form-gst-drc-03a-dated-05-06-2024</t>
  </si>
  <si>
    <t xml:space="preserve">Form 26AS (published sample, TRACES format, 2026)</t>
  </si>
  <si>
    <t xml:space="preserve">https://www.neist.res.in/assets/pdf/CAZPT3636C-2026.pdf</t>
  </si>
  <si>
    <t xml:space="preserve">ClearTax – View Form 26AS</t>
  </si>
  <si>
    <t xml:space="preserve">https://cleartax.in/s/view-form-26as-tax-credit-statement</t>
  </si>
  <si>
    <t xml:space="preserve">TDSMAN – FAQ on Form 26AS</t>
  </si>
  <si>
    <t xml:space="preserve">https://blog.tdsman.com/2014/06/faq-on-form-26as</t>
  </si>
  <si>
    <t xml:space="preserve">TDSMAN – Different matching statuses in Form 16/16A (2026)</t>
  </si>
  <si>
    <t xml:space="preserve">https://blog.tdsman.com/2026/02/different-matching-statuses-form-16-form-16a/</t>
  </si>
  <si>
    <t xml:space="preserve">Income Tax Department – Form 168 FAQs</t>
  </si>
  <si>
    <t xml:space="preserve">https://www.incometaxindia.gov.in/documents/d/guest/form-168-faqs</t>
  </si>
  <si>
    <t xml:space="preserve">e-Filing portal – AIS help</t>
  </si>
  <si>
    <t xml:space="preserve">https://www.incometax.gov.in/iec/foportal/help/all-topics/e-filing-services/ais-annual-information-statement</t>
  </si>
  <si>
    <t xml:space="preserve">e-Filing portal – AIS FAQs</t>
  </si>
  <si>
    <t xml:space="preserve">https://www.incometax.gov.in/iec/foportal/help/all-topics/e-filing-services/ais%20-%20annual%20information%20statement-faqs</t>
  </si>
  <si>
    <t xml:space="preserve">TaxGuru – View AIS</t>
  </si>
  <si>
    <t xml:space="preserve">https://taxguru.in/income-tax/view-ais-annual-information-statement.html</t>
  </si>
  <si>
    <t xml:space="preserve">TaxAJ – SFT codes in AIS (2026)</t>
  </si>
  <si>
    <t xml:space="preserve">e-Filing – ITR-3 schema change document AY 2026-27 v1.1</t>
  </si>
  <si>
    <t xml:space="preserve">https://www.incometax.gov.in/iec/foportal/sites/default/files/2026-07/ITR%203_Schema%20change%20document_AY2026-27_V1.1_0.pdf</t>
  </si>
  <si>
    <t xml:space="preserve">TaxHeal – Part B-TTI AY 2026-27</t>
  </si>
  <si>
    <t xml:space="preserve">https://www.taxheal.com/part-b-tti-computation-of-tax-liability-on-total-income-ay-2026-27.html</t>
  </si>
  <si>
    <t xml:space="preserve">TaxHeal – Part B-TI AY 2026-27</t>
  </si>
  <si>
    <t xml:space="preserve">https://www.taxheal.com/part-b-ti-statement-of-income-for-the-period-ended-on-31st-march-ay-2026-27.html</t>
  </si>
  <si>
    <t xml:space="preserve">CBDT Circular 7/2026</t>
  </si>
  <si>
    <t xml:space="preserve">Income Tax Department – Rule 37BA</t>
  </si>
  <si>
    <t xml:space="preserve">Income Tax Department – Form 130 FAQs</t>
  </si>
  <si>
    <t xml:space="preserve">Income Tax Department – Form No. 138 note</t>
  </si>
  <si>
    <t xml:space="preserve">https://www.incometaxindia.gov.in/documents/d/guest/fn-138</t>
  </si>
  <si>
    <t xml:space="preserve">TaxGuru – Form 131 TDS certificate</t>
  </si>
  <si>
    <t xml:space="preserve">TDSMAN – Key features RPU/FVU 1.2 (Forms 138/140/143/144)</t>
  </si>
  <si>
    <t xml:space="preserve">https://blog.tdsman.com/downloads/key_features_fvu_1_2.pdf</t>
  </si>
  <si>
    <t xml:space="preserve">TDSMAN – New FVU 1.2 released 19 Aug 2026</t>
  </si>
  <si>
    <t xml:space="preserve">https://blog.tdsman.com/2026/08/new-file-validation-utility-fvu-version-1-2-released-on-19th-august-2026/</t>
  </si>
  <si>
    <t xml:space="preserve">Oracle JD Edwards – Text file fields output for Form 26Q</t>
  </si>
  <si>
    <t xml:space="preserve">https://docs.oracle.com/cd/E16582_01/doc.91/e23355/txt_file_field_26q.htm</t>
  </si>
  <si>
    <t xml:space="preserve">Protean – Form 26Q (as approved by ITD, 04-01-2018)</t>
  </si>
  <si>
    <t xml:space="preserve">https://tinpan.proteantech.in/downloads/e-tds/download/26Q_04012018.pdf</t>
  </si>
  <si>
    <t xml:space="preserve">Income Tax Department – Rule 219</t>
  </si>
  <si>
    <t xml:space="preserve">Income Tax Department – Form No. 140 note</t>
  </si>
  <si>
    <t xml:space="preserve">https://www.incometaxindia.gov.in/documents/d/guest/fn-140</t>
  </si>
  <si>
    <t xml:space="preserve">Protean – Dos and Don'ts for deductors/collectors</t>
  </si>
  <si>
    <t xml:space="preserve">Income Tax Department – Form No. 144 note</t>
  </si>
  <si>
    <t xml:space="preserve">https://www.incometaxindia.gov.in/documents/d/guest/fn-144</t>
  </si>
  <si>
    <t xml:space="preserve">Income Tax Department – Form No. 143 note</t>
  </si>
  <si>
    <t xml:space="preserve">https://www.incometaxindia.gov.in/documents/d/guest/fn-143</t>
  </si>
  <si>
    <t xml:space="preserve">TaxGuru – Q1 tax year 2026-27 TDS/TCS forms &amp; due dates</t>
  </si>
  <si>
    <t xml:space="preserve">ClearTax – TDS Challan ITNS 281</t>
  </si>
  <si>
    <t xml:space="preserve">https://cleartax.in/s/tds-challan-itns-281</t>
  </si>
  <si>
    <t xml:space="preserve">Income Tax Department – Rule 218</t>
  </si>
  <si>
    <t xml:space="preserve">Income Tax Department – Form No. 137 note</t>
  </si>
  <si>
    <t xml:space="preserve">https://www.incometaxindia.gov.in/documents/d/guest/fn-137</t>
  </si>
  <si>
    <t xml:space="preserve">ClearTax – Download justification report</t>
  </si>
  <si>
    <t xml:space="preserve">https://cleartax.in/s/download-justification-report-to-reply-to-tds-demand-notice</t>
  </si>
  <si>
    <t xml:space="preserve">Quicko – TRACES download justification report</t>
  </si>
  <si>
    <t xml:space="preserve">https://learn.quicko.com/traces-download-justification-report-24q-26q-27q</t>
  </si>
  <si>
    <t xml:space="preserve">Income Tax Department – Section 397 ITA 2025</t>
  </si>
  <si>
    <t xml:space="preserve">Tally – Export data in TallyPrime</t>
  </si>
  <si>
    <t xml:space="preserve">https://help.tallysolutions.com/tally-prime/export-data-in-tally</t>
  </si>
  <si>
    <t xml:space="preserve">Tally – Sample Excel files for import (field names &amp; aliases)</t>
  </si>
  <si>
    <t xml:space="preserve">https://help.tallysolutions.com/tally-prime/import-data/download-sample-excel-files-with-data-for-import</t>
  </si>
  <si>
    <t xml:space="preserve">PKC – Form 3CD AY 2026-27 clause-wise changes</t>
  </si>
  <si>
    <t xml:space="preserve">https://www.pkcindia.com/blog/form-3cd-reporting-for-ay-2026-27-clause-wise-changes-every-business-should-check-before-the-tax-audit/</t>
  </si>
  <si>
    <t xml:space="preserve">TaxGuru – Tax audit FY 2025-26 guide Form 3CD</t>
  </si>
  <si>
    <t xml:space="preserve">ClearTax – Form 26 tax audit (IT Rules 2026)</t>
  </si>
  <si>
    <t xml:space="preserve">Income Tax Department – Section 234C</t>
  </si>
  <si>
    <t xml:space="preserve">Income Tax Department – Section 425 ITA 2025</t>
  </si>
  <si>
    <t xml:space="preserve">EPFO – Contribution rates</t>
  </si>
  <si>
    <t xml:space="preserve">ESIC – Contribution</t>
  </si>
  <si>
    <t xml:space="preserve">EPFO – ECR for Employers File Structure</t>
  </si>
  <si>
    <t xml:space="preserve">EPFO – Revamped ECR</t>
  </si>
  <si>
    <t xml:space="preserve">https://www.epfindia.gov.in/site_en/revamped_ecr.php</t>
  </si>
  <si>
    <t xml:space="preserve">EPFO combined challan sample (public vendor portal)</t>
  </si>
  <si>
    <t xml:space="preserve">https://vcportal.endurancegroup.com/data/contractor/2303_13__section1_.pdf</t>
  </si>
  <si>
    <t xml:space="preserve">PocketHRMS – ESI return file</t>
  </si>
  <si>
    <t xml:space="preserve">https://docs.pockethrms.com/report-generation/esi-return-file</t>
  </si>
  <si>
    <t xml:space="preserve">ESIC contribution history sample (Delhi Govt hospital)</t>
  </si>
  <si>
    <t xml:space="preserve">https://shmch.delhi.gov.in/sites/default/files/inline-files/esic_2.pdf</t>
  </si>
  <si>
    <t xml:space="preserve">Paybooks – ESI remarks values</t>
  </si>
  <si>
    <t xml:space="preserve">https://support.paybooks.in/support/solutions/articles/4000092794-why-values-need-be-selected-in-esi-remarks-field-</t>
  </si>
  <si>
    <t xml:space="preserve">WBXpress – PT schedule 2026</t>
  </si>
  <si>
    <t xml:space="preserve">Tally – Sales Register (Sales Day Book)</t>
  </si>
  <si>
    <t xml:space="preserve">https://help.tallysolutions.com/docs/te9rel66/Reports/Display_Registers_Ledgers/Sales_Register_Sales_Day_Book.htm</t>
  </si>
  <si>
    <t xml:space="preserve">RBI – cheque validity 3 months</t>
  </si>
  <si>
    <t xml:space="preserve">TaxGuru – CARO 2020 &amp; Schedule III summary</t>
  </si>
  <si>
    <t xml:space="preserve">DPNC – Schedule III amendments w.e.f. 01-04-2021</t>
  </si>
  <si>
    <t xml:space="preserve">Taxmann – MSME Form 1 revised</t>
  </si>
  <si>
    <t xml:space="preserve">FoxMandal – MSME classification limits revised</t>
  </si>
  <si>
    <t xml:space="preserve">Converting this workbook to YAML</t>
  </si>
  <si>
    <t xml:space="preserve">Each rule sheet: row 4 = human header, row 5 = YAML key, rows 6+ = one rule per row. The rules below make the conversion lossless.</t>
  </si>
  <si>
    <t xml:space="preserve">Convention</t>
  </si>
  <si>
    <t xml:space="preserve">Applies to</t>
  </si>
  <si>
    <t xml:space="preserve">One YAML file per rule</t>
  </si>
  <si>
    <t xml:space="preserve">All rule sheets</t>
  </si>
  <si>
    <t xml:space="preserve">File name = rule_id.yaml (e.g. RC-GST-013.yaml). Read keys from row 5; skip empty cells or keep as "".</t>
  </si>
  <si>
    <t xml:space="preserve">rule_type column</t>
  </si>
  <si>
    <t xml:space="preserve">statutory_rule = legal computation / validation; reconciliation_rule = compares Document A with Document B (and C).</t>
  </si>
  <si>
    <t xml:space="preserve">Lists</t>
  </si>
  <si>
    <t xml:space="preserve">match_keys, compare_fields, mismatch_categories, severity_by_category, params, inputs</t>
  </si>
  <si>
    <t xml:space="preserve">Split on "; " (semicolon + space). match_keys item: "DOC_A.field = DOC_B.field". compare_fields item: "DOC_A.field vs DOC_B.field". mismatch_categories item: "CODE: meaning". severity_by_category item: "CODE=Severity".</t>
  </si>
  <si>
    <t xml:space="preserve">Parameters</t>
  </si>
  <si>
    <t xml:space="preserve">Each "key=value" becomes params.key. Cast numbers and true/false; keep dates as ISO strings. These are the values a CA edits in the rule UI.</t>
  </si>
  <si>
    <t xml:space="preserve">Sources</t>
  </si>
  <si>
    <t xml:space="preserve">One source per line: "title | url | ref" → list of {title, url, ref}.</t>
  </si>
  <si>
    <t xml:space="preserve">Multi-line text</t>
  </si>
  <si>
    <t xml:space="preserve">logic_steps, pseudocode, sample data</t>
  </si>
  <si>
    <t xml:space="preserve">Write as YAML block scalars (|). Steps are numbered "1. … 2. …".</t>
  </si>
  <si>
    <t xml:space="preserve">Field names</t>
  </si>
  <si>
    <t xml:space="preserve">match_keys, compare_fields</t>
  </si>
  <si>
    <t xml:space="preserve">Canonical names from the Document Fields sheet. Derived fields are defined there with "DERIVED:"; resolve them in the import layer.</t>
  </si>
  <si>
    <t xml:space="preserve">Fields to add when converting</t>
  </si>
  <si>
    <t xml:space="preserve">All rules</t>
  </si>
  <si>
    <t xml:space="preserve">valid_from, valid_to (law version by date), law (ITA1961 | ITA2025 | CGST | EPF | ESI …), enabled (false until signed off in Review Register), version, last_reviewed_by, last_reviewed_on.</t>
  </si>
  <si>
    <t xml:space="preserve">Keep the exact five values; the UI should block enabling any rule not signed off.</t>
  </si>
  <si>
    <t xml:space="preserve">Exception record (output of every reconciliation rule)</t>
  </si>
  <si>
    <t xml:space="preserve">Engine</t>
  </si>
  <si>
    <t xml:space="preserve">client_id, period, rule_id, rule_version, run_id, doc_a_ref, doc_b_ref, match_key_values, field, value_a, value_b, difference, category, severity, suggested_action, status (Open / Explained / Resolved / Waived), reviewer, reviewed_on, comment.</t>
  </si>
  <si>
    <t xml:space="preserve">Severity</t>
  </si>
  <si>
    <t xml:space="preserve">Critical = tax/ITC/interest exposure or statutory default; High = likely error needing correction; Medium = review needed; Low = informational / within tolerance.</t>
  </si>
  <si>
    <t xml:space="preserve">Example – reconciliation rule as YAML (abridged)</t>
  </si>
  <si>
    <t xml:space="preserve">rule_id: RC-GST-013</t>
  </si>
  <si>
    <t xml:space="preserve">rule_type: reconciliation_rule</t>
  </si>
  <si>
    <t xml:space="preserve">name: "Purchase register vs GSTR-2B – invoice-level ITC matching"</t>
  </si>
  <si>
    <t xml:space="preserve">doc_a: PURCH_REG</t>
  </si>
  <si>
    <t xml:space="preserve">doc_b: GSTR2B</t>
  </si>
  <si>
    <t xml:space="preserve">valid_from: 2022-01-01</t>
  </si>
  <si>
    <t xml:space="preserve">valid_to: null</t>
  </si>
  <si>
    <t xml:space="preserve">enabled: false</t>
  </si>
  <si>
    <t xml:space="preserve">match_keys:</t>
  </si>
  <si>
    <t xml:space="preserve">  - "PURCH_REG.party_gstin = GSTR2B.supplier_gstin"</t>
  </si>
  <si>
    <t xml:space="preserve">  - "PURCH_REG.doc_type = GSTR2B.doc_type"</t>
  </si>
  <si>
    <t xml:space="preserve">  - "PURCH_REG.supplier_invoice_no = GSTR2B.invoice_no"</t>
  </si>
  <si>
    <t xml:space="preserve">  - "PURCH_REG.fy = fy(GSTR2B.invoice_date)"</t>
  </si>
  <si>
    <t xml:space="preserve">compare_fields:</t>
  </si>
  <si>
    <t xml:space="preserve">  - "PURCH_REG.supplier_invoice_date vs GSTR2B.invoice_date"</t>
  </si>
  <si>
    <t xml:space="preserve">  - "PURCH_REG.taxable_value vs GSTR2B.taxable_value"</t>
  </si>
  <si>
    <t xml:space="preserve">  - "PURCH_REG.igst vs GSTR2B.igst_amount"</t>
  </si>
  <si>
    <t xml:space="preserve">  - "PURCH_REG.cgst vs GSTR2B.cgst_amount"</t>
  </si>
  <si>
    <t xml:space="preserve">  - "PURCH_REG.sgst_utgst vs GSTR2B.sgst_amount"</t>
  </si>
  <si>
    <t xml:space="preserve">  - "PURCH_REG.cess vs GSTR2B.cess_amount"</t>
  </si>
  <si>
    <t xml:space="preserve">  # …</t>
  </si>
  <si>
    <t xml:space="preserve">params:</t>
  </si>
  <si>
    <t xml:space="preserve">  value_tolerance_inr: 1</t>
  </si>
  <si>
    <t xml:space="preserve">  pct_tolerance: 0</t>
  </si>
  <si>
    <t xml:space="preserve">  date_window_days: 3</t>
  </si>
  <si>
    <t xml:space="preserve">  fuzzy_match: true</t>
  </si>
  <si>
    <t xml:space="preserve">  lookback_months: 12</t>
  </si>
  <si>
    <t xml:space="preserve">  lookahead_until: 30-Nov-next-FY</t>
  </si>
  <si>
    <t xml:space="preserve">severity_by_category:</t>
  </si>
  <si>
    <t xml:space="preserve">  MATCHED: Low</t>
  </si>
  <si>
    <t xml:space="preserve">  VALUE_MISMATCH: Medium</t>
  </si>
  <si>
    <t xml:space="preserve">  TAX_MISMATCH: High</t>
  </si>
  <si>
    <t xml:space="preserve">  HEAD_MISMATCH: High</t>
  </si>
  <si>
    <t xml:space="preserve">  DATE_MISMATCH: Low</t>
  </si>
  <si>
    <t xml:space="preserve">  PERIOD_MISMATCH: Medium</t>
  </si>
  <si>
    <t xml:space="preserve">verification_status: "Partially verified"</t>
  </si>
  <si>
    <t xml:space="preserve">Research methodology</t>
  </si>
  <si>
    <t xml:space="preserve">Research date 13 October 2026. Applicable period: FY 2025-26 / AY 2026-27 (Income-tax Act, 1961) and Tax Year 2026-27 (Income-tax Act, 2025, in force from 1 April 2026); GST, payroll and company-law positions as at 13 Oct 2026.</t>
  </si>
  <si>
    <t xml:space="preserve">Rule set for an offline Reconciliation &amp; Verification Tool: for each client, documents (GST returns, TDS returns, 26AS/AIS, payroll returns, bank statements, client registers and ledgers) are compared with one another; mismatches and wrong calculations are flagged, stored and reviewed by the CA.</t>
  </si>
  <si>
    <t xml:space="preserve">Two rule types</t>
  </si>
  <si>
    <t xml:space="preserve">Statutory rules (legal provisions, rates, thresholds, due dates, computations – used to recompute what a figure should be) and reconciliation rules (document A vs document B: match keys, compare fields, tolerances, mismatch categories). Reconciliation rules refer to statutory rules for the law.</t>
  </si>
  <si>
    <t xml:space="preserve">Round 1 (statutory)</t>
  </si>
  <si>
    <t xml:space="preserve">Five parallel research streams (Income tax; TDS/TCS; GST; Payroll; Accounting/Audit/MCA) using a common 26-field schema; about 520 search and page-fetch operations.</t>
  </si>
  <si>
    <t xml:space="preserve">Round 2 (documents &amp; reconciliation)</t>
  </si>
  <si>
    <t xml:space="preserve">Document catalogue (GST forms, e-invoice/e-way bill schemas, 26AS/AIS/TIS, e-TDS file format, ECR, ESIC, books exports); reconciliation rules for GST and non-GST document pairs; a field-model pass mapping every field a rule references to a canonical field; and an independent re-verification pass against official sources that upgraded 22 rules to "Verified – official source" and corrected several rules (s.194D 2%, s.50(3) 18%, EPF damages slabs, s.206C(7) 1.5%, Rule 37A notification, s.52(15)).</t>
  </si>
  <si>
    <t xml:space="preserve">Source hierarchy</t>
  </si>
  <si>
    <t xml:space="preserve">1) Act / Rules text and Gazette notifications; 2) CBDT / CBIC / EPFO / ESIC / MCA / RBI circulars, notifications, press releases, budget memoranda; 3) official portal manuals, FAQs, API/schema documentation (e.g. NIC e-invoice sandbox); 4) Big-4 / law-firm alerts and professional publications – used only where official text was unreachable, and flagged.</t>
  </si>
  <si>
    <t xml:space="preserve">Enacted vs proposed</t>
  </si>
  <si>
    <t xml:space="preserve">Bills, Notes on Clauses, draft rules, GST Council recommendations (e.g. 57th meeting, 8 Oct 2026) and news are not treated as law; dependent rules are marked Partially verified / Unverified with an explanation.</t>
  </si>
  <si>
    <t xml:space="preserve">Law versions</t>
  </si>
  <si>
    <t xml:space="preserve">Income-tax Act, 2025 in force from 1 April 2026; FY 2025-26 (AY 2026-27) stays under the 1961 Act. Rules give both section numbers where verified (Act Transition sheet).</t>
  </si>
  <si>
    <t xml:space="preserve">Verified – official source; Verified – secondary source only; Partially verified; Unverified – needs CA review; Ambiguous / conflicting – needs CA review. Live counts on Contents.</t>
  </si>
  <si>
    <t xml:space="preserve">Implementation choices</t>
  </si>
  <si>
    <t xml:space="preserve">Match keys, key normalisation, tolerances, date windows, mismatch categories and severities are design choices – the law prescribes none – and are labelled as such. Defaults are exposed as editable params.</t>
  </si>
  <si>
    <t xml:space="preserve">The Calculators sheet re-performs eleven worked examples with live formulas and checks each against the rule book.</t>
  </si>
  <si>
    <t xml:space="preserve">Limitations</t>
  </si>
  <si>
    <t xml:space="preserve">Several official portals (CBIC tax-information portal, EPFO, e-Gazette, Protean file-format PDFs, GSTN developer portal) blocked automated access; some GSTN JSON keys and e-TDS field positions are unverified; state-specific masters (PT, LWF, minimum wages) cover selected states only. Items not re-checked are listed in Notes, Review Register and Open Questions.</t>
  </si>
  <si>
    <t xml:space="preserve">Before use</t>
  </si>
  <si>
    <t xml:space="preserve">Completeness and legal correctness require validation by a qualified Chartered Accountant. No rule should be enabled until signed off in the Review Register; re-check rules whenever a Finance Act, notification or circular changes the position.</t>
  </si>
</sst>
</file>

<file path=xl/styles.xml><?xml version="1.0" encoding="utf-8"?>
<styleSheet xmlns="http://schemas.openxmlformats.org/spreadsheetml/2006/main">
  <numFmts count="9">
    <numFmt numFmtId="164" formatCode="General"/>
    <numFmt numFmtId="165" formatCode="General"/>
    <numFmt numFmtId="166" formatCode="0%"/>
    <numFmt numFmtId="167" formatCode="#,##0"/>
    <numFmt numFmtId="168" formatCode="#,##0.00"/>
    <numFmt numFmtId="169" formatCode="dd\-mmm\-yyyy"/>
    <numFmt numFmtId="170" formatCode="0"/>
    <numFmt numFmtId="171" formatCode="0.00%"/>
    <numFmt numFmtId="172" formatCode="0.0000"/>
  </numFmts>
  <fonts count="24">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6"/>
      <color rgb="FFFAD31A"/>
      <name val="Arial"/>
      <family val="0"/>
      <charset val="1"/>
    </font>
    <font>
      <sz val="10"/>
      <color rgb="FFFFFFFF"/>
      <name val="Arial"/>
      <family val="0"/>
      <charset val="1"/>
    </font>
    <font>
      <b val="true"/>
      <sz val="9"/>
      <name val="Arial"/>
      <family val="0"/>
      <charset val="1"/>
    </font>
    <font>
      <sz val="9"/>
      <name val="Arial"/>
      <family val="0"/>
      <charset val="1"/>
    </font>
    <font>
      <b val="true"/>
      <sz val="11"/>
      <name val="Arial"/>
      <family val="0"/>
      <charset val="1"/>
    </font>
    <font>
      <b val="true"/>
      <sz val="11"/>
      <color rgb="FFC00000"/>
      <name val="Arial"/>
      <family val="0"/>
      <charset val="1"/>
    </font>
    <font>
      <sz val="10"/>
      <name val="Arial"/>
      <family val="0"/>
      <charset val="1"/>
    </font>
    <font>
      <b val="true"/>
      <u val="single"/>
      <sz val="11"/>
      <color rgb="FF0563C1"/>
      <name val="Arial"/>
      <family val="0"/>
      <charset val="1"/>
    </font>
    <font>
      <b val="true"/>
      <sz val="16"/>
      <color rgb="FFFFFFFF"/>
      <name val="Arial"/>
      <family val="0"/>
      <charset val="1"/>
    </font>
    <font>
      <b val="true"/>
      <u val="single"/>
      <sz val="9"/>
      <color rgb="FFFAD31A"/>
      <name val="Arial"/>
      <family val="0"/>
      <charset val="1"/>
    </font>
    <font>
      <i val="true"/>
      <sz val="10"/>
      <color rgb="FF20242C"/>
      <name val="Arial"/>
      <family val="0"/>
      <charset val="1"/>
    </font>
    <font>
      <b val="true"/>
      <sz val="10"/>
      <color rgb="FFFFFFFF"/>
      <name val="Arial"/>
      <family val="0"/>
      <charset val="1"/>
    </font>
    <font>
      <u val="single"/>
      <sz val="9"/>
      <color rgb="FF0563C1"/>
      <name val="Arial"/>
      <family val="0"/>
      <charset val="1"/>
    </font>
    <font>
      <sz val="8"/>
      <color rgb="FF595959"/>
      <name val="Consolas"/>
      <family val="0"/>
      <charset val="1"/>
    </font>
    <font>
      <sz val="9"/>
      <name val="Consolas"/>
      <family val="0"/>
      <charset val="1"/>
    </font>
    <font>
      <b val="true"/>
      <sz val="9"/>
      <color rgb="FF0000FF"/>
      <name val="Arial"/>
      <family val="0"/>
      <charset val="1"/>
    </font>
    <font>
      <sz val="10"/>
      <color rgb="FF0000FF"/>
      <name val="Arial"/>
      <family val="0"/>
      <charset val="1"/>
    </font>
    <font>
      <i val="true"/>
      <sz val="9"/>
      <name val="Arial"/>
      <family val="0"/>
      <charset val="1"/>
    </font>
    <font>
      <b val="true"/>
      <sz val="10"/>
      <name val="Arial"/>
      <family val="0"/>
      <charset val="1"/>
    </font>
  </fonts>
  <fills count="12">
    <fill>
      <patternFill patternType="none"/>
    </fill>
    <fill>
      <patternFill patternType="gray125"/>
    </fill>
    <fill>
      <patternFill patternType="solid">
        <fgColor rgb="FF20242C"/>
        <bgColor rgb="FF333300"/>
      </patternFill>
    </fill>
    <fill>
      <patternFill patternType="solid">
        <fgColor rgb="FFFAD31A"/>
        <bgColor rgb="FFFFFF00"/>
      </patternFill>
    </fill>
    <fill>
      <patternFill patternType="solid">
        <fgColor rgb="FFC6EFCE"/>
        <bgColor rgb="FFE2F0D9"/>
      </patternFill>
    </fill>
    <fill>
      <patternFill patternType="solid">
        <fgColor rgb="FFE2F0D9"/>
        <bgColor rgb="FFE7E6E6"/>
      </patternFill>
    </fill>
    <fill>
      <patternFill patternType="solid">
        <fgColor rgb="FFFFEB9C"/>
        <bgColor rgb="FFFFF7CC"/>
      </patternFill>
    </fill>
    <fill>
      <patternFill patternType="solid">
        <fgColor rgb="FFF8CBAD"/>
        <bgColor rgb="FFFFEB9C"/>
      </patternFill>
    </fill>
    <fill>
      <patternFill patternType="solid">
        <fgColor rgb="FFFF9999"/>
        <bgColor rgb="FFFF8080"/>
      </patternFill>
    </fill>
    <fill>
      <patternFill patternType="solid">
        <fgColor rgb="FFE7E6E6"/>
        <bgColor rgb="FFE2F0D9"/>
      </patternFill>
    </fill>
    <fill>
      <patternFill patternType="solid">
        <fgColor rgb="FFFFF7CC"/>
        <bgColor rgb="FFF2F2F2"/>
      </patternFill>
    </fill>
    <fill>
      <patternFill patternType="solid">
        <fgColor rgb="FFF2F2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1"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center" textRotation="0" wrapText="true" indent="1"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9"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21" fillId="10"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7" fontId="23" fillId="0" borderId="1" xfId="0" applyFont="true" applyBorder="true" applyAlignment="false" applyProtection="false">
      <alignment horizontal="general" vertical="bottom" textRotation="0" wrapText="false" indent="0" shrinkToFit="false"/>
      <protection locked="true" hidden="false"/>
    </xf>
    <xf numFmtId="168" fontId="22" fillId="0" borderId="0" xfId="0" applyFont="true" applyBorder="false" applyAlignment="false" applyProtection="false">
      <alignment horizontal="general" vertical="bottom" textRotation="0" wrapText="false" indent="0" shrinkToFit="false"/>
      <protection locked="true" hidden="false"/>
    </xf>
    <xf numFmtId="169" fontId="21" fillId="1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71" fontId="21" fillId="10" borderId="1" xfId="0" applyFont="true" applyBorder="true" applyAlignment="false" applyProtection="false">
      <alignment horizontal="general" vertical="bottom" textRotation="0" wrapText="false" indent="0" shrinkToFit="false"/>
      <protection locked="true" hidden="false"/>
    </xf>
    <xf numFmtId="170" fontId="21" fillId="10"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19" fillId="11"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1"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E7E6E6"/>
          <bgColor rgb="FF000000"/>
        </patternFill>
      </fill>
    </dxf>
    <dxf>
      <fill>
        <patternFill patternType="solid">
          <bgColor rgb="FF000000"/>
        </patternFill>
      </fill>
    </dxf>
    <dxf>
      <fill>
        <patternFill patternType="solid">
          <fgColor rgb="FF595959"/>
          <bgColor rgb="FF000000"/>
        </patternFill>
      </fill>
    </dxf>
    <dxf>
      <fill>
        <patternFill patternType="solid">
          <fgColor rgb="FFE2F0D9"/>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20242C"/>
          <bgColor rgb="FF000000"/>
        </patternFill>
      </fill>
    </dxf>
    <dxf>
      <fill>
        <patternFill patternType="solid">
          <fgColor rgb="FFFFFFFF"/>
          <bgColor rgb="FF000000"/>
        </patternFill>
      </fill>
    </dxf>
    <dxf>
      <fill>
        <patternFill patternType="solid">
          <fgColor rgb="FFFF9999"/>
          <bgColor rgb="FF000000"/>
        </patternFill>
      </fill>
    </dxf>
    <dxf>
      <fill>
        <patternFill patternType="solid">
          <fgColor rgb="FFFFF7CC"/>
          <bgColor rgb="FF000000"/>
        </patternFill>
      </fill>
    </dxf>
    <dxf>
      <fill>
        <patternFill patternType="solid">
          <fgColor rgb="FF0563C1"/>
          <bgColor rgb="FF000000"/>
        </patternFill>
      </fill>
    </dxf>
    <dxf>
      <fill>
        <patternFill patternType="solid">
          <fgColor rgb="FFF2F2F2"/>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2F0D9"/>
      <rgbColor rgb="FF660066"/>
      <rgbColor rgb="FFFF8080"/>
      <rgbColor rgb="FF0563C1"/>
      <rgbColor rgb="FFE7E6E6"/>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99"/>
      <rgbColor rgb="FFCC99FF"/>
      <rgbColor rgb="FFF8CBAD"/>
      <rgbColor rgb="FF3366FF"/>
      <rgbColor rgb="FF33CCCC"/>
      <rgbColor rgb="FF99CC00"/>
      <rgbColor rgb="FFFAD31A"/>
      <rgbColor rgb="FFFF9900"/>
      <rgbColor rgb="FFFF6600"/>
      <rgbColor rgb="FF595959"/>
      <rgbColor rgb="FF969696"/>
      <rgbColor rgb="FF003366"/>
      <rgbColor rgb="FF339966"/>
      <rgbColor rgb="FF003300"/>
      <rgbColor rgb="FF333300"/>
      <rgbColor rgb="FF993300"/>
      <rgbColor rgb="FF993366"/>
      <rgbColor rgb="FF333399"/>
      <rgbColor rgb="FF2024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Recon_Tool_Rulebook_v2.xlsx" TargetMode="External"/>
</Relationships>
</file>

<file path=xl/worksheets/_rels/sheet2.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hyperlink" Target="Recon_Tool_Rulebook_v2.xlsx" TargetMode="External"/><Relationship Id="rId3" Type="http://schemas.openxmlformats.org/officeDocument/2006/relationships/hyperlink" Target="Recon_Tool_Rulebook_v2.xlsx" TargetMode="External"/><Relationship Id="rId4" Type="http://schemas.openxmlformats.org/officeDocument/2006/relationships/hyperlink" Target="Recon_Tool_Rulebook_v2.xlsx" TargetMode="External"/><Relationship Id="rId5" Type="http://schemas.openxmlformats.org/officeDocument/2006/relationships/hyperlink" Target="Recon_Tool_Rulebook_v2.xlsx" TargetMode="External"/><Relationship Id="rId6" Type="http://schemas.openxmlformats.org/officeDocument/2006/relationships/hyperlink" Target="Recon_Tool_Rulebook_v2.xlsx" TargetMode="External"/><Relationship Id="rId7" Type="http://schemas.openxmlformats.org/officeDocument/2006/relationships/hyperlink" Target="Recon_Tool_Rulebook_v2.xlsx" TargetMode="External"/><Relationship Id="rId8" Type="http://schemas.openxmlformats.org/officeDocument/2006/relationships/hyperlink" Target="Recon_Tool_Rulebook_v2.xlsx" TargetMode="External"/><Relationship Id="rId9" Type="http://schemas.openxmlformats.org/officeDocument/2006/relationships/hyperlink" Target="Recon_Tool_Rulebook_v2.xlsx" TargetMode="External"/><Relationship Id="rId10" Type="http://schemas.openxmlformats.org/officeDocument/2006/relationships/hyperlink" Target="Recon_Tool_Rulebook_v2.xlsx" TargetMode="External"/><Relationship Id="rId11" Type="http://schemas.openxmlformats.org/officeDocument/2006/relationships/hyperlink" Target="Recon_Tool_Rulebook_v2.xlsx" TargetMode="External"/><Relationship Id="rId12" Type="http://schemas.openxmlformats.org/officeDocument/2006/relationships/hyperlink" Target="Recon_Tool_Rulebook_v2.xlsx" TargetMode="External"/><Relationship Id="rId13" Type="http://schemas.openxmlformats.org/officeDocument/2006/relationships/hyperlink" Target="Recon_Tool_Rulebook_v2.xlsx" TargetMode="External"/><Relationship Id="rId14" Type="http://schemas.openxmlformats.org/officeDocument/2006/relationships/hyperlink" Target="Recon_Tool_Rulebook_v2.xlsx" TargetMode="External"/><Relationship Id="rId15" Type="http://schemas.openxmlformats.org/officeDocument/2006/relationships/hyperlink" Target="Recon_Tool_Rulebook_v2.xlsx" TargetMode="External"/><Relationship Id="rId16" Type="http://schemas.openxmlformats.org/officeDocument/2006/relationships/hyperlink" Target="Recon_Tool_Rulebook_v2.xlsx" TargetMode="External"/><Relationship Id="rId17" Type="http://schemas.openxmlformats.org/officeDocument/2006/relationships/hyperlink" Target="Recon_Tool_Rulebook_v2.xlsx" TargetMode="External"/><Relationship Id="rId18" Type="http://schemas.openxmlformats.org/officeDocument/2006/relationships/hyperlink" Target="Recon_Tool_Rulebook_v2.xlsx" TargetMode="External"/><Relationship Id="rId19" Type="http://schemas.openxmlformats.org/officeDocument/2006/relationships/hyperlink" Target="Recon_Tool_Rulebook_v2.xlsx" TargetMode="External"/><Relationship Id="rId20" Type="http://schemas.openxmlformats.org/officeDocument/2006/relationships/hyperlink" Target="Recon_Tool_Rulebook_v2.xlsx" TargetMode="External"/><Relationship Id="rId21" Type="http://schemas.openxmlformats.org/officeDocument/2006/relationships/hyperlink" Target="Recon_Tool_Rulebook_v2.xlsx" TargetMode="External"/><Relationship Id="rId22" Type="http://schemas.openxmlformats.org/officeDocument/2006/relationships/hyperlink" Target="Recon_Tool_Rulebook_v2.xlsx" TargetMode="External"/><Relationship Id="rId23" Type="http://schemas.openxmlformats.org/officeDocument/2006/relationships/hyperlink" Target="Recon_Tool_Rulebook_v2.xlsx" TargetMode="External"/><Relationship Id="rId24" Type="http://schemas.openxmlformats.org/officeDocument/2006/relationships/hyperlink" Target="Recon_Tool_Rulebook_v2.xlsx" TargetMode="External"/><Relationship Id="rId25" Type="http://schemas.openxmlformats.org/officeDocument/2006/relationships/hyperlink" Target="Recon_Tool_Rulebook_v2.xlsx" TargetMode="External"/><Relationship Id="rId26" Type="http://schemas.openxmlformats.org/officeDocument/2006/relationships/hyperlink" Target="Recon_Tool_Rulebook_v2.xlsx" TargetMode="External"/><Relationship Id="rId27" Type="http://schemas.openxmlformats.org/officeDocument/2006/relationships/hyperlink" Target="Recon_Tool_Rulebook_v2.xlsx" TargetMode="External"/><Relationship Id="rId28" Type="http://schemas.openxmlformats.org/officeDocument/2006/relationships/hyperlink" Target="Recon_Tool_Rulebook_v2.xlsx" TargetMode="External"/><Relationship Id="rId29" Type="http://schemas.openxmlformats.org/officeDocument/2006/relationships/hyperlink" Target="Recon_Tool_Rulebook_v2.xlsx" TargetMode="External"/><Relationship Id="rId30" Type="http://schemas.openxmlformats.org/officeDocument/2006/relationships/hyperlink" Target="Recon_Tool_Rulebook_v2.xlsx" TargetMode="External"/><Relationship Id="rId31" Type="http://schemas.openxmlformats.org/officeDocument/2006/relationships/hyperlink" Target="Recon_Tool_Rulebook_v2.xlsx" TargetMode="External"/><Relationship Id="rId32" Type="http://schemas.openxmlformats.org/officeDocument/2006/relationships/hyperlink" Target="Recon_Tool_Rulebook_v2.xlsx" TargetMode="External"/><Relationship Id="rId33" Type="http://schemas.openxmlformats.org/officeDocument/2006/relationships/hyperlink" Target="Recon_Tool_Rulebook_v2.xlsx" TargetMode="External"/>
</Relationships>
</file>

<file path=xl/worksheets/_rels/sheet3.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hyperlink" Target="Recon_Tool_Rulebook_v2.xlsx" TargetMode="External"/><Relationship Id="rId3" Type="http://schemas.openxmlformats.org/officeDocument/2006/relationships/hyperlink" Target="Recon_Tool_Rulebook_v2.xlsx" TargetMode="External"/><Relationship Id="rId4" Type="http://schemas.openxmlformats.org/officeDocument/2006/relationships/hyperlink" Target="Recon_Tool_Rulebook_v2.xlsx" TargetMode="External"/><Relationship Id="rId5" Type="http://schemas.openxmlformats.org/officeDocument/2006/relationships/hyperlink" Target="Recon_Tool_Rulebook_v2.xlsx" TargetMode="External"/><Relationship Id="rId6" Type="http://schemas.openxmlformats.org/officeDocument/2006/relationships/hyperlink" Target="Recon_Tool_Rulebook_v2.xlsx" TargetMode="External"/><Relationship Id="rId7" Type="http://schemas.openxmlformats.org/officeDocument/2006/relationships/hyperlink" Target="Recon_Tool_Rulebook_v2.xlsx" TargetMode="External"/><Relationship Id="rId8" Type="http://schemas.openxmlformats.org/officeDocument/2006/relationships/hyperlink" Target="Recon_Tool_Rulebook_v2.xlsx" TargetMode="External"/><Relationship Id="rId9" Type="http://schemas.openxmlformats.org/officeDocument/2006/relationships/hyperlink" Target="Recon_Tool_Rulebook_v2.xlsx" TargetMode="External"/><Relationship Id="rId10" Type="http://schemas.openxmlformats.org/officeDocument/2006/relationships/hyperlink" Target="Recon_Tool_Rulebook_v2.xlsx" TargetMode="External"/><Relationship Id="rId11" Type="http://schemas.openxmlformats.org/officeDocument/2006/relationships/hyperlink" Target="Recon_Tool_Rulebook_v2.xlsx" TargetMode="External"/><Relationship Id="rId12" Type="http://schemas.openxmlformats.org/officeDocument/2006/relationships/hyperlink" Target="Recon_Tool_Rulebook_v2.xlsx" TargetMode="External"/><Relationship Id="rId13" Type="http://schemas.openxmlformats.org/officeDocument/2006/relationships/hyperlink" Target="Recon_Tool_Rulebook_v2.xlsx" TargetMode="External"/><Relationship Id="rId14" Type="http://schemas.openxmlformats.org/officeDocument/2006/relationships/hyperlink" Target="Recon_Tool_Rulebook_v2.xlsx" TargetMode="External"/><Relationship Id="rId15" Type="http://schemas.openxmlformats.org/officeDocument/2006/relationships/hyperlink" Target="Recon_Tool_Rulebook_v2.xlsx" TargetMode="External"/><Relationship Id="rId16" Type="http://schemas.openxmlformats.org/officeDocument/2006/relationships/hyperlink" Target="Recon_Tool_Rulebook_v2.xlsx" TargetMode="External"/><Relationship Id="rId17" Type="http://schemas.openxmlformats.org/officeDocument/2006/relationships/hyperlink" Target="Recon_Tool_Rulebook_v2.xlsx" TargetMode="External"/><Relationship Id="rId18" Type="http://schemas.openxmlformats.org/officeDocument/2006/relationships/hyperlink" Target="Recon_Tool_Rulebook_v2.xlsx" TargetMode="External"/><Relationship Id="rId19" Type="http://schemas.openxmlformats.org/officeDocument/2006/relationships/hyperlink" Target="Recon_Tool_Rulebook_v2.xlsx" TargetMode="External"/><Relationship Id="rId20" Type="http://schemas.openxmlformats.org/officeDocument/2006/relationships/hyperlink" Target="Recon_Tool_Rulebook_v2.xlsx" TargetMode="External"/><Relationship Id="rId21" Type="http://schemas.openxmlformats.org/officeDocument/2006/relationships/hyperlink" Target="Recon_Tool_Rulebook_v2.xlsx" TargetMode="External"/><Relationship Id="rId22" Type="http://schemas.openxmlformats.org/officeDocument/2006/relationships/hyperlink" Target="Recon_Tool_Rulebook_v2.xlsx" TargetMode="External"/><Relationship Id="rId23" Type="http://schemas.openxmlformats.org/officeDocument/2006/relationships/hyperlink" Target="Recon_Tool_Rulebook_v2.xlsx" TargetMode="External"/><Relationship Id="rId24" Type="http://schemas.openxmlformats.org/officeDocument/2006/relationships/hyperlink" Target="Recon_Tool_Rulebook_v2.xlsx" TargetMode="External"/><Relationship Id="rId25" Type="http://schemas.openxmlformats.org/officeDocument/2006/relationships/hyperlink" Target="Recon_Tool_Rulebook_v2.xlsx" TargetMode="External"/><Relationship Id="rId26" Type="http://schemas.openxmlformats.org/officeDocument/2006/relationships/hyperlink" Target="Recon_Tool_Rulebook_v2.xlsx" TargetMode="External"/><Relationship Id="rId27" Type="http://schemas.openxmlformats.org/officeDocument/2006/relationships/hyperlink" Target="Recon_Tool_Rulebook_v2.xlsx" TargetMode="External"/><Relationship Id="rId28" Type="http://schemas.openxmlformats.org/officeDocument/2006/relationships/hyperlink" Target="Recon_Tool_Rulebook_v2.xlsx" TargetMode="External"/><Relationship Id="rId29" Type="http://schemas.openxmlformats.org/officeDocument/2006/relationships/hyperlink" Target="Recon_Tool_Rulebook_v2.xlsx" TargetMode="External"/><Relationship Id="rId30" Type="http://schemas.openxmlformats.org/officeDocument/2006/relationships/hyperlink" Target="Recon_Tool_Rulebook_v2.xlsx" TargetMode="External"/><Relationship Id="rId31" Type="http://schemas.openxmlformats.org/officeDocument/2006/relationships/hyperlink" Target="Recon_Tool_Rulebook_v2.xlsx" TargetMode="External"/><Relationship Id="rId32" Type="http://schemas.openxmlformats.org/officeDocument/2006/relationships/hyperlink" Target="Recon_Tool_Rulebook_v2.xlsx" TargetMode="External"/><Relationship Id="rId33" Type="http://schemas.openxmlformats.org/officeDocument/2006/relationships/hyperlink" Target="Recon_Tool_Rulebook_v2.xlsx" TargetMode="External"/><Relationship Id="rId34" Type="http://schemas.openxmlformats.org/officeDocument/2006/relationships/hyperlink" Target="Recon_Tool_Rulebook_v2.xlsx" TargetMode="External"/><Relationship Id="rId35" Type="http://schemas.openxmlformats.org/officeDocument/2006/relationships/hyperlink" Target="Recon_Tool_Rulebook_v2.xlsx" TargetMode="External"/><Relationship Id="rId36" Type="http://schemas.openxmlformats.org/officeDocument/2006/relationships/hyperlink" Target="Recon_Tool_Rulebook_v2.xlsx" TargetMode="External"/><Relationship Id="rId37" Type="http://schemas.openxmlformats.org/officeDocument/2006/relationships/hyperlink" Target="Recon_Tool_Rulebook_v2.xlsx" TargetMode="External"/><Relationship Id="rId38" Type="http://schemas.openxmlformats.org/officeDocument/2006/relationships/hyperlink" Target="Recon_Tool_Rulebook_v2.xlsx" TargetMode="External"/><Relationship Id="rId39" Type="http://schemas.openxmlformats.org/officeDocument/2006/relationships/hyperlink" Target="Recon_Tool_Rulebook_v2.xlsx" TargetMode="External"/><Relationship Id="rId40" Type="http://schemas.openxmlformats.org/officeDocument/2006/relationships/hyperlink" Target="Recon_Tool_Rulebook_v2.xlsx" TargetMode="External"/><Relationship Id="rId41" Type="http://schemas.openxmlformats.org/officeDocument/2006/relationships/hyperlink" Target="Recon_Tool_Rulebook_v2.xlsx" TargetMode="External"/><Relationship Id="rId42" Type="http://schemas.openxmlformats.org/officeDocument/2006/relationships/hyperlink" Target="Recon_Tool_Rulebook_v2.xlsx" TargetMode="External"/><Relationship Id="rId43" Type="http://schemas.openxmlformats.org/officeDocument/2006/relationships/hyperlink" Target="Recon_Tool_Rulebook_v2.xlsx" TargetMode="External"/><Relationship Id="rId44" Type="http://schemas.openxmlformats.org/officeDocument/2006/relationships/hyperlink" Target="Recon_Tool_Rulebook_v2.xlsx" TargetMode="External"/><Relationship Id="rId45" Type="http://schemas.openxmlformats.org/officeDocument/2006/relationships/hyperlink" Target="Recon_Tool_Rulebook_v2.xlsx" TargetMode="External"/><Relationship Id="rId46" Type="http://schemas.openxmlformats.org/officeDocument/2006/relationships/hyperlink" Target="Recon_Tool_Rulebook_v2.xlsx" TargetMode="External"/><Relationship Id="rId47" Type="http://schemas.openxmlformats.org/officeDocument/2006/relationships/hyperlink" Target="Recon_Tool_Rulebook_v2.xlsx" TargetMode="External"/><Relationship Id="rId48" Type="http://schemas.openxmlformats.org/officeDocument/2006/relationships/hyperlink" Target="Recon_Tool_Rulebook_v2.xlsx" TargetMode="External"/><Relationship Id="rId49" Type="http://schemas.openxmlformats.org/officeDocument/2006/relationships/hyperlink" Target="Recon_Tool_Rulebook_v2.xlsx" TargetMode="External"/><Relationship Id="rId50" Type="http://schemas.openxmlformats.org/officeDocument/2006/relationships/hyperlink" Target="Recon_Tool_Rulebook_v2.xlsx" TargetMode="External"/><Relationship Id="rId51" Type="http://schemas.openxmlformats.org/officeDocument/2006/relationships/hyperlink" Target="Recon_Tool_Rulebook_v2.xlsx" TargetMode="External"/><Relationship Id="rId52" Type="http://schemas.openxmlformats.org/officeDocument/2006/relationships/hyperlink" Target="Recon_Tool_Rulebook_v2.xlsx" TargetMode="External"/><Relationship Id="rId53" Type="http://schemas.openxmlformats.org/officeDocument/2006/relationships/hyperlink" Target="Recon_Tool_Rulebook_v2.xlsx" TargetMode="External"/><Relationship Id="rId54" Type="http://schemas.openxmlformats.org/officeDocument/2006/relationships/hyperlink" Target="Recon_Tool_Rulebook_v2.xlsx" TargetMode="External"/><Relationship Id="rId55" Type="http://schemas.openxmlformats.org/officeDocument/2006/relationships/hyperlink" Target="Recon_Tool_Rulebook_v2.xlsx" TargetMode="External"/><Relationship Id="rId56" Type="http://schemas.openxmlformats.org/officeDocument/2006/relationships/hyperlink" Target="Recon_Tool_Rulebook_v2.xlsx" TargetMode="External"/><Relationship Id="rId57" Type="http://schemas.openxmlformats.org/officeDocument/2006/relationships/hyperlink" Target="Recon_Tool_Rulebook_v2.xlsx" TargetMode="External"/><Relationship Id="rId58" Type="http://schemas.openxmlformats.org/officeDocument/2006/relationships/hyperlink" Target="Recon_Tool_Rulebook_v2.xlsx" TargetMode="External"/><Relationship Id="rId59" Type="http://schemas.openxmlformats.org/officeDocument/2006/relationships/hyperlink" Target="Recon_Tool_Rulebook_v2.xlsx" TargetMode="External"/><Relationship Id="rId60" Type="http://schemas.openxmlformats.org/officeDocument/2006/relationships/hyperlink" Target="Recon_Tool_Rulebook_v2.xlsx" TargetMode="External"/><Relationship Id="rId61" Type="http://schemas.openxmlformats.org/officeDocument/2006/relationships/hyperlink" Target="Recon_Tool_Rulebook_v2.xlsx" TargetMode="External"/><Relationship Id="rId62" Type="http://schemas.openxmlformats.org/officeDocument/2006/relationships/hyperlink" Target="Recon_Tool_Rulebook_v2.xlsx" TargetMode="External"/><Relationship Id="rId63" Type="http://schemas.openxmlformats.org/officeDocument/2006/relationships/hyperlink" Target="Recon_Tool_Rulebook_v2.xlsx" TargetMode="External"/><Relationship Id="rId64" Type="http://schemas.openxmlformats.org/officeDocument/2006/relationships/hyperlink" Target="Recon_Tool_Rulebook_v2.xlsx" TargetMode="External"/><Relationship Id="rId65"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hyperlink" Target="https://www.incometaxindia.gov.in/documents/d/guest/press-release-income-tax-act-2025-comes-into-force-from-01-april-2026-pdf" TargetMode="External"/><Relationship Id="rId3" Type="http://schemas.openxmlformats.org/officeDocument/2006/relationships/hyperlink" Target="https://www.incometaxindia.gov.in/w/section-19-206" TargetMode="External"/><Relationship Id="rId4" Type="http://schemas.openxmlformats.org/officeDocument/2006/relationships/hyperlink" Target="https://www.incometaxindia.gov.in/w/section-37-169" TargetMode="External"/><Relationship Id="rId5" Type="http://schemas.openxmlformats.org/officeDocument/2006/relationships/hyperlink" Target="https://www.incometaxindia.gov.in/w/section-63-134" TargetMode="External"/><Relationship Id="rId6" Type="http://schemas.openxmlformats.org/officeDocument/2006/relationships/hyperlink" Target="https://www.incometaxindia.gov.in/w/section-58-144" TargetMode="External"/><Relationship Id="rId7" Type="http://schemas.openxmlformats.org/officeDocument/2006/relationships/hyperlink" Target="https://www.incometaxindia.gov.in/w/section-156-84" TargetMode="External"/><Relationship Id="rId8" Type="http://schemas.openxmlformats.org/officeDocument/2006/relationships/hyperlink" Target="https://www.incometaxindia.gov.in/w/section-424-5" TargetMode="External"/><Relationship Id="rId9" Type="http://schemas.openxmlformats.org/officeDocument/2006/relationships/hyperlink" Target="https://www.incometaxindia.gov.in/w/section-516-3" TargetMode="External"/><Relationship Id="rId10" Type="http://schemas.openxmlformats.org/officeDocument/2006/relationships/hyperlink" Target="https://www.incometaxindia.gov.in/w/rule-269-1" TargetMode="External"/><Relationship Id="rId11" Type="http://schemas.openxmlformats.org/officeDocument/2006/relationships/hyperlink" Target="https://www.incometaxindia.gov.in/w/section-393-6" TargetMode="External"/><Relationship Id="rId12" Type="http://schemas.openxmlformats.org/officeDocument/2006/relationships/hyperlink" Target="https://www.incometaxindia.gov.in/w/section-393-6" TargetMode="External"/><Relationship Id="rId13" Type="http://schemas.openxmlformats.org/officeDocument/2006/relationships/hyperlink" Target="https://www.incometaxindia.gov.in/w/section-393-6" TargetMode="External"/>
</Relationships>
</file>

<file path=xl/worksheets/_rels/sheet26.xml.rels><?xml version="1.0" encoding="UTF-8"?>
<Relationships xmlns="http://schemas.openxmlformats.org/package/2006/relationships"><Relationship Id="rId1" Type="http://schemas.openxmlformats.org/officeDocument/2006/relationships/hyperlink" Target="Recon_Tool_Rulebook_v2.xlsx" TargetMode="External"/>
</Relationships>
</file>

<file path=xl/worksheets/_rels/sheet27.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23.xml"/>
</Relationships>
</file>

<file path=xl/worksheets/_rels/sheet28.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hyperlink" Target="https://www.incometaxindia.gov.in/documents/d/guest/press-release-income-tax-act-2025-comes-into-force-from-01-april-2026-pdf" TargetMode="External"/><Relationship Id="rId3" Type="http://schemas.openxmlformats.org/officeDocument/2006/relationships/hyperlink" Target="https://www.incometaxindia.gov.in/documents/d/guest/press-release-income-tax-act-2025-comes-into-force-from-01-april-2026-pdf" TargetMode="External"/><Relationship Id="rId4" Type="http://schemas.openxmlformats.org/officeDocument/2006/relationships/hyperlink" Target="https://www.incometaxindia.gov.in/w/rule-269-1" TargetMode="External"/><Relationship Id="rId5" Type="http://schemas.openxmlformats.org/officeDocument/2006/relationships/hyperlink" Target="https://www.incometax.gov.in/iec/foportal/help/individual/return-applicable-1" TargetMode="External"/><Relationship Id="rId6" Type="http://schemas.openxmlformats.org/officeDocument/2006/relationships/hyperlink" Target="https://www.incometax.gov.in/iec/foportal/help/individual/return-applicable-1" TargetMode="External"/><Relationship Id="rId7" Type="http://schemas.openxmlformats.org/officeDocument/2006/relationships/hyperlink" Target="https://www.incometaxindia.gov.in/w/tax-on-short-term-capital-gains&#8203;" TargetMode="External"/><Relationship Id="rId8" Type="http://schemas.openxmlformats.org/officeDocument/2006/relationships/hyperlink" Target="https://eztax.in/income-tax-act-2025/section-198" TargetMode="External"/><Relationship Id="rId9" Type="http://schemas.openxmlformats.org/officeDocument/2006/relationships/hyperlink" Target="https://www.incometaxindia.gov.in/w/tax-on-short-term-capital-gains&#8203;" TargetMode="External"/><Relationship Id="rId10" Type="http://schemas.openxmlformats.org/officeDocument/2006/relationships/hyperlink" Target="https://incometaxindia.gov.in/Budgets%20and%20Bills/2026/Notes-on-clauses-2026.pdf" TargetMode="External"/><Relationship Id="rId11" Type="http://schemas.openxmlformats.org/officeDocument/2006/relationships/hyperlink" Target="https://incometaxindia.gov.in/Budgets%20and%20Bills/2026/Notes-on-clauses-2026.pdf" TargetMode="External"/><Relationship Id="rId12" Type="http://schemas.openxmlformats.org/officeDocument/2006/relationships/hyperlink" Target="https://www.incometaxindia.gov.in/w/section-263-72" TargetMode="External"/><Relationship Id="rId13" Type="http://schemas.openxmlformats.org/officeDocument/2006/relationships/hyperlink" Target="https://incometaxindia.gov.in/Budgets%20and%20Bills/2026/Notes-on-clauses-2026.pdf" TargetMode="External"/><Relationship Id="rId14" Type="http://schemas.openxmlformats.org/officeDocument/2006/relationships/hyperlink" Target="https://cleartax.in/s/income-tax-changes-from-april-2026" TargetMode="External"/><Relationship Id="rId15" Type="http://schemas.openxmlformats.org/officeDocument/2006/relationships/hyperlink" Target="https://www.incometaxindia.gov.in/w/section-58-144" TargetMode="External"/><Relationship Id="rId16" Type="http://schemas.openxmlformats.org/officeDocument/2006/relationships/hyperlink" Target="https://www.incometaxindia.gov.in/documents/d/guest/press-release-income-tax-act-2025-comes-into-force-from-01-april-2026-pdf" TargetMode="External"/><Relationship Id="rId17" Type="http://schemas.openxmlformats.org/officeDocument/2006/relationships/hyperlink" Target="https://www.incometaxindia.gov.in/w/section-394-6" TargetMode="External"/><Relationship Id="rId18" Type="http://schemas.openxmlformats.org/officeDocument/2006/relationships/hyperlink" Target="https://www.incometaxindia.gov.in/w/higher-deduction-of-tax-at-source-in-certain-cases-section-206aa-and-section-206ab-" TargetMode="External"/><Relationship Id="rId19"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0"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1"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2"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3"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4"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5"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6"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7" Type="http://schemas.openxmlformats.org/officeDocument/2006/relationships/hyperlink" Target="https://incometaxindia.gov.in/w/tds-rates-1" TargetMode="External"/><Relationship Id="rId28"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9" Type="http://schemas.openxmlformats.org/officeDocument/2006/relationships/hyperlink" Target="https://blog.tdsman.com/2024/09/reduction-optimization-of-tds-rates-w-e-f-1st-october-24" TargetMode="External"/><Relationship Id="rId30" Type="http://schemas.openxmlformats.org/officeDocument/2006/relationships/hyperlink" Target="https://blog.tdsman.com/2024/09/reduction-optimization-of-tds-rates-w-e-f-1st-october-24" TargetMode="External"/><Relationship Id="rId31" Type="http://schemas.openxmlformats.org/officeDocument/2006/relationships/hyperlink" Target="https://www.incometaxindia.gov.in/w/section-394-6" TargetMode="External"/><Relationship Id="rId32" Type="http://schemas.openxmlformats.org/officeDocument/2006/relationships/hyperlink" Target="https://www.incometaxindia.gov.in/w/section-394-6" TargetMode="External"/><Relationship Id="rId33" Type="http://schemas.openxmlformats.org/officeDocument/2006/relationships/hyperlink" Target="https://www.incometaxindia.gov.in/w/section-394-6" TargetMode="External"/><Relationship Id="rId34" Type="http://schemas.openxmlformats.org/officeDocument/2006/relationships/hyperlink" Target="https://www.incometaxindia.gov.in/w/section-394-6" TargetMode="External"/><Relationship Id="rId35" Type="http://schemas.openxmlformats.org/officeDocument/2006/relationships/hyperlink" Target="https://www.incometaxindia.gov.in/w/rule-219-1" TargetMode="External"/><Relationship Id="rId36" Type="http://schemas.openxmlformats.org/officeDocument/2006/relationships/hyperlink" Target="https://taxguru.in/income-tax/q1-tax-year-2026-27-tds-tcs-return-filing-forms-due-dates.html" TargetMode="External"/><Relationship Id="rId37" Type="http://schemas.openxmlformats.org/officeDocument/2006/relationships/hyperlink" Target="https://www.incometaxindia.gov.in/w/section-461-6" TargetMode="External"/><Relationship Id="rId38" Type="http://schemas.openxmlformats.org/officeDocument/2006/relationships/hyperlink" Target="https://www.incometaxindia.gov.in/w/section-398-5" TargetMode="External"/><Relationship Id="rId39" Type="http://schemas.openxmlformats.org/officeDocument/2006/relationships/hyperlink" Target="https://www.incometaxindia.gov.in/w/section-397-6" TargetMode="External"/><Relationship Id="rId40" Type="http://schemas.openxmlformats.org/officeDocument/2006/relationships/hyperlink" Target="https://www.incometaxindia.gov.in/w/section-397-6" TargetMode="External"/><Relationship Id="rId41" Type="http://schemas.openxmlformats.org/officeDocument/2006/relationships/hyperlink" Target="https://www.incometaxindia.gov.in/w/section-393-6" TargetMode="External"/><Relationship Id="rId42" Type="http://schemas.openxmlformats.org/officeDocument/2006/relationships/hyperlink" Target="https://www.taxheal.com/?p=104994" TargetMode="External"/><Relationship Id="rId43" Type="http://schemas.openxmlformats.org/officeDocument/2006/relationships/hyperlink" Target="https://comtax.wb.gov.in/GST/GST_PPU/GST_Updates_Dec_2025.pdf" TargetMode="External"/><Relationship Id="rId44" Type="http://schemas.openxmlformats.org/officeDocument/2006/relationships/hyperlink" Target="https://www.caclubindia.com/notice_circulars/substitution-of-compensation-cess-rates-with-nil-on-specified-goods-effective-22nd-september-2025--11496.asp" TargetMode="External"/><Relationship Id="rId45" Type="http://schemas.openxmlformats.org/officeDocument/2006/relationships/hyperlink" Target="https://cleartax.in/s/gst-return-filing-rule-changes-from-july-2025" TargetMode="External"/><Relationship Id="rId46" Type="http://schemas.openxmlformats.org/officeDocument/2006/relationships/hyperlink" Target="https://taxguru.in/goods-and-service-tax/gstn-issues-4-advisories-december-2025-clarify-key-compliance-procedures.html" TargetMode="External"/><Relationship Id="rId47" Type="http://schemas.openxmlformats.org/officeDocument/2006/relationships/hyperlink" Target="https://www.taxheal.com/?p=105269" TargetMode="External"/><Relationship Id="rId48" Type="http://schemas.openxmlformats.org/officeDocument/2006/relationships/hyperlink" Target="https://www.indiafilings.com/learn/gstr-4-filing/" TargetMode="External"/><Relationship Id="rId49" Type="http://schemas.openxmlformats.org/officeDocument/2006/relationships/hyperlink" Target="https://www.taxheal.com/?p=96048" TargetMode="External"/><Relationship Id="rId50" Type="http://schemas.openxmlformats.org/officeDocument/2006/relationships/hyperlink" Target="https://taxguru.in/goods-and-service-tax/input-service-distributor-mandatory-1st-april-2025.html" TargetMode="External"/><Relationship Id="rId51" Type="http://schemas.openxmlformats.org/officeDocument/2006/relationships/hyperlink" Target="https://www.taxmann.com/post/blog/time-limit-of-30-days-for-reporting-e-invoice-on-irp-portal-for-taxpayers-with-aato-of-10-crores-and-above-gstn-update/" TargetMode="External"/><Relationship Id="rId52" Type="http://schemas.openxmlformats.org/officeDocument/2006/relationships/hyperlink" Target="https://taxguru.in/goods-and-service-tax/gst-amendments-finance-act-2025-effective-oct-1-2025-notified.html" TargetMode="External"/><Relationship Id="rId53" Type="http://schemas.openxmlformats.org/officeDocument/2006/relationships/hyperlink" Target="https://taxguru.in/goods-and-service-tax/gst-amendments-finance-act-2025-effective-oct-1-2025-notified.html" TargetMode="External"/><Relationship Id="rId54" Type="http://schemas.openxmlformats.org/officeDocument/2006/relationships/hyperlink" Target="https://cleartax.in/s/faqs-on-invoice-management-system-ims-gst" TargetMode="External"/><Relationship Id="rId55" Type="http://schemas.openxmlformats.org/officeDocument/2006/relationships/hyperlink" Target="https://comtax.wb.gov.in/GST/GST_PPU/GST_Updates_Dec_2025.pdf" TargetMode="External"/><Relationship Id="rId56" Type="http://schemas.openxmlformats.org/officeDocument/2006/relationships/hyperlink" Target="https://taxo.online/latest-news/31-03-2026-finance-act-2026-enacted-on-30-03-2026-key-amendments-in-valuation-refunds-and-place-of-supply/" TargetMode="External"/><Relationship Id="rId57" Type="http://schemas.openxmlformats.org/officeDocument/2006/relationships/hyperlink" Target="https://gstcouncil.gov.in/sites/default/files/2025-09/faq.pdf" TargetMode="External"/><Relationship Id="rId58" Type="http://schemas.openxmlformats.org/officeDocument/2006/relationships/hyperlink" Target="https://www.taxtmi.com/forum/issue?id=118761" TargetMode="External"/><Relationship Id="rId59" Type="http://schemas.openxmlformats.org/officeDocument/2006/relationships/hyperlink" Target="https://www.sgcms.com/regulatory-updates/faqs-by-epfo-wage-ceiling-raised-to-25000/" TargetMode="External"/><Relationship Id="rId60" Type="http://schemas.openxmlformats.org/officeDocument/2006/relationships/hyperlink" Target="https://assets.kpmg.com/content/dam/kpmgsites/in/pdf/2026/07/KPMG-Flash-News-New-Social-Security-Schemes-2026.pdf" TargetMode="External"/><Relationship Id="rId61" Type="http://schemas.openxmlformats.org/officeDocument/2006/relationships/hyperlink" Target="https://khaitanco.com/thought-leadership/Big-Move-in-the-EPF-Regime" TargetMode="External"/><Relationship Id="rId62" Type="http://schemas.openxmlformats.org/officeDocument/2006/relationships/hyperlink" Target="https://www.ey.com/content/dam/ey-unified-site/ey-com/en-in/alerts-hub/2025/11/new-labour-codes-implemented-across-the-country-effective-21-november-2025.pdf" TargetMode="External"/><Relationship Id="rId63" Type="http://schemas.openxmlformats.org/officeDocument/2006/relationships/hyperlink" Target="https://wbxpress.com/schedule-rates-tax-professions-trades-callings-employments-2026/" TargetMode="External"/><Relationship Id="rId64" Type="http://schemas.openxmlformats.org/officeDocument/2006/relationships/hyperlink" Target="https://lexplosion.in/karnataka-govt-notifies-revised-professional-tax-rate-under-karnataka-tax-on-profession-trades-callings-and-employments-amendment-act-2025/" TargetMode="External"/><Relationship Id="rId65" Type="http://schemas.openxmlformats.org/officeDocument/2006/relationships/hyperlink" Target="https://ascent-hr.com/notification/professional-tax-slab-revision-chennai/" TargetMode="External"/><Relationship Id="rId66" Type="http://schemas.openxmlformats.org/officeDocument/2006/relationships/hyperlink" Target="https://www.gconnect.in/personal-income-tax/increased-limit-tax-exemption-leave-encashment-non-govt-salaried-employees.html" TargetMode="External"/><Relationship Id="rId67" Type="http://schemas.openxmlformats.org/officeDocument/2006/relationships/hyperlink" Target="https://www.incometaxindia.gov.in/w/rule-277-1" TargetMode="External"/><Relationship Id="rId68" Type="http://schemas.openxmlformats.org/officeDocument/2006/relationships/hyperlink" Target="https://www.incometaxindia.gov.in/w/section-19-206" TargetMode="External"/><Relationship Id="rId69" Type="http://schemas.openxmlformats.org/officeDocument/2006/relationships/hyperlink" Target="https://www.rbi.org.in/commonman/English/scripts/Notification.aspx?Id=961" TargetMode="External"/><Relationship Id="rId70" Type="http://schemas.openxmlformats.org/officeDocument/2006/relationships/hyperlink" Target="https://www.casahuja.com/2025/04/regulatory-update-government-revises.html" TargetMode="External"/><Relationship Id="rId71" Type="http://schemas.openxmlformats.org/officeDocument/2006/relationships/hyperlink" Target="https://www.icai.org/post/clcgc-director-kyc-compliance-02012026" TargetMode="External"/><Relationship Id="rId72" Type="http://schemas.openxmlformats.org/officeDocument/2006/relationships/hyperlink" Target="https://www.caclubindia.com/articles/amendment-schedule-iii-division-i-igaap-companies-act-2013-44527.asp" TargetMode="External"/><Relationship Id="rId73" Type="http://schemas.openxmlformats.org/officeDocument/2006/relationships/hyperlink" Target="https://www.taxmann.com/post/blog/mca-raises-small-company-thresholds-to-rs-10-cr-capital-and-rs-100-cr-turnover" TargetMode="External"/><Relationship Id="rId74" Type="http://schemas.openxmlformats.org/officeDocument/2006/relationships/hyperlink" Target="https://www.taxmann.com/post/blog/mca-revises-msme-form-1-with-enhanced-disclosures-for-reporting-payments-pending-over-45-days-to-micro-small-enterprises/" TargetMode="External"/><Relationship Id="rId75" Type="http://schemas.openxmlformats.org/officeDocument/2006/relationships/hyperlink" Target="https://cleartax.in/s/form-26-tax-audit" TargetMode="External"/><Relationship Id="rId76" Type="http://schemas.openxmlformats.org/officeDocument/2006/relationships/hyperlink" Target="https://studycafe.in/mca-notifies-additional-fee-of-rs-100-per-day-for-delay-in-filing-roc-forms-24895.html" TargetMode="External"/><Relationship Id="rId77" Type="http://schemas.openxmlformats.org/officeDocument/2006/relationships/hyperlink" Target="https://www.taxmann.com/post/blog/cbdt-issues-corrigendum-to-include-sec-43bh-disallowance-under-clause-22-of-form-3cd/" TargetMode="External"/><Relationship Id="rId78" Type="http://schemas.openxmlformats.org/officeDocument/2006/relationships/drawing" Target="../drawings/drawing24.xml"/>
</Relationships>
</file>

<file path=xl/worksheets/_rels/sheet29.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drawing" Target="../drawings/drawing25.xml"/>
</Relationships>
</file>

<file path=xl/worksheets/_rels/sheet30.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hyperlink" Target="https://www.incometaxindia.gov.in/documents/d/guest/press-release-income-tax-act-2025-comes-into-force-from-01-april-2026-pdf" TargetMode="External"/><Relationship Id="rId3" Type="http://schemas.openxmlformats.org/officeDocument/2006/relationships/hyperlink" Target="https://en.wikipedia.org/wiki/Income-tax_Act,_2025" TargetMode="External"/><Relationship Id="rId4" Type="http://schemas.openxmlformats.org/officeDocument/2006/relationships/hyperlink" Target="https://eztax.in/income-tax-act-2025/compare-old-new-section-codes" TargetMode="External"/><Relationship Id="rId5" Type="http://schemas.openxmlformats.org/officeDocument/2006/relationships/hyperlink" Target="https://www.incorpx.io/blog/income-tax-act-2025-vs-1961-section-mapping" TargetMode="External"/><Relationship Id="rId6" Type="http://schemas.openxmlformats.org/officeDocument/2006/relationships/hyperlink" Target="https://incometaxindia.gov.in/documents/d/guest/circular-7-2026-pdf" TargetMode="External"/><Relationship Id="rId7" Type="http://schemas.openxmlformats.org/officeDocument/2006/relationships/hyperlink" Target="https://cleartax.in/s/income-tax-changes-from-april-2026" TargetMode="External"/><Relationship Id="rId8" Type="http://schemas.openxmlformats.org/officeDocument/2006/relationships/hyperlink" Target="https://www.incometaxindia.gov.in/w/rule-269-1" TargetMode="External"/><Relationship Id="rId9" Type="http://schemas.openxmlformats.org/officeDocument/2006/relationships/hyperlink" Target="https://www.taxheal.com/section-424-income-tax-act-2025.html" TargetMode="External"/><Relationship Id="rId10" Type="http://schemas.openxmlformats.org/officeDocument/2006/relationships/hyperlink" Target="https://www.incometax.gov.in/iec/foportal/help/individual/return-applicable-1" TargetMode="External"/><Relationship Id="rId11" Type="http://schemas.openxmlformats.org/officeDocument/2006/relationships/hyperlink" Target="https://www.incometaxindia.gov.in/w/section-202-76" TargetMode="External"/><Relationship Id="rId12" Type="http://schemas.openxmlformats.org/officeDocument/2006/relationships/hyperlink" Target="https://cleartax.in/s/income-tax-changes-from-april-2026" TargetMode="External"/><Relationship Id="rId13" Type="http://schemas.openxmlformats.org/officeDocument/2006/relationships/hyperlink" Target="https://www.livelawbiz.com/amp/top-stories/union-budget-central-govt-notifies-finance-act-528353" TargetMode="External"/><Relationship Id="rId14" Type="http://schemas.openxmlformats.org/officeDocument/2006/relationships/hyperlink" Target="https://www.incometax.gov.in/iec/foportal/help/individual/return-applicable-1" TargetMode="External"/><Relationship Id="rId15" Type="http://schemas.openxmlformats.org/officeDocument/2006/relationships/hyperlink" Target="https://www.livelawbiz.com/amp/top-stories/union-budget-central-govt-notifies-finance-act-528353" TargetMode="External"/><Relationship Id="rId16" Type="http://schemas.openxmlformats.org/officeDocument/2006/relationships/hyperlink" Target="https://www.incometaxindia.gov.in/w/tax-on-short-term-capital-gains&#8203;" TargetMode="External"/><Relationship Id="rId17" Type="http://schemas.openxmlformats.org/officeDocument/2006/relationships/hyperlink" Target="https://www.incometaxindia.gov.in/w/section-202-76" TargetMode="External"/><Relationship Id="rId18" Type="http://schemas.openxmlformats.org/officeDocument/2006/relationships/hyperlink" Target="https://www.incometax.gov.in/iec/foportal/help/individual/return-applicable-1" TargetMode="External"/><Relationship Id="rId19" Type="http://schemas.openxmlformats.org/officeDocument/2006/relationships/hyperlink" Target="https://www.livelawbiz.com/amp/top-stories/union-budget-central-govt-notifies-finance-act-528353" TargetMode="External"/><Relationship Id="rId20" Type="http://schemas.openxmlformats.org/officeDocument/2006/relationships/hyperlink" Target="https://www.incometax.gov.in/iec/foportal/help/individual/return-applicable-1" TargetMode="External"/><Relationship Id="rId21" Type="http://schemas.openxmlformats.org/officeDocument/2006/relationships/hyperlink" Target="https://www.livelawbiz.com/amp/top-stories/union-budget-central-govt-notifies-finance-act-528353" TargetMode="External"/><Relationship Id="rId22" Type="http://schemas.openxmlformats.org/officeDocument/2006/relationships/hyperlink" Target="https://www.incometax.gov.in/iec/foportal/help/individual/return-applicable-1" TargetMode="External"/><Relationship Id="rId23" Type="http://schemas.openxmlformats.org/officeDocument/2006/relationships/hyperlink" Target="https://www.incometaxindia.gov.in/w/section-156-84" TargetMode="External"/><Relationship Id="rId24" Type="http://schemas.openxmlformats.org/officeDocument/2006/relationships/hyperlink" Target="https://taxguru.in/income-tax/section-87a-section-156-rebate-tax-payable-rs-12-lakh.html" TargetMode="External"/><Relationship Id="rId25" Type="http://schemas.openxmlformats.org/officeDocument/2006/relationships/hyperlink" Target="https://www.incometax.gov.in/iec/foportal/help/individual/return-applicable-1" TargetMode="External"/><Relationship Id="rId26" Type="http://schemas.openxmlformats.org/officeDocument/2006/relationships/hyperlink" Target="https://www.incometaxindia.gov.in/w/section-156-84" TargetMode="External"/><Relationship Id="rId27" Type="http://schemas.openxmlformats.org/officeDocument/2006/relationships/hyperlink" Target="https://taxguru.in/income-tax/section-87a-section-156-rebate-tax-payable-rs-12-lakh.html" TargetMode="External"/><Relationship Id="rId28" Type="http://schemas.openxmlformats.org/officeDocument/2006/relationships/hyperlink" Target="https://www.incometaxindia.gov.in/w/section-156-84" TargetMode="External"/><Relationship Id="rId29" Type="http://schemas.openxmlformats.org/officeDocument/2006/relationships/hyperlink" Target="https://eztax.in/income-tax-act-2025/section-198" TargetMode="External"/><Relationship Id="rId30" Type="http://schemas.openxmlformats.org/officeDocument/2006/relationships/hyperlink" Target="https://www.incometaxindia.gov.in/w/section-19-206" TargetMode="External"/><Relationship Id="rId31" Type="http://schemas.openxmlformats.org/officeDocument/2006/relationships/hyperlink" Target="https://www.incometaxindia.gov.in/w/section-516-3" TargetMode="External"/><Relationship Id="rId32" Type="http://schemas.openxmlformats.org/officeDocument/2006/relationships/hyperlink" Target="https://www.taxtmi.com/tmi_notes?id=2069" TargetMode="External"/><Relationship Id="rId33" Type="http://schemas.openxmlformats.org/officeDocument/2006/relationships/hyperlink" Target="https://www.incometaxindia.gov.in/w/section-516-3" TargetMode="External"/><Relationship Id="rId34" Type="http://schemas.openxmlformats.org/officeDocument/2006/relationships/hyperlink" Target="https://www.taxtmi.com/tmi_notes?id=2069" TargetMode="External"/><Relationship Id="rId35" Type="http://schemas.openxmlformats.org/officeDocument/2006/relationships/hyperlink" Target="https://www.incometaxindia.gov.in/w/section-63-134" TargetMode="External"/><Relationship Id="rId36" Type="http://schemas.openxmlformats.org/officeDocument/2006/relationships/hyperlink" Target="https://incometaxindia.gov.in/documents/d/guest/circular-7-2026-pdf" TargetMode="External"/><Relationship Id="rId37" Type="http://schemas.openxmlformats.org/officeDocument/2006/relationships/hyperlink" Target="https://www.incometaxindia.gov.in/w/prohibited-transaction-in-cash/limit-on-cash-transactions&#8203;" TargetMode="External"/><Relationship Id="rId38" Type="http://schemas.openxmlformats.org/officeDocument/2006/relationships/hyperlink" Target="https://www.incometaxindia.gov.in/w/section-58-144" TargetMode="External"/><Relationship Id="rId39" Type="http://schemas.openxmlformats.org/officeDocument/2006/relationships/hyperlink" Target="https://www.incorpx.io/blog/income-tax-act-2025-vs-1961-section-mapping" TargetMode="External"/><Relationship Id="rId40" Type="http://schemas.openxmlformats.org/officeDocument/2006/relationships/hyperlink" Target="https://eztax.in/income-tax-act-2025/compare-old-new-section-codes" TargetMode="External"/><Relationship Id="rId41" Type="http://schemas.openxmlformats.org/officeDocument/2006/relationships/hyperlink" Target="https://www.incometaxindia.gov.in/w/section-58-144" TargetMode="External"/><Relationship Id="rId42" Type="http://schemas.openxmlformats.org/officeDocument/2006/relationships/hyperlink" Target="https://www.incometaxindia.gov.in/w/section-37-169" TargetMode="External"/><Relationship Id="rId43" Type="http://schemas.openxmlformats.org/officeDocument/2006/relationships/hyperlink" Target="https://www.incometaxindia.gov.in/w/section-37-169" TargetMode="External"/><Relationship Id="rId44" Type="http://schemas.openxmlformats.org/officeDocument/2006/relationships/hyperlink" Target="https://taxguru.in/income-tax/finance-ministry-clarifies-section-43bh-45-day-msme-payment-rule.html" TargetMode="External"/><Relationship Id="rId45" Type="http://schemas.openxmlformats.org/officeDocument/2006/relationships/hyperlink" Target="https://www.incometaxindia.gov.in/w/section-36-171" TargetMode="External"/><Relationship Id="rId46" Type="http://schemas.openxmlformats.org/officeDocument/2006/relationships/hyperlink" Target="https://www.incometaxindia.gov.in/w/prohibited-transaction-in-cash/limit-on-cash-transactions&#8203;" TargetMode="External"/><Relationship Id="rId47" Type="http://schemas.openxmlformats.org/officeDocument/2006/relationships/hyperlink" Target="https://www.taxheal.com/new-cash-transaction-limits-under-the-income-tax-act-2025.html" TargetMode="External"/><Relationship Id="rId48" Type="http://schemas.openxmlformats.org/officeDocument/2006/relationships/hyperlink" Target="https://eztax.in/income-tax-act-2025/section-186" TargetMode="External"/><Relationship Id="rId49" Type="http://schemas.openxmlformats.org/officeDocument/2006/relationships/hyperlink" Target="https://www.taxtmi.com/tmi_notes?id=1989" TargetMode="External"/><Relationship Id="rId50" Type="http://schemas.openxmlformats.org/officeDocument/2006/relationships/hyperlink" Target="https://www.incometaxindia.gov.in/w/prohibited-transaction-in-cash/limit-on-cash-transactions&#8203;" TargetMode="External"/><Relationship Id="rId51" Type="http://schemas.openxmlformats.org/officeDocument/2006/relationships/hyperlink" Target="https://www.incometaxindia.gov.in/w/prohibited-transaction-in-cash/limit-on-cash-transactions&#8203;" TargetMode="External"/><Relationship Id="rId52" Type="http://schemas.openxmlformats.org/officeDocument/2006/relationships/hyperlink" Target="https://www.taxtmi.com/tmi_notes?id=1989" TargetMode="External"/><Relationship Id="rId53" Type="http://schemas.openxmlformats.org/officeDocument/2006/relationships/hyperlink" Target="https://www.taxheal.com/new-cash-transaction-limits-under-the-income-tax-act-2025.html" TargetMode="External"/><Relationship Id="rId54" Type="http://schemas.openxmlformats.org/officeDocument/2006/relationships/hyperlink" Target="https://eztax.in/income-tax-act-2025/section-188" TargetMode="External"/><Relationship Id="rId55" Type="http://schemas.openxmlformats.org/officeDocument/2006/relationships/hyperlink" Target="https://www.incometaxindia.gov.in/w/prohibited-transaction-in-cash/limit-on-cash-transactions&#8203;" TargetMode="External"/><Relationship Id="rId56" Type="http://schemas.openxmlformats.org/officeDocument/2006/relationships/hyperlink" Target="https://eztax.in/income-tax-act-2025/section-35" TargetMode="External"/><Relationship Id="rId57" Type="http://schemas.openxmlformats.org/officeDocument/2006/relationships/hyperlink" Target="https://eztax.in/income-tax-act-2025/section-35" TargetMode="External"/><Relationship Id="rId58" Type="http://schemas.openxmlformats.org/officeDocument/2006/relationships/hyperlink" Target="https://www.incometaxindia.gov.in/w/tax-on-short-term-capital-gains&#8203;" TargetMode="External"/><Relationship Id="rId59" Type="http://schemas.openxmlformats.org/officeDocument/2006/relationships/hyperlink" Target="https://www.incometaxindia.gov.in/w/section-197-78" TargetMode="External"/><Relationship Id="rId60" Type="http://schemas.openxmlformats.org/officeDocument/2006/relationships/hyperlink" Target="https://eztax.in/income-tax-act-2025/section-198" TargetMode="External"/><Relationship Id="rId61" Type="http://schemas.openxmlformats.org/officeDocument/2006/relationships/hyperlink" Target="https://ebizfiling.com/blog/section-196-and-198-short-term-and-long-term-capital-gains/" TargetMode="External"/><Relationship Id="rId62" Type="http://schemas.openxmlformats.org/officeDocument/2006/relationships/hyperlink" Target="https://www.taxtmi.com/tmi_notes?id=2099" TargetMode="External"/><Relationship Id="rId63" Type="http://schemas.openxmlformats.org/officeDocument/2006/relationships/hyperlink" Target="https://eztax.in/income-tax-act-2025/compare-old-new-section-codes" TargetMode="External"/><Relationship Id="rId64" Type="http://schemas.openxmlformats.org/officeDocument/2006/relationships/hyperlink" Target="https://cleartax.in/s/income-tax-changes-from-april-2026" TargetMode="External"/><Relationship Id="rId65" Type="http://schemas.openxmlformats.org/officeDocument/2006/relationships/hyperlink" Target="https://www.incometaxindia.gov.in/w/section-437-6" TargetMode="External"/><Relationship Id="rId66" Type="http://schemas.openxmlformats.org/officeDocument/2006/relationships/hyperlink" Target="https://www.taxtmi.com/tmi_notes?id=1949" TargetMode="External"/><Relationship Id="rId67" Type="http://schemas.openxmlformats.org/officeDocument/2006/relationships/hyperlink" Target="https://www.incometaxindia.gov.in/w/rule-119a" TargetMode="External"/><Relationship Id="rId68" Type="http://schemas.openxmlformats.org/officeDocument/2006/relationships/hyperlink" Target="https://www.incometaxindia.gov.in/w/rule-269-1" TargetMode="External"/><Relationship Id="rId69" Type="http://schemas.openxmlformats.org/officeDocument/2006/relationships/hyperlink" Target="https://www.incometaxindia.gov.in/w/section-403-5" TargetMode="External"/><Relationship Id="rId70" Type="http://schemas.openxmlformats.org/officeDocument/2006/relationships/hyperlink" Target="https://www.incometaxindia.gov.in/w/section-404-5" TargetMode="External"/><Relationship Id="rId71" Type="http://schemas.openxmlformats.org/officeDocument/2006/relationships/hyperlink" Target="https://www.incometaxindia.gov.in/w/section-408-5" TargetMode="External"/><Relationship Id="rId72" Type="http://schemas.openxmlformats.org/officeDocument/2006/relationships/hyperlink" Target="https://www.incometaxindia.gov.in/w/section-234c-37" TargetMode="External"/><Relationship Id="rId73" Type="http://schemas.openxmlformats.org/officeDocument/2006/relationships/hyperlink" Target="https://www.incometaxindia.gov.in/w/section-408-5" TargetMode="External"/><Relationship Id="rId74" Type="http://schemas.openxmlformats.org/officeDocument/2006/relationships/hyperlink" Target="https://www.incometaxindia.gov.in/w/section-425-5" TargetMode="External"/><Relationship Id="rId75" Type="http://schemas.openxmlformats.org/officeDocument/2006/relationships/hyperlink" Target="https://www.incometaxindia.gov.in/w/section-234c-37" TargetMode="External"/><Relationship Id="rId76" Type="http://schemas.openxmlformats.org/officeDocument/2006/relationships/hyperlink" Target="https://www.incometaxindia.gov.in/w/section-423-5" TargetMode="External"/><Relationship Id="rId77" Type="http://schemas.openxmlformats.org/officeDocument/2006/relationships/hyperlink" Target="https://www.incometaxindia.gov.in/w/rule-119a" TargetMode="External"/><Relationship Id="rId78" Type="http://schemas.openxmlformats.org/officeDocument/2006/relationships/hyperlink" Target="https://www.incometaxindia.gov.in/w/rule-269-1" TargetMode="External"/><Relationship Id="rId79" Type="http://schemas.openxmlformats.org/officeDocument/2006/relationships/hyperlink" Target="https://incometaxindia.gov.in/documents/d/guest/circular-7-2026-pdf" TargetMode="External"/><Relationship Id="rId80" Type="http://schemas.openxmlformats.org/officeDocument/2006/relationships/hyperlink" Target="https://eztax.in/income-tax-act-2025/compare-old-new-section-codes" TargetMode="External"/><Relationship Id="rId81" Type="http://schemas.openxmlformats.org/officeDocument/2006/relationships/hyperlink" Target="https://www.incometaxindia.gov.in/w/section-234b-37" TargetMode="External"/><Relationship Id="rId82" Type="http://schemas.openxmlformats.org/officeDocument/2006/relationships/hyperlink" Target="https://www.incometaxindia.gov.in/w/section-424-5" TargetMode="External"/><Relationship Id="rId83" Type="http://schemas.openxmlformats.org/officeDocument/2006/relationships/hyperlink" Target="https://www.taxheal.com/section-424-income-tax-act-2025.html" TargetMode="External"/><Relationship Id="rId84" Type="http://schemas.openxmlformats.org/officeDocument/2006/relationships/hyperlink" Target="https://www.incometaxindia.gov.in/w/rule-119a" TargetMode="External"/><Relationship Id="rId85" Type="http://schemas.openxmlformats.org/officeDocument/2006/relationships/hyperlink" Target="https://www.incometaxindia.gov.in/w/rule-269-1" TargetMode="External"/><Relationship Id="rId86" Type="http://schemas.openxmlformats.org/officeDocument/2006/relationships/hyperlink" Target="https://www.incometaxindia.gov.in/w/section-234c-37" TargetMode="External"/><Relationship Id="rId87" Type="http://schemas.openxmlformats.org/officeDocument/2006/relationships/hyperlink" Target="https://www.incometaxindia.gov.in/w/section-425-5" TargetMode="External"/><Relationship Id="rId88" Type="http://schemas.openxmlformats.org/officeDocument/2006/relationships/hyperlink" Target="https://www.incometaxindia.gov.in/w/rule-119a" TargetMode="External"/><Relationship Id="rId89" Type="http://schemas.openxmlformats.org/officeDocument/2006/relationships/hyperlink" Target="https://www.incometaxindia.gov.in/w/rule-269-1" TargetMode="External"/><Relationship Id="rId90" Type="http://schemas.openxmlformats.org/officeDocument/2006/relationships/hyperlink" Target="https://www.incometaxindia.gov.in/w/rule-119a" TargetMode="External"/><Relationship Id="rId91" Type="http://schemas.openxmlformats.org/officeDocument/2006/relationships/hyperlink" Target="https://www.incometaxindia.gov.in/w/rule-269-1" TargetMode="External"/><Relationship Id="rId92" Type="http://schemas.openxmlformats.org/officeDocument/2006/relationships/hyperlink" Target="https://www.incometaxindia.gov.in/w/section-428-5" TargetMode="External"/><Relationship Id="rId93" Type="http://schemas.openxmlformats.org/officeDocument/2006/relationships/hyperlink" Target="https://incometaxindia.gov.in/Budgets%20and%20Bills/2026/Notes-on-clauses-2026.pdf" TargetMode="External"/><Relationship Id="rId94" Type="http://schemas.openxmlformats.org/officeDocument/2006/relationships/hyperlink" Target="https://www.incometax.gov.in/iec/foportal/help/individual/return-applicable-1" TargetMode="External"/><Relationship Id="rId95" Type="http://schemas.openxmlformats.org/officeDocument/2006/relationships/hyperlink" Target="https://incometaxindia.gov.in/Budgets%20and%20Bills/2026/Notes-on-clauses-2026.pdf" TargetMode="External"/><Relationship Id="rId96" Type="http://schemas.openxmlformats.org/officeDocument/2006/relationships/hyperlink" Target="https://incometaxindia.gov.in/documents/d/guest/circular-7-2026-pdf" TargetMode="External"/><Relationship Id="rId97" Type="http://schemas.openxmlformats.org/officeDocument/2006/relationships/hyperlink" Target="https://ksandk.com/newsletter/income-tax-return-filing-deadline-for-ay-2026-27-extended-to-21-november-2026-tax-audit-deadline-revised/" TargetMode="External"/><Relationship Id="rId98" Type="http://schemas.openxmlformats.org/officeDocument/2006/relationships/hyperlink" Target="https://calcguru.in/?p=5373" TargetMode="External"/><Relationship Id="rId99" Type="http://schemas.openxmlformats.org/officeDocument/2006/relationships/hyperlink" Target="https://www.incorpx.io/blog/itr-due-date-extended-august-31-2026" TargetMode="External"/><Relationship Id="rId100" Type="http://schemas.openxmlformats.org/officeDocument/2006/relationships/hyperlink" Target="https://www.taxmann.com/post/blog/finance-act-receives-assent-of-the-president/" TargetMode="External"/><Relationship Id="rId101" Type="http://schemas.openxmlformats.org/officeDocument/2006/relationships/hyperlink" Target="https://www.incometaxindia.gov.in/documents/d/guest/finance-act-2026-pdf-1" TargetMode="External"/><Relationship Id="rId102" Type="http://schemas.openxmlformats.org/officeDocument/2006/relationships/hyperlink" Target="https://www.indiabudget.gov.in/doc/memo.pdf" TargetMode="External"/><Relationship Id="rId103" Type="http://schemas.openxmlformats.org/officeDocument/2006/relationships/hyperlink" Target="https://incometaxindia.gov.in/Budgets%20and%20Bills/2026/Notes-on-clauses-2026.pdf" TargetMode="External"/><Relationship Id="rId104" Type="http://schemas.openxmlformats.org/officeDocument/2006/relationships/hyperlink" Target="https://www.incometaxindia.gov.in/w/section-263-72" TargetMode="External"/><Relationship Id="rId105" Type="http://schemas.openxmlformats.org/officeDocument/2006/relationships/hyperlink" Target="https://studycafe.in/revised-itr-rules-from-fy-2026-27-fees-deadlines-and-key-changes-explained-409375.html" TargetMode="External"/><Relationship Id="rId106" Type="http://schemas.openxmlformats.org/officeDocument/2006/relationships/hyperlink" Target="https://www.incometaxindia.gov.in/w/section-63-134" TargetMode="External"/><Relationship Id="rId107" Type="http://schemas.openxmlformats.org/officeDocument/2006/relationships/hyperlink" Target="https://www.indiabudget.gov.in/doc/memo.pdf" TargetMode="External"/><Relationship Id="rId108" Type="http://schemas.openxmlformats.org/officeDocument/2006/relationships/hyperlink" Target="https://incometaxindia.gov.in/Budgets%20and%20Bills/2026/Notes-on-clauses-2026.pdf" TargetMode="External"/><Relationship Id="rId109" Type="http://schemas.openxmlformats.org/officeDocument/2006/relationships/hyperlink" Target="https://calcguru.in/?p=5373" TargetMode="External"/><Relationship Id="rId110" Type="http://schemas.openxmlformats.org/officeDocument/2006/relationships/hyperlink" Target="https://studycafe.in/revised-itr-rules-from-fy-2026-27-fees-deadlines-and-key-changes-explained-409375.html" TargetMode="External"/><Relationship Id="rId111" Type="http://schemas.openxmlformats.org/officeDocument/2006/relationships/hyperlink" Target="https://www.incometaxindia.gov.in/w/section-263-72" TargetMode="External"/><Relationship Id="rId112" Type="http://schemas.openxmlformats.org/officeDocument/2006/relationships/hyperlink" Target="https://www.incorpx.io/blog/itr-due-date-extended-august-31-2026" TargetMode="External"/><Relationship Id="rId113" Type="http://schemas.openxmlformats.org/officeDocument/2006/relationships/hyperlink" Target="https://www.incometaxindia.gov.in/documents/d/guest/finance-act-2026-pdf-1" TargetMode="External"/><Relationship Id="rId114" Type="http://schemas.openxmlformats.org/officeDocument/2006/relationships/hyperlink" Target="https://www.indiabudget.gov.in/doc/memo.pdf" TargetMode="External"/><Relationship Id="rId115" Type="http://schemas.openxmlformats.org/officeDocument/2006/relationships/hyperlink" Target="https://www.incometaxindia.gov.in/w/section-263-72" TargetMode="External"/><Relationship Id="rId116" Type="http://schemas.openxmlformats.org/officeDocument/2006/relationships/hyperlink" Target="https://incometaxindia.gov.in/Budgets%20and%20Bills/2026/Notes-on-clauses-2026.pdf" TargetMode="External"/><Relationship Id="rId117" Type="http://schemas.openxmlformats.org/officeDocument/2006/relationships/hyperlink" Target="https://www.taxheal.com/section-424-income-tax-act-2025.html" TargetMode="External"/><Relationship Id="rId118" Type="http://schemas.openxmlformats.org/officeDocument/2006/relationships/hyperlink" Target="https://www.incometaxindia.gov.in/w/rule-37ba" TargetMode="External"/><Relationship Id="rId119" Type="http://schemas.openxmlformats.org/officeDocument/2006/relationships/hyperlink" Target="https://www.taxtmi.com/tmi_notes?id=1895" TargetMode="External"/><Relationship Id="rId120" Type="http://schemas.openxmlformats.org/officeDocument/2006/relationships/hyperlink" Target="https://cleartax.in/s/income-tax-changes-from-april-2026" TargetMode="External"/><Relationship Id="rId121" Type="http://schemas.openxmlformats.org/officeDocument/2006/relationships/hyperlink" Target="https://cleartax.in/s/income-tax-changes-from-april-2026" TargetMode="External"/><Relationship Id="rId122" Type="http://schemas.openxmlformats.org/officeDocument/2006/relationships/hyperlink" Target="https://incometaxindia.gov.in/documents/d/guest/circular-7-2026-pdf" TargetMode="External"/><Relationship Id="rId123" Type="http://schemas.openxmlformats.org/officeDocument/2006/relationships/hyperlink" Target="https://www.incometaxindia.gov.in/w/section-63-134" TargetMode="External"/><Relationship Id="rId124" Type="http://schemas.openxmlformats.org/officeDocument/2006/relationships/hyperlink" Target="https://incometaxindia.gov.in/Budgets%20and%20Bills/2026/Notes-on-clauses-2026.pdf" TargetMode="External"/><Relationship Id="rId125" Type="http://schemas.openxmlformats.org/officeDocument/2006/relationships/hyperlink" Target="https://www.incometaxindia.gov.in/documents/d/guest/finance-act-2026-pdf-1" TargetMode="External"/><Relationship Id="rId126" Type="http://schemas.openxmlformats.org/officeDocument/2006/relationships/hyperlink" Target="https://www.indiabudget.gov.in/doc/memo.pdf" TargetMode="External"/><Relationship Id="rId127" Type="http://schemas.openxmlformats.org/officeDocument/2006/relationships/hyperlink" Target="https://www.incometaxindia.gov.in/w/section-428-5" TargetMode="External"/><Relationship Id="rId128" Type="http://schemas.openxmlformats.org/officeDocument/2006/relationships/hyperlink" Target="https://www.incometaxindia.gov.in/documents/d/guest/press-release-income-tax-act-2025-comes-into-force-from-01-april-2026-pdf" TargetMode="External"/><Relationship Id="rId129" Type="http://schemas.openxmlformats.org/officeDocument/2006/relationships/hyperlink" Target="https://www.incometaxindia.gov.in/w/section-393-6" TargetMode="External"/><Relationship Id="rId130" Type="http://schemas.openxmlformats.org/officeDocument/2006/relationships/hyperlink" Target="https://cleartax.in/s/tds-and-tcs-changes-from-april-2026" TargetMode="External"/><Relationship Id="rId131" Type="http://schemas.openxmlformats.org/officeDocument/2006/relationships/hyperlink" Target="https://www.incometaxindia.gov.in/w/section-393-6" TargetMode="External"/><Relationship Id="rId132" Type="http://schemas.openxmlformats.org/officeDocument/2006/relationships/hyperlink" Target="https://www.incometaxindia.gov.in/w/section-392-6" TargetMode="External"/><Relationship Id="rId133" Type="http://schemas.openxmlformats.org/officeDocument/2006/relationships/hyperlink" Target="https://www.incometaxindia.gov.in/w/section-394-6" TargetMode="External"/><Relationship Id="rId134" Type="http://schemas.openxmlformats.org/officeDocument/2006/relationships/hyperlink" Target="https://www.incometaxindia.gov.in/w/section-395-6" TargetMode="External"/><Relationship Id="rId135" Type="http://schemas.openxmlformats.org/officeDocument/2006/relationships/hyperlink" Target="https://www.incometaxindia.gov.in/w/section-397-6" TargetMode="External"/><Relationship Id="rId136" Type="http://schemas.openxmlformats.org/officeDocument/2006/relationships/hyperlink" Target="https://www.incometaxindia.gov.in/w/section-398-5" TargetMode="External"/><Relationship Id="rId137" Type="http://schemas.openxmlformats.org/officeDocument/2006/relationships/hyperlink" Target="https://www.incometaxindia.gov.in/w/section-427-6" TargetMode="External"/><Relationship Id="rId138" Type="http://schemas.openxmlformats.org/officeDocument/2006/relationships/hyperlink" Target="https://www.incometaxindia.gov.in/w/section-461-6" TargetMode="External"/><Relationship Id="rId139" Type="http://schemas.openxmlformats.org/officeDocument/2006/relationships/hyperlink" Target="https://www.incometaxindia.gov.in/w/rule-218-1" TargetMode="External"/><Relationship Id="rId140" Type="http://schemas.openxmlformats.org/officeDocument/2006/relationships/hyperlink" Target="https://www.incometaxindia.gov.in/w/rule-219-1" TargetMode="External"/><Relationship Id="rId141" Type="http://schemas.openxmlformats.org/officeDocument/2006/relationships/hyperlink" Target="https://www.incometaxindia.gov.in/documents/d/guest/form-130-faqs" TargetMode="External"/><Relationship Id="rId142" Type="http://schemas.openxmlformats.org/officeDocument/2006/relationships/hyperlink" Target="https://www.incometaxindia.gov.in/documents/d/guest/form-128-faqs" TargetMode="External"/><Relationship Id="rId143" Type="http://schemas.openxmlformats.org/officeDocument/2006/relationships/hyperlink" Target="https://www.incometaxindia.gov.in/documents/d/guest/form-121-faqs" TargetMode="External"/><Relationship Id="rId144" Type="http://schemas.openxmlformats.org/officeDocument/2006/relationships/hyperlink" Target="https://taxguru.in/income-tax/q1-tax-year-2026-27-tds-tcs-return-filing-forms-due-dates.html" TargetMode="External"/><Relationship Id="rId145" Type="http://schemas.openxmlformats.org/officeDocument/2006/relationships/hyperlink" Target="https://www.casahuja.com/2026/04/tds-rewritten-income-tax-act-1961-vs.html" TargetMode="External"/><Relationship Id="rId146" Type="http://schemas.openxmlformats.org/officeDocument/2006/relationships/hyperlink" Target="https://calcguru.in/?p=5458" TargetMode="External"/><Relationship Id="rId147" Type="http://schemas.openxmlformats.org/officeDocument/2006/relationships/hyperlink" Target="https://india-briefing.com/news/section-393-income-tax-act-2025-tds-rules-rates-compliance-guide-44450.html/" TargetMode="External"/><Relationship Id="rId148" Type="http://schemas.openxmlformats.org/officeDocument/2006/relationships/hyperlink" Target="https://www.incometaxindia.gov.in/w/section-392-6" TargetMode="External"/><Relationship Id="rId149" Type="http://schemas.openxmlformats.org/officeDocument/2006/relationships/hyperlink" Target="https://www.incometaxindia.gov.in/documents/d/guest/form-130-faqs" TargetMode="External"/><Relationship Id="rId150" Type="http://schemas.openxmlformats.org/officeDocument/2006/relationships/hyperlink" Target="https://cleartax.in/s/tds-and-tcs-changes-from-april-2026" TargetMode="External"/><Relationship Id="rId151" Type="http://schemas.openxmlformats.org/officeDocument/2006/relationships/hyperlink" Target="https://taxguru.in/income-tax/q1-tax-year-2026-27-tds-tcs-return-filing-forms-due-dates.html" TargetMode="External"/><Relationship Id="rId152" Type="http://schemas.openxmlformats.org/officeDocument/2006/relationships/hyperlink" Target="https://www.incometaxindia.gov.in/w/section-392-6" TargetMode="External"/><Relationship Id="rId153" Type="http://schemas.openxmlformats.org/officeDocument/2006/relationships/hyperlink" Target="https://www.india-briefing.com/news/a-guide-to-indias-tds-rates-for-fy-2025-26-36999.html/" TargetMode="External"/><Relationship Id="rId154" Type="http://schemas.openxmlformats.org/officeDocument/2006/relationships/hyperlink" Target="https://www.incometaxindia.gov.in/w/rule-219-1" TargetMode="External"/><Relationship Id="rId155" Type="http://schemas.openxmlformats.org/officeDocument/2006/relationships/hyperlink" Target="https://www.incometaxindia.gov.in/w/section-393-6" TargetMode="External"/><Relationship Id="rId156"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57" Type="http://schemas.openxmlformats.org/officeDocument/2006/relationships/hyperlink" Target="https://blog.tdsman.com/2025/03/tds-tcs-changes-w-e-f-1st-april-2025/" TargetMode="External"/><Relationship Id="rId158" Type="http://schemas.openxmlformats.org/officeDocument/2006/relationships/hyperlink" Target="https://www.incometaxindia.gov.in/w/section-393-6" TargetMode="External"/><Relationship Id="rId159"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60" Type="http://schemas.openxmlformats.org/officeDocument/2006/relationships/hyperlink" Target="https://blog.tdsman.com/2025/03/tds-tcs-changes-w-e-f-1st-april-2025/" TargetMode="External"/><Relationship Id="rId161" Type="http://schemas.openxmlformats.org/officeDocument/2006/relationships/hyperlink" Target="https://www.incometaxindia.gov.in/w/section-393-6" TargetMode="External"/><Relationship Id="rId162"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63" Type="http://schemas.openxmlformats.org/officeDocument/2006/relationships/hyperlink" Target="https://blog.tdsman.com/2025/03/tds-tcs-changes-w-e-f-1st-april-2025/" TargetMode="External"/><Relationship Id="rId164" Type="http://schemas.openxmlformats.org/officeDocument/2006/relationships/hyperlink" Target="https://blog.tdsman.com/2026/02/key-tds-tcs-proposed-changes-in-budget-2026-27/" TargetMode="External"/><Relationship Id="rId165" Type="http://schemas.openxmlformats.org/officeDocument/2006/relationships/hyperlink" Target="https://www.incometaxindia.gov.in/w/section-393-6" TargetMode="External"/><Relationship Id="rId166"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67" Type="http://schemas.openxmlformats.org/officeDocument/2006/relationships/hyperlink" Target="https://blog.tdsman.com/2025/03/tds-tcs-changes-w-e-f-1st-april-2025/" TargetMode="External"/><Relationship Id="rId168" Type="http://schemas.openxmlformats.org/officeDocument/2006/relationships/hyperlink" Target="https://www.incometaxindia.gov.in/w/section-393-6" TargetMode="External"/><Relationship Id="rId169"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70" Type="http://schemas.openxmlformats.org/officeDocument/2006/relationships/hyperlink" Target="https://www.incometaxindia.gov.in/w/section-393-6" TargetMode="External"/><Relationship Id="rId171" Type="http://schemas.openxmlformats.org/officeDocument/2006/relationships/hyperlink" Target="https://www.incometaxindia.gov.in/w/section-393-6" TargetMode="External"/><Relationship Id="rId172" Type="http://schemas.openxmlformats.org/officeDocument/2006/relationships/hyperlink" Target="https://www.india-briefing.com/news/a-guide-to-indias-tds-rates-for-fy-2025-26-36999.html/" TargetMode="External"/><Relationship Id="rId173" Type="http://schemas.openxmlformats.org/officeDocument/2006/relationships/hyperlink" Target="https://blog.tdsman.com/2026/02/key-tds-tcs-proposed-changes-in-budget-2026-27/" TargetMode="External"/><Relationship Id="rId174" Type="http://schemas.openxmlformats.org/officeDocument/2006/relationships/hyperlink" Target="https://cleartax.in/s/tds-and-tcs-changes-from-april-2026" TargetMode="External"/><Relationship Id="rId175" Type="http://schemas.openxmlformats.org/officeDocument/2006/relationships/hyperlink" Target="https://taxguru.in/income-tax/tds-deductible-gst-component-cbdt.html" TargetMode="External"/><Relationship Id="rId176" Type="http://schemas.openxmlformats.org/officeDocument/2006/relationships/hyperlink" Target="https://www.incometaxindia.gov.in/w/section-393-6" TargetMode="External"/><Relationship Id="rId177" Type="http://schemas.openxmlformats.org/officeDocument/2006/relationships/hyperlink" Target="https://incometaxindia.gov.in/w/tds-rates-1" TargetMode="External"/><Relationship Id="rId178" Type="http://schemas.openxmlformats.org/officeDocument/2006/relationships/hyperlink" Target="https://www.india-briefing.com/news/a-guide-to-indias-tds-rates-for-fy-2025-26-36999.html/" TargetMode="External"/><Relationship Id="rId179"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80" Type="http://schemas.openxmlformats.org/officeDocument/2006/relationships/hyperlink" Target="https://blog.tdsman.com/2026/04/tds-on-insurance-commission-or-brokerage-section-3931-section-194d/" TargetMode="External"/><Relationship Id="rId181" Type="http://schemas.openxmlformats.org/officeDocument/2006/relationships/hyperlink" Target="https://cleartax.in/s/section-194d-194da-income-tax" TargetMode="External"/><Relationship Id="rId182" Type="http://schemas.openxmlformats.org/officeDocument/2006/relationships/hyperlink" Target="https://www.indiabudget.gov.in/budget2024-25/doc/memo.pdf" TargetMode="External"/><Relationship Id="rId183" Type="http://schemas.openxmlformats.org/officeDocument/2006/relationships/hyperlink" Target="https://www.indiabudget.gov.in/budget2025-26/doc/memo.pdf" TargetMode="External"/><Relationship Id="rId184" Type="http://schemas.openxmlformats.org/officeDocument/2006/relationships/hyperlink" Target="https://www.incometaxindia.gov.in/w/section-393-6" TargetMode="External"/><Relationship Id="rId185" Type="http://schemas.openxmlformats.org/officeDocument/2006/relationships/hyperlink" Target="https://blog.tdsman.com/2024/09/reduction-optimization-of-tds-rates-w-e-f-1st-october-24" TargetMode="External"/><Relationship Id="rId186" Type="http://schemas.openxmlformats.org/officeDocument/2006/relationships/hyperlink" Target="https://incometaxindia.gov.in/w/tds-rates-1" TargetMode="External"/><Relationship Id="rId187" Type="http://schemas.openxmlformats.org/officeDocument/2006/relationships/hyperlink" Target="https://www.incometaxindia.gov.in/w/section-393-6" TargetMode="External"/><Relationship Id="rId188" Type="http://schemas.openxmlformats.org/officeDocument/2006/relationships/hyperlink" Target="https://blog.tdsman.com/2024/09/reduction-optimization-of-tds-rates-w-e-f-1st-october-24" TargetMode="External"/><Relationship Id="rId189"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90" Type="http://schemas.openxmlformats.org/officeDocument/2006/relationships/hyperlink" Target="https://www.incometaxindia.gov.in/w/section-393-6" TargetMode="External"/><Relationship Id="rId191" Type="http://schemas.openxmlformats.org/officeDocument/2006/relationships/hyperlink" Target="https://blog.tdsman.com/2024/09/reduction-optimization-of-tds-rates-w-e-f-1st-october-24" TargetMode="External"/><Relationship Id="rId192"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93" Type="http://schemas.openxmlformats.org/officeDocument/2006/relationships/hyperlink" Target="https://taxguru.in/income-tax/tds-deductible-gst-component-cbdt.html" TargetMode="External"/><Relationship Id="rId194" Type="http://schemas.openxmlformats.org/officeDocument/2006/relationships/hyperlink" Target="https://www.incometaxindia.gov.in/w/section-393-6" TargetMode="External"/><Relationship Id="rId195"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196" Type="http://schemas.openxmlformats.org/officeDocument/2006/relationships/hyperlink" Target="https://www.india-briefing.com/news/a-guide-to-indias-tds-rates-for-fy-2025-26-36999.html/" TargetMode="External"/><Relationship Id="rId197" Type="http://schemas.openxmlformats.org/officeDocument/2006/relationships/hyperlink" Target="https://www.incometaxindia.gov.in/w/section-393-6" TargetMode="External"/><Relationship Id="rId198" Type="http://schemas.openxmlformats.org/officeDocument/2006/relationships/hyperlink" Target="https://www.incometaxindia.gov.in/w/section-194ia-10" TargetMode="External"/><Relationship Id="rId199" Type="http://schemas.openxmlformats.org/officeDocument/2006/relationships/hyperlink" Target="https://www.incometaxindia.gov.in/w/rule-219-1" TargetMode="External"/><Relationship Id="rId200" Type="http://schemas.openxmlformats.org/officeDocument/2006/relationships/hyperlink" Target="https://taxguru.in/income-tax/q1-tax-year-2026-27-tds-tcs-return-filing-forms-due-dates.html" TargetMode="External"/><Relationship Id="rId201" Type="http://schemas.openxmlformats.org/officeDocument/2006/relationships/hyperlink" Target="https://www.incometaxindia.gov.in/w/section-393-6" TargetMode="External"/><Relationship Id="rId202" Type="http://schemas.openxmlformats.org/officeDocument/2006/relationships/hyperlink" Target="https://www.incometaxindia.gov.in/w/section-397-6" TargetMode="External"/><Relationship Id="rId203" Type="http://schemas.openxmlformats.org/officeDocument/2006/relationships/hyperlink" Target="https://blog.tdsman.com/2024/09/reduction-optimization-of-tds-rates-w-e-f-1st-october-24" TargetMode="External"/><Relationship Id="rId204" Type="http://schemas.openxmlformats.org/officeDocument/2006/relationships/hyperlink" Target="https://www.incometaxindia.gov.in/w/rule-219-1" TargetMode="External"/><Relationship Id="rId205" Type="http://schemas.openxmlformats.org/officeDocument/2006/relationships/hyperlink" Target="https://www.incometaxindia.gov.in/w/section-393-6" TargetMode="External"/><Relationship Id="rId206" Type="http://schemas.openxmlformats.org/officeDocument/2006/relationships/hyperlink" Target="https://www.india-briefing.com/news/a-guide-to-indias-tds-rates-for-fy-2025-26-36999.html/" TargetMode="External"/><Relationship Id="rId207" Type="http://schemas.openxmlformats.org/officeDocument/2006/relationships/hyperlink" Target="https://www.incometaxindia.gov.in/w/section-393-6" TargetMode="External"/><Relationship Id="rId208"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09" Type="http://schemas.openxmlformats.org/officeDocument/2006/relationships/hyperlink" Target="https://www.india-briefing.com/news/a-guide-to-indias-tds-rates-for-fy-2025-26-36999.html/" TargetMode="External"/><Relationship Id="rId210" Type="http://schemas.openxmlformats.org/officeDocument/2006/relationships/hyperlink" Target="https://www.incometaxindia.gov.in/w/section-393-6" TargetMode="External"/><Relationship Id="rId211"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12" Type="http://schemas.openxmlformats.org/officeDocument/2006/relationships/hyperlink" Target="https://www.incometaxindia.gov.in/w/section-393-6" TargetMode="External"/><Relationship Id="rId213"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14" Type="http://schemas.openxmlformats.org/officeDocument/2006/relationships/hyperlink" Target="https://www.incometaxindia.gov.in/w/section-393-6" TargetMode="External"/><Relationship Id="rId215" Type="http://schemas.openxmlformats.org/officeDocument/2006/relationships/hyperlink" Target="https://www.india-briefing.com/news/a-guide-to-indias-tds-rates-for-fy-2025-26-36999.html/" TargetMode="External"/><Relationship Id="rId216" Type="http://schemas.openxmlformats.org/officeDocument/2006/relationships/hyperlink" Target="https://incometaxindia.gov.in/w/tds-rates-1" TargetMode="External"/><Relationship Id="rId217" Type="http://schemas.openxmlformats.org/officeDocument/2006/relationships/hyperlink" Target="https://www.incometaxindia.gov.in/w/section-393-6" TargetMode="External"/><Relationship Id="rId218" Type="http://schemas.openxmlformats.org/officeDocument/2006/relationships/hyperlink" Target="https://blog.tdsman.com/2024/09/reduction-optimization-of-tds-rates-w-e-f-1st-october-24" TargetMode="External"/><Relationship Id="rId219" Type="http://schemas.openxmlformats.org/officeDocument/2006/relationships/hyperlink" Target="https://www.incometaxindia.gov.in/w/rule-218-1" TargetMode="External"/><Relationship Id="rId220" Type="http://schemas.openxmlformats.org/officeDocument/2006/relationships/hyperlink" Target="https://www.incometaxindia.gov.in/w/rule-219-1" TargetMode="External"/><Relationship Id="rId221" Type="http://schemas.openxmlformats.org/officeDocument/2006/relationships/hyperlink" Target="https://www.incometaxindia.gov.in/w/section-393-6" TargetMode="External"/><Relationship Id="rId222" Type="http://schemas.openxmlformats.org/officeDocument/2006/relationships/hyperlink" Target="https://incometaxindia.gov.in/Tutorials/52.Section-194N.pdf" TargetMode="External"/><Relationship Id="rId223" Type="http://schemas.openxmlformats.org/officeDocument/2006/relationships/hyperlink" Target="https://incometaxindia.gov.in/w/tds-rates-1" TargetMode="External"/><Relationship Id="rId224" Type="http://schemas.openxmlformats.org/officeDocument/2006/relationships/hyperlink" Target="https://www.taxheal.com/?p=128626" TargetMode="External"/><Relationship Id="rId225" Type="http://schemas.openxmlformats.org/officeDocument/2006/relationships/hyperlink" Target="https://www.incometaxindia.gov.in/w/section-393-6" TargetMode="External"/><Relationship Id="rId226" Type="http://schemas.openxmlformats.org/officeDocument/2006/relationships/hyperlink" Target="https://www.incometaxindia.gov.in/w/section-397-6" TargetMode="External"/><Relationship Id="rId227" Type="http://schemas.openxmlformats.org/officeDocument/2006/relationships/hyperlink" Target="https://blog.tdsman.com/2024/09/reduction-optimization-of-tds-rates-w-e-f-1st-october-24" TargetMode="External"/><Relationship Id="rId228" Type="http://schemas.openxmlformats.org/officeDocument/2006/relationships/hyperlink" Target="https://www.incometaxindia.gov.in/w/section-393-6" TargetMode="External"/><Relationship Id="rId229" Type="http://schemas.openxmlformats.org/officeDocument/2006/relationships/hyperlink" Target="https://www.incometaxindia.gov.in/documents/d/guest/form-130-faqs" TargetMode="External"/><Relationship Id="rId230" Type="http://schemas.openxmlformats.org/officeDocument/2006/relationships/hyperlink" Target="https://incometaxindia.gov.in/w/tds-rates-1" TargetMode="External"/><Relationship Id="rId231" Type="http://schemas.openxmlformats.org/officeDocument/2006/relationships/hyperlink" Target="https://www.incometaxindia.gov.in/w/section-393-6" TargetMode="External"/><Relationship Id="rId232" Type="http://schemas.openxmlformats.org/officeDocument/2006/relationships/hyperlink" Target="https://www.incometaxindia.gov.in/w/section-397-6" TargetMode="External"/><Relationship Id="rId233"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34" Type="http://schemas.openxmlformats.org/officeDocument/2006/relationships/hyperlink" Target="https://www.india-briefing.com/news/a-guide-to-indias-tds-rates-for-fy-2025-26-36999.html/" TargetMode="External"/><Relationship Id="rId235" Type="http://schemas.openxmlformats.org/officeDocument/2006/relationships/hyperlink" Target="https://www.incometaxindia.gov.in/w/section-393-6" TargetMode="External"/><Relationship Id="rId236" Type="http://schemas.openxmlformats.org/officeDocument/2006/relationships/hyperlink" Target="https://www.india-briefing.com/news/a-guide-to-indias-tds-rates-for-fy-2025-26-36999.html/" TargetMode="External"/><Relationship Id="rId237" Type="http://schemas.openxmlformats.org/officeDocument/2006/relationships/hyperlink" Target="https://www.incometaxindia.gov.in/w/section-393-6" TargetMode="External"/><Relationship Id="rId238" Type="http://schemas.openxmlformats.org/officeDocument/2006/relationships/hyperlink" Target="https://incometaxindia.gov.in/w/tds-rates-1" TargetMode="External"/><Relationship Id="rId239" Type="http://schemas.openxmlformats.org/officeDocument/2006/relationships/hyperlink" Target="https://www.incometaxindia.gov.in/w/rule-219-1" TargetMode="External"/><Relationship Id="rId240" Type="http://schemas.openxmlformats.org/officeDocument/2006/relationships/hyperlink" Target="https://www.incometaxindia.gov.in/w/section-393-6" TargetMode="External"/><Relationship Id="rId241" Type="http://schemas.openxmlformats.org/officeDocument/2006/relationships/hyperlink" Target="https://incometaxindia.gov.in/w/tds-rates-1" TargetMode="External"/><Relationship Id="rId242"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43" Type="http://schemas.openxmlformats.org/officeDocument/2006/relationships/hyperlink" Target="https://www.india-briefing.com/news/a-guide-to-indias-tds-rates-for-fy-2025-26-36999.html/" TargetMode="External"/><Relationship Id="rId244" Type="http://schemas.openxmlformats.org/officeDocument/2006/relationships/hyperlink" Target="https://www.incometaxindia.gov.in/w/section-393-6" TargetMode="External"/><Relationship Id="rId245" Type="http://schemas.openxmlformats.org/officeDocument/2006/relationships/hyperlink" Target="https://www.incometaxindia.gov.in/documents/d/guest/faqs-on-higher-rate-of-tds-under-section-397" TargetMode="External"/><Relationship Id="rId246" Type="http://schemas.openxmlformats.org/officeDocument/2006/relationships/hyperlink" Target="https://incometaxindia.gov.in/w/tds-rates-1" TargetMode="External"/><Relationship Id="rId247" Type="http://schemas.openxmlformats.org/officeDocument/2006/relationships/hyperlink" Target="https://www.incometaxindia.gov.in/w/section-397-6" TargetMode="External"/><Relationship Id="rId248" Type="http://schemas.openxmlformats.org/officeDocument/2006/relationships/hyperlink" Target="https://www.incometaxindia.gov.in/documents/d/guest/faqs-on-higher-rate-of-tds-under-section-397" TargetMode="External"/><Relationship Id="rId249" Type="http://schemas.openxmlformats.org/officeDocument/2006/relationships/hyperlink" Target="https://www.incometaxindia.gov.in/w/higher-deduction-of-tax-at-source-in-certain-cases-section-206aa-and-section-206ab-" TargetMode="External"/><Relationship Id="rId250" Type="http://schemas.openxmlformats.org/officeDocument/2006/relationships/hyperlink" Target="https://blog.tdsman.com/2026/05/higher-rate-of-tds-for-non-furnishing-of-pan-section-3972-206aa-206cc/" TargetMode="External"/><Relationship Id="rId251" Type="http://schemas.openxmlformats.org/officeDocument/2006/relationships/hyperlink" Target="https://www.incometaxindia.gov.in/w/higher-deduction-of-tax-at-source-in-certain-cases-section-206aa-and-section-206ab-" TargetMode="External"/><Relationship Id="rId252" Type="http://schemas.openxmlformats.org/officeDocument/2006/relationships/hyperlink" Target="https://www.taxheal.com/?p=98720" TargetMode="External"/><Relationship Id="rId253"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54" Type="http://schemas.openxmlformats.org/officeDocument/2006/relationships/hyperlink" Target="https://blog.tdsman.com/2025/03/tds-tcs-changes-w-e-f-1st-april-2025/" TargetMode="External"/><Relationship Id="rId255" Type="http://schemas.openxmlformats.org/officeDocument/2006/relationships/hyperlink" Target="https://www.indiabudget.gov.in/budget2025-26/doc/memo.pdf" TargetMode="External"/><Relationship Id="rId256" Type="http://schemas.openxmlformats.org/officeDocument/2006/relationships/hyperlink" Target="https://www.incometaxindia.gov.in/w/rule-218-1" TargetMode="External"/><Relationship Id="rId257" Type="http://schemas.openxmlformats.org/officeDocument/2006/relationships/hyperlink" Target="https://www.taxheal.com/?p=129187" TargetMode="External"/><Relationship Id="rId258" Type="http://schemas.openxmlformats.org/officeDocument/2006/relationships/hyperlink" Target="https://www.incometaxindia.gov.in/w/rule-219-1" TargetMode="External"/><Relationship Id="rId259" Type="http://schemas.openxmlformats.org/officeDocument/2006/relationships/hyperlink" Target="https://taxguru.in/income-tax/q1-tax-year-2026-27-tds-tcs-return-filing-forms-due-dates.html" TargetMode="External"/><Relationship Id="rId260" Type="http://schemas.openxmlformats.org/officeDocument/2006/relationships/hyperlink" Target="https://cleartax.in/s/tds-and-tcs-changes-from-april-2026" TargetMode="External"/><Relationship Id="rId261" Type="http://schemas.openxmlformats.org/officeDocument/2006/relationships/hyperlink" Target="https://www.incometaxindia.gov.in/w/section-201-60" TargetMode="External"/><Relationship Id="rId262" Type="http://schemas.openxmlformats.org/officeDocument/2006/relationships/hyperlink" Target="https://www.incometaxindia.gov.in/w/section-398-5" TargetMode="External"/><Relationship Id="rId263" Type="http://schemas.openxmlformats.org/officeDocument/2006/relationships/hyperlink" Target="https://blog.tdsman.com/2015/04/interest-calculation-delayed-payment-tds/" TargetMode="External"/><Relationship Id="rId264" Type="http://schemas.openxmlformats.org/officeDocument/2006/relationships/hyperlink" Target="https://blog.tdsman.com/2026/07/section-398-of-the-income-tax-act-2025-consequences-of-tds-defaults/" TargetMode="External"/><Relationship Id="rId265" Type="http://schemas.openxmlformats.org/officeDocument/2006/relationships/hyperlink" Target="https://www.taxheal.com/?p=120775" TargetMode="External"/><Relationship Id="rId266" Type="http://schemas.openxmlformats.org/officeDocument/2006/relationships/hyperlink" Target="https://www.indiabudget.gov.in/budget2024-25/doc/memo.pdf" TargetMode="External"/><Relationship Id="rId267" Type="http://schemas.openxmlformats.org/officeDocument/2006/relationships/hyperlink" Target="https://www.incometaxindia.gov.in/w/section-427-6" TargetMode="External"/><Relationship Id="rId268" Type="http://schemas.openxmlformats.org/officeDocument/2006/relationships/hyperlink" Target="https://www.taxheal.com/?p=122445" TargetMode="External"/><Relationship Id="rId269" Type="http://schemas.openxmlformats.org/officeDocument/2006/relationships/hyperlink" Target="https://www.incometaxindia.gov.in/w/section-461-6" TargetMode="External"/><Relationship Id="rId270" Type="http://schemas.openxmlformats.org/officeDocument/2006/relationships/hyperlink" Target="https://www.incometaxindia.gov.in/w/section-271h-1" TargetMode="External"/><Relationship Id="rId271" Type="http://schemas.openxmlformats.org/officeDocument/2006/relationships/hyperlink" Target="https://blog.tdsman.com/2026/02/section-271h-penalty-on-taxpayers-for-not-filing-tds-or-tcs-returns/" TargetMode="External"/><Relationship Id="rId272" Type="http://schemas.openxmlformats.org/officeDocument/2006/relationships/hyperlink" Target="https://www.incometaxindia.gov.in/documents/d/guest/form-130-faqs" TargetMode="External"/><Relationship Id="rId273" Type="http://schemas.openxmlformats.org/officeDocument/2006/relationships/hyperlink" Target="https://taxguru.in/income-tax/income-tax-form-131-tds-certificate-u-s-395-4-non-salary-pension-senior-citizen-interest.html" TargetMode="External"/><Relationship Id="rId274" Type="http://schemas.openxmlformats.org/officeDocument/2006/relationships/hyperlink" Target="https://taxguru.in/income-tax/q1-tax-year-2026-27-tds-tcs-return-filing-forms-due-dates.html" TargetMode="External"/><Relationship Id="rId275" Type="http://schemas.openxmlformats.org/officeDocument/2006/relationships/hyperlink" Target="https://www.incometaxindia.gov.in/w/section-395-6" TargetMode="External"/><Relationship Id="rId276" Type="http://schemas.openxmlformats.org/officeDocument/2006/relationships/hyperlink" Target="https://www.incometaxindia.gov.in/documents/d/guest/form-128-faqs" TargetMode="External"/><Relationship Id="rId277" Type="http://schemas.openxmlformats.org/officeDocument/2006/relationships/hyperlink" Target="https://www.incometaxindia.gov.in/documents/d/guest/form-121-faqs" TargetMode="External"/><Relationship Id="rId278" Type="http://schemas.openxmlformats.org/officeDocument/2006/relationships/hyperlink" Target="https://www.incometaxindia.gov.in/w/section-393-6" TargetMode="External"/><Relationship Id="rId279" Type="http://schemas.openxmlformats.org/officeDocument/2006/relationships/hyperlink" Target="https://www.incometaxindia.gov.in/w/rule-218-1" TargetMode="External"/><Relationship Id="rId280" Type="http://schemas.openxmlformats.org/officeDocument/2006/relationships/hyperlink" Target="https://www.incometaxindia.gov.in/w/rule-219-1" TargetMode="External"/><Relationship Id="rId281" Type="http://schemas.openxmlformats.org/officeDocument/2006/relationships/hyperlink" Target="https://www.incometaxindia.gov.in/w/section-397-6" TargetMode="External"/><Relationship Id="rId282" Type="http://schemas.openxmlformats.org/officeDocument/2006/relationships/hyperlink" Target="https://www.incometaxindia.gov.in/w/section-397-6" TargetMode="External"/><Relationship Id="rId283" Type="http://schemas.openxmlformats.org/officeDocument/2006/relationships/hyperlink" Target="https://www.incometaxindia.gov.in/w/section-201-60" TargetMode="External"/><Relationship Id="rId284" Type="http://schemas.openxmlformats.org/officeDocument/2006/relationships/hyperlink" Target="https://www.incometaxindia.gov.in/w/section-398-5" TargetMode="External"/><Relationship Id="rId285" Type="http://schemas.openxmlformats.org/officeDocument/2006/relationships/hyperlink" Target="https://www.incometaxindia.gov.in/w/section-427-6" TargetMode="External"/><Relationship Id="rId286" Type="http://schemas.openxmlformats.org/officeDocument/2006/relationships/hyperlink" Target="https://www.incometaxindia.gov.in/w/section-397-6" TargetMode="External"/><Relationship Id="rId287" Type="http://schemas.openxmlformats.org/officeDocument/2006/relationships/hyperlink" Target="https://www.incometaxindia.gov.in/w/section-288b-59" TargetMode="External"/><Relationship Id="rId288" Type="http://schemas.openxmlformats.org/officeDocument/2006/relationships/hyperlink" Target="https://taxguru.in/income-tax/tds-deductible-gst-component-cbdt.html" TargetMode="External"/><Relationship Id="rId289" Type="http://schemas.openxmlformats.org/officeDocument/2006/relationships/hyperlink" Target="https://www.incometaxindia.gov.in/w/section-397-6" TargetMode="External"/><Relationship Id="rId290" Type="http://schemas.openxmlformats.org/officeDocument/2006/relationships/hyperlink" Target="https://www.incometaxindia.gov.in/w/section-398-5" TargetMode="External"/><Relationship Id="rId291" Type="http://schemas.openxmlformats.org/officeDocument/2006/relationships/hyperlink" Target="https://www.incometaxindia.gov.in/w/section-201-60" TargetMode="External"/><Relationship Id="rId292" Type="http://schemas.openxmlformats.org/officeDocument/2006/relationships/hyperlink" Target="https://cleartax.in/s/tds-and-tcs-changes-from-april-2026" TargetMode="External"/><Relationship Id="rId293" Type="http://schemas.openxmlformats.org/officeDocument/2006/relationships/hyperlink" Target="https://blog.tdsman.com/2025/03/tds-tcs-changes-w-e-f-1st-april-2025/" TargetMode="External"/><Relationship Id="rId294" Type="http://schemas.openxmlformats.org/officeDocument/2006/relationships/hyperlink" Target="https://cleartax.in/s/tds-and-tcs-changes-from-april-2026" TargetMode="External"/><Relationship Id="rId295" Type="http://schemas.openxmlformats.org/officeDocument/2006/relationships/hyperlink" Target="https://www.incometaxindia.gov.in/w/section-394-6" TargetMode="External"/><Relationship Id="rId296" Type="http://schemas.openxmlformats.org/officeDocument/2006/relationships/hyperlink" Target="https://www.incometaxindia.gov.in/w/section-206c-37" TargetMode="External"/><Relationship Id="rId297"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298" Type="http://schemas.openxmlformats.org/officeDocument/2006/relationships/hyperlink" Target="https://blog.tdsman.com/2026/02/key-tds-tcs-proposed-changes-in-budget-2026-27/" TargetMode="External"/><Relationship Id="rId299" Type="http://schemas.openxmlformats.org/officeDocument/2006/relationships/hyperlink" Target="https://cleartax.in/s/tds-and-tcs-changes-from-april-2026" TargetMode="External"/><Relationship Id="rId300" Type="http://schemas.openxmlformats.org/officeDocument/2006/relationships/hyperlink" Target="https://www.indiabudget.gov.in/budget2025-26/doc/memo.pdf" TargetMode="External"/><Relationship Id="rId301" Type="http://schemas.openxmlformats.org/officeDocument/2006/relationships/hyperlink" Target="https://www.incometaxindia.gov.in/w/section-394-6" TargetMode="External"/><Relationship Id="rId302" Type="http://schemas.openxmlformats.org/officeDocument/2006/relationships/hyperlink" Target="https://www.incometaxindia.gov.in/w/section-206c-37" TargetMode="External"/><Relationship Id="rId303" Type="http://schemas.openxmlformats.org/officeDocument/2006/relationships/hyperlink" Target="https://www.incometaxindia.gov.in/w/section-394-6" TargetMode="External"/><Relationship Id="rId304" Type="http://schemas.openxmlformats.org/officeDocument/2006/relationships/hyperlink" Target="https://www.incometaxindia.gov.in/w/section-206c-37" TargetMode="External"/><Relationship Id="rId305" Type="http://schemas.openxmlformats.org/officeDocument/2006/relationships/hyperlink" Target="https://www.bdo.in/en-gb/insights/alerts-updates/direct-tax-alert-cbdt-notifies-luxury-goods-for-levy-of-tcs-under-section-206c(1f)-of-the-it-act" TargetMode="External"/><Relationship Id="rId306" Type="http://schemas.openxmlformats.org/officeDocument/2006/relationships/hyperlink" Target="https://www.indiabudget.gov.in/budget2024-25/doc/memo.pdf" TargetMode="External"/><Relationship Id="rId307" Type="http://schemas.openxmlformats.org/officeDocument/2006/relationships/hyperlink" Target="https://www.incometaxindia.gov.in/w/section-394-6" TargetMode="External"/><Relationship Id="rId308"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309" Type="http://schemas.openxmlformats.org/officeDocument/2006/relationships/hyperlink" Target="https://blog.tdsman.com/2025/03/tds-tcs-changes-w-e-f-1st-april-2025/" TargetMode="External"/><Relationship Id="rId310" Type="http://schemas.openxmlformats.org/officeDocument/2006/relationships/hyperlink" Target="https://cleartax.in/s/tds-and-tcs-changes-from-april-2026" TargetMode="External"/><Relationship Id="rId311" Type="http://schemas.openxmlformats.org/officeDocument/2006/relationships/hyperlink" Target="https://blog.tdsman.com/2026/02/key-tds-tcs-proposed-changes-in-budget-2026-27/" TargetMode="External"/><Relationship Id="rId312" Type="http://schemas.openxmlformats.org/officeDocument/2006/relationships/hyperlink" Target="https://www.incometaxindia.gov.in/w/section-394-6" TargetMode="External"/><Relationship Id="rId313" Type="http://schemas.openxmlformats.org/officeDocument/2006/relationships/hyperlink" Target="https://cleartax.in/s/tds-and-tcs-changes-from-april-2026" TargetMode="External"/><Relationship Id="rId314" Type="http://schemas.openxmlformats.org/officeDocument/2006/relationships/hyperlink" Target="https://blog.tdsman.com/2026/02/key-tds-tcs-proposed-changes-in-budget-2026-27/" TargetMode="External"/><Relationship Id="rId315" Type="http://schemas.openxmlformats.org/officeDocument/2006/relationships/hyperlink" Target="https://www.taxheal.com/?p=120775" TargetMode="External"/><Relationship Id="rId316"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317" Type="http://schemas.openxmlformats.org/officeDocument/2006/relationships/hyperlink" Target="https://www.india-briefing.com/news/a-guide-to-indias-tds-rates-for-fy-2025-26-36999.html/" TargetMode="External"/><Relationship Id="rId318" Type="http://schemas.openxmlformats.org/officeDocument/2006/relationships/hyperlink" Target="https://www.incometaxindia.gov.in/w/section-394-6" TargetMode="External"/><Relationship Id="rId319" Type="http://schemas.openxmlformats.org/officeDocument/2006/relationships/hyperlink" Target="https://www.indiabudget.gov.in/budget2025-26/doc/memo.pdf" TargetMode="External"/><Relationship Id="rId320" Type="http://schemas.openxmlformats.org/officeDocument/2006/relationships/hyperlink" Target="https://www.incometaxindia.gov.in/w/section-397-6" TargetMode="External"/><Relationship Id="rId321" Type="http://schemas.openxmlformats.org/officeDocument/2006/relationships/hyperlink" Target="https://blog.tdsman.com/2026/05/higher-rate-of-tds-for-non-furnishing-of-pan-section-3972-206aa-206cc/" TargetMode="External"/><Relationship Id="rId322" Type="http://schemas.openxmlformats.org/officeDocument/2006/relationships/hyperlink" Target="https://www.taxheal.com/?p=120775" TargetMode="External"/><Relationship Id="rId323" Type="http://schemas.openxmlformats.org/officeDocument/2006/relationships/hyperlink" Target="https://www.incometaxindia.gov.in/w/rule-218-1" TargetMode="External"/><Relationship Id="rId324" Type="http://schemas.openxmlformats.org/officeDocument/2006/relationships/hyperlink" Target="https://www.incometaxindia.gov.in/w/rule-219-1" TargetMode="External"/><Relationship Id="rId325" Type="http://schemas.openxmlformats.org/officeDocument/2006/relationships/hyperlink" Target="https://www.incometaxindia.gov.in/w/section-398-5" TargetMode="External"/><Relationship Id="rId326" Type="http://schemas.openxmlformats.org/officeDocument/2006/relationships/hyperlink" Target="https://www.incometaxindia.gov.in/w/section-206c-37" TargetMode="External"/><Relationship Id="rId327" Type="http://schemas.openxmlformats.org/officeDocument/2006/relationships/hyperlink" Target="https://taxguru.in/income-tax/q1-tax-year-2026-27-tds-tcs-return-filing-forms-due-dates.html" TargetMode="External"/><Relationship Id="rId328" Type="http://schemas.openxmlformats.org/officeDocument/2006/relationships/hyperlink" Target="https://blog.tdsman.com/2025/03/tds-tcs-changes-w-e-f-1st-april-2025/" TargetMode="External"/><Relationship Id="rId329" Type="http://schemas.openxmlformats.org/officeDocument/2006/relationships/hyperlink" Target="https://www.indiabudget.gov.in/budget2024-25/doc/memo.pdf" TargetMode="External"/><Relationship Id="rId330" Type="http://schemas.openxmlformats.org/officeDocument/2006/relationships/hyperlink" Target="https://www.incometaxindia.gov.in/w/section-394-6" TargetMode="External"/><Relationship Id="rId331" Type="http://schemas.openxmlformats.org/officeDocument/2006/relationships/hyperlink" Target="https://www.incometaxindia.gov.in/w/rule-219-1" TargetMode="External"/><Relationship Id="rId332" Type="http://schemas.openxmlformats.org/officeDocument/2006/relationships/hyperlink" Target="https://arthurdejong.org/git/python-stdnum/plain/stdnum/in_/gstin.py" TargetMode="External"/><Relationship Id="rId333" Type="http://schemas.openxmlformats.org/officeDocument/2006/relationships/hyperlink" Target="https://www.aiaccountant.com/blog/gstin-format" TargetMode="External"/><Relationship Id="rId334" Type="http://schemas.openxmlformats.org/officeDocument/2006/relationships/hyperlink" Target="https://www.vjmglobal.com/feeds/blog/special-category-states-gst-registration" TargetMode="External"/><Relationship Id="rId335" Type="http://schemas.openxmlformats.org/officeDocument/2006/relationships/hyperlink" Target="https://taxinformation.cbic.gov.in/content/html/tax_repository/gst/acts/2017_CGST_act/active/chapter6/section22_v1.00.html" TargetMode="External"/><Relationship Id="rId336" Type="http://schemas.openxmlformats.org/officeDocument/2006/relationships/hyperlink" Target="https://www.gstcouncil.gov.in/sites/default/files/2024-06/cir-170-02-2022-cgst.pdf" TargetMode="External"/><Relationship Id="rId337" Type="http://schemas.openxmlformats.org/officeDocument/2006/relationships/hyperlink" Target="https://cajournal.icai.org/article-details/gst-amendments-proposed-through-the-finance-bill-2026" TargetMode="External"/><Relationship Id="rId338" Type="http://schemas.openxmlformats.org/officeDocument/2006/relationships/hyperlink" Target="https://taxo.online/latest-news/31-03-2026-finance-act-2026-enacted-on-30-03-2026-key-amendments-in-valuation-refunds-and-place-of-supply/" TargetMode="External"/><Relationship Id="rId339" Type="http://schemas.openxmlformats.org/officeDocument/2006/relationships/hyperlink" Target="https://taxo.online/latest-news/09-01-2025-advisory-issued-relating-implementation-of-phase-iii-for-mentioning-of-hsn-codes-in-gstr-1-gstr-1a/" TargetMode="External"/><Relationship Id="rId340" Type="http://schemas.openxmlformats.org/officeDocument/2006/relationships/hyperlink" Target="https://www.taxheal.com/?p=97083" TargetMode="External"/><Relationship Id="rId341" Type="http://schemas.openxmlformats.org/officeDocument/2006/relationships/hyperlink" Target="https://irisgst.com/for-taxpayer-with-turnover-upto-rs-5-cr-mention-4-digit-hsn-code-and-for-turnover-above-rs-5-cr-mention-6-digit-hsn-code/" TargetMode="External"/><Relationship Id="rId342" Type="http://schemas.openxmlformats.org/officeDocument/2006/relationships/hyperlink" Target="https://www.taxheal.com/?p=104994" TargetMode="External"/><Relationship Id="rId343" Type="http://schemas.openxmlformats.org/officeDocument/2006/relationships/hyperlink" Target="https://www.taxheal.com/?p=104997" TargetMode="External"/><Relationship Id="rId344" Type="http://schemas.openxmlformats.org/officeDocument/2006/relationships/hyperlink" Target="https://taxo.online/latest-news/17-09-2025-cbic-issued-various-notifications-to-give-effect-to-the-recommendations-of-the-56th-council-meeting-in-respect-to-rate-on-goods/" TargetMode="External"/><Relationship Id="rId345" Type="http://schemas.openxmlformats.org/officeDocument/2006/relationships/hyperlink" Target="https://gstcouncil.gov.in/sites/default/files/2025-09/press_release_press_information_bureau.pdf" TargetMode="External"/><Relationship Id="rId346" Type="http://schemas.openxmlformats.org/officeDocument/2006/relationships/hyperlink" Target="https://gstcouncil.gov.in/sites/default/files/2025-09/faq.pdf" TargetMode="External"/><Relationship Id="rId347" Type="http://schemas.openxmlformats.org/officeDocument/2006/relationships/hyperlink" Target="https://static.pib.gov.in/WriteReadData/specificdocs/documents/2025/sep/doc2025921642801.pdf" TargetMode="External"/><Relationship Id="rId348" Type="http://schemas.openxmlformats.org/officeDocument/2006/relationships/hyperlink" Target="https://comtax.wb.gov.in/GST/GST_PPU/GST_Updates_Dec_2025.pdf" TargetMode="External"/><Relationship Id="rId349" Type="http://schemas.openxmlformats.org/officeDocument/2006/relationships/hyperlink" Target="https://www.taxheal.com/?p=105314" TargetMode="External"/><Relationship Id="rId350" Type="http://schemas.openxmlformats.org/officeDocument/2006/relationships/hyperlink" Target="https://www.india-briefing.com/news/gst-itc-rules-2025-rate-rationalization-guide-39988.html" TargetMode="External"/><Relationship Id="rId351" Type="http://schemas.openxmlformats.org/officeDocument/2006/relationships/hyperlink" Target="https://gstzen.in/a/gst-2-0-notifications-in-action-key-updates-on-rates-refunds-compliance.html" TargetMode="External"/><Relationship Id="rId352" Type="http://schemas.openxmlformats.org/officeDocument/2006/relationships/hyperlink" Target="https://courier.cbic.gov.in/ECCS/advisory/2025/NOTIFICATION%20NO.%209_2025-INTEGRATED%20TAX%20(RATE)%20-1759486719.pdf" TargetMode="External"/><Relationship Id="rId353" Type="http://schemas.openxmlformats.org/officeDocument/2006/relationships/hyperlink" Target="https://www.pib.gov.in/PressReleasePage.aspx?PRID=2163555&amp;reg=48&amp;lang=2" TargetMode="External"/><Relationship Id="rId354" Type="http://schemas.openxmlformats.org/officeDocument/2006/relationships/hyperlink" Target="https://gstcouncil.gov.in/sites/default/files/2026-05/newsletter_april_issue.pdf" TargetMode="External"/><Relationship Id="rId355" Type="http://schemas.openxmlformats.org/officeDocument/2006/relationships/hyperlink" Target="https://www.caclubindia.com/notice_circulars/substitution-of-compensation-cess-rates-with-nil-on-specified-goods-effective-22nd-september-2025--11496.asp" TargetMode="External"/><Relationship Id="rId356" Type="http://schemas.openxmlformats.org/officeDocument/2006/relationships/hyperlink" Target="https://www.taxheal.com/zero-compensation-cess-major-shift-for-pan-masala-tobacco.html" TargetMode="External"/><Relationship Id="rId357" Type="http://schemas.openxmlformats.org/officeDocument/2006/relationships/hyperlink" Target="https://comtax.wb.gov.in/GST/GST_PPU/GST_Updates_Dec_2025.pdf" TargetMode="External"/><Relationship Id="rId358" Type="http://schemas.openxmlformats.org/officeDocument/2006/relationships/hyperlink" Target="https://gstcouncil.gov.in/sites/default/files/2025-09/press_release_press_information_bureau.pdf" TargetMode="External"/><Relationship Id="rId359" Type="http://schemas.openxmlformats.org/officeDocument/2006/relationships/hyperlink" Target="https://gstcouncil.gov.in/sites/default/files/2025-09/faq.pdf" TargetMode="External"/><Relationship Id="rId360" Type="http://schemas.openxmlformats.org/officeDocument/2006/relationships/hyperlink" Target="https://cleartax.in/s/gst-return-filing-rule-changes-from-july-2025" TargetMode="External"/><Relationship Id="rId361" Type="http://schemas.openxmlformats.org/officeDocument/2006/relationships/hyperlink" Target="https://www.taxmann.com/post/blog/gstn-warns-pending-gst-returns-cannot-be-filed-after-3-years" TargetMode="External"/><Relationship Id="rId362" Type="http://schemas.openxmlformats.org/officeDocument/2006/relationships/hyperlink" Target="https://cleartax.in/s/gst-return-filing-rule-changes-from-july-2025" TargetMode="External"/><Relationship Id="rId363" Type="http://schemas.openxmlformats.org/officeDocument/2006/relationships/hyperlink" Target="https://www.lkslaw.com/insights/articles/hard-locking-gstr-3b-a-new-compliance-milestone-and-its-pitfalls" TargetMode="External"/><Relationship Id="rId364" Type="http://schemas.openxmlformats.org/officeDocument/2006/relationships/hyperlink" Target="https://taxguru.in/goods-and-service-tax/gstn-issues-4-advisories-december-2025-clarify-key-compliance-procedures.html" TargetMode="External"/><Relationship Id="rId365" Type="http://schemas.openxmlformats.org/officeDocument/2006/relationships/hyperlink" Target="https://taxguru.in/goods-and-service-tax/gst-amendments-finance-act-2025-effective-oct-1-2025-notified.html" TargetMode="External"/><Relationship Id="rId366" Type="http://schemas.openxmlformats.org/officeDocument/2006/relationships/hyperlink" Target="https://www.startup-movers.com/57th-gst-council-meeting-2026-key-decisions" TargetMode="External"/><Relationship Id="rId367" Type="http://schemas.openxmlformats.org/officeDocument/2006/relationships/hyperlink" Target="https://tutorial.gst.gov.in/userguide/returns/GSTR3B.htm" TargetMode="External"/><Relationship Id="rId368" Type="http://schemas.openxmlformats.org/officeDocument/2006/relationships/hyperlink" Target="https://www.taxmann.com/post/blog/time-limit-of-30-days-for-reporting-e-invoice-on-irp-portal-for-taxpayers-with-aato-of-10-crores-and-above-gstn-update/" TargetMode="External"/><Relationship Id="rId369" Type="http://schemas.openxmlformats.org/officeDocument/2006/relationships/hyperlink" Target="https://www.mahagst.gov.in/public/uploads/gstnadvisory/1760531580_293%20Advisory%20Time%20Limit%20for%20Reporting%20e%20Invoice%20on%20the%20IRP%20Portal%20%20Lowering%20of%20Threshold%20to%20AATO%2010%20Crores%20and%20Above.pdf" TargetMode="External"/><Relationship Id="rId370" Type="http://schemas.openxmlformats.org/officeDocument/2006/relationships/hyperlink" Target="https://www.ey.com/en_in/alerts-hub/2023/05/cbic-lowers-turnover-threshold-for-e-invoicing-to-inr5-crores-with-effect-from-1-august-2023" TargetMode="External"/><Relationship Id="rId371" Type="http://schemas.openxmlformats.org/officeDocument/2006/relationships/hyperlink" Target="https://cleartax.in/s/time-limit-for-e-way-bill-generation" TargetMode="External"/><Relationship Id="rId372" Type="http://schemas.openxmlformats.org/officeDocument/2006/relationships/hyperlink" Target="https://cleartax.in/s/gst-return-filing-rule-changes-from-july-2025" TargetMode="External"/><Relationship Id="rId373" Type="http://schemas.openxmlformats.org/officeDocument/2006/relationships/hyperlink" Target="https://taxguru.in/goods-and-service-tax/claim-itc-gstr-2b-mandatory-w-e-f-01-01-2022.html" TargetMode="External"/><Relationship Id="rId374" Type="http://schemas.openxmlformats.org/officeDocument/2006/relationships/hyperlink" Target="https://cleartax.in/s/faqs-on-invoice-management-system-ims-gst" TargetMode="External"/><Relationship Id="rId375" Type="http://schemas.openxmlformats.org/officeDocument/2006/relationships/hyperlink" Target="https://taxguru.in/goods-and-service-tax/gst-amendments-finance-act-2025-effective-oct-1-2025-notified.html" TargetMode="External"/><Relationship Id="rId376" Type="http://schemas.openxmlformats.org/officeDocument/2006/relationships/hyperlink" Target="https://taxinformation.cbic.gov.in/content/html/tax_repository/gst/acts/2017_CGST_act/active/chapter5/section16_v1.00.html" TargetMode="External"/><Relationship Id="rId377" Type="http://schemas.openxmlformats.org/officeDocument/2006/relationships/hyperlink" Target="https://cleartax.in/s/faqs-on-invoice-management-system-ims-gst" TargetMode="External"/><Relationship Id="rId378" Type="http://schemas.openxmlformats.org/officeDocument/2006/relationships/hyperlink" Target="https://taxguru.in/goods-and-service-tax/claim-itc-gstr-2b-mandatory-w-e-f-01-01-2022.html" TargetMode="External"/><Relationship Id="rId379" Type="http://schemas.openxmlformats.org/officeDocument/2006/relationships/hyperlink" Target="https://taxguru.in/goods-and-service-tax/gstn-issues-4-advisories-december-2025-clarify-key-compliance-procedures.html" TargetMode="External"/><Relationship Id="rId380" Type="http://schemas.openxmlformats.org/officeDocument/2006/relationships/hyperlink" Target="https://taxguru.in/goods-and-service-tax/gst-amendments-finance-act-2025-effective-oct-1-2025-notified.html" TargetMode="External"/><Relationship Id="rId381" Type="http://schemas.openxmlformats.org/officeDocument/2006/relationships/hyperlink" Target="https://www.gstcouncil.gov.in/sites/default/files/2024-06/cir-170-02-2022-cgst.pdf" TargetMode="External"/><Relationship Id="rId382" Type="http://schemas.openxmlformats.org/officeDocument/2006/relationships/hyperlink" Target="https://www.computaxonline.com/blog/post/2026/07/09/gst-itc-auto-restriction-gstr-2b-gstr-3b-hard-locking" TargetMode="External"/><Relationship Id="rId383" Type="http://schemas.openxmlformats.org/officeDocument/2006/relationships/hyperlink" Target="https://www.startup-movers.com/57th-gst-council-meeting-2026-key-decisions" TargetMode="External"/><Relationship Id="rId384" Type="http://schemas.openxmlformats.org/officeDocument/2006/relationships/hyperlink" Target="https://ey.com/content/dam/ey-unified-site/ey-com/en-in/alerts-hub/government-notifies-effective-date-for-amendments-made-in-gst-law-vide-finance-act-2024.pdf" TargetMode="External"/><Relationship Id="rId385" Type="http://schemas.openxmlformats.org/officeDocument/2006/relationships/hyperlink" Target="https://www.cggst.com/uploads/document/1755064447-rule-37.pdf" TargetMode="External"/><Relationship Id="rId386" Type="http://schemas.openxmlformats.org/officeDocument/2006/relationships/hyperlink" Target="https://taxinformation.cbic.gov.in/content/html/tax_repository/gst/acts/2017_CGST_act/active/chapter5/section16_v1.00.html" TargetMode="External"/><Relationship Id="rId387" Type="http://schemas.openxmlformats.org/officeDocument/2006/relationships/hyperlink" Target="https://www.cggst.com/uploads/document/1755064447-rule-37.pdf" TargetMode="External"/><Relationship Id="rId388" Type="http://schemas.openxmlformats.org/officeDocument/2006/relationships/hyperlink" Target="https://taxinformation.cbic.gov.in/content/html/tax_repository/gst/rules/cgst_rules/active/chapter5/rule37_v1.00.html" TargetMode="External"/><Relationship Id="rId389" Type="http://schemas.openxmlformats.org/officeDocument/2006/relationships/hyperlink" Target="https://www.gstcouncil.gov.in/sites/default/files/2024-06/cir-170-02-2022-cgst.pdf" TargetMode="External"/><Relationship Id="rId390" Type="http://schemas.openxmlformats.org/officeDocument/2006/relationships/hyperlink" Target="https://www.cggst.com/uploads/document/1754119329-rule-88b.pdf" TargetMode="External"/><Relationship Id="rId391" Type="http://schemas.openxmlformats.org/officeDocument/2006/relationships/hyperlink" Target="https://taxinformation.cbic.gov.in/content/html/tax_repository/gst/acts/2017_CGST_act/active/chapter5/section16_v1.00.html" TargetMode="External"/><Relationship Id="rId392" Type="http://schemas.openxmlformats.org/officeDocument/2006/relationships/hyperlink" Target="https://www.cggst.com/uploads/document/1753958879-rule-37a-1.pdf" TargetMode="External"/><Relationship Id="rId393" Type="http://schemas.openxmlformats.org/officeDocument/2006/relationships/hyperlink" Target="https://cleartax.in/s/faqs-on-invoice-management-system-ims-gst" TargetMode="External"/><Relationship Id="rId394" Type="http://schemas.openxmlformats.org/officeDocument/2006/relationships/hyperlink" Target="https://www.gstcouncil.gov.in/sites/default/files/gst-knowledge/48-GST-Council.pdf" TargetMode="External"/><Relationship Id="rId395" Type="http://schemas.openxmlformats.org/officeDocument/2006/relationships/hyperlink" Target="https://www.gstcouncil.gov.in/node/4354" TargetMode="External"/><Relationship Id="rId396" Type="http://schemas.openxmlformats.org/officeDocument/2006/relationships/hyperlink" Target="https://taxinformation.cbic.gov.in/content/html/tax_repository/gst/rules/cgst_rules/active/chapter5/rule37a_v1.00.html" TargetMode="External"/><Relationship Id="rId397" Type="http://schemas.openxmlformats.org/officeDocument/2006/relationships/hyperlink" Target="https://gsthero.com/blog/electronic-credit-reversal-and-reclaimed-statement/" TargetMode="External"/><Relationship Id="rId398" Type="http://schemas.openxmlformats.org/officeDocument/2006/relationships/hyperlink" Target="https://taxguru.in/goods-and-service-tax/gstn-issues-4-advisories-december-2025-clarify-key-compliance-procedures.html" TargetMode="External"/><Relationship Id="rId399" Type="http://schemas.openxmlformats.org/officeDocument/2006/relationships/hyperlink" Target="https://www.gstcouncil.gov.in/sites/default/files/2024-06/cir-170-02-2022-cgst.pdf" TargetMode="External"/><Relationship Id="rId400" Type="http://schemas.openxmlformats.org/officeDocument/2006/relationships/hyperlink" Target="https://taxguru.in/goods-and-service-tax/gst-amendments-finance-act-2025-effective-oct-1-2025-notified.html" TargetMode="External"/><Relationship Id="rId401" Type="http://schemas.openxmlformats.org/officeDocument/2006/relationships/hyperlink" Target="https://ey.com/content/dam/ey-unified-site/ey-com/en-in/alerts-hub/government-notifies-effective-date-for-amendments-made-in-gst-law-vide-finance-act-2024.pdf" TargetMode="External"/><Relationship Id="rId402" Type="http://schemas.openxmlformats.org/officeDocument/2006/relationships/hyperlink" Target="https://www.gstcouncil.gov.in/sites/default/files/2024-06/cir-170-02-2022-cgst.pdf" TargetMode="External"/><Relationship Id="rId403" Type="http://schemas.openxmlformats.org/officeDocument/2006/relationships/hyperlink" Target="https://www.startup-movers.com/57th-gst-council-meeting-2026-key-decisions" TargetMode="External"/><Relationship Id="rId404" Type="http://schemas.openxmlformats.org/officeDocument/2006/relationships/hyperlink" Target="https://www.cggst.com/uploads/document/1755064648-rule-42.pdf" TargetMode="External"/><Relationship Id="rId405" Type="http://schemas.openxmlformats.org/officeDocument/2006/relationships/hyperlink" Target="https://www.gstcouncil.gov.in/sites/default/files/2024-06/cir-170-02-2022-cgst.pdf" TargetMode="External"/><Relationship Id="rId406" Type="http://schemas.openxmlformats.org/officeDocument/2006/relationships/hyperlink" Target="https://taxinformation.cbic.gov.in/content/html/tax_repository/gst/rules/cgst_rules/active/chapter5/rule42_v1.00.html" TargetMode="External"/><Relationship Id="rId407" Type="http://schemas.openxmlformats.org/officeDocument/2006/relationships/hyperlink" Target="https://www.gstcouncil.gov.in/sites/default/files/2024-06/cir-170-02-2022-cgst.pdf" TargetMode="External"/><Relationship Id="rId408" Type="http://schemas.openxmlformats.org/officeDocument/2006/relationships/hyperlink" Target="https://taxinformation.cbic.gov.in/content/html/tax_repository/gst/rules/cgst_rules/active/chapter5/rule43_v1.00.html" TargetMode="External"/><Relationship Id="rId409" Type="http://schemas.openxmlformats.org/officeDocument/2006/relationships/hyperlink" Target="https://taxroutine.com/repository/gst-notifications/rcm-services/" TargetMode="External"/><Relationship Id="rId410" Type="http://schemas.openxmlformats.org/officeDocument/2006/relationships/hyperlink" Target="https://cleartax.in/s/rcm-on-rent-of-commercial-property-under-gst" TargetMode="External"/><Relationship Id="rId411" Type="http://schemas.openxmlformats.org/officeDocument/2006/relationships/hyperlink" Target="https://gstcouncil.gov.in/sites/default/files/2025-09/faq.pdf" TargetMode="External"/><Relationship Id="rId412" Type="http://schemas.openxmlformats.org/officeDocument/2006/relationships/hyperlink" Target="https://ey.com/content/dam/ey-unified-site/ey-com/en-in/alerts-hub/government-notifies-effective-date-for-amendments-made-in-gst-law-vide-finance-act-2024.pdf" TargetMode="External"/><Relationship Id="rId413" Type="http://schemas.openxmlformats.org/officeDocument/2006/relationships/hyperlink" Target="https://www.cggst.com/uploads/document/1754119329-rule-88b.pdf" TargetMode="External"/><Relationship Id="rId414" Type="http://schemas.openxmlformats.org/officeDocument/2006/relationships/hyperlink" Target="https://taxinformation.cbic.gov.in/content/html/tax_repository/gst/rules/cgst_rules/active/chapter9/rule88b_v1.00.html" TargetMode="External"/><Relationship Id="rId415" Type="http://schemas.openxmlformats.org/officeDocument/2006/relationships/hyperlink" Target="https://taxguru.in/goods-and-service-tax/analysis-gst-notifications-issued-cbic-05th-july-2022.html" TargetMode="External"/><Relationship Id="rId416" Type="http://schemas.openxmlformats.org/officeDocument/2006/relationships/hyperlink" Target="https://www.mastersindia.co/blog/interest-on-wrongly-availed-itc-under-section-503-gst/" TargetMode="External"/><Relationship Id="rId417" Type="http://schemas.openxmlformats.org/officeDocument/2006/relationships/hyperlink" Target="https://www.taxmann.com/post/blog/cbic-notifies-retrospective-amendment-to-section-503-of-the-cgst-act/" TargetMode="External"/><Relationship Id="rId418" Type="http://schemas.openxmlformats.org/officeDocument/2006/relationships/hyperlink" Target="https://www.taxtmi.com/forum/issue?id=118761" TargetMode="External"/><Relationship Id="rId419" Type="http://schemas.openxmlformats.org/officeDocument/2006/relationships/hyperlink" Target="https://www.teachoo.com/6596/2144/CGST-Interest-Rates-Notified-(Notifications-13-2017)/category/Latest-GST-Notification/" TargetMode="External"/><Relationship Id="rId420" Type="http://schemas.openxmlformats.org/officeDocument/2006/relationships/hyperlink" Target="https://taxinformation.cbic.gov.in/content/html/tax_repository/gst/acts/2017_CGST_act/active/chapter10/section50_v1.00.html" TargetMode="External"/><Relationship Id="rId421" Type="http://schemas.openxmlformats.org/officeDocument/2006/relationships/hyperlink" Target="https://www.taxmanagementindia.com/visitor/detail_act.asp?ID=40754" TargetMode="External"/><Relationship Id="rId422" Type="http://schemas.openxmlformats.org/officeDocument/2006/relationships/hyperlink" Target="https://www.taxmanagementindia.com/visitor/detail_act.asp?ID=40738" TargetMode="External"/><Relationship Id="rId423" Type="http://schemas.openxmlformats.org/officeDocument/2006/relationships/hyperlink" Target="https://www.taxmanagementindia.com/visitor/detail_act.asp?ID=40755" TargetMode="External"/><Relationship Id="rId424" Type="http://schemas.openxmlformats.org/officeDocument/2006/relationships/hyperlink" Target="https://tutorial.gst.gov.in/downloads/news/advisory_on_interest_calculator_6th_march_2026.pdf" TargetMode="External"/><Relationship Id="rId425" Type="http://schemas.openxmlformats.org/officeDocument/2006/relationships/hyperlink" Target="https://www.taxheal.com/?p=89438" TargetMode="External"/><Relationship Id="rId426" Type="http://schemas.openxmlformats.org/officeDocument/2006/relationships/hyperlink" Target="https://calcguru.in/gst-late-fee-calculator/" TargetMode="External"/><Relationship Id="rId427" Type="http://schemas.openxmlformats.org/officeDocument/2006/relationships/hyperlink" Target="https://www.startup-movers.com/57th-gst-council-meeting-2026-key-decisions" TargetMode="External"/><Relationship Id="rId428" Type="http://schemas.openxmlformats.org/officeDocument/2006/relationships/hyperlink" Target="https://cbic-gst.gov.in/pdf/central-tax/notfctn-19-central-tax-english-2021.pdf" TargetMode="External"/><Relationship Id="rId429" Type="http://schemas.openxmlformats.org/officeDocument/2006/relationships/hyperlink" Target="https://cbic-gst.gov.in/pdf/central-tax/notfctn-20-central-tax-english-2021.pdf" TargetMode="External"/><Relationship Id="rId430" Type="http://schemas.openxmlformats.org/officeDocument/2006/relationships/hyperlink" Target="https://taxinformation.cbic.gov.in/content/html/tax_repository/gst/acts/2017_CGST_act/active/chapter9/section47_v1.00.html" TargetMode="External"/><Relationship Id="rId431" Type="http://schemas.openxmlformats.org/officeDocument/2006/relationships/hyperlink" Target="https://lexplosion.in/late-fees-for-filing-annual-return-in-form-gstr-9-reduced-from-fy-2022-23-onwards/" TargetMode="External"/><Relationship Id="rId432" Type="http://schemas.openxmlformats.org/officeDocument/2006/relationships/hyperlink" Target="https://calcguru.in/gst-late-fee-calculator/" TargetMode="External"/><Relationship Id="rId433" Type="http://schemas.openxmlformats.org/officeDocument/2006/relationships/hyperlink" Target="https://www.taxheal.com/?p=105269" TargetMode="External"/><Relationship Id="rId434" Type="http://schemas.openxmlformats.org/officeDocument/2006/relationships/hyperlink" Target="https://cleartax.in/s/gst-reconciliation-statement-gstr-9c" TargetMode="External"/><Relationship Id="rId435" Type="http://schemas.openxmlformats.org/officeDocument/2006/relationships/hyperlink" Target="https://tutorial.gst.gov.in/downloads/news/faq_on_gstr9_for_24_25_dt_15_oct_25_v6_final.pdf" TargetMode="External"/><Relationship Id="rId436" Type="http://schemas.openxmlformats.org/officeDocument/2006/relationships/hyperlink" Target="https://tutorial.gst.gov.in/downloads/news/combined_faq_on_gstr_9_and_9c_17122025.pdf" TargetMode="External"/><Relationship Id="rId437" Type="http://schemas.openxmlformats.org/officeDocument/2006/relationships/hyperlink" Target="https://taxinformation.cbic.gov.in/content/html/tax_repository/gst/acts/2017_CGST_act/active/chapter9/section47_v1.00.html" TargetMode="External"/><Relationship Id="rId438" Type="http://schemas.openxmlformats.org/officeDocument/2006/relationships/hyperlink" Target="https://www.taxheal.com/?p=89244" TargetMode="External"/><Relationship Id="rId439" Type="http://schemas.openxmlformats.org/officeDocument/2006/relationships/hyperlink" Target="https://www.indiafilings.com/learn/gstr-4-filing/" TargetMode="External"/><Relationship Id="rId440" Type="http://schemas.openxmlformats.org/officeDocument/2006/relationships/hyperlink" Target="https://cleartax.in/s/gst-reconciliation-statement-gstr-9c" TargetMode="External"/><Relationship Id="rId441" Type="http://schemas.openxmlformats.org/officeDocument/2006/relationships/hyperlink" Target="https://www.taxheal.com/?p=105269" TargetMode="External"/><Relationship Id="rId442" Type="http://schemas.openxmlformats.org/officeDocument/2006/relationships/hyperlink" Target="https://gstzen.in/a/faqs-on-gstr-9-9c-changes-fy-2024-25.html" TargetMode="External"/><Relationship Id="rId443" Type="http://schemas.openxmlformats.org/officeDocument/2006/relationships/hyperlink" Target="https://cleartax.in/s/gst-reconciliation-statement-gstr-9c" TargetMode="External"/><Relationship Id="rId444" Type="http://schemas.openxmlformats.org/officeDocument/2006/relationships/hyperlink" Target="https://gstzen.in/a/gst-2-0-notifications-in-action-key-updates-on-rates-refunds-compliance.html" TargetMode="External"/><Relationship Id="rId445" Type="http://schemas.openxmlformats.org/officeDocument/2006/relationships/hyperlink" Target="https://lexplosion.in/late-fees-for-filing-annual-return-in-form-gstr-9-reduced-from-fy-2022-23-onwards/" TargetMode="External"/><Relationship Id="rId446" Type="http://schemas.openxmlformats.org/officeDocument/2006/relationships/hyperlink" Target="https://taxinformation.cbic.gov.in/content/html/tax_repository/gst/rules/cgst_rules/active/chapter8/rule80_v1.00.html" TargetMode="External"/><Relationship Id="rId447" Type="http://schemas.openxmlformats.org/officeDocument/2006/relationships/hyperlink" Target="https://tutorial.gst.gov.in/downloads/news/faq_on_gstr9_for_24_25_dt_15_oct_25_v6_final.pdf" TargetMode="External"/><Relationship Id="rId448" Type="http://schemas.openxmlformats.org/officeDocument/2006/relationships/hyperlink" Target="https://www.taxheal.com/?p=96048" TargetMode="External"/><Relationship Id="rId449" Type="http://schemas.openxmlformats.org/officeDocument/2006/relationships/hyperlink" Target="https://taxinformation.cbic.gov.in/content/html/tax_repository/gst/acts/2017_CGST_act/active/chapter10/section52_v1.00.html" TargetMode="External"/><Relationship Id="rId450" Type="http://schemas.openxmlformats.org/officeDocument/2006/relationships/hyperlink" Target="https://taxguru.in/goods-and-service-tax/gst-amendments-finance-act-2025-effective-oct-1-2025-notified.html" TargetMode="External"/><Relationship Id="rId451" Type="http://schemas.openxmlformats.org/officeDocument/2006/relationships/hyperlink" Target="https://cajournal.icai.org/article-details/gst-amendments-proposed-through-the-finance-bill-2026" TargetMode="External"/><Relationship Id="rId452" Type="http://schemas.openxmlformats.org/officeDocument/2006/relationships/hyperlink" Target="https://taxo.online/latest-news/31-03-2026-finance-act-2026-enacted-on-30-03-2026-key-amendments-in-valuation-refunds-and-place-of-supply/" TargetMode="External"/><Relationship Id="rId453" Type="http://schemas.openxmlformats.org/officeDocument/2006/relationships/hyperlink" Target="https://cleartax.in/s/faqs-on-invoice-management-system-ims-gst" TargetMode="External"/><Relationship Id="rId454" Type="http://schemas.openxmlformats.org/officeDocument/2006/relationships/hyperlink" Target="https://taxguru.in/goods-and-service-tax/gstn-issues-4-advisories-december-2025-clarify-key-compliance-procedures.html" TargetMode="External"/><Relationship Id="rId455" Type="http://schemas.openxmlformats.org/officeDocument/2006/relationships/hyperlink" Target="https://www.taxmann.com/post/blog/guide-to-maximizing-the-utilization-of-gst-input-tax-credit/" TargetMode="External"/><Relationship Id="rId456" Type="http://schemas.openxmlformats.org/officeDocument/2006/relationships/hyperlink" Target="https://comtax.wb.gov.in/GST/GST_PPU/GST_Updates_Dec_2025.pdf" TargetMode="External"/><Relationship Id="rId457" Type="http://schemas.openxmlformats.org/officeDocument/2006/relationships/hyperlink" Target="https://cleartax.in/s/gst-return-filing-rule-changes-from-july-2025" TargetMode="External"/><Relationship Id="rId458" Type="http://schemas.openxmlformats.org/officeDocument/2006/relationships/hyperlink" Target="https://www.taxmann.com/post/blog/gstn-warns-pending-gst-returns-cannot-be-filed-after-3-years" TargetMode="External"/><Relationship Id="rId459" Type="http://schemas.openxmlformats.org/officeDocument/2006/relationships/hyperlink" Target="https://taxinformation.cbic.gov.in/content/html/tax_repository/gst/acts/2017_CGST_act/active/chapter9/section37_v1.00.html" TargetMode="External"/><Relationship Id="rId460" Type="http://schemas.openxmlformats.org/officeDocument/2006/relationships/hyperlink" Target="https://taxinformation.cbic.gov.in/content/html/tax_repository/gst/acts/2017_CGST_act/active/chapter9/section39_v1.00.html" TargetMode="External"/><Relationship Id="rId461" Type="http://schemas.openxmlformats.org/officeDocument/2006/relationships/hyperlink" Target="https://taxinformation.cbic.gov.in/content/html/tax_repository/gst/acts/2017_CGST_act/active/chapter10/section52_v1.00.html" TargetMode="External"/><Relationship Id="rId462" Type="http://schemas.openxmlformats.org/officeDocument/2006/relationships/hyperlink" Target="https://gstcouncil.gov.in/sites/default/files/2025-11/october_issue.pdf" TargetMode="External"/><Relationship Id="rId463" Type="http://schemas.openxmlformats.org/officeDocument/2006/relationships/hyperlink" Target="https://taxguru.in/goods-and-service-tax/input-service-distributor-mandatory-1st-april-2025.html" TargetMode="External"/><Relationship Id="rId464" Type="http://schemas.openxmlformats.org/officeDocument/2006/relationships/hyperlink" Target="https://taxguru.in/goods-and-service-tax/gst-amendments-finance-act-2025-effective-oct-1-2025-notified.html" TargetMode="External"/><Relationship Id="rId465" Type="http://schemas.openxmlformats.org/officeDocument/2006/relationships/hyperlink" Target="https://gstzen.in/a/gst-2-0-notifications-in-action-key-updates-on-rates-refunds-compliance.html" TargetMode="External"/><Relationship Id="rId466" Type="http://schemas.openxmlformats.org/officeDocument/2006/relationships/hyperlink" Target="https://www.cggst.com/uploads/document/1752824769-section-170.pdf" TargetMode="External"/><Relationship Id="rId467" Type="http://schemas.openxmlformats.org/officeDocument/2006/relationships/hyperlink" Target="https://gstcouncil.gov.in/sites/default/files/2025-09/press_release_press_information_bureau.pdf" TargetMode="External"/><Relationship Id="rId468" Type="http://schemas.openxmlformats.org/officeDocument/2006/relationships/hyperlink" Target="https://taxguru.in/goods-and-service-tax/gst-amendments-finance-act-2025-effective-oct-1-2025-notified.html" TargetMode="External"/><Relationship Id="rId469" Type="http://schemas.openxmlformats.org/officeDocument/2006/relationships/hyperlink" Target="https://www.taxheal.com/?p=105269" TargetMode="External"/><Relationship Id="rId470" Type="http://schemas.openxmlformats.org/officeDocument/2006/relationships/hyperlink" Target="https://cleartax.in/s/gst-return-filing-rule-changes-from-july-2025" TargetMode="External"/><Relationship Id="rId471" Type="http://schemas.openxmlformats.org/officeDocument/2006/relationships/hyperlink" Target="https://taxguru.in/goods-and-service-tax/gstn-issues-4-advisories-december-2025-clarify-key-compliance-procedures.html" TargetMode="External"/><Relationship Id="rId472" Type="http://schemas.openxmlformats.org/officeDocument/2006/relationships/hyperlink" Target="https://comtax.wb.gov.in/GST/GST_PPU/GST_Updates_Dec_2025.pdf" TargetMode="External"/><Relationship Id="rId473" Type="http://schemas.openxmlformats.org/officeDocument/2006/relationships/hyperlink" Target="https://cajournal.icai.org/article-details/gst-amendments-proposed-through-the-finance-bill-2026" TargetMode="External"/><Relationship Id="rId474" Type="http://schemas.openxmlformats.org/officeDocument/2006/relationships/hyperlink" Target="https://taxo.online/latest-news/31-03-2026-finance-act-2026-enacted-on-30-03-2026-key-amendments-in-valuation-refunds-and-place-of-supply/" TargetMode="External"/><Relationship Id="rId475" Type="http://schemas.openxmlformats.org/officeDocument/2006/relationships/hyperlink" Target="https://www.bdo.in/en-gb/insights/alerts-updates/indirect-tax-alert-recommendations-of-57th-gst-council-meeting" TargetMode="External"/><Relationship Id="rId476" Type="http://schemas.openxmlformats.org/officeDocument/2006/relationships/hyperlink" Target="https://www.startup-movers.com/57th-gst-council-meeting-2026-key-decisions" TargetMode="External"/><Relationship Id="rId477" Type="http://schemas.openxmlformats.org/officeDocument/2006/relationships/hyperlink" Target="https://cleartax.in/s/faqs-on-invoice-management-system-ims-gst" TargetMode="External"/><Relationship Id="rId478" Type="http://schemas.openxmlformats.org/officeDocument/2006/relationships/hyperlink" Target="https://gstcouncil.gov.in/sites/default/files/2025-11/october_issue.pdf" TargetMode="External"/><Relationship Id="rId479" Type="http://schemas.openxmlformats.org/officeDocument/2006/relationships/hyperlink" Target="https://gstcouncil.gov.in/sites/default/files/2026-05/newsletter_april_issue.pdf" TargetMode="External"/><Relationship Id="rId480" Type="http://schemas.openxmlformats.org/officeDocument/2006/relationships/hyperlink" Target="https://www.ey.com/content/dam/ey-unified-site/ey-com/en-in/alerts-hub/2025/11/new-labour-codes-implemented-across-the-country-effective-21-november-2025.pdf" TargetMode="External"/><Relationship Id="rId481" Type="http://schemas.openxmlformats.org/officeDocument/2006/relationships/hyperlink" Target="https://taxguru.in/corporate-law/major-labour-code-sections-force-notifications.html" TargetMode="External"/><Relationship Id="rId482" Type="http://schemas.openxmlformats.org/officeDocument/2006/relationships/hyperlink" Target="https://www.scconline.com/blog/post/2025/12/24/corrigendum-to-code-on-social-security-2020-enforcement-dates/" TargetMode="External"/><Relationship Id="rId483" Type="http://schemas.openxmlformats.org/officeDocument/2006/relationships/hyperlink" Target="https://www.in.kpmg.com/taxflashnews/KPMG-Flash-News-Notification-of-final-Rules-on-Four-Labour-Codes.pdf" TargetMode="External"/><Relationship Id="rId484" Type="http://schemas.openxmlformats.org/officeDocument/2006/relationships/hyperlink" Target="https://www.bdo.in/en-gb/insights/alerts-updates/alert-final-central-rules-notified-under-all-four-labour-codes" TargetMode="External"/><Relationship Id="rId485" Type="http://schemas.openxmlformats.org/officeDocument/2006/relationships/hyperlink" Target="https://blog.ipleaders.in/labour-codes-2026-implementation-complete-guide-to-what-is-in-force-what-changed-and-what-to-do-now/" TargetMode="External"/><Relationship Id="rId486" Type="http://schemas.openxmlformats.org/officeDocument/2006/relationships/hyperlink" Target="https://www.taxmann.com/post/blog/govt-notifies-code-on-wages-central-rules/" TargetMode="External"/><Relationship Id="rId487" Type="http://schemas.openxmlformats.org/officeDocument/2006/relationships/hyperlink" Target="https://www.staffnews.in/2026/05/the-social-security-central-rules-2026.html" TargetMode="External"/><Relationship Id="rId488" Type="http://schemas.openxmlformats.org/officeDocument/2006/relationships/hyperlink" Target="https://assets.kpmg.com/content/dam/kpmgsites/in/pdf/2026/07/KPMG-Flash-News-New-Social-Security-Schemes-2026.pdf" TargetMode="External"/><Relationship Id="rId489" Type="http://schemas.openxmlformats.org/officeDocument/2006/relationships/hyperlink" Target="https://www.cyrilshroff.com/wp-content/uploads/2026/07/Client-Alert-Labour-Codes-Schemes-under-the-Code-on-Social-Security-2020-1.pdf" TargetMode="External"/><Relationship Id="rId490" Type="http://schemas.openxmlformats.org/officeDocument/2006/relationships/hyperlink" Target="https://www.pib.gov.in/PressReleseDetailm.aspx?PRID=2192463&amp;reg=3&amp;lang=2" TargetMode="External"/><Relationship Id="rId491" Type="http://schemas.openxmlformats.org/officeDocument/2006/relationships/hyperlink" Target="https://labour.gov.in/sites/default/files/e-noti-wage_0.pdf" TargetMode="External"/><Relationship Id="rId492" Type="http://schemas.openxmlformats.org/officeDocument/2006/relationships/hyperlink" Target="https://www.labour.gov.in/static/uploads/2026/01/639a9f531898f5a767b1e45e762c2d87.pdf" TargetMode="External"/><Relationship Id="rId493" Type="http://schemas.openxmlformats.org/officeDocument/2006/relationships/hyperlink" Target="https://www.labour.gov.in/static/uploads/2026/02/91ef39e2096112f8b798e6c45c732e2f.pdf" TargetMode="External"/><Relationship Id="rId494" Type="http://schemas.openxmlformats.org/officeDocument/2006/relationships/hyperlink" Target="https://www.labour.gov.in/static/uploads/2026/01/de4758d5bfeffc456d7de97a801891b0.pdf" TargetMode="External"/><Relationship Id="rId495" Type="http://schemas.openxmlformats.org/officeDocument/2006/relationships/hyperlink" Target="https://egazette.gov.in/WriteReadData/2026/273942.pdf" TargetMode="External"/><Relationship Id="rId496" Type="http://schemas.openxmlformats.org/officeDocument/2006/relationships/hyperlink" Target="https://blog.ipleaders.in/labour-codes-2026-implementation-complete-guide-to-what-is-in-force-what-changed-and-what-to-do-now/" TargetMode="External"/><Relationship Id="rId497" Type="http://schemas.openxmlformats.org/officeDocument/2006/relationships/hyperlink" Target="https://ksandk.com/labour-employment/50-wage-rule-labour-codes-salary-pf-gratuity/" TargetMode="External"/><Relationship Id="rId498" Type="http://schemas.openxmlformats.org/officeDocument/2006/relationships/hyperlink" Target="https://www.ey.com/content/dam/ey-unified-site/ey-com/en-in/alerts-hub/2025/11/new-labour-codes-implemented-across-the-country-effective-21-november-2025.pdf" TargetMode="External"/><Relationship Id="rId499" Type="http://schemas.openxmlformats.org/officeDocument/2006/relationships/hyperlink" Target="https://www.sgcms.com/regulatory-updates/faqs-by-epfo-wage-ceiling-raised-to-25000/" TargetMode="External"/><Relationship Id="rId500" Type="http://schemas.openxmlformats.org/officeDocument/2006/relationships/hyperlink" Target="https://ascent-hr.com/notification/esic-clarification-regarding-the-implementation-of-code-on-social-security-2020/" TargetMode="External"/><Relationship Id="rId501" Type="http://schemas.openxmlformats.org/officeDocument/2006/relationships/hyperlink" Target="https://www.bdo.in/en-gb/insights/alerts-updates/alert-final-central-rules-notified-under-all-four-labour-codes" TargetMode="External"/><Relationship Id="rId502" Type="http://schemas.openxmlformats.org/officeDocument/2006/relationships/hyperlink" Target="https://www.labour.gov.in/static/uploads/2026/03/a4ccf4c6d97c4f1f36a6d83f8c64213d.pdf" TargetMode="External"/><Relationship Id="rId503" Type="http://schemas.openxmlformats.org/officeDocument/2006/relationships/hyperlink" Target="https://www.taxmann.com/post/blog/analysis-epf-under-code-on-social-security" TargetMode="External"/><Relationship Id="rId504" Type="http://schemas.openxmlformats.org/officeDocument/2006/relationships/hyperlink" Target="https://www.sgcms.com/regulatory-updates/faqs-by-epfo-wage-ceiling-raised-to-25000/" TargetMode="External"/><Relationship Id="rId505" Type="http://schemas.openxmlformats.org/officeDocument/2006/relationships/hyperlink" Target="https://assets.kpmg.com/content/dam/kpmgsites/in/pdf/2026/09/KPMG-Flash-News-FAQs-on-EPFO-Wage-Ceiling-Limit.pdf" TargetMode="External"/><Relationship Id="rId506" Type="http://schemas.openxmlformats.org/officeDocument/2006/relationships/hyperlink" Target="https://www.argus-p.com/papers-publications/thought-paper/revision-to-epf-wage-ceiling-coverage-contributions-and-the-september-transition/" TargetMode="External"/><Relationship Id="rId507" Type="http://schemas.openxmlformats.org/officeDocument/2006/relationships/hyperlink" Target="https://elplaw.in/wp-content/uploads/2026/09/EPFO-wage-ceiling-increased-from-INR-15000-to-INR-25000-per-month.pdf" TargetMode="External"/><Relationship Id="rId508" Type="http://schemas.openxmlformats.org/officeDocument/2006/relationships/hyperlink" Target="https://www.staffnews.in/2026/09/cabinet-approves-enhancement-of-epfo-wage-ceiling.html" TargetMode="External"/><Relationship Id="rId509" Type="http://schemas.openxmlformats.org/officeDocument/2006/relationships/hyperlink" Target="https://www.indianpaycalculator.in/govt-news/epf-wage-ceiling-stays-15000-ss-code-2026" TargetMode="External"/><Relationship Id="rId510" Type="http://schemas.openxmlformats.org/officeDocument/2006/relationships/hyperlink" Target="https://lexplosion.in/epf-scheme-2026-notified-under-social-security-code-replaces-epf-scheme-1952-and-introduces-employees-enrolment-campaign-vishwas-and-amnesty-schemes/" TargetMode="External"/><Relationship Id="rId511" Type="http://schemas.openxmlformats.org/officeDocument/2006/relationships/hyperlink" Target="https://www.cyrilshroff.com/wp-content/uploads/2026/07/Client-Alert-Labour-Codes-Schemes-under-the-Code-on-Social-Security-2020-1.pdf" TargetMode="External"/><Relationship Id="rId512" Type="http://schemas.openxmlformats.org/officeDocument/2006/relationships/hyperlink" Target="https://www.pib.gov.in/PressReleasePage.aspx?PRID=2313829&amp;reg=48&amp;lang=2" TargetMode="External"/><Relationship Id="rId513" Type="http://schemas.openxmlformats.org/officeDocument/2006/relationships/hyperlink" Target="https://www.labour.gov.in/static/uploads/2026/09/4f607a88c5342aeb980c6b999997caab.pdf" TargetMode="External"/><Relationship Id="rId514" Type="http://schemas.openxmlformats.org/officeDocument/2006/relationships/hyperlink" Target="https://www.taxmann.com/post/blog/analysis-epf-under-code-on-social-security" TargetMode="External"/><Relationship Id="rId515" Type="http://schemas.openxmlformats.org/officeDocument/2006/relationships/hyperlink" Target="https://www.cyrilshroff.com/wp-content/uploads/2026/07/Client-Alert-Labour-Codes-Schemes-under-the-Code-on-Social-Security-2020-1.pdf" TargetMode="External"/><Relationship Id="rId516" Type="http://schemas.openxmlformats.org/officeDocument/2006/relationships/hyperlink" Target="https://caclub.in/pf-admin-charges-reduced-and-edli-admin-charges-waived-by-epfo" TargetMode="External"/><Relationship Id="rId517" Type="http://schemas.openxmlformats.org/officeDocument/2006/relationships/hyperlink" Target="https://www.zoho.com/in/payroll/kb/employer/settings/admin-charges.md" TargetMode="External"/><Relationship Id="rId518" Type="http://schemas.openxmlformats.org/officeDocument/2006/relationships/hyperlink" Target="https://www.epfindia.gov.in:443/site_docs/PDFs/MiscPDFs/ContributionRate.pdf" TargetMode="External"/><Relationship Id="rId519" Type="http://schemas.openxmlformats.org/officeDocument/2006/relationships/hyperlink" Target="https://assets.kpmg.com/content/dam/kpmgsites/in/pdf/2026/07/KPMG-Flash-News-New-Social-Security-Schemes-2026.pdf" TargetMode="External"/><Relationship Id="rId520" Type="http://schemas.openxmlformats.org/officeDocument/2006/relationships/hyperlink" Target="https://docs.frappe.io/hr/india-payroll/employee-provident-fund.md" TargetMode="External"/><Relationship Id="rId521" Type="http://schemas.openxmlformats.org/officeDocument/2006/relationships/hyperlink" Target="https://www.lawrbit.com/article/employees-pension-scheme/" TargetMode="External"/><Relationship Id="rId522" Type="http://schemas.openxmlformats.org/officeDocument/2006/relationships/hyperlink" Target="https://www.staffnews.in/wp-content/uploads/2026/07/Employees-Provident-Funds-Scheme-2026-273957.pdf" TargetMode="External"/><Relationship Id="rId523" Type="http://schemas.openxmlformats.org/officeDocument/2006/relationships/hyperlink" Target="https://egazette.gov.in/WriteReadData/2026/273942.pdf" TargetMode="External"/><Relationship Id="rId524" Type="http://schemas.openxmlformats.org/officeDocument/2006/relationships/hyperlink" Target="https://www.labour.gov.in/static/uploads/2026/06/0c9a83a81e01bef6936dc4437c7fc310.pdf" TargetMode="External"/><Relationship Id="rId525" Type="http://schemas.openxmlformats.org/officeDocument/2006/relationships/hyperlink" Target="https://www.sgcms.com/regulatory-updates/faqs-by-epfo-wage-ceiling-raised-to-25000/" TargetMode="External"/><Relationship Id="rId526" Type="http://schemas.openxmlformats.org/officeDocument/2006/relationships/hyperlink" Target="https://assets.kpmg.com/content/dam/kpmgsites/in/pdf/2026/09/KPMG-Flash-News-FAQs-on-EPFO-Wage-Ceiling-Limit.pdf" TargetMode="External"/><Relationship Id="rId527" Type="http://schemas.openxmlformats.org/officeDocument/2006/relationships/hyperlink" Target="https://www.argus-p.com/papers-publications/thought-paper/revision-to-epf-wage-ceiling-coverage-contributions-and-the-september-transition/" TargetMode="External"/><Relationship Id="rId528" Type="http://schemas.openxmlformats.org/officeDocument/2006/relationships/hyperlink" Target="https://elplaw.in/wp-content/uploads/2026/09/EPFO-wage-ceiling-increased-from-INR-15000-to-INR-25000-per-month.pdf" TargetMode="External"/><Relationship Id="rId529" Type="http://schemas.openxmlformats.org/officeDocument/2006/relationships/hyperlink" Target="https://www.psuconnect.in/news/epfo-explains-september-2026-ecr-calculation-after-new-25-000-wage-ceiling" TargetMode="External"/><Relationship Id="rId530" Type="http://schemas.openxmlformats.org/officeDocument/2006/relationships/hyperlink" Target="https://www.staffnews.in/2026/09/cabinet-approves-enhancement-of-epfo-wage-ceiling.html" TargetMode="External"/><Relationship Id="rId531" Type="http://schemas.openxmlformats.org/officeDocument/2006/relationships/hyperlink" Target="https://www.pib.gov.in/PressReleasePage.aspx?PRID=2313829&amp;reg=48&amp;lang=2" TargetMode="External"/><Relationship Id="rId532" Type="http://schemas.openxmlformats.org/officeDocument/2006/relationships/hyperlink" Target="https://www.pib.gov.in/PressReleasePage.aspx?PRID=2313790&amp;reg=48&amp;lang=2" TargetMode="External"/><Relationship Id="rId533" Type="http://schemas.openxmlformats.org/officeDocument/2006/relationships/hyperlink" Target="https://www.labour.gov.in/static/uploads/2026/09/4f607a88c5342aeb980c6b999997caab.pdf" TargetMode="External"/><Relationship Id="rId534" Type="http://schemas.openxmlformats.org/officeDocument/2006/relationships/hyperlink" Target="https://www.staffnews.in/wp-content/uploads/2026/07/Employees-Provident-Funds-Scheme-2026-273957.pdf" TargetMode="External"/><Relationship Id="rId535" Type="http://schemas.openxmlformats.org/officeDocument/2006/relationships/hyperlink" Target="https://www.taxmann.com/post/blog/analysis-epf-under-code-on-social-security" TargetMode="External"/><Relationship Id="rId536" Type="http://schemas.openxmlformats.org/officeDocument/2006/relationships/hyperlink" Target="https://www.cyrilshroff.com/wp-content/uploads/2026/07/Client-Alert-Labour-Codes-Schemes-under-the-Code-on-Social-Security-2020-1.pdf" TargetMode="External"/><Relationship Id="rId537" Type="http://schemas.openxmlformats.org/officeDocument/2006/relationships/hyperlink" Target="https://egazette.gov.in/WriteReadData/2026/274112.pdf" TargetMode="External"/><Relationship Id="rId538" Type="http://schemas.openxmlformats.org/officeDocument/2006/relationships/hyperlink" Target="https://www.lawrbit.com/article/employees-pension-scheme/" TargetMode="External"/><Relationship Id="rId539" Type="http://schemas.openxmlformats.org/officeDocument/2006/relationships/hyperlink" Target="https://www.sgcms.com/regulatory-updates/faqs-by-epfo-wage-ceiling-raised-to-25000/" TargetMode="External"/><Relationship Id="rId540" Type="http://schemas.openxmlformats.org/officeDocument/2006/relationships/hyperlink" Target="https://assets.kpmg.com/content/dam/kpmgsites/in/pdf/2026/09/KPMG-Flash-News-FAQs-on-EPFO-Wage-Ceiling-Limit.pdf" TargetMode="External"/><Relationship Id="rId541" Type="http://schemas.openxmlformats.org/officeDocument/2006/relationships/hyperlink" Target="https://www.cyrilshroff.com/wp-content/uploads/2026/07/Client-Alert-Labour-Codes-Schemes-under-the-Code-on-Social-Security-2020-1.pdf" TargetMode="External"/><Relationship Id="rId542" Type="http://schemas.openxmlformats.org/officeDocument/2006/relationships/hyperlink" Target="https://assets.kpmg.com/content/dam/kpmgsites/in/pdf/2026/07/KPMG-Flash-News-New-Social-Security-Schemes-2026.pdf" TargetMode="External"/><Relationship Id="rId543" Type="http://schemas.openxmlformats.org/officeDocument/2006/relationships/hyperlink" Target="https://khaitanco.com/thought-leadership/Big-Move-in-the-EPF-Regime" TargetMode="External"/><Relationship Id="rId544" Type="http://schemas.openxmlformats.org/officeDocument/2006/relationships/hyperlink" Target="https://www.sgcms.com/regulatory-updates/faqs-by-epfo-wage-ceiling-raised-to-25000/" TargetMode="External"/><Relationship Id="rId545" Type="http://schemas.openxmlformats.org/officeDocument/2006/relationships/hyperlink" Target="https://khaitanco.com/thought-leadership/Big-Move-in-the-EPF-Regime" TargetMode="External"/><Relationship Id="rId546" Type="http://schemas.openxmlformats.org/officeDocument/2006/relationships/hyperlink" Target="https://www.cyrilshroff.com/wp-content/uploads/2026/07/Client-Alert-Labour-Codes-Schemes-under-the-Code-on-Social-Security-2020-1.pdf" TargetMode="External"/><Relationship Id="rId547" Type="http://schemas.openxmlformats.org/officeDocument/2006/relationships/hyperlink" Target="https://www.scconline.com/blog/post/2026/07/15/epfo-launches-vishwas-2026-damages-settlement-scheme/" TargetMode="External"/><Relationship Id="rId548" Type="http://schemas.openxmlformats.org/officeDocument/2006/relationships/hyperlink" Target="https://taxguru.in/?p=1076899" TargetMode="External"/><Relationship Id="rId549" Type="http://schemas.openxmlformats.org/officeDocument/2006/relationships/hyperlink" Target="https://lexplosion.in/epf-scheme-2026-notified-under-social-security-code-replaces-epf-scheme-1952-and-introduces-employees-enrolment-campaign-vishwas-and-amnesty-schemes/" TargetMode="External"/><Relationship Id="rId550" Type="http://schemas.openxmlformats.org/officeDocument/2006/relationships/hyperlink" Target="https://www.staffnews.in/wp-content/uploads/2026/07/Employees-Provident-Funds-Scheme-2026-273957.pdf" TargetMode="External"/><Relationship Id="rId551" Type="http://schemas.openxmlformats.org/officeDocument/2006/relationships/hyperlink" Target="https://egazette.gov.in/WriteReadData/2026/273942.pdf" TargetMode="External"/><Relationship Id="rId552" Type="http://schemas.openxmlformats.org/officeDocument/2006/relationships/hyperlink" Target="https://www.sgcms.com/regulatory-updates/faqs-by-epfo-wage-ceiling-raised-to-25000/" TargetMode="External"/><Relationship Id="rId553" Type="http://schemas.openxmlformats.org/officeDocument/2006/relationships/hyperlink" Target="https://caclub.in/pf-admin-charges-reduced-and-edli-admin-charges-waived-by-epfo" TargetMode="External"/><Relationship Id="rId554" Type="http://schemas.openxmlformats.org/officeDocument/2006/relationships/hyperlink" Target="https://assets.kpmg.com/content/dam/kpmgsites/in/pdf/2026/07/KPMG-Flash-News-New-Social-Security-Schemes-2026.pdf" TargetMode="External"/><Relationship Id="rId555" Type="http://schemas.openxmlformats.org/officeDocument/2006/relationships/hyperlink" Target="https://www.outlookmoney.com/retirement/pension/epf-rates-unchanged-at-825-per-cent-for-2025-26-announces-epfo" TargetMode="External"/><Relationship Id="rId556" Type="http://schemas.openxmlformats.org/officeDocument/2006/relationships/hyperlink" Target="https://www.outlookmoney.com/retirement/govt-ratifies-825-per-cent-epf-interest-rate-for-2025-26-interest-likely-to-be-credited-from-this-month" TargetMode="External"/><Relationship Id="rId557" Type="http://schemas.openxmlformats.org/officeDocument/2006/relationships/hyperlink" Target="https://www.cyrilshroff.com/wp-content/uploads/2026/07/Client-Alert-Labour-Codes-Schemes-under-the-Code-on-Social-Security-2020-1.pdf" TargetMode="External"/><Relationship Id="rId558" Type="http://schemas.openxmlformats.org/officeDocument/2006/relationships/hyperlink" Target="https://www.in.kpmg.com/taxflashnews/KPMG-Flash-News-GOI-notifies-SOP-on-PMVBRY.pdf" TargetMode="External"/><Relationship Id="rId559" Type="http://schemas.openxmlformats.org/officeDocument/2006/relationships/hyperlink" Target="https://assets.kpmg.com/content/dam/kpmgsites/in/pdf/2026/09/KPMG-Flash-News-FAQs-on-EPFO-Wage-Ceiling-Limit.pdf" TargetMode="External"/><Relationship Id="rId560" Type="http://schemas.openxmlformats.org/officeDocument/2006/relationships/hyperlink" Target="https://ascent-hr.com/notification/esic-clarification-regarding-the-implementation-of-code-on-social-security-2020/" TargetMode="External"/><Relationship Id="rId561" Type="http://schemas.openxmlformats.org/officeDocument/2006/relationships/hyperlink" Target="https://www.taxheal.com/?p=129388" TargetMode="External"/><Relationship Id="rId562" Type="http://schemas.openxmlformats.org/officeDocument/2006/relationships/hyperlink" Target="https://www.lkslaw.com/insights/articles/status-of-esi-compliance-under-the-code-on-social-security-2020-an-analytical-review" TargetMode="External"/><Relationship Id="rId563" Type="http://schemas.openxmlformats.org/officeDocument/2006/relationships/hyperlink" Target="https://bhattandjoshiassociates.com/esic-wage-ceiling-change-what-it-would-mean-for-employers/" TargetMode="External"/><Relationship Id="rId564" Type="http://schemas.openxmlformats.org/officeDocument/2006/relationships/hyperlink" Target="https://web.esic.gov.in/web/esic/contribution" TargetMode="External"/><Relationship Id="rId565" Type="http://schemas.openxmlformats.org/officeDocument/2006/relationships/hyperlink" Target="https://www.labour.gov.in/static/uploads/2026/03/a4ccf4c6d97c4f1f36a6d83f8c64213d.pdf" TargetMode="External"/><Relationship Id="rId566" Type="http://schemas.openxmlformats.org/officeDocument/2006/relationships/hyperlink" Target="https://www.labour.gov.in/static/uploads/2026/02/83978455025732b99b0165def80ab171.pdf" TargetMode="External"/><Relationship Id="rId567" Type="http://schemas.openxmlformats.org/officeDocument/2006/relationships/hyperlink" Target="https://web.esic.gov.in/web/esic/contribution" TargetMode="External"/><Relationship Id="rId568" Type="http://schemas.openxmlformats.org/officeDocument/2006/relationships/hyperlink" Target="https://taxclue.in/blog/rule-19-20-social-security-central-rules-2026-rate-of-contributions-and-administrative-expenses/" TargetMode="External"/><Relationship Id="rId569" Type="http://schemas.openxmlformats.org/officeDocument/2006/relationships/hyperlink" Target="https://www.staffnews.in/2026/05/the-social-security-central-rules-2026.html" TargetMode="External"/><Relationship Id="rId570" Type="http://schemas.openxmlformats.org/officeDocument/2006/relationships/hyperlink" Target="https://tallysolutions.com/business-guides/esi-calculation-formula-contribution-rate-example/" TargetMode="External"/><Relationship Id="rId571" Type="http://schemas.openxmlformats.org/officeDocument/2006/relationships/hyperlink" Target="https://web.esic.gov.in/web/esic/contribution" TargetMode="External"/><Relationship Id="rId572" Type="http://schemas.openxmlformats.org/officeDocument/2006/relationships/hyperlink" Target="https://www.taxheal.com/?p=129388" TargetMode="External"/><Relationship Id="rId573" Type="http://schemas.openxmlformats.org/officeDocument/2006/relationships/hyperlink" Target="https://studycafe.in/government-clarifies-esi-coverage-continuity-despite-salary-hike-above-wage-ceiling-420646.html" TargetMode="External"/><Relationship Id="rId574" Type="http://schemas.openxmlformats.org/officeDocument/2006/relationships/hyperlink" Target="https://tallysolutions.com/business-guides/esi-calculation-formula-contribution-rate-example/" TargetMode="External"/><Relationship Id="rId575" Type="http://schemas.openxmlformats.org/officeDocument/2006/relationships/hyperlink" Target="https://web.esic.gov.in/web/esic/contribution" TargetMode="External"/><Relationship Id="rId576" Type="http://schemas.openxmlformats.org/officeDocument/2006/relationships/hyperlink" Target="https://tallysolutions.com/accounting/esi-return-filing-due-date-2026/" TargetMode="External"/><Relationship Id="rId577" Type="http://schemas.openxmlformats.org/officeDocument/2006/relationships/hyperlink" Target="https://web.esic.gov.in/web/esic/contribution" TargetMode="External"/><Relationship Id="rId578" Type="http://schemas.openxmlformats.org/officeDocument/2006/relationships/hyperlink" Target="https://bankbazaar.com/tax/maharashtra-professional-tax-slab-rate.html" TargetMode="External"/><Relationship Id="rId579" Type="http://schemas.openxmlformats.org/officeDocument/2006/relationships/hyperlink" Target="https://lexplosion.in/karnataka-govt-notifies-revised-professional-tax-rate-under-karnataka-tax-on-profession-trades-callings-and-employments-amendment-act-2025/" TargetMode="External"/><Relationship Id="rId580" Type="http://schemas.openxmlformats.org/officeDocument/2006/relationships/hyperlink" Target="https://wbxpress.com/schedule-rates-tax-professions-trades-callings-employments-2026/" TargetMode="External"/><Relationship Id="rId581" Type="http://schemas.openxmlformats.org/officeDocument/2006/relationships/hyperlink" Target="https://bankbazaar.com/tax/maharashtra-professional-tax-slab-rate.html" TargetMode="External"/><Relationship Id="rId582" Type="http://schemas.openxmlformats.org/officeDocument/2006/relationships/hyperlink" Target="https://lexplosion.in/karnataka-govt-notifies-revised-professional-tax-rate-under-karnataka-tax-on-profession-trades-callings-and-employments-amendment-act-2025/" TargetMode="External"/><Relationship Id="rId583" Type="http://schemas.openxmlformats.org/officeDocument/2006/relationships/hyperlink" Target="https://ascent-hr.com/notification/professional-tax-slab-revision-chennai/" TargetMode="External"/><Relationship Id="rId584" Type="http://schemas.openxmlformats.org/officeDocument/2006/relationships/hyperlink" Target="https://wbxpress.com/schedule-rates-tax-professions-trades-callings-employments-2026/" TargetMode="External"/><Relationship Id="rId585" Type="http://schemas.openxmlformats.org/officeDocument/2006/relationships/hyperlink" Target="https://wbxpress.com/professional-tax-slab/" TargetMode="External"/><Relationship Id="rId586" Type="http://schemas.openxmlformats.org/officeDocument/2006/relationships/hyperlink" Target="https://www.simpliance.in/professional-tax-detail/west-bengal" TargetMode="External"/><Relationship Id="rId587" Type="http://schemas.openxmlformats.org/officeDocument/2006/relationships/hyperlink" Target="https://nt.simpliance.in/professional-tax-detail/telangana" TargetMode="External"/><Relationship Id="rId588" Type="http://schemas.openxmlformats.org/officeDocument/2006/relationships/hyperlink" Target="https://www.greythr.com/wiki/acts/professional-tax-gujarat/" TargetMode="External"/><Relationship Id="rId589" Type="http://schemas.openxmlformats.org/officeDocument/2006/relationships/hyperlink" Target="https://ezhrm.in/labour-welfare-fund-india-2026-state-wise-guide/" TargetMode="External"/><Relationship Id="rId590" Type="http://schemas.openxmlformats.org/officeDocument/2006/relationships/hyperlink" Target="https://employmentlaw.lkslaw.com/gratuity-guide-2025" TargetMode="External"/><Relationship Id="rId591" Type="http://schemas.openxmlformats.org/officeDocument/2006/relationships/hyperlink" Target="https://www.in.kpmg.com/taxflashnews/KPMG-Flash-News-Notification-of-final-Rules-on-Four-Labour-Codes.pdf" TargetMode="External"/><Relationship Id="rId592" Type="http://schemas.openxmlformats.org/officeDocument/2006/relationships/hyperlink" Target="https://blog.ipleaders.in/labour-codes-2026-implementation-complete-guide-to-what-is-in-force-what-changed-and-what-to-do-now/" TargetMode="External"/><Relationship Id="rId593" Type="http://schemas.openxmlformats.org/officeDocument/2006/relationships/hyperlink" Target="https://ksandk.com/labour-employment/50-wage-rule-labour-codes-salary-pf-gratuity/" TargetMode="External"/><Relationship Id="rId594" Type="http://schemas.openxmlformats.org/officeDocument/2006/relationships/hyperlink" Target="https://www.labour.gov.in/static/uploads/2026/01/de4758d5bfeffc456d7de97a801891b0.pdf" TargetMode="External"/><Relationship Id="rId595" Type="http://schemas.openxmlformats.org/officeDocument/2006/relationships/hyperlink" Target="https://www.labour.gov.in/static/uploads/2026/03/a4ccf4c6d97c4f1f36a6d83f8c64213d.pdf" TargetMode="External"/><Relationship Id="rId596" Type="http://schemas.openxmlformats.org/officeDocument/2006/relationships/hyperlink" Target="https://www.labour.gov.in/static/uploads/2026/02/83978455025732b99b0165def80ab171.pdf" TargetMode="External"/><Relationship Id="rId597" Type="http://schemas.openxmlformats.org/officeDocument/2006/relationships/hyperlink" Target="https://www.in.kpmg.com/taxflashnews/KPMG-Flash-News-Notification-of-final-Rules-on-Four-Labour-Codes.pdf" TargetMode="External"/><Relationship Id="rId598" Type="http://schemas.openxmlformats.org/officeDocument/2006/relationships/hyperlink" Target="https://blog.ipleaders.in/labour-codes-2026-implementation-complete-guide-to-what-is-in-force-what-changed-and-what-to-do-now/" TargetMode="External"/><Relationship Id="rId599" Type="http://schemas.openxmlformats.org/officeDocument/2006/relationships/hyperlink" Target="https://www.ey.com/content/dam/ey-unified-site/ey-com/en-in/alerts-hub/2025/11/new-labour-codes-implemented-across-the-country-effective-21-november-2025.pdf" TargetMode="External"/><Relationship Id="rId600" Type="http://schemas.openxmlformats.org/officeDocument/2006/relationships/hyperlink" Target="https://employmentlaw.lkslaw.com/gratuity-guide-2025" TargetMode="External"/><Relationship Id="rId601" Type="http://schemas.openxmlformats.org/officeDocument/2006/relationships/hyperlink" Target="https://www.pib.gov.in/PressReleseDetailm.aspx?PRID=2192463&amp;reg=3&amp;lang=2" TargetMode="External"/><Relationship Id="rId602" Type="http://schemas.openxmlformats.org/officeDocument/2006/relationships/hyperlink" Target="https://www.labour.gov.in/static/uploads/2026/03/a4ccf4c6d97c4f1f36a6d83f8c64213d.pdf" TargetMode="External"/><Relationship Id="rId603" Type="http://schemas.openxmlformats.org/officeDocument/2006/relationships/hyperlink" Target="https://www.incometaxindia.gov.in/w/section-19-206" TargetMode="External"/><Relationship Id="rId604" Type="http://schemas.openxmlformats.org/officeDocument/2006/relationships/hyperlink" Target="https://eztax.in/income-tax-act-2025/section-19" TargetMode="External"/><Relationship Id="rId605" Type="http://schemas.openxmlformats.org/officeDocument/2006/relationships/hyperlink" Target="https://www.gconnect.in/personal-income-tax/increased-limit-tax-exemption-leave-encashment-non-govt-salaried-employees.html" TargetMode="External"/><Relationship Id="rId606" Type="http://schemas.openxmlformats.org/officeDocument/2006/relationships/hyperlink" Target="https://www.incometaxindia.gov.in/w/section-19-206" TargetMode="External"/><Relationship Id="rId607" Type="http://schemas.openxmlformats.org/officeDocument/2006/relationships/hyperlink" Target="https://eztax.in/income-tax-act-2025/section-19" TargetMode="External"/><Relationship Id="rId608" Type="http://schemas.openxmlformats.org/officeDocument/2006/relationships/hyperlink" Target="https://www.scconline.com/blog/post/2026/08/26/bonus-rules-under-code-on-wages-eligibility-calculation/" TargetMode="External"/><Relationship Id="rId609" Type="http://schemas.openxmlformats.org/officeDocument/2006/relationships/hyperlink" Target="https://lexplosion.in/?p=152253" TargetMode="External"/><Relationship Id="rId610" Type="http://schemas.openxmlformats.org/officeDocument/2006/relationships/hyperlink" Target="https://www.labour.gov.in/static/uploads/2026/02/83978455025732b99b0165def80ab171.pdf" TargetMode="External"/><Relationship Id="rId611" Type="http://schemas.openxmlformats.org/officeDocument/2006/relationships/hyperlink" Target="https://www.sgcms.com/regulatory-updates/central-sphere-vda-revision-w-e-f-1-october-2026-revised-minimum-wages/" TargetMode="External"/><Relationship Id="rId612" Type="http://schemas.openxmlformats.org/officeDocument/2006/relationships/hyperlink" Target="https://www.taxmann.com/post/blog/govt-notifies-code-on-wages-central-rules/" TargetMode="External"/><Relationship Id="rId613" Type="http://schemas.openxmlformats.org/officeDocument/2006/relationships/hyperlink" Target="https://www.in.kpmg.com/taxflashnews/KPMG-Flash-News-Notification-of-final-Rules-on-Four-Labour-Codes.pdf" TargetMode="External"/><Relationship Id="rId614" Type="http://schemas.openxmlformats.org/officeDocument/2006/relationships/hyperlink" Target="https://www.bdo.in/en-gb/insights/alerts-updates/alert-final-central-rules-notified-under-all-four-labour-codes" TargetMode="External"/><Relationship Id="rId615" Type="http://schemas.openxmlformats.org/officeDocument/2006/relationships/hyperlink" Target="https://www.incometaxindia.gov.in/w/section-19-206" TargetMode="External"/><Relationship Id="rId616" Type="http://schemas.openxmlformats.org/officeDocument/2006/relationships/hyperlink" Target="https://eztax.in/income-tax-act-2025/section-17" TargetMode="External"/><Relationship Id="rId617" Type="http://schemas.openxmlformats.org/officeDocument/2006/relationships/hyperlink" Target="https://www.incometaxindia.gov.in/w/rule-277-1" TargetMode="External"/><Relationship Id="rId618" Type="http://schemas.openxmlformats.org/officeDocument/2006/relationships/hyperlink" Target="https://www.patronaccounting.com/blog/provident-fund-taxable-interest-rules-2026-high-value-pf-contributions" TargetMode="External"/><Relationship Id="rId619" Type="http://schemas.openxmlformats.org/officeDocument/2006/relationships/hyperlink" Target="https://www.casemine.com/commentary/in/supreme-court-affirmation-on-disallowance-of-late-employee-contributions-under-section-36(1)(va)/view" TargetMode="External"/><Relationship Id="rId620" Type="http://schemas.openxmlformats.org/officeDocument/2006/relationships/hyperlink" Target="https://taxguru.in/income-tax/pf-esi-deduction-denied-employees-contribution-deposited-statutory-due-date.html" TargetMode="External"/><Relationship Id="rId621" Type="http://schemas.openxmlformats.org/officeDocument/2006/relationships/hyperlink" Target="https://eztax.in/income-tax-act-2025/section-29" TargetMode="External"/><Relationship Id="rId622" Type="http://schemas.openxmlformats.org/officeDocument/2006/relationships/hyperlink" Target="https://blog.ipleaders.in/labour-codes-2026-implementation-complete-guide-to-what-is-in-force-what-changed-and-what-to-do-now/" TargetMode="External"/><Relationship Id="rId623" Type="http://schemas.openxmlformats.org/officeDocument/2006/relationships/hyperlink" Target="https://www.labour.gov.in/static/uploads/2026/02/83978455025732b99b0165def80ab171.pdf" TargetMode="External"/><Relationship Id="rId624" Type="http://schemas.openxmlformats.org/officeDocument/2006/relationships/hyperlink" Target="https://taxclue.in/blog/rule-19-20-social-security-central-rules-2026-rate-of-contributions-and-administrative-expenses/" TargetMode="External"/><Relationship Id="rId625" Type="http://schemas.openxmlformats.org/officeDocument/2006/relationships/hyperlink" Target="https://docs.frappe.io/hr/india-payroll/employee-provident-fund.md" TargetMode="External"/><Relationship Id="rId626" Type="http://schemas.openxmlformats.org/officeDocument/2006/relationships/hyperlink" Target="https://www.sgcms.com/regulatory-updates/faqs-by-epfo-wage-ceiling-raised-to-25000/" TargetMode="External"/><Relationship Id="rId627" Type="http://schemas.openxmlformats.org/officeDocument/2006/relationships/hyperlink" Target="https://www.staffnews.in/wp-content/uploads/2026/07/Employees-Provident-Funds-Scheme-2026-273957.pdf" TargetMode="External"/><Relationship Id="rId628" Type="http://schemas.openxmlformats.org/officeDocument/2006/relationships/hyperlink" Target="https://www.rbi.org.in/commonman/English/scripts/Notification.aspx?Id=961" TargetMode="External"/><Relationship Id="rId629" Type="http://schemas.openxmlformats.org/officeDocument/2006/relationships/hyperlink" Target="https://www.rbi.org.in/commonman/English/scripts/Notification.aspx?Id=961" TargetMode="External"/><Relationship Id="rId630" Type="http://schemas.openxmlformats.org/officeDocument/2006/relationships/hyperlink" Target="https://www.dpncindia.com/amendment-in-schedule-iii-of-the-companies-act-2013-applicable-w-e-f-01-04-2021" TargetMode="External"/><Relationship Id="rId631" Type="http://schemas.openxmlformats.org/officeDocument/2006/relationships/hyperlink" Target="https://www.incometaxindia.gov.in/w/rule-6dd" TargetMode="External"/><Relationship Id="rId632" Type="http://schemas.openxmlformats.org/officeDocument/2006/relationships/hyperlink" Target="https://calcguru.in/?p=8211" TargetMode="External"/><Relationship Id="rId633" Type="http://schemas.openxmlformats.org/officeDocument/2006/relationships/hyperlink" Target="https://www.taxmann.com/post/blog/instances-of-non-compliance-with-reporting-requirements-under-clause-21-31-of-form-3cd/" TargetMode="External"/><Relationship Id="rId634" Type="http://schemas.openxmlformats.org/officeDocument/2006/relationships/hyperlink" Target="https://www.taxheal.com/?p=99334" TargetMode="External"/><Relationship Id="rId635" Type="http://schemas.openxmlformats.org/officeDocument/2006/relationships/hyperlink" Target="https://incometaxindia.gov.in/documents/d/guest/circular-7-2026-pdf" TargetMode="External"/><Relationship Id="rId636" Type="http://schemas.openxmlformats.org/officeDocument/2006/relationships/hyperlink" Target="https://eztax.in/income-tax-act-2025/section-186" TargetMode="External"/><Relationship Id="rId637" Type="http://schemas.openxmlformats.org/officeDocument/2006/relationships/hyperlink" Target="https://www.taxheal.com/?p=99334" TargetMode="External"/><Relationship Id="rId638" Type="http://schemas.openxmlformats.org/officeDocument/2006/relationships/hyperlink" Target="https://www.casahuja.com/2026/09/clause-31-of-form-3cd-for-ay-2026-27.html" TargetMode="External"/><Relationship Id="rId639" Type="http://schemas.openxmlformats.org/officeDocument/2006/relationships/hyperlink" Target="https://eztax.in/income-tax-act-2025/section-185" TargetMode="External"/><Relationship Id="rId640" Type="http://schemas.openxmlformats.org/officeDocument/2006/relationships/hyperlink" Target="https://www.taxheal.com/?p=99334" TargetMode="External"/><Relationship Id="rId641" Type="http://schemas.openxmlformats.org/officeDocument/2006/relationships/hyperlink" Target="https://www.casahuja.com/2026/09/clause-31-of-form-3cd-for-ay-2026-27.html" TargetMode="External"/><Relationship Id="rId642" Type="http://schemas.openxmlformats.org/officeDocument/2006/relationships/hyperlink" Target="https://taxguru.in/company-law/demystifying-audit-trail-edit-log.html" TargetMode="External"/><Relationship Id="rId643" Type="http://schemas.openxmlformats.org/officeDocument/2006/relationships/hyperlink" Target="https://www.taxheal.com/companies-accounts-amendment-rules-2021-mandatory-accounting-software-with-audit-trail-for-companies.html" TargetMode="External"/><Relationship Id="rId644" Type="http://schemas.openxmlformats.org/officeDocument/2006/relationships/hyperlink" Target="https://cajournal.icai.org/article-details/audit-trail-requirements-responsibilities" TargetMode="External"/><Relationship Id="rId645" Type="http://schemas.openxmlformats.org/officeDocument/2006/relationships/hyperlink" Target="https://cleartax.in/s/form-26-tax-audit" TargetMode="External"/><Relationship Id="rId646" Type="http://schemas.openxmlformats.org/officeDocument/2006/relationships/hyperlink" Target="https://calcguru.in/?p=8211" TargetMode="External"/><Relationship Id="rId647" Type="http://schemas.openxmlformats.org/officeDocument/2006/relationships/hyperlink" Target="https://www.dpncindia.com/amendment-in-schedule-iii-of-the-companies-act-2013-applicable-w-e-f-01-04-2021" TargetMode="External"/><Relationship Id="rId648" Type="http://schemas.openxmlformats.org/officeDocument/2006/relationships/hyperlink" Target="https://www.dpncindia.com/amendment-in-schedule-iii-of-the-companies-act-2013-applicable-w-e-f-01-04-2021" TargetMode="External"/><Relationship Id="rId649" Type="http://schemas.openxmlformats.org/officeDocument/2006/relationships/hyperlink" Target="https://www.dpncindia.com/amendment-in-schedule-iii-of-the-companies-act-2013-applicable-w-e-f-01-04-2021" TargetMode="External"/><Relationship Id="rId650" Type="http://schemas.openxmlformats.org/officeDocument/2006/relationships/hyperlink" Target="https://taxmann.com/post/blog/a-study-of-provisions-of-the-msmed-act-related-disclosure-under-schedule-iii-of-companies-act" TargetMode="External"/><Relationship Id="rId651" Type="http://schemas.openxmlformats.org/officeDocument/2006/relationships/hyperlink" Target="https://www.dpncindia.com/amendment-in-schedule-iii-of-the-companies-act-2013-applicable-w-e-f-01-04-2021" TargetMode="External"/><Relationship Id="rId652" Type="http://schemas.openxmlformats.org/officeDocument/2006/relationships/hyperlink" Target="https://www.dpncindia.com/amendment-in-schedule-iii-of-the-companies-act-2013-applicable-w-e-f-01-04-2021" TargetMode="External"/><Relationship Id="rId653" Type="http://schemas.openxmlformats.org/officeDocument/2006/relationships/hyperlink" Target="https://www.caclubindia.com/articles/amendment-schedule-iii-division-i-igaap-companies-act-2013-44527.asp" TargetMode="External"/><Relationship Id="rId654" Type="http://schemas.openxmlformats.org/officeDocument/2006/relationships/hyperlink" Target="https://www.caclubindia.com/articles/amendment-schedule-iii-division-i-igaap-companies-act-2013-44527.asp" TargetMode="External"/><Relationship Id="rId655" Type="http://schemas.openxmlformats.org/officeDocument/2006/relationships/hyperlink" Target="https://www.dpncindia.com/amendment-in-schedule-iii-of-the-companies-act-2013-applicable-w-e-f-01-04-2021" TargetMode="External"/><Relationship Id="rId656" Type="http://schemas.openxmlformats.org/officeDocument/2006/relationships/hyperlink" Target="https://www.dpncindia.com/amendment-in-schedule-iii-of-the-companies-act-2013-applicable-w-e-f-01-04-2021" TargetMode="External"/><Relationship Id="rId657" Type="http://schemas.openxmlformats.org/officeDocument/2006/relationships/hyperlink" Target="https://www.caclubindia.com/articles/amendment-schedule-iii-division-i-igaap-companies-act-2013-44527.asp" TargetMode="External"/><Relationship Id="rId658" Type="http://schemas.openxmlformats.org/officeDocument/2006/relationships/hyperlink" Target="https://taxguru.in/company-law/summary-clauses-caro-2020-consequential-amendments-schedule-iii-companies-act-2013.html" TargetMode="External"/><Relationship Id="rId659" Type="http://schemas.openxmlformats.org/officeDocument/2006/relationships/hyperlink" Target="https://www.dpncindia.com/amendment-in-schedule-iii-of-the-companies-act-2013-applicable-w-e-f-01-04-2021" TargetMode="External"/><Relationship Id="rId660" Type="http://schemas.openxmlformats.org/officeDocument/2006/relationships/hyperlink" Target="https://www.casahuja.com/2025/04/regulatory-update-government-revises.html" TargetMode="External"/><Relationship Id="rId661" Type="http://schemas.openxmlformats.org/officeDocument/2006/relationships/hyperlink" Target="https://foxmandal.in/news/monetary-limits-for-msme-classification-revised/" TargetMode="External"/><Relationship Id="rId662" Type="http://schemas.openxmlformats.org/officeDocument/2006/relationships/hyperlink" Target="https://www.dcmsme.gov.in/Notification-S.O-no-1364-E-dated-21.03.2025-Revised-Definition.pdf" TargetMode="External"/><Relationship Id="rId663" Type="http://schemas.openxmlformats.org/officeDocument/2006/relationships/hyperlink" Target="https://www.pib.gov.in/PressReleasePage.aspx?PRID=2098389&amp;reg=48&amp;lang=2" TargetMode="External"/><Relationship Id="rId664" Type="http://schemas.openxmlformats.org/officeDocument/2006/relationships/hyperlink" Target="https://lawx.in/acts/section/145/1245/10691" TargetMode="External"/><Relationship Id="rId665" Type="http://schemas.openxmlformats.org/officeDocument/2006/relationships/hyperlink" Target="https://taxmann.com/post/blog/a-study-of-provisions-of-the-msmed-act-related-disclosure-under-schedule-iii-of-companies-act" TargetMode="External"/><Relationship Id="rId666" Type="http://schemas.openxmlformats.org/officeDocument/2006/relationships/hyperlink" Target="https://rbi.org.in/" TargetMode="External"/><Relationship Id="rId667" Type="http://schemas.openxmlformats.org/officeDocument/2006/relationships/hyperlink" Target="https://www.taxmann.com/post/blog/mca-revises-msme-form-1-with-enhanced-disclosures-for-reporting-payments-pending-over-45-days-to-micro-small-enterprises/" TargetMode="External"/><Relationship Id="rId668" Type="http://schemas.openxmlformats.org/officeDocument/2006/relationships/hyperlink" Target="https://www.patronaccounting.com/blog/msme-form-1-half-yearly-return-filing-guide" TargetMode="External"/><Relationship Id="rId669" Type="http://schemas.openxmlformats.org/officeDocument/2006/relationships/hyperlink" Target="https://eztax.in/income-tax-act-2025/section-37" TargetMode="External"/><Relationship Id="rId670" Type="http://schemas.openxmlformats.org/officeDocument/2006/relationships/hyperlink" Target="https://www.taxmann.com/post/blog/cbdt-issues-corrigendum-to-include-sec-43bh-disallowance-under-clause-22-of-form-3cd/" TargetMode="External"/><Relationship Id="rId671" Type="http://schemas.openxmlformats.org/officeDocument/2006/relationships/hyperlink" Target="https://calcguru.in/?p=8211" TargetMode="External"/><Relationship Id="rId672" Type="http://schemas.openxmlformats.org/officeDocument/2006/relationships/hyperlink" Target="https://incometaxindia.gov.in/documents/d/guest/circular-7-2026-pdf" TargetMode="External"/><Relationship Id="rId673" Type="http://schemas.openxmlformats.org/officeDocument/2006/relationships/hyperlink" Target="https://studycafe.in/mca-notifies-additional-fee-of-rs-100-per-day-for-delay-in-filing-roc-forms-24895.html" TargetMode="External"/><Relationship Id="rId674" Type="http://schemas.openxmlformats.org/officeDocument/2006/relationships/hyperlink" Target="https://taxmann.com/post/blog/mca-extends-due-date-for-filing-of-financials-and-annual-return" TargetMode="External"/><Relationship Id="rId675" Type="http://schemas.openxmlformats.org/officeDocument/2006/relationships/hyperlink" Target="https://www.icai.org/post/clcgc-director-kyc-compliance-02012026" TargetMode="External"/><Relationship Id="rId676" Type="http://schemas.openxmlformats.org/officeDocument/2006/relationships/hyperlink" Target="https://www.china-briefing.com/china-outbound-news/director-kyc-new-rules-india-companies-act-2013" TargetMode="External"/><Relationship Id="rId677" Type="http://schemas.openxmlformats.org/officeDocument/2006/relationships/hyperlink" Target="https://www.mca.gov.in:443/content/dam/mca-aem-forms/instructionkits/Instruction%20Kit_DPT-3.pdf" TargetMode="External"/><Relationship Id="rId678" Type="http://schemas.openxmlformats.org/officeDocument/2006/relationships/hyperlink" Target="https://www.pib.gov.in/PressReleasePage.aspx?PRID=2210552&amp;reg=3&amp;lang=1" TargetMode="External"/><Relationship Id="rId679" Type="http://schemas.openxmlformats.org/officeDocument/2006/relationships/hyperlink" Target="https://www.pib.gov.in/PressReleasePage.aspx?PRID=2210429&amp;reg=3&amp;lang=1" TargetMode="External"/><Relationship Id="rId680" Type="http://schemas.openxmlformats.org/officeDocument/2006/relationships/hyperlink" Target="https://studycafe.in/mca-notifies-additional-fee-of-rs-100-per-day-for-delay-in-filing-roc-forms-24895.html" TargetMode="External"/><Relationship Id="rId681" Type="http://schemas.openxmlformats.org/officeDocument/2006/relationships/hyperlink" Target="https://www.taxmann.com/post/blog/mca-amends-companies-registration-offices-and-fees-rules-2014-tightens-norms-relating-to-additional-fee-and-higher-additional-fee/" TargetMode="External"/><Relationship Id="rId682" Type="http://schemas.openxmlformats.org/officeDocument/2006/relationships/hyperlink" Target="https://www.mca.gov.in:443/content/dam/mca-aem-forms/instructionkits/Instruction%20Kit_DPT-3.pdf" TargetMode="External"/><Relationship Id="rId683" Type="http://schemas.openxmlformats.org/officeDocument/2006/relationships/hyperlink" Target="https://www.taxmann.com/post/blog/mca-raises-small-company-thresholds-to-rs-10-cr-capital-and-rs-100-cr-turnover" TargetMode="External"/><Relationship Id="rId684" Type="http://schemas.openxmlformats.org/officeDocument/2006/relationships/hyperlink" Target="https://www.pib.gov.in/PressReleasePage.aspx?PRID=2210429&amp;reg=3&amp;lang=1" TargetMode="External"/><Relationship Id="rId685" Type="http://schemas.openxmlformats.org/officeDocument/2006/relationships/hyperlink" Target="https://taxguru.in/company-law/demystifying-audit-trail-edit-log.html" TargetMode="External"/><Relationship Id="rId686" Type="http://schemas.openxmlformats.org/officeDocument/2006/relationships/hyperlink" Target="https://www.taxheal.com/companies-accounts-amendment-rules-2021-mandatory-accounting-software-with-audit-trail-for-companies.html" TargetMode="External"/><Relationship Id="rId687" Type="http://schemas.openxmlformats.org/officeDocument/2006/relationships/hyperlink" Target="https://cajournal.icai.org/article-details/audit-trail-requirements-responsibilities" TargetMode="External"/><Relationship Id="rId688" Type="http://schemas.openxmlformats.org/officeDocument/2006/relationships/hyperlink" Target="https://lexplosion.in/companies-must-take-daily-back-up-of-books-of-accounts-etc-maintained-in-electronic-mode-including-at-a-place-outside-india-in-servers-physically-located-in-india/" TargetMode="External"/><Relationship Id="rId689" Type="http://schemas.openxmlformats.org/officeDocument/2006/relationships/hyperlink" Target="https://www.eirc-icai.org/uploads/background_materials/Revised%202024_Implementation%20Guide%20on%20Reporting%20of%20Audit%20Trail%20(1)_1712114860.pdf" TargetMode="External"/><Relationship Id="rId690" Type="http://schemas.openxmlformats.org/officeDocument/2006/relationships/hyperlink" Target="https://taxguru.in/company-law/summary-clauses-caro-2020-consequential-amendments-schedule-iii-companies-act-2013.html" TargetMode="External"/><Relationship Id="rId691" Type="http://schemas.openxmlformats.org/officeDocument/2006/relationships/hyperlink" Target="https://taxguru.in/income-tax/tax-audit-fy-2025-26-guide-form-3cd.html" TargetMode="External"/><Relationship Id="rId692" Type="http://schemas.openxmlformats.org/officeDocument/2006/relationships/hyperlink" Target="https://calcguru.in/?p=8211" TargetMode="External"/><Relationship Id="rId693" Type="http://schemas.openxmlformats.org/officeDocument/2006/relationships/hyperlink" Target="https://www.taxmann.com/post/blog/cbdt-issues-corrigendum-to-include-sec-43bh-disallowance-under-clause-22-of-form-3cd/" TargetMode="External"/><Relationship Id="rId694" Type="http://schemas.openxmlformats.org/officeDocument/2006/relationships/hyperlink" Target="https://www.taxmann.com/post/blog/instances-of-non-compliance-with-reporting-requirements-under-clause-21-31-of-form-3cd/" TargetMode="External"/><Relationship Id="rId695" Type="http://schemas.openxmlformats.org/officeDocument/2006/relationships/hyperlink" Target="https://www.casahuja.com/2026/09/clause-31-of-form-3cd-for-ay-2026-27.html" TargetMode="External"/><Relationship Id="rId696" Type="http://schemas.openxmlformats.org/officeDocument/2006/relationships/hyperlink" Target="https://cleartax.in/s/form-26-tax-audit" TargetMode="External"/><Relationship Id="rId697" Type="http://schemas.openxmlformats.org/officeDocument/2006/relationships/hyperlink" Target="https://incometaxindia.gov.in/documents/d/guest/circular-7-2026-pdf" TargetMode="External"/><Relationship Id="rId698" Type="http://schemas.openxmlformats.org/officeDocument/2006/relationships/hyperlink" Target="https://eztax.in/income-tax-act-2025/compare-old-new-section-codes" TargetMode="External"/><Relationship Id="rId699" Type="http://schemas.openxmlformats.org/officeDocument/2006/relationships/hyperlink" Target="https://ca2013.com/schedule-ii/" TargetMode="External"/><Relationship Id="rId700" Type="http://schemas.openxmlformats.org/officeDocument/2006/relationships/hyperlink" Target="https://www.patronaccounting.com/blog/depreciation-rules-2026-rates-block-assets" TargetMode="External"/><Relationship Id="rId701" Type="http://schemas.openxmlformats.org/officeDocument/2006/relationships/hyperlink" Target="https://taxmann.com/post/blog/analysis-clause-44-of-tax-audit-report-along-with-illustrations" TargetMode="External"/><Relationship Id="rId702" Type="http://schemas.openxmlformats.org/officeDocument/2006/relationships/hyperlink" Target="https://calcguru.in/?p=8211" TargetMode="External"/><Relationship Id="rId703" Type="http://schemas.openxmlformats.org/officeDocument/2006/relationships/hyperlink" Target="https://treelife.in/legal/ind-as-applicability-for-private-companies/" TargetMode="External"/><Relationship Id="rId704" Type="http://schemas.openxmlformats.org/officeDocument/2006/relationships/hyperlink" Target="https://mondaq.com/india/accounting-standards/1310822/accounting-standards-for-smcs-under-the-companies-act-2013" TargetMode="External"/><Relationship Id="rId705" Type="http://schemas.openxmlformats.org/officeDocument/2006/relationships/hyperlink" Target="https://eztax.in/income-tax-act-2025/compare-old-new-section-codes" TargetMode="External"/><Relationship Id="rId706" Type="http://schemas.openxmlformats.org/officeDocument/2006/relationships/hyperlink" Target="https://eztax.in/income-tax-act-2025/section-185" TargetMode="External"/><Relationship Id="rId707" Type="http://schemas.openxmlformats.org/officeDocument/2006/relationships/hyperlink" Target="https://eztax.in/income-tax-act-2025/section-186" TargetMode="External"/><Relationship Id="rId708" Type="http://schemas.openxmlformats.org/officeDocument/2006/relationships/hyperlink" Target="https://eztax.in/income-tax-act-2025/section-37" TargetMode="External"/><Relationship Id="rId709" Type="http://schemas.openxmlformats.org/officeDocument/2006/relationships/hyperlink" Target="https://www.taxheal.com/?p=99334" TargetMode="External"/><Relationship Id="rId710" Type="http://schemas.openxmlformats.org/officeDocument/2006/relationships/hyperlink" Target="https://cleartax.in/s/form-26-tax-audit" TargetMode="External"/><Relationship Id="rId711" Type="http://schemas.openxmlformats.org/officeDocument/2006/relationships/hyperlink" Target="https://www.patronaccounting.com/blog/depreciation-rules-2026-rates-block-assets" TargetMode="External"/><Relationship Id="rId712" Type="http://schemas.openxmlformats.org/officeDocument/2006/relationships/hyperlink" Target="https://taxguru.in/goods-and-service-tax/advisory-form-gstr-1a.html" TargetMode="External"/><Relationship Id="rId713" Type="http://schemas.openxmlformats.org/officeDocument/2006/relationships/hyperlink" Target="https://cleartax.in/s/gst-return-filing-rule-changes-from-july-2025" TargetMode="External"/><Relationship Id="rId714" Type="http://schemas.openxmlformats.org/officeDocument/2006/relationships/hyperlink" Target="https://www.taxmann.com/post/blog/gstn-warns-pending-gst-returns-cannot-be-filed-after-3-years" TargetMode="External"/><Relationship Id="rId715" Type="http://schemas.openxmlformats.org/officeDocument/2006/relationships/hyperlink" Target="https://www.taxheal.com/?p=96273" TargetMode="External"/><Relationship Id="rId716" Type="http://schemas.openxmlformats.org/officeDocument/2006/relationships/hyperlink" Target="https://www.taxheal.com/?p=96273" TargetMode="External"/><Relationship Id="rId717" Type="http://schemas.openxmlformats.org/officeDocument/2006/relationships/hyperlink" Target="https://icmai.in/upload/Taxation/Advisory_auto-population_GSTR-1.pdf" TargetMode="External"/><Relationship Id="rId718" Type="http://schemas.openxmlformats.org/officeDocument/2006/relationships/hyperlink" Target="https://taxguru.in/goods-and-service-tax/gst-amendments-finance-act-2025-effective-oct-1-2025-notified.html" TargetMode="External"/><Relationship Id="rId719" Type="http://schemas.openxmlformats.org/officeDocument/2006/relationships/hyperlink" Target="https://www.ey.com/en_in/technical/alerts-hub/2025/09/gstn-issues-advisory-on-the-changes-introduced-in-the-invoice-management-system" TargetMode="External"/><Relationship Id="rId720" Type="http://schemas.openxmlformats.org/officeDocument/2006/relationships/hyperlink" Target="https://taxguru.in/goods-and-service-tax/advisory-form-gstr-1a.html" TargetMode="External"/><Relationship Id="rId721" Type="http://schemas.openxmlformats.org/officeDocument/2006/relationships/hyperlink" Target="https://www.taxmann.com/post/blog/gstn-warns-pending-gst-returns-cannot-be-filed-after-3-years" TargetMode="External"/><Relationship Id="rId722" Type="http://schemas.openxmlformats.org/officeDocument/2006/relationships/hyperlink" Target="https://cggst.com/wp-content/uploads/2023/07/Rule-88C-3.pdf" TargetMode="External"/><Relationship Id="rId723" Type="http://schemas.openxmlformats.org/officeDocument/2006/relationships/hyperlink" Target="https://www.bdo.in/en-gb/insights/alerts-updates/gstn-advisory-online-functionality-in-respect-of-the-difference-in-tax" TargetMode="External"/><Relationship Id="rId724" Type="http://schemas.openxmlformats.org/officeDocument/2006/relationships/hyperlink" Target="https://razorpay.com/learn/drc-01b-gst-liability-mismatch-guide/" TargetMode="External"/><Relationship Id="rId725" Type="http://schemas.openxmlformats.org/officeDocument/2006/relationships/hyperlink" Target="https://cleartax.in/s/gst-return-filing-rule-changes-from-july-2025" TargetMode="External"/><Relationship Id="rId726" Type="http://schemas.openxmlformats.org/officeDocument/2006/relationships/hyperlink" Target="https://www.computaxonline.com/blog/post/2026/07/09/gst-itc-auto-restriction-gstr-2b-gstr-3b-hard-locking" TargetMode="External"/><Relationship Id="rId727" Type="http://schemas.openxmlformats.org/officeDocument/2006/relationships/hyperlink" Target="https://taxguru.in/goods-and-service-tax/gstn-issues-4-advisories-december-2025-clarify-key-compliance-procedures.html" TargetMode="External"/><Relationship Id="rId728" Type="http://schemas.openxmlformats.org/officeDocument/2006/relationships/hyperlink" Target="https://taxguru.in/goods-and-service-tax/advisory-form-gstr-1a.html" TargetMode="External"/><Relationship Id="rId729" Type="http://schemas.openxmlformats.org/officeDocument/2006/relationships/hyperlink" Target="https://taxguru.in/goods-and-service-tax/gst-amendments-finance-act-2025-effective-oct-1-2025-notified.html" TargetMode="External"/><Relationship Id="rId730" Type="http://schemas.openxmlformats.org/officeDocument/2006/relationships/hyperlink" Target="https://icmai.in/upload/Taxation/Advisory_auto-population_GSTR-1.pdf" TargetMode="External"/><Relationship Id="rId731" Type="http://schemas.openxmlformats.org/officeDocument/2006/relationships/hyperlink" Target="https://www.ey.com/en_in/alerts-hub/2023/05/cbic-lowers-turnover-threshold-for-e-invoicing-to-inr5-crores-with-effect-from-1-august-2023" TargetMode="External"/><Relationship Id="rId732" Type="http://schemas.openxmlformats.org/officeDocument/2006/relationships/hyperlink" Target="https://www.taxmann.com/post/blog/time-limit-of-30-days-for-reporting-e-invoice-on-irp-portal-for-taxpayers-with-aato-of-10-crores-and-above-gstn-update/" TargetMode="External"/><Relationship Id="rId733" Type="http://schemas.openxmlformats.org/officeDocument/2006/relationships/hyperlink" Target="https://cleartax.in/s/time-limit-for-e-way-bill-generation" TargetMode="External"/><Relationship Id="rId734" Type="http://schemas.openxmlformats.org/officeDocument/2006/relationships/hyperlink" Target="https://cleartax.in/s/blocking-e-way-bill-generation-without-e-invoice" TargetMode="External"/><Relationship Id="rId735" Type="http://schemas.openxmlformats.org/officeDocument/2006/relationships/hyperlink" Target="https://www.taxheal.com/?p=97083" TargetMode="External"/><Relationship Id="rId736" Type="http://schemas.openxmlformats.org/officeDocument/2006/relationships/hyperlink" Target="https://taxo.online/latest-news/09-01-2025-advisory-issued-relating-implementation-of-phase-iii-for-mentioning-of-hsn-codes-in-gstr-1-gstr-1a/" TargetMode="External"/><Relationship Id="rId737" Type="http://schemas.openxmlformats.org/officeDocument/2006/relationships/hyperlink" Target="https://www.taxmann.com/post/blog/hsn-dropdown-table-13-mandatory-in-gstr-1" TargetMode="External"/><Relationship Id="rId738" Type="http://schemas.openxmlformats.org/officeDocument/2006/relationships/hyperlink" Target="https://www.taxmann.com/post/blog/hsn-dropdown-table-13-mandatory-in-gstr-1" TargetMode="External"/><Relationship Id="rId739" Type="http://schemas.openxmlformats.org/officeDocument/2006/relationships/hyperlink" Target="https://taxguru.in/goods-and-service-tax/claim-itc-gstr-2b-mandatory-w-e-f-01-01-2022.html" TargetMode="External"/><Relationship Id="rId740" Type="http://schemas.openxmlformats.org/officeDocument/2006/relationships/hyperlink" Target="https://cleartax.in/s/faqs-on-invoice-management-system-ims-gst" TargetMode="External"/><Relationship Id="rId741" Type="http://schemas.openxmlformats.org/officeDocument/2006/relationships/hyperlink" Target="https://www.ey.com/en_in/technical/alerts-hub/2025/09/gstn-issues-advisory-on-the-changes-introduced-in-the-invoice-management-system" TargetMode="External"/><Relationship Id="rId742" Type="http://schemas.openxmlformats.org/officeDocument/2006/relationships/hyperlink" Target="https://taxguru.in/goods-and-service-tax/gst-amendments-finance-act-2025-effective-oct-1-2025-notified.html" TargetMode="External"/><Relationship Id="rId743" Type="http://schemas.openxmlformats.org/officeDocument/2006/relationships/hyperlink" Target="https://cleartax.in/s/rule-88d-cgst-itc-mismatch-gstr-2b-vs-gstr-3b" TargetMode="External"/><Relationship Id="rId744" Type="http://schemas.openxmlformats.org/officeDocument/2006/relationships/hyperlink" Target="https://taxo.online/latest-news/06-10-2023-gstn-issued-advisory-in-respect-of-introduction-of-compliance-pertaining-to-drc-01c/" TargetMode="External"/><Relationship Id="rId745" Type="http://schemas.openxmlformats.org/officeDocument/2006/relationships/hyperlink" Target="https://razorpay.com/learn/drc-01b-gst-liability-mismatch-guide/" TargetMode="External"/><Relationship Id="rId746" Type="http://schemas.openxmlformats.org/officeDocument/2006/relationships/hyperlink" Target="https://www.gstcouncil.gov.in/sites/default/files/2024-06/cir-170-02-2022-cgst.pdf" TargetMode="External"/><Relationship Id="rId747" Type="http://schemas.openxmlformats.org/officeDocument/2006/relationships/hyperlink" Target="https://www.computaxonline.com/blog/post/2026/07/09/gst-itc-auto-restriction-gstr-2b-gstr-3b-hard-locking" TargetMode="External"/><Relationship Id="rId748" Type="http://schemas.openxmlformats.org/officeDocument/2006/relationships/hyperlink" Target="https://taxguru.in/goods-and-service-tax/gstn-itc-reclaim-ledger-rcm-ledger-hard-validations-block-gstr-3b-filing.html" TargetMode="External"/><Relationship Id="rId749" Type="http://schemas.openxmlformats.org/officeDocument/2006/relationships/hyperlink" Target="https://cleartax.in/s/faqs-on-invoice-management-system-ims-gst" TargetMode="External"/><Relationship Id="rId750" Type="http://schemas.openxmlformats.org/officeDocument/2006/relationships/hyperlink" Target="https://www.ey.com/en_in/technical/alerts-hub/2025/09/gstn-issues-advisory-on-the-changes-introduced-in-the-invoice-management-system" TargetMode="External"/><Relationship Id="rId751" Type="http://schemas.openxmlformats.org/officeDocument/2006/relationships/hyperlink" Target="https://taxguru.in/goods-and-service-tax/gstn-issues-4-advisories-december-2025-clarify-key-compliance-procedures.html" TargetMode="External"/><Relationship Id="rId752" Type="http://schemas.openxmlformats.org/officeDocument/2006/relationships/hyperlink" Target="https://taxguru.in/goods-and-service-tax/gst-amendments-finance-act-2025-effective-oct-1-2025-notified.html" TargetMode="External"/><Relationship Id="rId753" Type="http://schemas.openxmlformats.org/officeDocument/2006/relationships/hyperlink" Target="https://taxguru.in/goods-and-service-tax/claim-itc-gstr-2b-mandatory-w-e-f-01-01-2022.html" TargetMode="External"/><Relationship Id="rId754" Type="http://schemas.openxmlformats.org/officeDocument/2006/relationships/hyperlink" Target="https://www.cggst.com/uploads/document/1755064447-rule-37.pdf" TargetMode="External"/><Relationship Id="rId755" Type="http://schemas.openxmlformats.org/officeDocument/2006/relationships/hyperlink" Target="https://www.cggst.com/uploads/document/1754119329-rule-88b.pdf" TargetMode="External"/><Relationship Id="rId756" Type="http://schemas.openxmlformats.org/officeDocument/2006/relationships/hyperlink" Target="https://www.gstcouncil.gov.in/sites/default/files/2024-06/cir-170-02-2022-cgst.pdf" TargetMode="External"/><Relationship Id="rId757" Type="http://schemas.openxmlformats.org/officeDocument/2006/relationships/hyperlink" Target="https://gsthero.com/blog/electronic-credit-reversal-and-reclaimed-statement/" TargetMode="External"/><Relationship Id="rId758" Type="http://schemas.openxmlformats.org/officeDocument/2006/relationships/hyperlink" Target="https://www.gstcouncil.gov.in/sites/default/files/2024-06/cir-170-02-2022-cgst.pdf" TargetMode="External"/><Relationship Id="rId759" Type="http://schemas.openxmlformats.org/officeDocument/2006/relationships/hyperlink" Target="https://gsthero.com/blog/electronic-credit-reversal-and-reclaimed-statement/" TargetMode="External"/><Relationship Id="rId760" Type="http://schemas.openxmlformats.org/officeDocument/2006/relationships/hyperlink" Target="https://taxguru.in/goods-and-service-tax/gstn-itc-reclaim-ledger-rcm-ledger-hard-validations-block-gstr-3b-filing.html" TargetMode="External"/><Relationship Id="rId761" Type="http://schemas.openxmlformats.org/officeDocument/2006/relationships/hyperlink" Target="https://busy.in/business-updates/how-to-fix-gstr-3b-hard-block/" TargetMode="External"/><Relationship Id="rId762" Type="http://schemas.openxmlformats.org/officeDocument/2006/relationships/hyperlink" Target="https://taxguru.in/goods-and-service-tax/gstn-issues-4-advisories-december-2025-clarify-key-compliance-procedures.html" TargetMode="External"/><Relationship Id="rId763" Type="http://schemas.openxmlformats.org/officeDocument/2006/relationships/hyperlink" Target="https://taxroutine.com/repository/gst-notifications/rcm-services/" TargetMode="External"/><Relationship Id="rId764" Type="http://schemas.openxmlformats.org/officeDocument/2006/relationships/hyperlink" Target="https://cleartax.in/s/rcm-on-rent-of-commercial-property-under-gst" TargetMode="External"/><Relationship Id="rId765" Type="http://schemas.openxmlformats.org/officeDocument/2006/relationships/hyperlink" Target="https://gstcouncil.gov.in/sites/default/files/2025-09/faq.pdf" TargetMode="External"/><Relationship Id="rId766" Type="http://schemas.openxmlformats.org/officeDocument/2006/relationships/hyperlink" Target="https://taxguru.in/goods-and-service-tax/gstn-itc-reclaim-ledger-rcm-ledger-hard-validations-block-gstr-3b-filing.html" TargetMode="External"/><Relationship Id="rId767" Type="http://schemas.openxmlformats.org/officeDocument/2006/relationships/hyperlink" Target="https://busy.in/business-updates/how-to-fix-gstr-3b-hard-block/" TargetMode="External"/><Relationship Id="rId768" Type="http://schemas.openxmlformats.org/officeDocument/2006/relationships/hyperlink" Target="https://taxo.online/latest-news/29-12-2025-gstn-has-issued-an-advisory-on-electronic-credit-reversal-and-re-claimed-statement-rcm-liability-itc-statement/" TargetMode="External"/><Relationship Id="rId769" Type="http://schemas.openxmlformats.org/officeDocument/2006/relationships/hyperlink" Target="https://www.taxmann.com/post/blog/guide-to-maximizing-the-utilization-of-gst-input-tax-credit/" TargetMode="External"/><Relationship Id="rId770" Type="http://schemas.openxmlformats.org/officeDocument/2006/relationships/hyperlink" Target="https://www.cggst.com/uploads/document/1754119329-rule-88b.pdf" TargetMode="External"/><Relationship Id="rId771" Type="http://schemas.openxmlformats.org/officeDocument/2006/relationships/hyperlink" Target="https://www.mastersindia.co/blog/interest-on-wrongly-availed-itc-under-section-503-gst/" TargetMode="External"/><Relationship Id="rId772" Type="http://schemas.openxmlformats.org/officeDocument/2006/relationships/hyperlink" Target="https://www.taxtmi.com/forum/issue?id=118761" TargetMode="External"/><Relationship Id="rId773" Type="http://schemas.openxmlformats.org/officeDocument/2006/relationships/hyperlink" Target="https://www.cggst.com/uploads/document/1752824769-section-170.pdf" TargetMode="External"/><Relationship Id="rId774" Type="http://schemas.openxmlformats.org/officeDocument/2006/relationships/hyperlink" Target="https://www.taxheal.com/?p=89244" TargetMode="External"/><Relationship Id="rId775" Type="http://schemas.openxmlformats.org/officeDocument/2006/relationships/hyperlink" Target="https://www.taxheal.com/?p=89438" TargetMode="External"/><Relationship Id="rId776" Type="http://schemas.openxmlformats.org/officeDocument/2006/relationships/hyperlink" Target="https://lexplosion.in/late-fees-for-filing-annual-return-in-form-gstr-9-reduced-from-fy-2022-23-onwards/" TargetMode="External"/><Relationship Id="rId777" Type="http://schemas.openxmlformats.org/officeDocument/2006/relationships/hyperlink" Target="https://calcguru.in/gst-late-fee-calculator/" TargetMode="External"/><Relationship Id="rId778" Type="http://schemas.openxmlformats.org/officeDocument/2006/relationships/hyperlink" Target="https://www.taxheal.com/?p=105269" TargetMode="External"/><Relationship Id="rId779" Type="http://schemas.openxmlformats.org/officeDocument/2006/relationships/hyperlink" Target="https://www.vjmglobal.com/blog/gstn-issued-faqs-on-newly-released-form-gstr-9-9c-for-fy-2024-25" TargetMode="External"/><Relationship Id="rId780" Type="http://schemas.openxmlformats.org/officeDocument/2006/relationships/hyperlink" Target="https://gstzen.in/a/faqs-on-gstr-9-9c-changes-fy-2024-25.html" TargetMode="External"/><Relationship Id="rId781" Type="http://schemas.openxmlformats.org/officeDocument/2006/relationships/hyperlink" Target="https://www.taxheal.com/?p=105269" TargetMode="External"/><Relationship Id="rId782" Type="http://schemas.openxmlformats.org/officeDocument/2006/relationships/hyperlink" Target="https://www.vjmglobal.com/blog/gstn-issued-faqs-on-newly-released-form-gstr-9-9c-for-fy-2024-25" TargetMode="External"/><Relationship Id="rId783" Type="http://schemas.openxmlformats.org/officeDocument/2006/relationships/hyperlink" Target="https://gstzen.in/a/faqs-on-gstr-9-9c-changes-fy-2024-25.html" TargetMode="External"/><Relationship Id="rId784" Type="http://schemas.openxmlformats.org/officeDocument/2006/relationships/hyperlink" Target="https://cleartax.in/s/revised-gstr-9c-fy-2020-21" TargetMode="External"/><Relationship Id="rId785" Type="http://schemas.openxmlformats.org/officeDocument/2006/relationships/hyperlink" Target="https://cleartax.in/s/gst-reconciliation-statement-gstr-9c" TargetMode="External"/><Relationship Id="rId786" Type="http://schemas.openxmlformats.org/officeDocument/2006/relationships/hyperlink" Target="https://cleartax.in/s/revised-gstr-9c-fy-2020-21" TargetMode="External"/><Relationship Id="rId787" Type="http://schemas.openxmlformats.org/officeDocument/2006/relationships/hyperlink" Target="https://www.vjmglobal.com/blog/gstn-issued-faqs-on-newly-released-form-gstr-9-9c-for-fy-2024-25" TargetMode="External"/><Relationship Id="rId788" Type="http://schemas.openxmlformats.org/officeDocument/2006/relationships/hyperlink" Target="https://www.gstcouncil.gov.in/sites/default/files/2024-06/cir-170-02-2022-cgst.pdf" TargetMode="External"/><Relationship Id="rId789" Type="http://schemas.openxmlformats.org/officeDocument/2006/relationships/hyperlink" Target="https://www.cggst.com/uploads/document/1755064648-rule-42.pdf" TargetMode="External"/><Relationship Id="rId790" Type="http://schemas.openxmlformats.org/officeDocument/2006/relationships/hyperlink" Target="https://www.gstcouncil.gov.in/sites/default/files/2024-06/cir-170-02-2022-cgst.pdf" TargetMode="External"/><Relationship Id="rId791" Type="http://schemas.openxmlformats.org/officeDocument/2006/relationships/hyperlink" Target="https://taxguru.in/goods-and-service-tax/gst-amendments-finance-act-2025-effective-oct-1-2025-notified.html" TargetMode="External"/><Relationship Id="rId792" Type="http://schemas.openxmlformats.org/officeDocument/2006/relationships/hyperlink" Target="https://www.ey.com/en_in/technical/alerts-hub/2025/09/gstn-issues-advisory-on-the-changes-introduced-in-the-invoice-management-system" TargetMode="External"/><Relationship Id="rId793" Type="http://schemas.openxmlformats.org/officeDocument/2006/relationships/hyperlink" Target="https://taxguru.in/goods-and-service-tax/gstn-issues-4-advisories-december-2025-clarify-key-compliance-procedures.html" TargetMode="External"/><Relationship Id="rId794" Type="http://schemas.openxmlformats.org/officeDocument/2006/relationships/hyperlink" Target="https://cajournal.icai.org/article-details/gst-amendments-proposed-through-the-finance-bill-2026" TargetMode="External"/><Relationship Id="rId795" Type="http://schemas.openxmlformats.org/officeDocument/2006/relationships/hyperlink" Target="https://ey.com/content/dam/ey-unified-site/ey-com/en-in/alerts-hub/government-notifies-effective-date-for-amendments-made-in-gst-law-vide-finance-act-2024.pdf" TargetMode="External"/><Relationship Id="rId796" Type="http://schemas.openxmlformats.org/officeDocument/2006/relationships/hyperlink" Target="https://www.cggst.com/uploads/document/1755064447-rule-37.pdf" TargetMode="External"/><Relationship Id="rId797" Type="http://schemas.openxmlformats.org/officeDocument/2006/relationships/hyperlink" Target="https://www.taxmann.com/post/blog/gstn-warns-pending-gst-returns-cannot-be-filed-after-3-years" TargetMode="External"/><Relationship Id="rId798" Type="http://schemas.openxmlformats.org/officeDocument/2006/relationships/hyperlink" Target="https://cleartax.in/s/gst-return-filing-rule-changes-from-july-2025" TargetMode="External"/><Relationship Id="rId799" Type="http://schemas.openxmlformats.org/officeDocument/2006/relationships/hyperlink" Target="https://www.taxheal.com/?p=104994" TargetMode="External"/><Relationship Id="rId800" Type="http://schemas.openxmlformats.org/officeDocument/2006/relationships/hyperlink" Target="https://gstcouncil.gov.in/sites/default/files/2025-09/press_release_press_information_bureau.pdf" TargetMode="External"/><Relationship Id="rId801" Type="http://schemas.openxmlformats.org/officeDocument/2006/relationships/hyperlink" Target="https://gstcouncil.gov.in/sites/default/files/2025-09/faq.pdf" TargetMode="External"/><Relationship Id="rId802" Type="http://schemas.openxmlformats.org/officeDocument/2006/relationships/hyperlink" Target="https://comtax.wb.gov.in/GST/GST_PPU/GST_Updates_Dec_2025.pdf" TargetMode="External"/><Relationship Id="rId803" Type="http://schemas.openxmlformats.org/officeDocument/2006/relationships/hyperlink" Target="https://cajournal.icai.org/article-details/gst-amendments-proposed-through-the-finance-bill-2026" TargetMode="External"/><Relationship Id="rId804" Type="http://schemas.openxmlformats.org/officeDocument/2006/relationships/hyperlink" Target="https://www.gstcouncil.gov.in/sites/default/files/2024-06/cir-170-02-2022-cgst.pdf" TargetMode="External"/><Relationship Id="rId805" Type="http://schemas.openxmlformats.org/officeDocument/2006/relationships/hyperlink" Target="https://tutorial.gst.gov.in/userguide/inputtaxcredit/manual_tds_and_tcs_credit_received.htm" TargetMode="External"/><Relationship Id="rId806" Type="http://schemas.openxmlformats.org/officeDocument/2006/relationships/hyperlink" Target="https://www.taxheal.com/?p=96048" TargetMode="External"/><Relationship Id="rId807" Type="http://schemas.openxmlformats.org/officeDocument/2006/relationships/hyperlink" Target="https://tutorial.gst.gov.in/userguide/inputtaxcredit/manual_tds_and_tcs_credit_received.htm" TargetMode="External"/><Relationship Id="rId808" Type="http://schemas.openxmlformats.org/officeDocument/2006/relationships/hyperlink" Target="https://taxguru.in/goods-and-service-tax/input-service-distributor-mandatory-1st-april-2025.html" TargetMode="External"/><Relationship Id="rId809" Type="http://schemas.openxmlformats.org/officeDocument/2006/relationships/hyperlink" Target="https://www.taxheal.com/?p=90244" TargetMode="External"/><Relationship Id="rId810" Type="http://schemas.openxmlformats.org/officeDocument/2006/relationships/hyperlink" Target="https://www.vjmglobal.com/blog/gstn-issued-faqs-on-newly-released-form-gstr-9-9c-for-fy-2024-25" TargetMode="External"/><Relationship Id="rId811" Type="http://schemas.openxmlformats.org/officeDocument/2006/relationships/hyperlink" Target="https://www.indiafilings.com/learn/gstr-4-filing/" TargetMode="External"/><Relationship Id="rId812" Type="http://schemas.openxmlformats.org/officeDocument/2006/relationships/hyperlink" Target="https://cleartax.in/s/rcm-on-rent-of-commercial-property-under-gst" TargetMode="External"/><Relationship Id="rId813" Type="http://schemas.openxmlformats.org/officeDocument/2006/relationships/hyperlink" Target="https://www.incometaxindia.gov.in/w/section-393-6" TargetMode="External"/><Relationship Id="rId814" Type="http://schemas.openxmlformats.org/officeDocument/2006/relationships/hyperlink" Target="https://www.incometaxindia.gov.in/w/section-397-6" TargetMode="External"/><Relationship Id="rId815" Type="http://schemas.openxmlformats.org/officeDocument/2006/relationships/hyperlink" Target="https://www.incometaxindia.gov.in/w/rule-219-1" TargetMode="External"/><Relationship Id="rId816" Type="http://schemas.openxmlformats.org/officeDocument/2006/relationships/hyperlink" Target="https://tinpan.proteantech.in/downloads/e-tds/download/DosandDontsdeductorscollectors.pdf" TargetMode="External"/><Relationship Id="rId817" Type="http://schemas.openxmlformats.org/officeDocument/2006/relationships/hyperlink" Target="https://www.tdsman.com/downloads/forms/Form-26Q.pdf" TargetMode="External"/><Relationship Id="rId818" Type="http://schemas.openxmlformats.org/officeDocument/2006/relationships/hyperlink" Target="https://www.incometaxindia.gov.in/w/section-393-6" TargetMode="External"/><Relationship Id="rId819" Type="http://schemas.openxmlformats.org/officeDocument/2006/relationships/hyperlink" Target="https://www.incometaxindia.gov.in/w/section-397-6" TargetMode="External"/><Relationship Id="rId820" Type="http://schemas.openxmlformats.org/officeDocument/2006/relationships/hyperlink" Target="https://www.incometaxindia.gov.in/documents/d/guest/faqs-on-higher-rate-of-tds-under-section-397" TargetMode="External"/><Relationship Id="rId821" Type="http://schemas.openxmlformats.org/officeDocument/2006/relationships/hyperlink" Target="https://taxguru.in/income-tax/tds-deductible-gst-component-cbdt.html" TargetMode="External"/><Relationship Id="rId822" Type="http://schemas.openxmlformats.org/officeDocument/2006/relationships/hyperlink" Target="https://eztax.in/income-tax-act-2025/section-35" TargetMode="External"/><Relationship Id="rId823" Type="http://schemas.openxmlformats.org/officeDocument/2006/relationships/hyperlink" Target="https://thetaxtalk.com/2025/07/a-simple-checklist-for-clause-34-of-tax-audit-report-to-be-considered-by-auditors/" TargetMode="External"/><Relationship Id="rId824" Type="http://schemas.openxmlformats.org/officeDocument/2006/relationships/hyperlink" Target="https://tinpan.proteantech.in/downloads/e-tds/download/DosandDontsdeductorscollectors.pdf" TargetMode="External"/><Relationship Id="rId825" Type="http://schemas.openxmlformats.org/officeDocument/2006/relationships/hyperlink" Target="https://www.tdsman.com/downloads/forms/Form-26Q.pdf" TargetMode="External"/><Relationship Id="rId826" Type="http://schemas.openxmlformats.org/officeDocument/2006/relationships/hyperlink" Target="https://www.incometaxindia.gov.in/tax-services/statement-and-challan-status" TargetMode="External"/><Relationship Id="rId827" Type="http://schemas.openxmlformats.org/officeDocument/2006/relationships/hyperlink" Target="https://www.incometaxindia.gov.in/w/rule-218-1" TargetMode="External"/><Relationship Id="rId828" Type="http://schemas.openxmlformats.org/officeDocument/2006/relationships/hyperlink" Target="https://www.incometaxindia.gov.in/w/rule-219-1" TargetMode="External"/><Relationship Id="rId829" Type="http://schemas.openxmlformats.org/officeDocument/2006/relationships/hyperlink" Target="https://blog.tdsman.com/2018/09/faq-on-form-26as-2/" TargetMode="External"/><Relationship Id="rId830" Type="http://schemas.openxmlformats.org/officeDocument/2006/relationships/hyperlink" Target="https://www.incometaxindia.gov.in/w/section-201-60" TargetMode="External"/><Relationship Id="rId831" Type="http://schemas.openxmlformats.org/officeDocument/2006/relationships/hyperlink" Target="https://www.incometaxindia.gov.in/w/section-398-5" TargetMode="External"/><Relationship Id="rId832" Type="http://schemas.openxmlformats.org/officeDocument/2006/relationships/hyperlink" Target="https://www.incometaxindia.gov.in/w/rule-218-1" TargetMode="External"/><Relationship Id="rId833" Type="http://schemas.openxmlformats.org/officeDocument/2006/relationships/hyperlink" Target="https://blog.tdsman.com/2015/04/interest-calculation-delayed-payment-tds/" TargetMode="External"/><Relationship Id="rId834" Type="http://schemas.openxmlformats.org/officeDocument/2006/relationships/hyperlink" Target="https://blog.tdsman.com/2013/07/evaluate-your-tds-defaults-using-justification-report-downloaded-from-traces/" TargetMode="External"/><Relationship Id="rId835" Type="http://schemas.openxmlformats.org/officeDocument/2006/relationships/hyperlink" Target="https://www.incometaxindia.gov.in/w/section-201-60" TargetMode="External"/><Relationship Id="rId836" Type="http://schemas.openxmlformats.org/officeDocument/2006/relationships/hyperlink" Target="https://www.incometaxindia.gov.in/w/section-398-5" TargetMode="External"/><Relationship Id="rId837" Type="http://schemas.openxmlformats.org/officeDocument/2006/relationships/hyperlink" Target="https://blog.tdsman.com/2015/04/interest-calculation-delayed-payment-tds/" TargetMode="External"/><Relationship Id="rId838" Type="http://schemas.openxmlformats.org/officeDocument/2006/relationships/hyperlink" Target="https://www.incometaxindia.gov.in/w/section-397-6" TargetMode="External"/><Relationship Id="rId839" Type="http://schemas.openxmlformats.org/officeDocument/2006/relationships/hyperlink" Target="https://www.incometaxindia.gov.in/documents/d/guest/faqs-on-higher-rate-of-tds-under-section-397" TargetMode="External"/><Relationship Id="rId840" Type="http://schemas.openxmlformats.org/officeDocument/2006/relationships/hyperlink" Target="https://www.incometaxindia.gov.in/w/section-395-6" TargetMode="External"/><Relationship Id="rId841" Type="http://schemas.openxmlformats.org/officeDocument/2006/relationships/hyperlink" Target="https://www.incometaxindia.gov.in/documents/d/guest/form-128-faqs" TargetMode="External"/><Relationship Id="rId842" Type="http://schemas.openxmlformats.org/officeDocument/2006/relationships/hyperlink" Target="https://www.tdsman.com/downloads/forms/Form-26Q.pdf" TargetMode="External"/><Relationship Id="rId843" Type="http://schemas.openxmlformats.org/officeDocument/2006/relationships/hyperlink" Target="https://www.incometaxindia.gov.in/w/section-393-6" TargetMode="External"/><Relationship Id="rId844" Type="http://schemas.openxmlformats.org/officeDocument/2006/relationships/hyperlink" Target="https://www.incometaxindia.gov.in/w/section-427-6" TargetMode="External"/><Relationship Id="rId845" Type="http://schemas.openxmlformats.org/officeDocument/2006/relationships/hyperlink" Target="https://www.incometaxindia.gov.in/w/rule-219-1" TargetMode="External"/><Relationship Id="rId846" Type="http://schemas.openxmlformats.org/officeDocument/2006/relationships/hyperlink" Target="https://www.tdsman.com/downloads/forms/Form-26Q.pdf" TargetMode="External"/><Relationship Id="rId847" Type="http://schemas.openxmlformats.org/officeDocument/2006/relationships/hyperlink" Target="https://blog.tdsman.com/2013/07/evaluate-your-tds-defaults-using-justification-report-downloaded-from-traces/" TargetMode="External"/><Relationship Id="rId848" Type="http://schemas.openxmlformats.org/officeDocument/2006/relationships/hyperlink" Target="https://www.incometaxindia.gov.in/w/section-201-60" TargetMode="External"/><Relationship Id="rId849" Type="http://schemas.openxmlformats.org/officeDocument/2006/relationships/hyperlink" Target="https://www.incometaxindia.gov.in/w/section-398-5" TargetMode="External"/><Relationship Id="rId850" Type="http://schemas.openxmlformats.org/officeDocument/2006/relationships/hyperlink" Target="https://www.incometaxindia.gov.in/w/section-427-6" TargetMode="External"/><Relationship Id="rId851" Type="http://schemas.openxmlformats.org/officeDocument/2006/relationships/hyperlink" Target="https://www.incometaxindia.gov.in/w/section-397-6" TargetMode="External"/><Relationship Id="rId852" Type="http://schemas.openxmlformats.org/officeDocument/2006/relationships/hyperlink" Target="https://www.incometaxindia.gov.in/w/section-395-6" TargetMode="External"/><Relationship Id="rId853" Type="http://schemas.openxmlformats.org/officeDocument/2006/relationships/hyperlink" Target="https://www.incometaxindia.gov.in/documents/d/guest/form-130-faqs" TargetMode="External"/><Relationship Id="rId854" Type="http://schemas.openxmlformats.org/officeDocument/2006/relationships/hyperlink" Target="https://www.incometaxindia.gov.in/w/section-392-6" TargetMode="External"/><Relationship Id="rId855" Type="http://schemas.openxmlformats.org/officeDocument/2006/relationships/hyperlink" Target="https://www.incometaxindia.gov.in/w/rule-219-1" TargetMode="External"/><Relationship Id="rId856" Type="http://schemas.openxmlformats.org/officeDocument/2006/relationships/hyperlink" Target="https://blog.tdsman.com/2024/04/simple-guide-for-employee-income-details-form-24q-q4/" TargetMode="External"/><Relationship Id="rId857" Type="http://schemas.openxmlformats.org/officeDocument/2006/relationships/hyperlink" Target="https://tinpan.proteantech.in/downloads/e-tds/download/DosandDontsdeductorscollectors.pdf" TargetMode="External"/><Relationship Id="rId858" Type="http://schemas.openxmlformats.org/officeDocument/2006/relationships/hyperlink" Target="https://blog.tdsman.com/2024/04/simple-guide-for-employee-income-details-form-24q-q4/" TargetMode="External"/><Relationship Id="rId859" Type="http://schemas.openxmlformats.org/officeDocument/2006/relationships/hyperlink" Target="https://tinpan.proteantech.in/downloads/e-tds/download/DosandDontsdeductorscollectors.pdf" TargetMode="External"/><Relationship Id="rId860" Type="http://schemas.openxmlformats.org/officeDocument/2006/relationships/hyperlink" Target="https://www.incometaxindia.gov.in/documents/d/guest/form-130-faqs" TargetMode="External"/><Relationship Id="rId861" Type="http://schemas.openxmlformats.org/officeDocument/2006/relationships/hyperlink" Target="https://www.incometaxindia.gov.in/w/section-392-6" TargetMode="External"/><Relationship Id="rId862" Type="http://schemas.openxmlformats.org/officeDocument/2006/relationships/hyperlink" Target="https://www.incometaxindia.gov.in/w/section-397-6" TargetMode="External"/><Relationship Id="rId863" Type="http://schemas.openxmlformats.org/officeDocument/2006/relationships/hyperlink" Target="https://www.incometaxindia.gov.in/w/rule-218-1" TargetMode="External"/><Relationship Id="rId864" Type="http://schemas.openxmlformats.org/officeDocument/2006/relationships/hyperlink" Target="https://www.incometaxindia.gov.in/w/rule-219-1" TargetMode="External"/><Relationship Id="rId865" Type="http://schemas.openxmlformats.org/officeDocument/2006/relationships/hyperlink" Target="https://www.incometaxindia.gov.in/w/section-398-5" TargetMode="External"/><Relationship Id="rId866" Type="http://schemas.openxmlformats.org/officeDocument/2006/relationships/hyperlink" Target="https://www.incometaxindia.gov.in/w/rule-37ba" TargetMode="External"/><Relationship Id="rId867" Type="http://schemas.openxmlformats.org/officeDocument/2006/relationships/hyperlink" Target="https://www.incometaxindia.gov.in/w/section-390-6" TargetMode="External"/><Relationship Id="rId868" Type="http://schemas.openxmlformats.org/officeDocument/2006/relationships/hyperlink" Target="https://blog.tdsman.com/2018/09/faq-on-form-26as-2/" TargetMode="External"/><Relationship Id="rId869" Type="http://schemas.openxmlformats.org/officeDocument/2006/relationships/hyperlink" Target="https://www.incometaxindia.gov.in/annual-information-statement" TargetMode="External"/><Relationship Id="rId870" Type="http://schemas.openxmlformats.org/officeDocument/2006/relationships/hyperlink" Target="https://investor.nsdl.com/portal/en/kb/articles/faqs-on-annual-information-statement-ais-26-10-2023" TargetMode="External"/><Relationship Id="rId871" Type="http://schemas.openxmlformats.org/officeDocument/2006/relationships/hyperlink" Target="https://taxguru.in/income-tax/commonly-observed-ais-mismatches-trigger-income-tax-notice.html" TargetMode="External"/><Relationship Id="rId872" Type="http://schemas.openxmlformats.org/officeDocument/2006/relationships/hyperlink" Target="https://www.incometaxindia.gov.in/w/rule-37ba" TargetMode="External"/><Relationship Id="rId873" Type="http://schemas.openxmlformats.org/officeDocument/2006/relationships/hyperlink" Target="https://www.incometaxindia.gov.in/w/section-390-6" TargetMode="External"/><Relationship Id="rId874" Type="http://schemas.openxmlformats.org/officeDocument/2006/relationships/hyperlink" Target="https://blog.tdsman.com/2018/09/faq-on-form-26as-2/" TargetMode="External"/><Relationship Id="rId875" Type="http://schemas.openxmlformats.org/officeDocument/2006/relationships/hyperlink" Target="https://cleartax.in/s/income-tax-changes-from-april-2026" TargetMode="External"/><Relationship Id="rId876" Type="http://schemas.openxmlformats.org/officeDocument/2006/relationships/hyperlink" Target="https://www.incometaxindia.gov.in/annual-information-statement" TargetMode="External"/><Relationship Id="rId877" Type="http://schemas.openxmlformats.org/officeDocument/2006/relationships/hyperlink" Target="https://investor.nsdl.com/portal/en/kb/articles/faqs-on-annual-information-statement-ais-26-10-2023" TargetMode="External"/><Relationship Id="rId878" Type="http://schemas.openxmlformats.org/officeDocument/2006/relationships/hyperlink" Target="https://www.taxaj.com/learn/?p=304" TargetMode="External"/><Relationship Id="rId879" Type="http://schemas.openxmlformats.org/officeDocument/2006/relationships/hyperlink" Target="https://www.incometaxindia.gov.in/w/understanding-statement-of-financial-transaction-sft-" TargetMode="External"/><Relationship Id="rId880" Type="http://schemas.openxmlformats.org/officeDocument/2006/relationships/hyperlink" Target="https://taxguru.in/income-tax/commonly-observed-ais-mismatches-trigger-income-tax-notice.html" TargetMode="External"/><Relationship Id="rId881" Type="http://schemas.openxmlformats.org/officeDocument/2006/relationships/hyperlink" Target="https://www.incometaxindia.gov.in/annual-information-statement" TargetMode="External"/><Relationship Id="rId882" Type="http://schemas.openxmlformats.org/officeDocument/2006/relationships/hyperlink" Target="https://investor.nsdl.com/portal/en/kb/articles/faqs-on-annual-information-statement-ais-26-10-2023" TargetMode="External"/><Relationship Id="rId883" Type="http://schemas.openxmlformats.org/officeDocument/2006/relationships/hyperlink" Target="https://www.incometaxindia.gov.in/w/section-408-5" TargetMode="External"/><Relationship Id="rId884" Type="http://schemas.openxmlformats.org/officeDocument/2006/relationships/hyperlink" Target="https://blog.tdsman.com/2018/09/faq-on-form-26as-2/" TargetMode="External"/><Relationship Id="rId885" Type="http://schemas.openxmlformats.org/officeDocument/2006/relationships/hyperlink" Target="https://incometaxindia.gov.in/documents/d/guest/circular-7-2026-pdf" TargetMode="External"/><Relationship Id="rId886" Type="http://schemas.openxmlformats.org/officeDocument/2006/relationships/hyperlink" Target="https://blog.tdsman.com/2018/09/faq-on-form-26as-2/" TargetMode="External"/><Relationship Id="rId887" Type="http://schemas.openxmlformats.org/officeDocument/2006/relationships/hyperlink" Target="https://www.incometaxindia.gov.in/w/section-390-6" TargetMode="External"/><Relationship Id="rId888" Type="http://schemas.openxmlformats.org/officeDocument/2006/relationships/hyperlink" Target="https://www.incometaxindia.gov.in/w/rule-37ba" TargetMode="External"/><Relationship Id="rId889" Type="http://schemas.openxmlformats.org/officeDocument/2006/relationships/hyperlink" Target="https://www.incometaxindia.gov.in/w/section-63-134" TargetMode="External"/><Relationship Id="rId890" Type="http://schemas.openxmlformats.org/officeDocument/2006/relationships/hyperlink" Target="https://taxguru.in/income-tax/commonly-observed-ais-mismatches-trigger-income-tax-notice.html" TargetMode="External"/><Relationship Id="rId891" Type="http://schemas.openxmlformats.org/officeDocument/2006/relationships/hyperlink" Target="https://taxguru.in/income-tax/tax-audit-fy-2025-26-guide-form-3cd.html" TargetMode="External"/><Relationship Id="rId892" Type="http://schemas.openxmlformats.org/officeDocument/2006/relationships/hyperlink" Target="https://www.incometaxindia.gov.in/w/section-37-169" TargetMode="External"/><Relationship Id="rId893" Type="http://schemas.openxmlformats.org/officeDocument/2006/relationships/hyperlink" Target="https://incometaxindia.gov.in/documents/d/guest/circular-7-2026-pdf" TargetMode="External"/><Relationship Id="rId894" Type="http://schemas.openxmlformats.org/officeDocument/2006/relationships/hyperlink" Target="https://taxguru.in/income-tax/tax-audit-fy-2025-26-guide-form-3cd.html" TargetMode="External"/><Relationship Id="rId895" Type="http://schemas.openxmlformats.org/officeDocument/2006/relationships/hyperlink" Target="https://www.india-briefing.com/news/msme-tax-audit-form-3cd-clauses-22-26-fy-2025-26-47290.html/" TargetMode="External"/><Relationship Id="rId896" Type="http://schemas.openxmlformats.org/officeDocument/2006/relationships/hyperlink" Target="https://thetaxtalk.com/2025/07/a-simple-checklist-for-clause-34-of-tax-audit-report-to-be-considered-by-auditors/" TargetMode="External"/><Relationship Id="rId897" Type="http://schemas.openxmlformats.org/officeDocument/2006/relationships/hyperlink" Target="https://taxguru.in/income-tax/tax-audit-fy-2025-26-guide-form-3cd.html" TargetMode="External"/><Relationship Id="rId898" Type="http://schemas.openxmlformats.org/officeDocument/2006/relationships/hyperlink" Target="https://www.incometaxindia.gov.in/w/section-201-60" TargetMode="External"/><Relationship Id="rId899" Type="http://schemas.openxmlformats.org/officeDocument/2006/relationships/hyperlink" Target="https://taxmann.com/post/blog/analysis-clause-44-of-tax-audit-report-along-with-illustrations" TargetMode="External"/><Relationship Id="rId900" Type="http://schemas.openxmlformats.org/officeDocument/2006/relationships/hyperlink" Target="https://taxguru.in/income-tax/tax-audit-fy-2025-26-guide-form-3cd.html" TargetMode="External"/><Relationship Id="rId901" Type="http://schemas.openxmlformats.org/officeDocument/2006/relationships/hyperlink" Target="https://PRSINDIA.org/files/bills_acts/acts_parliament/2006/the-micro-small-and-medium-enterprises-development-act-2006.pdf" TargetMode="External"/><Relationship Id="rId902" Type="http://schemas.openxmlformats.org/officeDocument/2006/relationships/hyperlink" Target="https://www.taxmann.com/post/blog/cbdt-issues-corrigendum-to-include-sec-43bh-disallowance-under-clause-22-of-form-3cd/" TargetMode="External"/><Relationship Id="rId903" Type="http://schemas.openxmlformats.org/officeDocument/2006/relationships/hyperlink" Target="https://www.india-briefing.com/news/msme-tax-audit-form-3cd-clauses-22-26-fy-2025-26-47290.html/" TargetMode="External"/><Relationship Id="rId904" Type="http://schemas.openxmlformats.org/officeDocument/2006/relationships/hyperlink" Target="https://www.incometaxindia.gov.in/w/section-37-169" TargetMode="External"/><Relationship Id="rId905" Type="http://schemas.openxmlformats.org/officeDocument/2006/relationships/hyperlink" Target="https://taxguru.in/income-tax/tax-audit-fy-2025-26-guide-form-3cd.html" TargetMode="External"/><Relationship Id="rId906" Type="http://schemas.openxmlformats.org/officeDocument/2006/relationships/hyperlink" Target="https://eztax.in/income-tax-act-2025/section-35" TargetMode="External"/><Relationship Id="rId907" Type="http://schemas.openxmlformats.org/officeDocument/2006/relationships/hyperlink" Target="https://thetaxtalk.com/2025/07/a-simple-checklist-for-clause-34-of-tax-audit-report-to-be-considered-by-auditors/" TargetMode="External"/><Relationship Id="rId908" Type="http://schemas.openxmlformats.org/officeDocument/2006/relationships/hyperlink" Target="https://PRSINDIA.org/files/bills_acts/acts_parliament/2006/the-micro-small-and-medium-enterprises-development-act-2006.pdf" TargetMode="External"/><Relationship Id="rId909" Type="http://schemas.openxmlformats.org/officeDocument/2006/relationships/hyperlink" Target="https://www.incometaxindia.gov.in/w/section-37-169" TargetMode="External"/><Relationship Id="rId910" Type="http://schemas.openxmlformats.org/officeDocument/2006/relationships/hyperlink" Target="https://taxguru.in/income-tax/finance-ministry-clarifies-section-43bh-45-day-msme-payment-rule.html" TargetMode="External"/><Relationship Id="rId911" Type="http://schemas.openxmlformats.org/officeDocument/2006/relationships/hyperlink" Target="https://www.taxmann.com/post/blog/cbdt-issues-corrigendum-to-include-sec-43bh-disallowance-under-clause-22-of-form-3cd/" TargetMode="External"/><Relationship Id="rId912" Type="http://schemas.openxmlformats.org/officeDocument/2006/relationships/hyperlink" Target="https://www.epfindia.gov.in:443/site_docs/PDFs/EPFOUnifiedPortal/Introduction_ECR2.0.pdf" TargetMode="External"/><Relationship Id="rId913" Type="http://schemas.openxmlformats.org/officeDocument/2006/relationships/hyperlink" Target="https://epfindia.gov.in/site_docs/PDFs/OnlineECR_PDFs/ECR_ForEmployers_FileStructure.pdf" TargetMode="External"/><Relationship Id="rId914" Type="http://schemas.openxmlformats.org/officeDocument/2006/relationships/hyperlink" Target="https://www.sgcms.com/regulatory-updates/faqs-by-epfo-wage-ceiling-raised-to-25000/" TargetMode="External"/><Relationship Id="rId915" Type="http://schemas.openxmlformats.org/officeDocument/2006/relationships/hyperlink" Target="https://assets.kpmg.com/content/dam/kpmgsites/in/pdf/2026/07/KPMG-Flash-News-New-Social-Security-Schemes-2026.pdf" TargetMode="External"/><Relationship Id="rId916" Type="http://schemas.openxmlformats.org/officeDocument/2006/relationships/hyperlink" Target="https://www.epfindia.gov.in:443/site_docs/PDFs/EPFOUnifiedPortal/Introduction_ECR2.0.pdf" TargetMode="External"/><Relationship Id="rId917" Type="http://schemas.openxmlformats.org/officeDocument/2006/relationships/hyperlink" Target="https://assets.kpmg.com/content/dam/kpmgsites/in/pdf/2026/07/KPMG-Flash-News-New-Social-Security-Schemes-2026.pdf" TargetMode="External"/><Relationship Id="rId918" Type="http://schemas.openxmlformats.org/officeDocument/2006/relationships/hyperlink" Target="https://khaitanco.com/thought-leadership/Big-Move-in-the-EPF-Regime" TargetMode="External"/><Relationship Id="rId919" Type="http://schemas.openxmlformats.org/officeDocument/2006/relationships/hyperlink" Target="https://web.esic.gov.in/web/esic/contribution" TargetMode="External"/><Relationship Id="rId920" Type="http://schemas.openxmlformats.org/officeDocument/2006/relationships/hyperlink" Target="https://taxclue.in/blog/rule-19-20-social-security-central-rules-2026-rate-of-contributions-and-administrative-expenses/" TargetMode="External"/><Relationship Id="rId921" Type="http://schemas.openxmlformats.org/officeDocument/2006/relationships/hyperlink" Target="https://bankbazaar.com/tax/maharashtra-professional-tax-slab-rate.html" TargetMode="External"/><Relationship Id="rId922" Type="http://schemas.openxmlformats.org/officeDocument/2006/relationships/hyperlink" Target="https://taxguru.in/company-law/summary-clauses-caro-2020-consequential-amendments-schedule-iii-companies-act-2013.html" TargetMode="External"/><Relationship Id="rId923" Type="http://schemas.openxmlformats.org/officeDocument/2006/relationships/hyperlink" Target="https://www.casemine.com/commentary/in/supreme-court-affirmation-on-disallowance-of-late-employee-contributions-under-section-36(1)(va)/view" TargetMode="External"/><Relationship Id="rId924" Type="http://schemas.openxmlformats.org/officeDocument/2006/relationships/hyperlink" Target="https://taxguru.in/income-tax/pf-esi-deduction-denied-employees-contribution-deposited-statutory-due-date.html" TargetMode="External"/><Relationship Id="rId925" Type="http://schemas.openxmlformats.org/officeDocument/2006/relationships/hyperlink" Target="https://eztax.in/income-tax-act-2025/section-29" TargetMode="External"/><Relationship Id="rId926" Type="http://schemas.openxmlformats.org/officeDocument/2006/relationships/hyperlink" Target="https://ksandk.com/labour-employment/50-wage-rule-labour-codes-salary-pf-gratuity/" TargetMode="External"/><Relationship Id="rId927" Type="http://schemas.openxmlformats.org/officeDocument/2006/relationships/hyperlink" Target="https://www.sgcms.com/regulatory-updates/faqs-by-epfo-wage-ceiling-raised-to-25000/" TargetMode="External"/><Relationship Id="rId928" Type="http://schemas.openxmlformats.org/officeDocument/2006/relationships/hyperlink" Target="https://employmentlaw.lkslaw.com/gratuity-guide-2025" TargetMode="External"/><Relationship Id="rId929" Type="http://schemas.openxmlformats.org/officeDocument/2006/relationships/hyperlink" Target="https://www.scconline.com/blog/post/2026/08/26/bonus-rules-under-code-on-wages-eligibility-calculation/" TargetMode="External"/><Relationship Id="rId930" Type="http://schemas.openxmlformats.org/officeDocument/2006/relationships/hyperlink" Target="https://www.rbi.org.in/commonman/English/scripts/Notification.aspx?Id=961" TargetMode="External"/><Relationship Id="rId931" Type="http://schemas.openxmlformats.org/officeDocument/2006/relationships/hyperlink" Target="https://www.bajajfinserv.in/gst-on-bank-account" TargetMode="External"/><Relationship Id="rId932" Type="http://schemas.openxmlformats.org/officeDocument/2006/relationships/hyperlink" Target="https://www.incometaxindia.gov.in/w/section-393-6" TargetMode="External"/><Relationship Id="rId933" Type="http://schemas.openxmlformats.org/officeDocument/2006/relationships/hyperlink" Target="https://www.incometaxindia.gov.in/w/rule-37ba" TargetMode="External"/><Relationship Id="rId934" Type="http://schemas.openxmlformats.org/officeDocument/2006/relationships/hyperlink" Target="https://blog.tdsman.com/2018/09/faq-on-form-26as-2/" TargetMode="External"/><Relationship Id="rId935" Type="http://schemas.openxmlformats.org/officeDocument/2006/relationships/hyperlink" Target="https://www.idfcfirst.bank.in/content/dam/IDFCFirstBank/PDF/TDS/FAQs_on_cash_withdrawal_TDS.pdf" TargetMode="External"/><Relationship Id="rId936" Type="http://schemas.openxmlformats.org/officeDocument/2006/relationships/hyperlink" Target="https://incometaxindia.gov.in/Tutorials/52.Section-194N.pdf" TargetMode="External"/><Relationship Id="rId937" Type="http://schemas.openxmlformats.org/officeDocument/2006/relationships/hyperlink" Target="https://www.incometaxindia.gov.in/w/section-393-6" TargetMode="External"/><Relationship Id="rId938" Type="http://schemas.openxmlformats.org/officeDocument/2006/relationships/hyperlink" Target="https://www.taxaj.com/learn/?p=304" TargetMode="External"/><Relationship Id="rId939" Type="http://schemas.openxmlformats.org/officeDocument/2006/relationships/hyperlink" Target="https://www.incometaxindia.gov.in/annual-information-statement" TargetMode="External"/><Relationship Id="rId940" Type="http://schemas.openxmlformats.org/officeDocument/2006/relationships/hyperlink" Target="https://www.incometaxindia.gov.in/w/understanding-statement-of-financial-transaction-sft-" TargetMode="External"/><Relationship Id="rId941" Type="http://schemas.openxmlformats.org/officeDocument/2006/relationships/hyperlink" Target="https://www.dpncindia.com/amendment-in-schedule-iii-of-the-companies-act-2013-applicable-w-e-f-01-04-2021" TargetMode="External"/><Relationship Id="rId942" Type="http://schemas.openxmlformats.org/officeDocument/2006/relationships/hyperlink" Target="https://www.dpncindia.com/amendment-in-schedule-iii-of-the-companies-act-2013-applicable-w-e-f-01-04-2021" TargetMode="External"/><Relationship Id="rId943" Type="http://schemas.openxmlformats.org/officeDocument/2006/relationships/hyperlink" Target="https://www.dpncindia.com/amendment-in-schedule-iii-of-the-companies-act-2013-applicable-w-e-f-01-04-2021" TargetMode="External"/><Relationship Id="rId944" Type="http://schemas.openxmlformats.org/officeDocument/2006/relationships/hyperlink" Target="https://www.dpncindia.com/amendment-in-schedule-iii-of-the-companies-act-2013-applicable-w-e-f-01-04-2021" TargetMode="External"/><Relationship Id="rId945" Type="http://schemas.openxmlformats.org/officeDocument/2006/relationships/hyperlink" Target="https://ca2013.com/schedule-ii/" TargetMode="External"/><Relationship Id="rId946" Type="http://schemas.openxmlformats.org/officeDocument/2006/relationships/hyperlink" Target="https://thetaxtalk.com/2022/05/caro-2020-auditor-now-required-to-check-the-quarterly-return-filed-by-the-company-with-the-banker/" TargetMode="External"/><Relationship Id="rId947" Type="http://schemas.openxmlformats.org/officeDocument/2006/relationships/hyperlink" Target="https://taxguru.in/company-law/summary-clauses-caro-2020-consequential-amendments-schedule-iii-companies-act-2013.html" TargetMode="External"/><Relationship Id="rId948" Type="http://schemas.openxmlformats.org/officeDocument/2006/relationships/hyperlink" Target="https://www.dpncindia.com/amendment-in-schedule-iii-of-the-companies-act-2013-applicable-w-e-f-01-04-2021" TargetMode="External"/><Relationship Id="rId949" Type="http://schemas.openxmlformats.org/officeDocument/2006/relationships/hyperlink" Target="https://PRSINDIA.org/files/bills_acts/acts_parliament/2006/the-micro-small-and-medium-enterprises-development-act-2006.pdf" TargetMode="External"/><Relationship Id="rId950" Type="http://schemas.openxmlformats.org/officeDocument/2006/relationships/hyperlink" Target="https://taxmann.com/post/blog/a-study-of-provisions-of-the-msmed-act-related-disclosure-under-schedule-iii-of-companies-act" TargetMode="External"/><Relationship Id="rId951" Type="http://schemas.openxmlformats.org/officeDocument/2006/relationships/hyperlink" Target="https://www.taxmann.com/post/blog/mca-revises-msme-form-1-with-enhanced-disclosures-for-reporting-payments-pending-over-45-days-to-micro-small-enterprises/" TargetMode="External"/><Relationship Id="rId952" Type="http://schemas.openxmlformats.org/officeDocument/2006/relationships/hyperlink" Target="https://rbi.org.in/" TargetMode="External"/><Relationship Id="rId953" Type="http://schemas.openxmlformats.org/officeDocument/2006/relationships/drawing" Target="../drawings/drawing26.xml"/>
</Relationships>
</file>

<file path=xl/worksheets/_rels/sheet31.xml.rels><?xml version="1.0" encoding="UTF-8"?>
<Relationships xmlns="http://schemas.openxmlformats.org/package/2006/relationships"><Relationship Id="rId1" Type="http://schemas.openxmlformats.org/officeDocument/2006/relationships/hyperlink" Target="Recon_Tool_Rulebook_v2.xlsx" TargetMode="External"/><Relationship Id="rId2" Type="http://schemas.openxmlformats.org/officeDocument/2006/relationships/hyperlink" Target="https://www.incometaxindia.gov.in/documents/d/guest/press-release-income-tax-act-2025-comes-into-force-from-01-april-2026-pdf" TargetMode="External"/><Relationship Id="rId3" Type="http://schemas.openxmlformats.org/officeDocument/2006/relationships/hyperlink" Target="https://en.wikipedia.org/wiki/Income-tax_Act,_2025" TargetMode="External"/><Relationship Id="rId4" Type="http://schemas.openxmlformats.org/officeDocument/2006/relationships/hyperlink" Target="https://eztax.in/income-tax-act-2025/compare-old-new-section-codes" TargetMode="External"/><Relationship Id="rId5" Type="http://schemas.openxmlformats.org/officeDocument/2006/relationships/hyperlink" Target="https://www.incometaxindia.gov.in/w/section-202-76" TargetMode="External"/><Relationship Id="rId6" Type="http://schemas.openxmlformats.org/officeDocument/2006/relationships/hyperlink" Target="https://www.incometaxindia.gov.in/w/section-156-84" TargetMode="External"/><Relationship Id="rId7" Type="http://schemas.openxmlformats.org/officeDocument/2006/relationships/hyperlink" Target="https://www.incometaxindia.gov.in/w/section-19-206" TargetMode="External"/><Relationship Id="rId8" Type="http://schemas.openxmlformats.org/officeDocument/2006/relationships/hyperlink" Target="https://www.incometaxindia.gov.in/w/section-516-3" TargetMode="External"/><Relationship Id="rId9" Type="http://schemas.openxmlformats.org/officeDocument/2006/relationships/hyperlink" Target="https://www.incometaxindia.gov.in/w/section-63-134" TargetMode="External"/><Relationship Id="rId10" Type="http://schemas.openxmlformats.org/officeDocument/2006/relationships/hyperlink" Target="https://www.incometaxindia.gov.in/w/section-58-144" TargetMode="External"/><Relationship Id="rId11" Type="http://schemas.openxmlformats.org/officeDocument/2006/relationships/hyperlink" Target="https://www.incometaxindia.gov.in/w/section-37-169" TargetMode="External"/><Relationship Id="rId12" Type="http://schemas.openxmlformats.org/officeDocument/2006/relationships/hyperlink" Target="https://www.incometaxindia.gov.in/w/section-36-171" TargetMode="External"/><Relationship Id="rId13" Type="http://schemas.openxmlformats.org/officeDocument/2006/relationships/hyperlink" Target="https://eztax.in/income-tax-act-2025/section-35" TargetMode="External"/><Relationship Id="rId14" Type="http://schemas.openxmlformats.org/officeDocument/2006/relationships/hyperlink" Target="https://eztax.in/income-tax-act-2025/section-186" TargetMode="External"/><Relationship Id="rId15" Type="http://schemas.openxmlformats.org/officeDocument/2006/relationships/hyperlink" Target="https://eztax.in/income-tax-act-2025/section-188" TargetMode="External"/><Relationship Id="rId16" Type="http://schemas.openxmlformats.org/officeDocument/2006/relationships/hyperlink" Target="https://www.taxtmi.com/tmi_notes?id=1989" TargetMode="External"/><Relationship Id="rId17" Type="http://schemas.openxmlformats.org/officeDocument/2006/relationships/hyperlink" Target="https://www.taxheal.com/new-cash-transaction-limits-under-the-income-tax-act-2025.html" TargetMode="External"/><Relationship Id="rId18" Type="http://schemas.openxmlformats.org/officeDocument/2006/relationships/hyperlink" Target="https://www.incometaxindia.gov.in/w/prohibited-transaction-in-cash/limit-on-cash-transactions&#8203;" TargetMode="External"/><Relationship Id="rId19" Type="http://schemas.openxmlformats.org/officeDocument/2006/relationships/hyperlink" Target="https://www.incometaxindia.gov.in/w/section-403-5" TargetMode="External"/><Relationship Id="rId20" Type="http://schemas.openxmlformats.org/officeDocument/2006/relationships/hyperlink" Target="https://www.incometaxindia.gov.in/w/section-404-5" TargetMode="External"/><Relationship Id="rId21" Type="http://schemas.openxmlformats.org/officeDocument/2006/relationships/hyperlink" Target="https://www.incometaxindia.gov.in/w/section-408-5" TargetMode="External"/><Relationship Id="rId22" Type="http://schemas.openxmlformats.org/officeDocument/2006/relationships/hyperlink" Target="https://www.incometaxindia.gov.in/w/section-423-5" TargetMode="External"/><Relationship Id="rId23" Type="http://schemas.openxmlformats.org/officeDocument/2006/relationships/hyperlink" Target="https://www.incometaxindia.gov.in/w/section-424-5" TargetMode="External"/><Relationship Id="rId24" Type="http://schemas.openxmlformats.org/officeDocument/2006/relationships/hyperlink" Target="https://www.taxheal.com/section-424-income-tax-act-2025.html" TargetMode="External"/><Relationship Id="rId25" Type="http://schemas.openxmlformats.org/officeDocument/2006/relationships/hyperlink" Target="https://www.incometaxindia.gov.in/w/section-425-5" TargetMode="External"/><Relationship Id="rId26" Type="http://schemas.openxmlformats.org/officeDocument/2006/relationships/hyperlink" Target="https://www.incometaxindia.gov.in/w/section-428-5" TargetMode="External"/><Relationship Id="rId27" Type="http://schemas.openxmlformats.org/officeDocument/2006/relationships/hyperlink" Target="https://www.incometaxindia.gov.in/w/section-437-6" TargetMode="External"/><Relationship Id="rId28" Type="http://schemas.openxmlformats.org/officeDocument/2006/relationships/hyperlink" Target="https://www.incometaxindia.gov.in/w/section-263-72" TargetMode="External"/><Relationship Id="rId29" Type="http://schemas.openxmlformats.org/officeDocument/2006/relationships/hyperlink" Target="https://www.incometaxindia.gov.in/w/rule-269-1" TargetMode="External"/><Relationship Id="rId30" Type="http://schemas.openxmlformats.org/officeDocument/2006/relationships/hyperlink" Target="https://www.incometaxindia.gov.in/w/rule-119a" TargetMode="External"/><Relationship Id="rId31" Type="http://schemas.openxmlformats.org/officeDocument/2006/relationships/hyperlink" Target="https://www.incometaxindia.gov.in/w/rule-37ba" TargetMode="External"/><Relationship Id="rId32" Type="http://schemas.openxmlformats.org/officeDocument/2006/relationships/hyperlink" Target="https://www.taxtmi.com/tmi_notes?id=1895" TargetMode="External"/><Relationship Id="rId33" Type="http://schemas.openxmlformats.org/officeDocument/2006/relationships/hyperlink" Target="https://www.incometaxindia.gov.in/w/section-234b-37" TargetMode="External"/><Relationship Id="rId34" Type="http://schemas.openxmlformats.org/officeDocument/2006/relationships/hyperlink" Target="https://www.incometaxindia.gov.in/w/section-234c-37" TargetMode="External"/><Relationship Id="rId35" Type="http://schemas.openxmlformats.org/officeDocument/2006/relationships/hyperlink" Target="https://www.incometax.gov.in/iec/foportal/help/individual/return-applicable-1" TargetMode="External"/><Relationship Id="rId36" Type="http://schemas.openxmlformats.org/officeDocument/2006/relationships/hyperlink" Target="https://incometaxindia.gov.in/Budgets%20and%20Bills/2026/Notes-on-clauses-2026.pdf" TargetMode="External"/><Relationship Id="rId37" Type="http://schemas.openxmlformats.org/officeDocument/2006/relationships/hyperlink" Target="https://incometaxindia.gov.in/Budgets%20and%20Bills/2026/Finance_Bill-2026.pdf" TargetMode="External"/><Relationship Id="rId38" Type="http://schemas.openxmlformats.org/officeDocument/2006/relationships/hyperlink" Target="https://www.taxmann.com/post/blog/finance-act-receives-assent-of-the-president/" TargetMode="External"/><Relationship Id="rId39" Type="http://schemas.openxmlformats.org/officeDocument/2006/relationships/hyperlink" Target="https://www.taxmann.com/post/blog/lok-sabha-passes-the-finance-bill-incorporating-over-30-amendments/" TargetMode="External"/><Relationship Id="rId40" Type="http://schemas.openxmlformats.org/officeDocument/2006/relationships/hyperlink" Target="https://www.livelawbiz.com/amp/top-stories/union-budget-central-govt-notifies-finance-act-528353" TargetMode="External"/><Relationship Id="rId41" Type="http://schemas.openxmlformats.org/officeDocument/2006/relationships/hyperlink" Target="https://incometaxindia.gov.in/documents/d/guest/circular-7-2026-pdf" TargetMode="External"/><Relationship Id="rId42" Type="http://schemas.openxmlformats.org/officeDocument/2006/relationships/hyperlink" Target="https://ksandk.com/newsletter/income-tax-return-filing-deadline-for-ay-2026-27-extended-to-21-november-2026-tax-audit-deadline-revised/" TargetMode="External"/><Relationship Id="rId43" Type="http://schemas.openxmlformats.org/officeDocument/2006/relationships/hyperlink" Target="https://calcguru.in/?p=5373" TargetMode="External"/><Relationship Id="rId44" Type="http://schemas.openxmlformats.org/officeDocument/2006/relationships/hyperlink" Target="https://studycafe.in/revised-itr-rules-from-fy-2026-27-fees-deadlines-and-key-changes-explained-409375.html" TargetMode="External"/><Relationship Id="rId45" Type="http://schemas.openxmlformats.org/officeDocument/2006/relationships/hyperlink" Target="https://www.incorpx.io/blog/itr-due-date-extended-august-31-2026" TargetMode="External"/><Relationship Id="rId46" Type="http://schemas.openxmlformats.org/officeDocument/2006/relationships/hyperlink" Target="https://cleartax.in/s/income-tax-changes-from-april-2026" TargetMode="External"/><Relationship Id="rId47" Type="http://schemas.openxmlformats.org/officeDocument/2006/relationships/hyperlink" Target="https://taxguru.in/income-tax/section-87a-section-156-rebate-tax-payable-rs-12-lakh.html" TargetMode="External"/><Relationship Id="rId48" Type="http://schemas.openxmlformats.org/officeDocument/2006/relationships/hyperlink" Target="https://taxguru.in/income-tax/finance-ministry-clarifies-section-43bh-45-day-msme-payment-rule.html" TargetMode="External"/><Relationship Id="rId49" Type="http://schemas.openxmlformats.org/officeDocument/2006/relationships/hyperlink" Target="https://www.incometaxindia.gov.in/w/tax-on-short-term-capital-gains&#8203;" TargetMode="External"/><Relationship Id="rId50" Type="http://schemas.openxmlformats.org/officeDocument/2006/relationships/hyperlink" Target="https://www.incometaxindia.gov.in/w/section-197-78" TargetMode="External"/><Relationship Id="rId51" Type="http://schemas.openxmlformats.org/officeDocument/2006/relationships/hyperlink" Target="https://eztax.in/income-tax-act-2025/section-198" TargetMode="External"/><Relationship Id="rId52" Type="http://schemas.openxmlformats.org/officeDocument/2006/relationships/hyperlink" Target="https://ebizfiling.com/blog/section-196-and-198-short-term-and-long-term-capital-gains/" TargetMode="External"/><Relationship Id="rId53" Type="http://schemas.openxmlformats.org/officeDocument/2006/relationships/hyperlink" Target="https://www.taxtmi.com/tmi_notes?id=2099" TargetMode="External"/><Relationship Id="rId54" Type="http://schemas.openxmlformats.org/officeDocument/2006/relationships/hyperlink" Target="https://www.taxtmi.com/tmi_notes?id=2069" TargetMode="External"/><Relationship Id="rId55" Type="http://schemas.openxmlformats.org/officeDocument/2006/relationships/hyperlink" Target="https://www.taxtmi.com/tmi_notes?id=1949" TargetMode="External"/><Relationship Id="rId56" Type="http://schemas.openxmlformats.org/officeDocument/2006/relationships/hyperlink" Target="https://www.incorpx.io/blog/income-tax-act-2025-vs-1961-section-mapping" TargetMode="External"/><Relationship Id="rId57" Type="http://schemas.openxmlformats.org/officeDocument/2006/relationships/hyperlink" Target="https://www.deccanherald.com/business/centre-notifies-income-tax-act-2025-law-to-come-into-effect-from-april-1-2026-3693171" TargetMode="External"/><Relationship Id="rId58" Type="http://schemas.openxmlformats.org/officeDocument/2006/relationships/hyperlink" Target="https://www.newsonair.gov.in/income-tax-act-2025-gets-presidents-assent-will-be-effective-from-1st-april-2026" TargetMode="External"/><Relationship Id="rId59" Type="http://schemas.openxmlformats.org/officeDocument/2006/relationships/hyperlink" Target="https://www.taxheal.com/section-wise-mapping-of-new-income-tax-act-2025.html" TargetMode="External"/><Relationship Id="rId60" Type="http://schemas.openxmlformats.org/officeDocument/2006/relationships/hyperlink" Target="https://www.incometaxindia.gov.in/documents/d/guest/press-release-income-tax-act-2025-comes-into-force-from-01-april-2026-pdf" TargetMode="External"/><Relationship Id="rId61" Type="http://schemas.openxmlformats.org/officeDocument/2006/relationships/hyperlink" Target="https://www.incometaxindia.gov.in/w/section-393-6" TargetMode="External"/><Relationship Id="rId62" Type="http://schemas.openxmlformats.org/officeDocument/2006/relationships/hyperlink" Target="https://cleartax.in/s/tds-and-tcs-changes-from-april-2026" TargetMode="External"/><Relationship Id="rId63" Type="http://schemas.openxmlformats.org/officeDocument/2006/relationships/hyperlink" Target="https://www.incometaxindia.gov.in/w/section-392-6" TargetMode="External"/><Relationship Id="rId64" Type="http://schemas.openxmlformats.org/officeDocument/2006/relationships/hyperlink" Target="https://www.incometaxindia.gov.in/w/section-394-6" TargetMode="External"/><Relationship Id="rId65" Type="http://schemas.openxmlformats.org/officeDocument/2006/relationships/hyperlink" Target="https://www.incometaxindia.gov.in/w/section-395-6" TargetMode="External"/><Relationship Id="rId66" Type="http://schemas.openxmlformats.org/officeDocument/2006/relationships/hyperlink" Target="https://www.incometaxindia.gov.in/w/section-397-6" TargetMode="External"/><Relationship Id="rId67" Type="http://schemas.openxmlformats.org/officeDocument/2006/relationships/hyperlink" Target="https://www.incometaxindia.gov.in/w/section-398-5" TargetMode="External"/><Relationship Id="rId68" Type="http://schemas.openxmlformats.org/officeDocument/2006/relationships/hyperlink" Target="https://www.incometaxindia.gov.in/w/section-427-6" TargetMode="External"/><Relationship Id="rId69" Type="http://schemas.openxmlformats.org/officeDocument/2006/relationships/hyperlink" Target="https://www.incometaxindia.gov.in/w/section-461-6" TargetMode="External"/><Relationship Id="rId70" Type="http://schemas.openxmlformats.org/officeDocument/2006/relationships/hyperlink" Target="https://www.incometaxindia.gov.in/w/rule-218-1" TargetMode="External"/><Relationship Id="rId71" Type="http://schemas.openxmlformats.org/officeDocument/2006/relationships/hyperlink" Target="https://www.incometaxindia.gov.in/w/rule-219-1" TargetMode="External"/><Relationship Id="rId72" Type="http://schemas.openxmlformats.org/officeDocument/2006/relationships/hyperlink" Target="https://www.incometaxindia.gov.in/documents/d/guest/form-130-faqs" TargetMode="External"/><Relationship Id="rId73" Type="http://schemas.openxmlformats.org/officeDocument/2006/relationships/hyperlink" Target="https://www.incometaxindia.gov.in/documents/d/guest/form-128-faqs" TargetMode="External"/><Relationship Id="rId74" Type="http://schemas.openxmlformats.org/officeDocument/2006/relationships/hyperlink" Target="https://www.incometaxindia.gov.in/documents/d/guest/form-121-faqs" TargetMode="External"/><Relationship Id="rId75" Type="http://schemas.openxmlformats.org/officeDocument/2006/relationships/hyperlink" Target="https://taxguru.in/income-tax/q1-tax-year-2026-27-tds-tcs-return-filing-forms-due-dates.html" TargetMode="External"/><Relationship Id="rId76" Type="http://schemas.openxmlformats.org/officeDocument/2006/relationships/hyperlink" Target="https://www.casahuja.com/2026/04/tds-rewritten-income-tax-act-1961-vs.html" TargetMode="External"/><Relationship Id="rId77" Type="http://schemas.openxmlformats.org/officeDocument/2006/relationships/hyperlink" Target="https://calcguru.in/?p=5458" TargetMode="External"/><Relationship Id="rId78" Type="http://schemas.openxmlformats.org/officeDocument/2006/relationships/hyperlink" Target="https://india-briefing.com/news/section-393-income-tax-act-2025-tds-rules-rates-compliance-guide-44450.html/" TargetMode="External"/><Relationship Id="rId79" Type="http://schemas.openxmlformats.org/officeDocument/2006/relationships/hyperlink" Target="https://www.india-briefing.com/news/a-guide-to-indias-tds-rates-for-fy-2025-26-36999.html/" TargetMode="External"/><Relationship Id="rId80" Type="http://schemas.openxmlformats.org/officeDocument/2006/relationships/hyperlink" Target="https://www.rsm.global/india/sites/default/files/media/publications/2025/RSM%20India%20Newsflash%20-%20Overview%20of%20Changes%20in%20TDS%20and%20TCS%20provisions%20w.e.f.%201st%20April%202025.pdf" TargetMode="External"/><Relationship Id="rId81" Type="http://schemas.openxmlformats.org/officeDocument/2006/relationships/hyperlink" Target="https://blog.tdsman.com/2025/03/tds-tcs-changes-w-e-f-1st-april-2025/" TargetMode="External"/><Relationship Id="rId82" Type="http://schemas.openxmlformats.org/officeDocument/2006/relationships/hyperlink" Target="https://blog.tdsman.com/2026/02/key-tds-tcs-proposed-changes-in-budget-2026-27/" TargetMode="External"/><Relationship Id="rId83" Type="http://schemas.openxmlformats.org/officeDocument/2006/relationships/hyperlink" Target="https://taxguru.in/income-tax/tds-deductible-gst-component-cbdt.html" TargetMode="External"/><Relationship Id="rId84" Type="http://schemas.openxmlformats.org/officeDocument/2006/relationships/hyperlink" Target="https://incometaxindia.gov.in/w/tds-rates-1" TargetMode="External"/><Relationship Id="rId85" Type="http://schemas.openxmlformats.org/officeDocument/2006/relationships/hyperlink" Target="https://blog.tdsman.com/2026/04/tds-on-insurance-commission-or-brokerage-section-3931-section-194d/" TargetMode="External"/><Relationship Id="rId86" Type="http://schemas.openxmlformats.org/officeDocument/2006/relationships/hyperlink" Target="https://cleartax.in/s/section-194d-194da-income-tax" TargetMode="External"/><Relationship Id="rId87" Type="http://schemas.openxmlformats.org/officeDocument/2006/relationships/hyperlink" Target="https://blog.tdsman.com/2024/09/reduction-optimization-of-tds-rates-w-e-f-1st-october-24" TargetMode="External"/><Relationship Id="rId88" Type="http://schemas.openxmlformats.org/officeDocument/2006/relationships/hyperlink" Target="https://www.incometaxindia.gov.in/w/section-194ia-10" TargetMode="External"/><Relationship Id="rId89" Type="http://schemas.openxmlformats.org/officeDocument/2006/relationships/hyperlink" Target="https://incometaxindia.gov.in/Tutorials/52.Section-194N.pdf" TargetMode="External"/><Relationship Id="rId90" Type="http://schemas.openxmlformats.org/officeDocument/2006/relationships/hyperlink" Target="https://www.taxheal.com/?p=128626" TargetMode="External"/><Relationship Id="rId91" Type="http://schemas.openxmlformats.org/officeDocument/2006/relationships/hyperlink" Target="https://www.incometaxindia.gov.in/documents/d/guest/faqs-on-higher-rate-of-tds-under-section-397" TargetMode="External"/><Relationship Id="rId92" Type="http://schemas.openxmlformats.org/officeDocument/2006/relationships/hyperlink" Target="https://www.incometaxindia.gov.in/w/higher-deduction-of-tax-at-source-in-certain-cases-section-206aa-and-section-206ab-" TargetMode="External"/><Relationship Id="rId93" Type="http://schemas.openxmlformats.org/officeDocument/2006/relationships/hyperlink" Target="https://blog.tdsman.com/2026/05/higher-rate-of-tds-for-non-furnishing-of-pan-section-3972-206aa-206cc/" TargetMode="External"/><Relationship Id="rId94" Type="http://schemas.openxmlformats.org/officeDocument/2006/relationships/hyperlink" Target="https://www.taxheal.com/?p=98720" TargetMode="External"/><Relationship Id="rId95" Type="http://schemas.openxmlformats.org/officeDocument/2006/relationships/hyperlink" Target="https://www.taxheal.com/?p=129187" TargetMode="External"/><Relationship Id="rId96" Type="http://schemas.openxmlformats.org/officeDocument/2006/relationships/hyperlink" Target="https://www.incometaxindia.gov.in/w/section-201-60" TargetMode="External"/><Relationship Id="rId97" Type="http://schemas.openxmlformats.org/officeDocument/2006/relationships/hyperlink" Target="https://blog.tdsman.com/2015/04/interest-calculation-delayed-payment-tds/" TargetMode="External"/><Relationship Id="rId98" Type="http://schemas.openxmlformats.org/officeDocument/2006/relationships/hyperlink" Target="https://blog.tdsman.com/2026/07/section-398-of-the-income-tax-act-2025-consequences-of-tds-defaults/" TargetMode="External"/><Relationship Id="rId99" Type="http://schemas.openxmlformats.org/officeDocument/2006/relationships/hyperlink" Target="https://www.taxheal.com/?p=120775" TargetMode="External"/><Relationship Id="rId100" Type="http://schemas.openxmlformats.org/officeDocument/2006/relationships/hyperlink" Target="https://www.taxheal.com/?p=122445" TargetMode="External"/><Relationship Id="rId101" Type="http://schemas.openxmlformats.org/officeDocument/2006/relationships/hyperlink" Target="https://www.incometaxindia.gov.in/w/section-271h-1" TargetMode="External"/><Relationship Id="rId102" Type="http://schemas.openxmlformats.org/officeDocument/2006/relationships/hyperlink" Target="https://blog.tdsman.com/2026/02/section-271h-penalty-on-taxpayers-for-not-filing-tds-or-tcs-returns/" TargetMode="External"/><Relationship Id="rId103" Type="http://schemas.openxmlformats.org/officeDocument/2006/relationships/hyperlink" Target="https://taxguru.in/income-tax/income-tax-form-131-tds-certificate-u-s-395-4-non-salary-pension-senior-citizen-interest.html" TargetMode="External"/><Relationship Id="rId104" Type="http://schemas.openxmlformats.org/officeDocument/2006/relationships/hyperlink" Target="https://www.incometaxindia.gov.in/w/section-288b-59" TargetMode="External"/><Relationship Id="rId105" Type="http://schemas.openxmlformats.org/officeDocument/2006/relationships/hyperlink" Target="https://www.incometaxindia.gov.in/w/section-206c-37" TargetMode="External"/><Relationship Id="rId106" Type="http://schemas.openxmlformats.org/officeDocument/2006/relationships/hyperlink" Target="https://www.bdo.in/en-gb/insights/alerts-updates/direct-tax-alert-cbdt-notifies-luxury-goods-for-levy-of-tcs-under-section-206c(1f)-of-the-it-act" TargetMode="External"/><Relationship Id="rId107" Type="http://schemas.openxmlformats.org/officeDocument/2006/relationships/hyperlink" Target="https://arthurdejong.org/git/python-stdnum/plain/stdnum/in_/gstin.py" TargetMode="External"/><Relationship Id="rId108" Type="http://schemas.openxmlformats.org/officeDocument/2006/relationships/hyperlink" Target="https://www.aiaccountant.com/blog/gstin-format" TargetMode="External"/><Relationship Id="rId109" Type="http://schemas.openxmlformats.org/officeDocument/2006/relationships/hyperlink" Target="https://www.vjmglobal.com/feeds/blog/special-category-states-gst-registration" TargetMode="External"/><Relationship Id="rId110" Type="http://schemas.openxmlformats.org/officeDocument/2006/relationships/hyperlink" Target="https://www.gstcouncil.gov.in/sites/default/files/2024-06/cir-170-02-2022-cgst.pdf" TargetMode="External"/><Relationship Id="rId111" Type="http://schemas.openxmlformats.org/officeDocument/2006/relationships/hyperlink" Target="https://cajournal.icai.org/article-details/gst-amendments-proposed-through-the-finance-bill-2026" TargetMode="External"/><Relationship Id="rId112" Type="http://schemas.openxmlformats.org/officeDocument/2006/relationships/hyperlink" Target="https://taxo.online/latest-news/31-03-2026-finance-act-2026-enacted-on-30-03-2026-key-amendments-in-valuation-refunds-and-place-of-supply/" TargetMode="External"/><Relationship Id="rId113" Type="http://schemas.openxmlformats.org/officeDocument/2006/relationships/hyperlink" Target="https://taxo.online/latest-news/09-01-2025-advisory-issued-relating-implementation-of-phase-iii-for-mentioning-of-hsn-codes-in-gstr-1-gstr-1a/" TargetMode="External"/><Relationship Id="rId114" Type="http://schemas.openxmlformats.org/officeDocument/2006/relationships/hyperlink" Target="https://www.taxheal.com/?p=97083" TargetMode="External"/><Relationship Id="rId115" Type="http://schemas.openxmlformats.org/officeDocument/2006/relationships/hyperlink" Target="https://irisgst.com/for-taxpayer-with-turnover-upto-rs-5-cr-mention-4-digit-hsn-code-and-for-turnover-above-rs-5-cr-mention-6-digit-hsn-code/" TargetMode="External"/><Relationship Id="rId116" Type="http://schemas.openxmlformats.org/officeDocument/2006/relationships/hyperlink" Target="https://www.taxheal.com/?p=104994" TargetMode="External"/><Relationship Id="rId117" Type="http://schemas.openxmlformats.org/officeDocument/2006/relationships/hyperlink" Target="https://www.taxheal.com/?p=104997" TargetMode="External"/><Relationship Id="rId118" Type="http://schemas.openxmlformats.org/officeDocument/2006/relationships/hyperlink" Target="https://taxo.online/latest-news/17-09-2025-cbic-issued-various-notifications-to-give-effect-to-the-recommendations-of-the-56th-council-meeting-in-respect-to-rate-on-goods/" TargetMode="External"/><Relationship Id="rId119" Type="http://schemas.openxmlformats.org/officeDocument/2006/relationships/hyperlink" Target="https://gstcouncil.gov.in/sites/default/files/2025-09/press_release_press_information_bureau.pdf" TargetMode="External"/><Relationship Id="rId120" Type="http://schemas.openxmlformats.org/officeDocument/2006/relationships/hyperlink" Target="https://gstcouncil.gov.in/sites/default/files/2025-09/faq.pdf" TargetMode="External"/><Relationship Id="rId121" Type="http://schemas.openxmlformats.org/officeDocument/2006/relationships/hyperlink" Target="https://static.pib.gov.in/WriteReadData/specificdocs/documents/2025/sep/doc2025921642801.pdf" TargetMode="External"/><Relationship Id="rId122" Type="http://schemas.openxmlformats.org/officeDocument/2006/relationships/hyperlink" Target="https://comtax.wb.gov.in/GST/GST_PPU/GST_Updates_Dec_2025.pdf" TargetMode="External"/><Relationship Id="rId123" Type="http://schemas.openxmlformats.org/officeDocument/2006/relationships/hyperlink" Target="https://www.taxheal.com/?p=105314" TargetMode="External"/><Relationship Id="rId124" Type="http://schemas.openxmlformats.org/officeDocument/2006/relationships/hyperlink" Target="https://www.india-briefing.com/news/gst-itc-rules-2025-rate-rationalization-guide-39988.html" TargetMode="External"/><Relationship Id="rId125" Type="http://schemas.openxmlformats.org/officeDocument/2006/relationships/hyperlink" Target="https://gstzen.in/a/gst-2-0-notifications-in-action-key-updates-on-rates-refunds-compliance.html" TargetMode="External"/><Relationship Id="rId126" Type="http://schemas.openxmlformats.org/officeDocument/2006/relationships/hyperlink" Target="https://www.caclubindia.com/notice_circulars/substitution-of-compensation-cess-rates-with-nil-on-specified-goods-effective-22nd-september-2025--11496.asp" TargetMode="External"/><Relationship Id="rId127" Type="http://schemas.openxmlformats.org/officeDocument/2006/relationships/hyperlink" Target="https://www.taxheal.com/zero-compensation-cess-major-shift-for-pan-masala-tobacco.html" TargetMode="External"/><Relationship Id="rId128" Type="http://schemas.openxmlformats.org/officeDocument/2006/relationships/hyperlink" Target="https://cleartax.in/s/gst-return-filing-rule-changes-from-july-2025" TargetMode="External"/><Relationship Id="rId129" Type="http://schemas.openxmlformats.org/officeDocument/2006/relationships/hyperlink" Target="https://www.taxmann.com/post/blog/gstn-warns-pending-gst-returns-cannot-be-filed-after-3-years" TargetMode="External"/><Relationship Id="rId130" Type="http://schemas.openxmlformats.org/officeDocument/2006/relationships/hyperlink" Target="https://www.lkslaw.com/insights/articles/hard-locking-gstr-3b-a-new-compliance-milestone-and-its-pitfalls" TargetMode="External"/><Relationship Id="rId131" Type="http://schemas.openxmlformats.org/officeDocument/2006/relationships/hyperlink" Target="https://taxguru.in/goods-and-service-tax/gstn-issues-4-advisories-december-2025-clarify-key-compliance-procedures.html" TargetMode="External"/><Relationship Id="rId132" Type="http://schemas.openxmlformats.org/officeDocument/2006/relationships/hyperlink" Target="https://taxguru.in/goods-and-service-tax/gst-amendments-finance-act-2025-effective-oct-1-2025-notified.html" TargetMode="External"/><Relationship Id="rId133" Type="http://schemas.openxmlformats.org/officeDocument/2006/relationships/hyperlink" Target="https://www.startup-movers.com/57th-gst-council-meeting-2026-key-decisions" TargetMode="External"/><Relationship Id="rId134" Type="http://schemas.openxmlformats.org/officeDocument/2006/relationships/hyperlink" Target="https://www.taxmann.com/post/blog/time-limit-of-30-days-for-reporting-e-invoice-on-irp-portal-for-taxpayers-with-aato-of-10-crores-and-above-gstn-update/" TargetMode="External"/><Relationship Id="rId135" Type="http://schemas.openxmlformats.org/officeDocument/2006/relationships/hyperlink" Target="https://www.mahagst.gov.in/public/uploads/gstnadvisory/1760531580_293%20Advisory%20Time%20Limit%20for%20Reporting%20e%20Invoice%20on%20the%20IRP%20Portal%20%20Lowering%20of%20Threshold%20to%20AATO%2010%20Crores%20and%20Above.pdf" TargetMode="External"/><Relationship Id="rId136" Type="http://schemas.openxmlformats.org/officeDocument/2006/relationships/hyperlink" Target="https://www.ey.com/en_in/alerts-hub/2023/05/cbic-lowers-turnover-threshold-for-e-invoicing-to-inr5-crores-with-effect-from-1-august-2023" TargetMode="External"/><Relationship Id="rId137" Type="http://schemas.openxmlformats.org/officeDocument/2006/relationships/hyperlink" Target="https://cleartax.in/s/time-limit-for-e-way-bill-generation" TargetMode="External"/><Relationship Id="rId138" Type="http://schemas.openxmlformats.org/officeDocument/2006/relationships/hyperlink" Target="https://taxguru.in/goods-and-service-tax/claim-itc-gstr-2b-mandatory-w-e-f-01-01-2022.html" TargetMode="External"/><Relationship Id="rId139" Type="http://schemas.openxmlformats.org/officeDocument/2006/relationships/hyperlink" Target="https://cleartax.in/s/faqs-on-invoice-management-system-ims-gst" TargetMode="External"/><Relationship Id="rId140" Type="http://schemas.openxmlformats.org/officeDocument/2006/relationships/hyperlink" Target="https://www.computaxonline.com/blog/post/2026/07/09/gst-itc-auto-restriction-gstr-2b-gstr-3b-hard-locking" TargetMode="External"/><Relationship Id="rId141" Type="http://schemas.openxmlformats.org/officeDocument/2006/relationships/hyperlink" Target="https://ey.com/content/dam/ey-unified-site/ey-com/en-in/alerts-hub/government-notifies-effective-date-for-amendments-made-in-gst-law-vide-finance-act-2024.pdf" TargetMode="External"/><Relationship Id="rId142" Type="http://schemas.openxmlformats.org/officeDocument/2006/relationships/hyperlink" Target="https://www.cggst.com/uploads/document/1755064447-rule-37.pdf" TargetMode="External"/><Relationship Id="rId143" Type="http://schemas.openxmlformats.org/officeDocument/2006/relationships/hyperlink" Target="https://taxinformation.cbic.gov.in/content/html/tax_repository/gst/rules/cgst_rules/active/chapter5/rule37_v1.00.html" TargetMode="External"/><Relationship Id="rId144" Type="http://schemas.openxmlformats.org/officeDocument/2006/relationships/hyperlink" Target="https://www.cggst.com/uploads/document/1754119329-rule-88b.pdf" TargetMode="External"/><Relationship Id="rId145" Type="http://schemas.openxmlformats.org/officeDocument/2006/relationships/hyperlink" Target="https://www.cggst.com/uploads/document/1753958879-rule-37a-1.pdf" TargetMode="External"/><Relationship Id="rId146" Type="http://schemas.openxmlformats.org/officeDocument/2006/relationships/hyperlink" Target="https://gsthero.com/blog/electronic-credit-reversal-and-reclaimed-statement/" TargetMode="External"/><Relationship Id="rId147" Type="http://schemas.openxmlformats.org/officeDocument/2006/relationships/hyperlink" Target="https://www.cggst.com/uploads/document/1755064648-rule-42.pdf" TargetMode="External"/><Relationship Id="rId148" Type="http://schemas.openxmlformats.org/officeDocument/2006/relationships/hyperlink" Target="https://taxroutine.com/repository/gst-notifications/rcm-services/" TargetMode="External"/><Relationship Id="rId149" Type="http://schemas.openxmlformats.org/officeDocument/2006/relationships/hyperlink" Target="https://cleartax.in/s/rcm-on-rent-of-commercial-property-under-gst" TargetMode="External"/><Relationship Id="rId150" Type="http://schemas.openxmlformats.org/officeDocument/2006/relationships/hyperlink" Target="https://taxinformation.cbic.gov.in/content/html/tax_repository/gst/rules/cgst_rules/active/chapter9/rule88b_v1.00.html" TargetMode="External"/><Relationship Id="rId151" Type="http://schemas.openxmlformats.org/officeDocument/2006/relationships/hyperlink" Target="https://taxguru.in/goods-and-service-tax/analysis-gst-notifications-issued-cbic-05th-july-2022.html" TargetMode="External"/><Relationship Id="rId152" Type="http://schemas.openxmlformats.org/officeDocument/2006/relationships/hyperlink" Target="https://www.mastersindia.co/blog/interest-on-wrongly-availed-itc-under-section-503-gst/" TargetMode="External"/><Relationship Id="rId153" Type="http://schemas.openxmlformats.org/officeDocument/2006/relationships/hyperlink" Target="https://www.taxmann.com/post/blog/cbic-notifies-retrospective-amendment-to-section-503-of-the-cgst-act/" TargetMode="External"/><Relationship Id="rId154" Type="http://schemas.openxmlformats.org/officeDocument/2006/relationships/hyperlink" Target="https://www.taxtmi.com/forum/issue?id=118761" TargetMode="External"/><Relationship Id="rId155" Type="http://schemas.openxmlformats.org/officeDocument/2006/relationships/hyperlink" Target="https://www.teachoo.com/6596/2144/CGST-Interest-Rates-Notified-(Notifications-13-2017)/category/Latest-GST-Notification/" TargetMode="External"/><Relationship Id="rId156" Type="http://schemas.openxmlformats.org/officeDocument/2006/relationships/hyperlink" Target="https://www.taxheal.com/?p=89438" TargetMode="External"/><Relationship Id="rId157" Type="http://schemas.openxmlformats.org/officeDocument/2006/relationships/hyperlink" Target="https://calcguru.in/gst-late-fee-calculator/" TargetMode="External"/><Relationship Id="rId158" Type="http://schemas.openxmlformats.org/officeDocument/2006/relationships/hyperlink" Target="https://lexplosion.in/late-fees-for-filing-annual-return-in-form-gstr-9-reduced-from-fy-2022-23-onwards/" TargetMode="External"/><Relationship Id="rId159" Type="http://schemas.openxmlformats.org/officeDocument/2006/relationships/hyperlink" Target="https://www.taxheal.com/?p=105269" TargetMode="External"/><Relationship Id="rId160" Type="http://schemas.openxmlformats.org/officeDocument/2006/relationships/hyperlink" Target="https://cleartax.in/s/gst-reconciliation-statement-gstr-9c" TargetMode="External"/><Relationship Id="rId161" Type="http://schemas.openxmlformats.org/officeDocument/2006/relationships/hyperlink" Target="https://www.taxheal.com/?p=89244" TargetMode="External"/><Relationship Id="rId162" Type="http://schemas.openxmlformats.org/officeDocument/2006/relationships/hyperlink" Target="https://www.indiafilings.com/learn/gstr-4-filing/" TargetMode="External"/><Relationship Id="rId163" Type="http://schemas.openxmlformats.org/officeDocument/2006/relationships/hyperlink" Target="https://gstzen.in/a/faqs-on-gstr-9-9c-changes-fy-2024-25.html" TargetMode="External"/><Relationship Id="rId164" Type="http://schemas.openxmlformats.org/officeDocument/2006/relationships/hyperlink" Target="https://www.taxheal.com/?p=96048" TargetMode="External"/><Relationship Id="rId165" Type="http://schemas.openxmlformats.org/officeDocument/2006/relationships/hyperlink" Target="https://www.taxmann.com/post/blog/guide-to-maximizing-the-utilization-of-gst-input-tax-credit/" TargetMode="External"/><Relationship Id="rId166" Type="http://schemas.openxmlformats.org/officeDocument/2006/relationships/hyperlink" Target="https://taxguru.in/goods-and-service-tax/input-service-distributor-mandatory-1st-april-2025.html" TargetMode="External"/><Relationship Id="rId167" Type="http://schemas.openxmlformats.org/officeDocument/2006/relationships/hyperlink" Target="https://www.cggst.com/uploads/document/1752824769-section-170.pdf" TargetMode="External"/><Relationship Id="rId168" Type="http://schemas.openxmlformats.org/officeDocument/2006/relationships/hyperlink" Target="https://www.bdo.in/en-gb/insights/alerts-updates/indirect-tax-alert-recommendations-of-57th-gst-council-meeting" TargetMode="External"/><Relationship Id="rId169" Type="http://schemas.openxmlformats.org/officeDocument/2006/relationships/hyperlink" Target="https://www.ey.com/content/dam/ey-unified-site/ey-com/en-in/alerts-hub/2025/11/new-labour-codes-implemented-across-the-country-effective-21-november-2025.pdf" TargetMode="External"/><Relationship Id="rId170" Type="http://schemas.openxmlformats.org/officeDocument/2006/relationships/hyperlink" Target="https://taxguru.in/corporate-law/major-labour-code-sections-force-notifications.html" TargetMode="External"/><Relationship Id="rId171" Type="http://schemas.openxmlformats.org/officeDocument/2006/relationships/hyperlink" Target="https://www.scconline.com/blog/post/2025/12/24/corrigendum-to-code-on-social-security-2020-enforcement-dates/" TargetMode="External"/><Relationship Id="rId172" Type="http://schemas.openxmlformats.org/officeDocument/2006/relationships/hyperlink" Target="https://www.in.kpmg.com/taxflashnews/KPMG-Flash-News-Notification-of-final-Rules-on-Four-Labour-Codes.pdf" TargetMode="External"/><Relationship Id="rId173" Type="http://schemas.openxmlformats.org/officeDocument/2006/relationships/hyperlink" Target="https://www.bdo.in/en-gb/insights/alerts-updates/alert-final-central-rules-notified-under-all-four-labour-codes" TargetMode="External"/><Relationship Id="rId174" Type="http://schemas.openxmlformats.org/officeDocument/2006/relationships/hyperlink" Target="https://blog.ipleaders.in/labour-codes-2026-implementation-complete-guide-to-what-is-in-force-what-changed-and-what-to-do-now/" TargetMode="External"/><Relationship Id="rId175" Type="http://schemas.openxmlformats.org/officeDocument/2006/relationships/hyperlink" Target="https://www.taxmann.com/post/blog/govt-notifies-code-on-wages-central-rules/" TargetMode="External"/><Relationship Id="rId176" Type="http://schemas.openxmlformats.org/officeDocument/2006/relationships/hyperlink" Target="https://www.staffnews.in/2026/05/the-social-security-central-rules-2026.html" TargetMode="External"/><Relationship Id="rId177" Type="http://schemas.openxmlformats.org/officeDocument/2006/relationships/hyperlink" Target="https://assets.kpmg.com/content/dam/kpmgsites/in/pdf/2026/07/KPMG-Flash-News-New-Social-Security-Schemes-2026.pdf" TargetMode="External"/><Relationship Id="rId178" Type="http://schemas.openxmlformats.org/officeDocument/2006/relationships/hyperlink" Target="https://www.cyrilshroff.com/wp-content/uploads/2026/07/Client-Alert-Labour-Codes-Schemes-under-the-Code-on-Social-Security-2020-1.pdf" TargetMode="External"/><Relationship Id="rId179" Type="http://schemas.openxmlformats.org/officeDocument/2006/relationships/hyperlink" Target="https://ksandk.com/labour-employment/50-wage-rule-labour-codes-salary-pf-gratuity/" TargetMode="External"/><Relationship Id="rId180" Type="http://schemas.openxmlformats.org/officeDocument/2006/relationships/hyperlink" Target="https://www.sgcms.com/regulatory-updates/faqs-by-epfo-wage-ceiling-raised-to-25000/" TargetMode="External"/><Relationship Id="rId181" Type="http://schemas.openxmlformats.org/officeDocument/2006/relationships/hyperlink" Target="https://ascent-hr.com/notification/esic-clarification-regarding-the-implementation-of-code-on-social-security-2020/" TargetMode="External"/><Relationship Id="rId182" Type="http://schemas.openxmlformats.org/officeDocument/2006/relationships/hyperlink" Target="https://www.taxmann.com/post/blog/analysis-epf-under-code-on-social-security" TargetMode="External"/><Relationship Id="rId183" Type="http://schemas.openxmlformats.org/officeDocument/2006/relationships/hyperlink" Target="https://assets.kpmg.com/content/dam/kpmgsites/in/pdf/2026/09/KPMG-Flash-News-FAQs-on-EPFO-Wage-Ceiling-Limit.pdf" TargetMode="External"/><Relationship Id="rId184" Type="http://schemas.openxmlformats.org/officeDocument/2006/relationships/hyperlink" Target="https://www.argus-p.com/papers-publications/thought-paper/revision-to-epf-wage-ceiling-coverage-contributions-and-the-september-transition/" TargetMode="External"/><Relationship Id="rId185" Type="http://schemas.openxmlformats.org/officeDocument/2006/relationships/hyperlink" Target="https://elplaw.in/wp-content/uploads/2026/09/EPFO-wage-ceiling-increased-from-INR-15000-to-INR-25000-per-month.pdf" TargetMode="External"/><Relationship Id="rId186" Type="http://schemas.openxmlformats.org/officeDocument/2006/relationships/hyperlink" Target="https://www.staffnews.in/2026/09/cabinet-approves-enhancement-of-epfo-wage-ceiling.html" TargetMode="External"/><Relationship Id="rId187" Type="http://schemas.openxmlformats.org/officeDocument/2006/relationships/hyperlink" Target="https://www.indianpaycalculator.in/govt-news/epf-wage-ceiling-stays-15000-ss-code-2026" TargetMode="External"/><Relationship Id="rId188" Type="http://schemas.openxmlformats.org/officeDocument/2006/relationships/hyperlink" Target="https://lexplosion.in/epf-scheme-2026-notified-under-social-security-code-replaces-epf-scheme-1952-and-introduces-employees-enrolment-campaign-vishwas-and-amnesty-schemes/" TargetMode="External"/><Relationship Id="rId189" Type="http://schemas.openxmlformats.org/officeDocument/2006/relationships/hyperlink" Target="https://caclub.in/pf-admin-charges-reduced-and-edli-admin-charges-waived-by-epfo" TargetMode="External"/><Relationship Id="rId190" Type="http://schemas.openxmlformats.org/officeDocument/2006/relationships/hyperlink" Target="https://www.zoho.com/in/payroll/kb/employer/settings/admin-charges.md" TargetMode="External"/><Relationship Id="rId191" Type="http://schemas.openxmlformats.org/officeDocument/2006/relationships/hyperlink" Target="https://www.epfindia.gov.in:443/site_docs/PDFs/MiscPDFs/ContributionRate.pdf" TargetMode="External"/><Relationship Id="rId192" Type="http://schemas.openxmlformats.org/officeDocument/2006/relationships/hyperlink" Target="https://docs.frappe.io/hr/india-payroll/employee-provident-fund.md" TargetMode="External"/><Relationship Id="rId193" Type="http://schemas.openxmlformats.org/officeDocument/2006/relationships/hyperlink" Target="https://www.lawrbit.com/article/employees-pension-scheme/" TargetMode="External"/><Relationship Id="rId194" Type="http://schemas.openxmlformats.org/officeDocument/2006/relationships/hyperlink" Target="https://www.psuconnect.in/news/epfo-explains-september-2026-ecr-calculation-after-new-25-000-wage-ceiling" TargetMode="External"/><Relationship Id="rId195" Type="http://schemas.openxmlformats.org/officeDocument/2006/relationships/hyperlink" Target="https://khaitanco.com/thought-leadership/Big-Move-in-the-EPF-Regime" TargetMode="External"/><Relationship Id="rId196" Type="http://schemas.openxmlformats.org/officeDocument/2006/relationships/hyperlink" Target="https://www.scconline.com/blog/post/2026/07/15/epfo-launches-vishwas-2026-damages-settlement-scheme/" TargetMode="External"/><Relationship Id="rId197" Type="http://schemas.openxmlformats.org/officeDocument/2006/relationships/hyperlink" Target="https://taxguru.in/?p=1076899" TargetMode="External"/><Relationship Id="rId198" Type="http://schemas.openxmlformats.org/officeDocument/2006/relationships/hyperlink" Target="https://www.outlookmoney.com/retirement/pension/epf-rates-unchanged-at-825-per-cent-for-2025-26-announces-epfo" TargetMode="External"/><Relationship Id="rId199" Type="http://schemas.openxmlformats.org/officeDocument/2006/relationships/hyperlink" Target="https://www.outlookmoney.com/retirement/govt-ratifies-825-per-cent-epf-interest-rate-for-2025-26-interest-likely-to-be-credited-from-this-month" TargetMode="External"/><Relationship Id="rId200" Type="http://schemas.openxmlformats.org/officeDocument/2006/relationships/hyperlink" Target="https://www.in.kpmg.com/taxflashnews/KPMG-Flash-News-GOI-notifies-SOP-on-PMVBRY.pdf" TargetMode="External"/><Relationship Id="rId201" Type="http://schemas.openxmlformats.org/officeDocument/2006/relationships/hyperlink" Target="https://www.taxheal.com/?p=129388" TargetMode="External"/><Relationship Id="rId202" Type="http://schemas.openxmlformats.org/officeDocument/2006/relationships/hyperlink" Target="https://www.lkslaw.com/insights/articles/status-of-esi-compliance-under-the-code-on-social-security-2020-an-analytical-review" TargetMode="External"/><Relationship Id="rId203" Type="http://schemas.openxmlformats.org/officeDocument/2006/relationships/hyperlink" Target="https://bhattandjoshiassociates.com/esic-wage-ceiling-change-what-it-would-mean-for-employers/" TargetMode="External"/><Relationship Id="rId204" Type="http://schemas.openxmlformats.org/officeDocument/2006/relationships/hyperlink" Target="https://web.esic.gov.in/web/esic/contribution" TargetMode="External"/><Relationship Id="rId205" Type="http://schemas.openxmlformats.org/officeDocument/2006/relationships/hyperlink" Target="https://taxclue.in/blog/rule-19-20-social-security-central-rules-2026-rate-of-contributions-and-administrative-expenses/" TargetMode="External"/><Relationship Id="rId206" Type="http://schemas.openxmlformats.org/officeDocument/2006/relationships/hyperlink" Target="https://tallysolutions.com/business-guides/esi-calculation-formula-contribution-rate-example/" TargetMode="External"/><Relationship Id="rId207" Type="http://schemas.openxmlformats.org/officeDocument/2006/relationships/hyperlink" Target="https://studycafe.in/government-clarifies-esi-coverage-continuity-despite-salary-hike-above-wage-ceiling-420646.html" TargetMode="External"/><Relationship Id="rId208" Type="http://schemas.openxmlformats.org/officeDocument/2006/relationships/hyperlink" Target="https://tallysolutions.com/accounting/esi-return-filing-due-date-2026/" TargetMode="External"/><Relationship Id="rId209" Type="http://schemas.openxmlformats.org/officeDocument/2006/relationships/hyperlink" Target="https://bankbazaar.com/tax/maharashtra-professional-tax-slab-rate.html" TargetMode="External"/><Relationship Id="rId210" Type="http://schemas.openxmlformats.org/officeDocument/2006/relationships/hyperlink" Target="https://lexplosion.in/karnataka-govt-notifies-revised-professional-tax-rate-under-karnataka-tax-on-profession-trades-callings-and-employments-amendment-act-2025/" TargetMode="External"/><Relationship Id="rId211" Type="http://schemas.openxmlformats.org/officeDocument/2006/relationships/hyperlink" Target="https://wbxpress.com/schedule-rates-tax-professions-trades-callings-employments-2026/" TargetMode="External"/><Relationship Id="rId212" Type="http://schemas.openxmlformats.org/officeDocument/2006/relationships/hyperlink" Target="https://ascent-hr.com/notification/professional-tax-slab-revision-chennai/" TargetMode="External"/><Relationship Id="rId213" Type="http://schemas.openxmlformats.org/officeDocument/2006/relationships/hyperlink" Target="https://wbxpress.com/professional-tax-slab/" TargetMode="External"/><Relationship Id="rId214" Type="http://schemas.openxmlformats.org/officeDocument/2006/relationships/hyperlink" Target="https://www.simpliance.in/professional-tax-detail/west-bengal" TargetMode="External"/><Relationship Id="rId215" Type="http://schemas.openxmlformats.org/officeDocument/2006/relationships/hyperlink" Target="https://nt.simpliance.in/professional-tax-detail/telangana" TargetMode="External"/><Relationship Id="rId216" Type="http://schemas.openxmlformats.org/officeDocument/2006/relationships/hyperlink" Target="https://www.greythr.com/wiki/acts/professional-tax-gujarat/" TargetMode="External"/><Relationship Id="rId217" Type="http://schemas.openxmlformats.org/officeDocument/2006/relationships/hyperlink" Target="https://ezhrm.in/labour-welfare-fund-india-2026-state-wise-guide/" TargetMode="External"/><Relationship Id="rId218" Type="http://schemas.openxmlformats.org/officeDocument/2006/relationships/hyperlink" Target="https://employmentlaw.lkslaw.com/gratuity-guide-2025" TargetMode="External"/><Relationship Id="rId219" Type="http://schemas.openxmlformats.org/officeDocument/2006/relationships/hyperlink" Target="https://www.incometaxindia.gov.in/w/section-19-206" TargetMode="External"/><Relationship Id="rId220" Type="http://schemas.openxmlformats.org/officeDocument/2006/relationships/hyperlink" Target="https://eztax.in/income-tax-act-2025/section-19" TargetMode="External"/><Relationship Id="rId221" Type="http://schemas.openxmlformats.org/officeDocument/2006/relationships/hyperlink" Target="https://www.gconnect.in/personal-income-tax/increased-limit-tax-exemption-leave-encashment-non-govt-salaried-employees.html" TargetMode="External"/><Relationship Id="rId222" Type="http://schemas.openxmlformats.org/officeDocument/2006/relationships/hyperlink" Target="https://www.scconline.com/blog/post/2026/08/26/bonus-rules-under-code-on-wages-eligibility-calculation/" TargetMode="External"/><Relationship Id="rId223" Type="http://schemas.openxmlformats.org/officeDocument/2006/relationships/hyperlink" Target="https://lexplosion.in/?p=152253" TargetMode="External"/><Relationship Id="rId224" Type="http://schemas.openxmlformats.org/officeDocument/2006/relationships/hyperlink" Target="https://www.sgcms.com/regulatory-updates/central-sphere-vda-revision-w-e-f-1-october-2026-revised-minimum-wages/" TargetMode="External"/><Relationship Id="rId225" Type="http://schemas.openxmlformats.org/officeDocument/2006/relationships/hyperlink" Target="https://eztax.in/income-tax-act-2025/section-17" TargetMode="External"/><Relationship Id="rId226" Type="http://schemas.openxmlformats.org/officeDocument/2006/relationships/hyperlink" Target="https://www.incometaxindia.gov.in/w/rule-277-1" TargetMode="External"/><Relationship Id="rId227" Type="http://schemas.openxmlformats.org/officeDocument/2006/relationships/hyperlink" Target="https://www.patronaccounting.com/blog/provident-fund-taxable-interest-rules-2026-high-value-pf-contributions" TargetMode="External"/><Relationship Id="rId228" Type="http://schemas.openxmlformats.org/officeDocument/2006/relationships/hyperlink" Target="https://www.casemine.com/commentary/in/supreme-court-affirmation-on-disallowance-of-late-employee-contributions-under-section-36(1)(va)/view" TargetMode="External"/><Relationship Id="rId229" Type="http://schemas.openxmlformats.org/officeDocument/2006/relationships/hyperlink" Target="https://taxguru.in/income-tax/pf-esi-deduction-denied-employees-contribution-deposited-statutory-due-date.html" TargetMode="External"/><Relationship Id="rId230" Type="http://schemas.openxmlformats.org/officeDocument/2006/relationships/hyperlink" Target="https://eztax.in/income-tax-act-2025/section-29" TargetMode="External"/><Relationship Id="rId231" Type="http://schemas.openxmlformats.org/officeDocument/2006/relationships/hyperlink" Target="https://www.jsalaw.com/jsa_news/epf-act-remains-operational-despite-being-repealed-in-new-labour-laws-heres-why" TargetMode="External"/><Relationship Id="rId232" Type="http://schemas.openxmlformats.org/officeDocument/2006/relationships/hyperlink" Target="https://taxclue.in/blog/leave-encashment-ita-2025-exempt-limit" TargetMode="External"/><Relationship Id="rId233" Type="http://schemas.openxmlformats.org/officeDocument/2006/relationships/hyperlink" Target="https://www.rbi.org.in/commonman/English/scripts/Notification.aspx?Id=961" TargetMode="External"/><Relationship Id="rId234" Type="http://schemas.openxmlformats.org/officeDocument/2006/relationships/hyperlink" Target="https://rbi.org.in/" TargetMode="External"/><Relationship Id="rId235" Type="http://schemas.openxmlformats.org/officeDocument/2006/relationships/hyperlink" Target="https://www.dpncindia.com/amendment-in-schedule-iii-of-the-companies-act-2013-applicable-w-e-f-01-04-2021" TargetMode="External"/><Relationship Id="rId236" Type="http://schemas.openxmlformats.org/officeDocument/2006/relationships/hyperlink" Target="https://www.caclubindia.com/articles/amendment-schedule-iii-division-i-igaap-companies-act-2013-44527.asp" TargetMode="External"/><Relationship Id="rId237" Type="http://schemas.openxmlformats.org/officeDocument/2006/relationships/hyperlink" Target="https://foxmandal.in/news/monetary-limits-for-msme-classification-revised/" TargetMode="External"/><Relationship Id="rId238" Type="http://schemas.openxmlformats.org/officeDocument/2006/relationships/hyperlink" Target="https://www.casahuja.com/2025/04/regulatory-update-government-revises.html" TargetMode="External"/><Relationship Id="rId239" Type="http://schemas.openxmlformats.org/officeDocument/2006/relationships/hyperlink" Target="https://lawx.in/acts/section/145/1245/10691" TargetMode="External"/><Relationship Id="rId240" Type="http://schemas.openxmlformats.org/officeDocument/2006/relationships/hyperlink" Target="https://taxmann.com/post/blog/a-study-of-provisions-of-the-msmed-act-related-disclosure-under-schedule-iii-of-companies-act" TargetMode="External"/><Relationship Id="rId241" Type="http://schemas.openxmlformats.org/officeDocument/2006/relationships/hyperlink" Target="https://www.taxmann.com/post/blog/mca-revises-msme-form-1-with-enhanced-disclosures-for-reporting-payments-pending-over-45-days-to-micro-small-enterprises/" TargetMode="External"/><Relationship Id="rId242" Type="http://schemas.openxmlformats.org/officeDocument/2006/relationships/hyperlink" Target="https://www.patronaccounting.com/blog/msme-form-1-half-yearly-return-filing-guide" TargetMode="External"/><Relationship Id="rId243" Type="http://schemas.openxmlformats.org/officeDocument/2006/relationships/hyperlink" Target="https://www.icai.org/post/clcgc-director-kyc-compliance-02012026" TargetMode="External"/><Relationship Id="rId244" Type="http://schemas.openxmlformats.org/officeDocument/2006/relationships/hyperlink" Target="https://www.china-briefing.com/china-outbound-news/director-kyc-new-rules-india-companies-act-2013" TargetMode="External"/><Relationship Id="rId245" Type="http://schemas.openxmlformats.org/officeDocument/2006/relationships/hyperlink" Target="https://www.taxmann.com/post/blog/mca-amends-companies-registration-offices-and-fees-rules-2014-tightens-norms-relating-to-additional-fee-and-higher-additional-fee/" TargetMode="External"/><Relationship Id="rId246" Type="http://schemas.openxmlformats.org/officeDocument/2006/relationships/hyperlink" Target="https://www.mca.gov.in:443/content/dam/mca-aem-forms/instructionkits/Instruction%20Kit_DPT-3.pdf" TargetMode="External"/><Relationship Id="rId247" Type="http://schemas.openxmlformats.org/officeDocument/2006/relationships/hyperlink" Target="https://studycafe.in/mca-notifies-additional-fee-of-rs-100-per-day-for-delay-in-filing-roc-forms-24895.html" TargetMode="External"/><Relationship Id="rId248" Type="http://schemas.openxmlformats.org/officeDocument/2006/relationships/hyperlink" Target="https://taxguru.in/company-law/demystifying-audit-trail-edit-log.html" TargetMode="External"/><Relationship Id="rId249" Type="http://schemas.openxmlformats.org/officeDocument/2006/relationships/hyperlink" Target="https://www.taxheal.com/companies-accounts-amendment-rules-2021-mandatory-accounting-software-with-audit-trail-for-companies.html" TargetMode="External"/><Relationship Id="rId250" Type="http://schemas.openxmlformats.org/officeDocument/2006/relationships/hyperlink" Target="https://cajournal.icai.org/article-details/audit-trail-requirements-responsibilities" TargetMode="External"/><Relationship Id="rId251" Type="http://schemas.openxmlformats.org/officeDocument/2006/relationships/hyperlink" Target="https://www.eirc-icai.org/uploads/background_materials/Revised%202024_Implementation%20Guide%20on%20Reporting%20of%20Audit%20Trail%20(1)_1712114860.pdf" TargetMode="External"/><Relationship Id="rId252" Type="http://schemas.openxmlformats.org/officeDocument/2006/relationships/hyperlink" Target="https://lexplosion.in/companies-must-take-daily-back-up-of-books-of-accounts-etc-maintained-in-electronic-mode-including-at-a-place-outside-india-in-servers-physically-located-in-india/" TargetMode="External"/><Relationship Id="rId253" Type="http://schemas.openxmlformats.org/officeDocument/2006/relationships/hyperlink" Target="https://taxguru.in/company-law/summary-clauses-caro-2020-consequential-amendments-schedule-iii-companies-act-2013.html" TargetMode="External"/><Relationship Id="rId254" Type="http://schemas.openxmlformats.org/officeDocument/2006/relationships/hyperlink" Target="https://taxguru.in/income-tax/tax-audit-fy-2025-26-guide-form-3cd.html" TargetMode="External"/><Relationship Id="rId255" Type="http://schemas.openxmlformats.org/officeDocument/2006/relationships/hyperlink" Target="https://calcguru.in/?p=8211" TargetMode="External"/><Relationship Id="rId256" Type="http://schemas.openxmlformats.org/officeDocument/2006/relationships/hyperlink" Target="https://www.taxmann.com/post/blog/cbdt-issues-corrigendum-to-include-sec-43bh-disallowance-under-clause-22-of-form-3cd/" TargetMode="External"/><Relationship Id="rId257" Type="http://schemas.openxmlformats.org/officeDocument/2006/relationships/hyperlink" Target="https://taxmann.com/post/blog/analysis-clause-44-of-tax-audit-report-along-with-illustrations" TargetMode="External"/><Relationship Id="rId258" Type="http://schemas.openxmlformats.org/officeDocument/2006/relationships/hyperlink" Target="https://www.taxmann.com/post/blog/instances-of-non-compliance-with-reporting-requirements-under-clause-21-31-of-form-3cd/" TargetMode="External"/><Relationship Id="rId259" Type="http://schemas.openxmlformats.org/officeDocument/2006/relationships/hyperlink" Target="https://www.casahuja.com/2026/09/clause-31-of-form-3cd-for-ay-2026-27.html" TargetMode="External"/><Relationship Id="rId260" Type="http://schemas.openxmlformats.org/officeDocument/2006/relationships/hyperlink" Target="https://cleartax.in/s/form-26-tax-audit" TargetMode="External"/><Relationship Id="rId261" Type="http://schemas.openxmlformats.org/officeDocument/2006/relationships/hyperlink" Target="https://incometaxindia.gov.in/documents/d/guest/circular-7-2026-pdf" TargetMode="External"/><Relationship Id="rId262" Type="http://schemas.openxmlformats.org/officeDocument/2006/relationships/hyperlink" Target="https://www.taxheal.com/?p=99334" TargetMode="External"/><Relationship Id="rId263" Type="http://schemas.openxmlformats.org/officeDocument/2006/relationships/hyperlink" Target="https://eztax.in/income-tax-act-2025/section-185" TargetMode="External"/><Relationship Id="rId264" Type="http://schemas.openxmlformats.org/officeDocument/2006/relationships/hyperlink" Target="https://eztax.in/income-tax-act-2025/section-186" TargetMode="External"/><Relationship Id="rId265" Type="http://schemas.openxmlformats.org/officeDocument/2006/relationships/hyperlink" Target="https://eztax.in/income-tax-act-2025/section-37" TargetMode="External"/><Relationship Id="rId266" Type="http://schemas.openxmlformats.org/officeDocument/2006/relationships/hyperlink" Target="https://eztax.in/income-tax-act-2025/compare-old-new-section-codes" TargetMode="External"/><Relationship Id="rId267" Type="http://schemas.openxmlformats.org/officeDocument/2006/relationships/hyperlink" Target="https://www.incometaxindia.gov.in/w/rule-6dd" TargetMode="External"/><Relationship Id="rId268" Type="http://schemas.openxmlformats.org/officeDocument/2006/relationships/hyperlink" Target="https://ca2013.com/schedule-ii/" TargetMode="External"/><Relationship Id="rId269" Type="http://schemas.openxmlformats.org/officeDocument/2006/relationships/hyperlink" Target="https://www.patronaccounting.com/blog/depreciation-rules-2026-rates-block-assets" TargetMode="External"/><Relationship Id="rId270" Type="http://schemas.openxmlformats.org/officeDocument/2006/relationships/hyperlink" Target="https://treelife.in/legal/ind-as-applicability-for-private-companies/" TargetMode="External"/><Relationship Id="rId271" Type="http://schemas.openxmlformats.org/officeDocument/2006/relationships/hyperlink" Target="https://mondaq.com/india/accounting-standards/1310822/accounting-standards-for-smcs-under-the-companies-act-2013" TargetMode="External"/><Relationship Id="rId272" Type="http://schemas.openxmlformats.org/officeDocument/2006/relationships/hyperlink" Target="https://www.taxmann.com/post/blog/mca-raises-small-company-thresholds-to-rs-10-cr-capital-and-rs-100-cr-turnover" TargetMode="External"/><Relationship Id="rId273" Type="http://schemas.openxmlformats.org/officeDocument/2006/relationships/hyperlink" Target="https://taxmann.com/post/blog/mca-extends-due-date-for-filing-of-financials-and-annual-return" TargetMode="External"/><Relationship Id="rId274" Type="http://schemas.openxmlformats.org/officeDocument/2006/relationships/hyperlink" Target="https://taxguru.in/goods-and-service-tax/advisory-form-gstr-1a.html" TargetMode="External"/><Relationship Id="rId275" Type="http://schemas.openxmlformats.org/officeDocument/2006/relationships/hyperlink" Target="https://cleartax.in/s/gst-return-filing-rule-changes-from-july-2025" TargetMode="External"/><Relationship Id="rId276" Type="http://schemas.openxmlformats.org/officeDocument/2006/relationships/hyperlink" Target="https://www.taxmann.com/post/blog/gstn-warns-pending-gst-returns-cannot-be-filed-after-3-years" TargetMode="External"/><Relationship Id="rId277" Type="http://schemas.openxmlformats.org/officeDocument/2006/relationships/hyperlink" Target="https://www.taxheal.com/?p=96273" TargetMode="External"/><Relationship Id="rId278" Type="http://schemas.openxmlformats.org/officeDocument/2006/relationships/hyperlink" Target="https://icmai.in/upload/Taxation/Advisory_auto-population_GSTR-1.pdf" TargetMode="External"/><Relationship Id="rId279" Type="http://schemas.openxmlformats.org/officeDocument/2006/relationships/hyperlink" Target="https://taxguru.in/goods-and-service-tax/gst-amendments-finance-act-2025-effective-oct-1-2025-notified.html" TargetMode="External"/><Relationship Id="rId280" Type="http://schemas.openxmlformats.org/officeDocument/2006/relationships/hyperlink" Target="https://www.ey.com/en_in/technical/alerts-hub/2025/09/gstn-issues-advisory-on-the-changes-introduced-in-the-invoice-management-system" TargetMode="External"/><Relationship Id="rId281" Type="http://schemas.openxmlformats.org/officeDocument/2006/relationships/hyperlink" Target="https://cggst.com/wp-content/uploads/2023/07/Rule-88C-3.pdf" TargetMode="External"/><Relationship Id="rId282" Type="http://schemas.openxmlformats.org/officeDocument/2006/relationships/hyperlink" Target="https://www.bdo.in/en-gb/insights/alerts-updates/gstn-advisory-online-functionality-in-respect-of-the-difference-in-tax" TargetMode="External"/><Relationship Id="rId283" Type="http://schemas.openxmlformats.org/officeDocument/2006/relationships/hyperlink" Target="https://razorpay.com/learn/drc-01b-gst-liability-mismatch-guide/" TargetMode="External"/><Relationship Id="rId284" Type="http://schemas.openxmlformats.org/officeDocument/2006/relationships/hyperlink" Target="https://www.computaxonline.com/blog/post/2026/07/09/gst-itc-auto-restriction-gstr-2b-gstr-3b-hard-locking" TargetMode="External"/><Relationship Id="rId285" Type="http://schemas.openxmlformats.org/officeDocument/2006/relationships/hyperlink" Target="https://taxguru.in/goods-and-service-tax/gstn-issues-4-advisories-december-2025-clarify-key-compliance-procedures.html" TargetMode="External"/><Relationship Id="rId286" Type="http://schemas.openxmlformats.org/officeDocument/2006/relationships/hyperlink" Target="https://www.ey.com/en_in/alerts-hub/2023/05/cbic-lowers-turnover-threshold-for-e-invoicing-to-inr5-crores-with-effect-from-1-august-2023" TargetMode="External"/><Relationship Id="rId287" Type="http://schemas.openxmlformats.org/officeDocument/2006/relationships/hyperlink" Target="https://www.taxmann.com/post/blog/time-limit-of-30-days-for-reporting-e-invoice-on-irp-portal-for-taxpayers-with-aato-of-10-crores-and-above-gstn-update/" TargetMode="External"/><Relationship Id="rId288" Type="http://schemas.openxmlformats.org/officeDocument/2006/relationships/hyperlink" Target="https://cleartax.in/s/time-limit-for-e-way-bill-generation" TargetMode="External"/><Relationship Id="rId289" Type="http://schemas.openxmlformats.org/officeDocument/2006/relationships/hyperlink" Target="https://cleartax.in/s/blocking-e-way-bill-generation-without-e-invoice" TargetMode="External"/><Relationship Id="rId290" Type="http://schemas.openxmlformats.org/officeDocument/2006/relationships/hyperlink" Target="https://www.taxheal.com/?p=97083" TargetMode="External"/><Relationship Id="rId291" Type="http://schemas.openxmlformats.org/officeDocument/2006/relationships/hyperlink" Target="https://taxo.online/latest-news/09-01-2025-advisory-issued-relating-implementation-of-phase-iii-for-mentioning-of-hsn-codes-in-gstr-1-gstr-1a/" TargetMode="External"/><Relationship Id="rId292" Type="http://schemas.openxmlformats.org/officeDocument/2006/relationships/hyperlink" Target="https://www.taxmann.com/post/blog/hsn-dropdown-table-13-mandatory-in-gstr-1" TargetMode="External"/><Relationship Id="rId293" Type="http://schemas.openxmlformats.org/officeDocument/2006/relationships/hyperlink" Target="https://taxguru.in/goods-and-service-tax/claim-itc-gstr-2b-mandatory-w-e-f-01-01-2022.html" TargetMode="External"/><Relationship Id="rId294" Type="http://schemas.openxmlformats.org/officeDocument/2006/relationships/hyperlink" Target="https://cleartax.in/s/faqs-on-invoice-management-system-ims-gst" TargetMode="External"/><Relationship Id="rId295" Type="http://schemas.openxmlformats.org/officeDocument/2006/relationships/hyperlink" Target="https://cleartax.in/s/rule-88d-cgst-itc-mismatch-gstr-2b-vs-gstr-3b" TargetMode="External"/><Relationship Id="rId296" Type="http://schemas.openxmlformats.org/officeDocument/2006/relationships/hyperlink" Target="https://taxo.online/latest-news/06-10-2023-gstn-issued-advisory-in-respect-of-introduction-of-compliance-pertaining-to-drc-01c/" TargetMode="External"/><Relationship Id="rId297" Type="http://schemas.openxmlformats.org/officeDocument/2006/relationships/hyperlink" Target="https://www.gstcouncil.gov.in/sites/default/files/2024-06/cir-170-02-2022-cgst.pdf" TargetMode="External"/><Relationship Id="rId298" Type="http://schemas.openxmlformats.org/officeDocument/2006/relationships/hyperlink" Target="https://taxguru.in/goods-and-service-tax/gstn-itc-reclaim-ledger-rcm-ledger-hard-validations-block-gstr-3b-filing.html" TargetMode="External"/><Relationship Id="rId299" Type="http://schemas.openxmlformats.org/officeDocument/2006/relationships/hyperlink" Target="https://www.cggst.com/uploads/document/1755064447-rule-37.pdf" TargetMode="External"/><Relationship Id="rId300" Type="http://schemas.openxmlformats.org/officeDocument/2006/relationships/hyperlink" Target="https://www.cggst.com/uploads/document/1754119329-rule-88b.pdf" TargetMode="External"/><Relationship Id="rId301" Type="http://schemas.openxmlformats.org/officeDocument/2006/relationships/hyperlink" Target="https://gsthero.com/blog/electronic-credit-reversal-and-reclaimed-statement/" TargetMode="External"/><Relationship Id="rId302" Type="http://schemas.openxmlformats.org/officeDocument/2006/relationships/hyperlink" Target="https://busy.in/business-updates/how-to-fix-gstr-3b-hard-block/" TargetMode="External"/><Relationship Id="rId303" Type="http://schemas.openxmlformats.org/officeDocument/2006/relationships/hyperlink" Target="https://taxroutine.com/repository/gst-notifications/rcm-services/" TargetMode="External"/><Relationship Id="rId304" Type="http://schemas.openxmlformats.org/officeDocument/2006/relationships/hyperlink" Target="https://cleartax.in/s/rcm-on-rent-of-commercial-property-under-gst" TargetMode="External"/><Relationship Id="rId305" Type="http://schemas.openxmlformats.org/officeDocument/2006/relationships/hyperlink" Target="https://gstcouncil.gov.in/sites/default/files/2025-09/faq.pdf" TargetMode="External"/><Relationship Id="rId306" Type="http://schemas.openxmlformats.org/officeDocument/2006/relationships/hyperlink" Target="https://taxo.online/latest-news/29-12-2025-gstn-has-issued-an-advisory-on-electronic-credit-reversal-and-re-claimed-statement-rcm-liability-itc-statement/" TargetMode="External"/><Relationship Id="rId307" Type="http://schemas.openxmlformats.org/officeDocument/2006/relationships/hyperlink" Target="https://www.taxmann.com/post/blog/guide-to-maximizing-the-utilization-of-gst-input-tax-credit/" TargetMode="External"/><Relationship Id="rId308" Type="http://schemas.openxmlformats.org/officeDocument/2006/relationships/hyperlink" Target="https://www.mastersindia.co/blog/interest-on-wrongly-availed-itc-under-section-503-gst/" TargetMode="External"/><Relationship Id="rId309" Type="http://schemas.openxmlformats.org/officeDocument/2006/relationships/hyperlink" Target="https://www.taxtmi.com/forum/issue?id=118761" TargetMode="External"/><Relationship Id="rId310" Type="http://schemas.openxmlformats.org/officeDocument/2006/relationships/hyperlink" Target="https://www.cggst.com/uploads/document/1752824769-section-170.pdf" TargetMode="External"/><Relationship Id="rId311" Type="http://schemas.openxmlformats.org/officeDocument/2006/relationships/hyperlink" Target="https://www.taxheal.com/?p=89244" TargetMode="External"/><Relationship Id="rId312" Type="http://schemas.openxmlformats.org/officeDocument/2006/relationships/hyperlink" Target="https://www.taxheal.com/?p=89438" TargetMode="External"/><Relationship Id="rId313" Type="http://schemas.openxmlformats.org/officeDocument/2006/relationships/hyperlink" Target="https://lexplosion.in/late-fees-for-filing-annual-return-in-form-gstr-9-reduced-from-fy-2022-23-onwards/" TargetMode="External"/><Relationship Id="rId314" Type="http://schemas.openxmlformats.org/officeDocument/2006/relationships/hyperlink" Target="https://calcguru.in/gst-late-fee-calculator/" TargetMode="External"/><Relationship Id="rId315" Type="http://schemas.openxmlformats.org/officeDocument/2006/relationships/hyperlink" Target="https://www.taxheal.com/?p=105269" TargetMode="External"/><Relationship Id="rId316" Type="http://schemas.openxmlformats.org/officeDocument/2006/relationships/hyperlink" Target="https://www.vjmglobal.com/blog/gstn-issued-faqs-on-newly-released-form-gstr-9-9c-for-fy-2024-25" TargetMode="External"/><Relationship Id="rId317" Type="http://schemas.openxmlformats.org/officeDocument/2006/relationships/hyperlink" Target="https://gstzen.in/a/faqs-on-gstr-9-9c-changes-fy-2024-25.html" TargetMode="External"/><Relationship Id="rId318" Type="http://schemas.openxmlformats.org/officeDocument/2006/relationships/hyperlink" Target="https://cleartax.in/s/revised-gstr-9c-fy-2020-21" TargetMode="External"/><Relationship Id="rId319" Type="http://schemas.openxmlformats.org/officeDocument/2006/relationships/hyperlink" Target="https://cleartax.in/s/gst-reconciliation-statement-gstr-9c" TargetMode="External"/><Relationship Id="rId320" Type="http://schemas.openxmlformats.org/officeDocument/2006/relationships/hyperlink" Target="https://www.cggst.com/uploads/document/1755064648-rule-42.pdf" TargetMode="External"/><Relationship Id="rId321" Type="http://schemas.openxmlformats.org/officeDocument/2006/relationships/hyperlink" Target="https://cajournal.icai.org/article-details/gst-amendments-proposed-through-the-finance-bill-2026" TargetMode="External"/><Relationship Id="rId322" Type="http://schemas.openxmlformats.org/officeDocument/2006/relationships/hyperlink" Target="https://ey.com/content/dam/ey-unified-site/ey-com/en-in/alerts-hub/government-notifies-effective-date-for-amendments-made-in-gst-law-vide-finance-act-2024.pdf" TargetMode="External"/><Relationship Id="rId323" Type="http://schemas.openxmlformats.org/officeDocument/2006/relationships/hyperlink" Target="https://www.taxheal.com/?p=104994" TargetMode="External"/><Relationship Id="rId324" Type="http://schemas.openxmlformats.org/officeDocument/2006/relationships/hyperlink" Target="https://gstcouncil.gov.in/sites/default/files/2025-09/press_release_press_information_bureau.pdf" TargetMode="External"/><Relationship Id="rId325" Type="http://schemas.openxmlformats.org/officeDocument/2006/relationships/hyperlink" Target="https://comtax.wb.gov.in/GST/GST_PPU/GST_Updates_Dec_2025.pdf" TargetMode="External"/><Relationship Id="rId326" Type="http://schemas.openxmlformats.org/officeDocument/2006/relationships/hyperlink" Target="https://tutorial.gst.gov.in/userguide/inputtaxcredit/manual_tds_and_tcs_credit_received.htm" TargetMode="External"/><Relationship Id="rId327" Type="http://schemas.openxmlformats.org/officeDocument/2006/relationships/hyperlink" Target="https://www.taxheal.com/?p=96048" TargetMode="External"/><Relationship Id="rId328" Type="http://schemas.openxmlformats.org/officeDocument/2006/relationships/hyperlink" Target="https://taxguru.in/goods-and-service-tax/input-service-distributor-mandatory-1st-april-2025.html" TargetMode="External"/><Relationship Id="rId329" Type="http://schemas.openxmlformats.org/officeDocument/2006/relationships/hyperlink" Target="https://www.taxheal.com/?p=90244" TargetMode="External"/><Relationship Id="rId330" Type="http://schemas.openxmlformats.org/officeDocument/2006/relationships/hyperlink" Target="https://www.indiafilings.com/learn/gstr-4-filing/" TargetMode="External"/><Relationship Id="rId331" Type="http://schemas.openxmlformats.org/officeDocument/2006/relationships/hyperlink" Target="https://taxo.online/latest-news/30-06-2023-advisory-issued-on-online-compliance-pertaining-to-liability-difference-appearing-in-r1-r3b-drc-01b/" TargetMode="External"/><Relationship Id="rId332" Type="http://schemas.openxmlformats.org/officeDocument/2006/relationships/hyperlink" Target="https://www.incometaxindia.gov.in/w/section-393-6" TargetMode="External"/><Relationship Id="rId333" Type="http://schemas.openxmlformats.org/officeDocument/2006/relationships/hyperlink" Target="https://www.incometaxindia.gov.in/w/section-397-6" TargetMode="External"/><Relationship Id="rId334" Type="http://schemas.openxmlformats.org/officeDocument/2006/relationships/hyperlink" Target="https://www.incometaxindia.gov.in/w/rule-219-1" TargetMode="External"/><Relationship Id="rId335" Type="http://schemas.openxmlformats.org/officeDocument/2006/relationships/hyperlink" Target="https://tinpan.proteantech.in/downloads/e-tds/download/DosandDontsdeductorscollectors.pdf" TargetMode="External"/><Relationship Id="rId336" Type="http://schemas.openxmlformats.org/officeDocument/2006/relationships/hyperlink" Target="https://www.tdsman.com/downloads/forms/Form-26Q.pdf" TargetMode="External"/><Relationship Id="rId337" Type="http://schemas.openxmlformats.org/officeDocument/2006/relationships/hyperlink" Target="https://www.incometaxindia.gov.in/documents/d/guest/faqs-on-higher-rate-of-tds-under-section-397" TargetMode="External"/><Relationship Id="rId338" Type="http://schemas.openxmlformats.org/officeDocument/2006/relationships/hyperlink" Target="https://taxguru.in/income-tax/tds-deductible-gst-component-cbdt.html" TargetMode="External"/><Relationship Id="rId339" Type="http://schemas.openxmlformats.org/officeDocument/2006/relationships/hyperlink" Target="https://eztax.in/income-tax-act-2025/section-35" TargetMode="External"/><Relationship Id="rId340" Type="http://schemas.openxmlformats.org/officeDocument/2006/relationships/hyperlink" Target="https://thetaxtalk.com/2025/07/a-simple-checklist-for-clause-34-of-tax-audit-report-to-be-considered-by-auditors/" TargetMode="External"/><Relationship Id="rId341" Type="http://schemas.openxmlformats.org/officeDocument/2006/relationships/hyperlink" Target="https://www.incometaxindia.gov.in/tax-services/statement-and-challan-status" TargetMode="External"/><Relationship Id="rId342" Type="http://schemas.openxmlformats.org/officeDocument/2006/relationships/hyperlink" Target="https://www.incometaxindia.gov.in/w/rule-218-1" TargetMode="External"/><Relationship Id="rId343" Type="http://schemas.openxmlformats.org/officeDocument/2006/relationships/hyperlink" Target="https://blog.tdsman.com/2018/09/faq-on-form-26as-2/" TargetMode="External"/><Relationship Id="rId344" Type="http://schemas.openxmlformats.org/officeDocument/2006/relationships/hyperlink" Target="https://www.incometaxindia.gov.in/w/section-201-60" TargetMode="External"/><Relationship Id="rId345" Type="http://schemas.openxmlformats.org/officeDocument/2006/relationships/hyperlink" Target="https://www.incometaxindia.gov.in/w/section-398-5" TargetMode="External"/><Relationship Id="rId346" Type="http://schemas.openxmlformats.org/officeDocument/2006/relationships/hyperlink" Target="https://blog.tdsman.com/2015/04/interest-calculation-delayed-payment-tds/" TargetMode="External"/><Relationship Id="rId347" Type="http://schemas.openxmlformats.org/officeDocument/2006/relationships/hyperlink" Target="https://blog.tdsman.com/2013/07/evaluate-your-tds-defaults-using-justification-report-downloaded-from-traces/" TargetMode="External"/><Relationship Id="rId348" Type="http://schemas.openxmlformats.org/officeDocument/2006/relationships/hyperlink" Target="https://www.incometaxindia.gov.in/w/section-395-6" TargetMode="External"/><Relationship Id="rId349" Type="http://schemas.openxmlformats.org/officeDocument/2006/relationships/hyperlink" Target="https://www.incometaxindia.gov.in/documents/d/guest/form-128-faqs" TargetMode="External"/><Relationship Id="rId350" Type="http://schemas.openxmlformats.org/officeDocument/2006/relationships/hyperlink" Target="https://www.incometaxindia.gov.in/w/section-427-6" TargetMode="External"/><Relationship Id="rId351" Type="http://schemas.openxmlformats.org/officeDocument/2006/relationships/hyperlink" Target="https://www.incometaxindia.gov.in/documents/d/guest/form-130-faqs" TargetMode="External"/><Relationship Id="rId352" Type="http://schemas.openxmlformats.org/officeDocument/2006/relationships/hyperlink" Target="https://www.incometaxindia.gov.in/w/section-392-6" TargetMode="External"/><Relationship Id="rId353" Type="http://schemas.openxmlformats.org/officeDocument/2006/relationships/hyperlink" Target="https://blog.tdsman.com/2024/04/simple-guide-for-employee-income-details-form-24q-q4/" TargetMode="External"/><Relationship Id="rId354" Type="http://schemas.openxmlformats.org/officeDocument/2006/relationships/hyperlink" Target="https://www.incometaxindia.gov.in/w/rule-37ba" TargetMode="External"/><Relationship Id="rId355" Type="http://schemas.openxmlformats.org/officeDocument/2006/relationships/hyperlink" Target="https://www.incometaxindia.gov.in/w/section-390-6" TargetMode="External"/><Relationship Id="rId356" Type="http://schemas.openxmlformats.org/officeDocument/2006/relationships/hyperlink" Target="https://www.incometaxindia.gov.in/annual-information-statement" TargetMode="External"/><Relationship Id="rId357" Type="http://schemas.openxmlformats.org/officeDocument/2006/relationships/hyperlink" Target="https://investor.nsdl.com/portal/en/kb/articles/faqs-on-annual-information-statement-ais-26-10-2023" TargetMode="External"/><Relationship Id="rId358" Type="http://schemas.openxmlformats.org/officeDocument/2006/relationships/hyperlink" Target="https://taxguru.in/income-tax/commonly-observed-ais-mismatches-trigger-income-tax-notice.html" TargetMode="External"/><Relationship Id="rId359" Type="http://schemas.openxmlformats.org/officeDocument/2006/relationships/hyperlink" Target="https://cleartax.in/s/income-tax-changes-from-april-2026" TargetMode="External"/><Relationship Id="rId360" Type="http://schemas.openxmlformats.org/officeDocument/2006/relationships/hyperlink" Target="https://www.taxaj.com/learn/?p=304" TargetMode="External"/><Relationship Id="rId361" Type="http://schemas.openxmlformats.org/officeDocument/2006/relationships/hyperlink" Target="https://www.incometaxindia.gov.in/w/understanding-statement-of-financial-transaction-sft-" TargetMode="External"/><Relationship Id="rId362" Type="http://schemas.openxmlformats.org/officeDocument/2006/relationships/hyperlink" Target="https://www.incometaxindia.gov.in/w/section-408-5" TargetMode="External"/><Relationship Id="rId363" Type="http://schemas.openxmlformats.org/officeDocument/2006/relationships/hyperlink" Target="https://incometaxindia.gov.in/documents/d/guest/circular-7-2026-pdf" TargetMode="External"/><Relationship Id="rId364" Type="http://schemas.openxmlformats.org/officeDocument/2006/relationships/hyperlink" Target="https://www.incometaxindia.gov.in/w/section-63-134" TargetMode="External"/><Relationship Id="rId365" Type="http://schemas.openxmlformats.org/officeDocument/2006/relationships/hyperlink" Target="https://taxguru.in/income-tax/tax-audit-fy-2025-26-guide-form-3cd.html" TargetMode="External"/><Relationship Id="rId366" Type="http://schemas.openxmlformats.org/officeDocument/2006/relationships/hyperlink" Target="https://www.incometaxindia.gov.in/w/section-37-169" TargetMode="External"/><Relationship Id="rId367" Type="http://schemas.openxmlformats.org/officeDocument/2006/relationships/hyperlink" Target="https://www.india-briefing.com/news/msme-tax-audit-form-3cd-clauses-22-26-fy-2025-26-47290.html/" TargetMode="External"/><Relationship Id="rId368" Type="http://schemas.openxmlformats.org/officeDocument/2006/relationships/hyperlink" Target="https://taxmann.com/post/blog/analysis-clause-44-of-tax-audit-report-along-with-illustrations" TargetMode="External"/><Relationship Id="rId369" Type="http://schemas.openxmlformats.org/officeDocument/2006/relationships/hyperlink" Target="https://PRSINDIA.org/files/bills_acts/acts_parliament/2006/the-micro-small-and-medium-enterprises-development-act-2006.pdf" TargetMode="External"/><Relationship Id="rId370" Type="http://schemas.openxmlformats.org/officeDocument/2006/relationships/hyperlink" Target="https://www.taxmann.com/post/blog/cbdt-issues-corrigendum-to-include-sec-43bh-disallowance-under-clause-22-of-form-3cd/" TargetMode="External"/><Relationship Id="rId371" Type="http://schemas.openxmlformats.org/officeDocument/2006/relationships/hyperlink" Target="https://taxguru.in/income-tax/finance-ministry-clarifies-section-43bh-45-day-msme-payment-rule.html" TargetMode="External"/><Relationship Id="rId372" Type="http://schemas.openxmlformats.org/officeDocument/2006/relationships/hyperlink" Target="https://www.epfindia.gov.in:443/site_docs/PDFs/EPFOUnifiedPortal/Introduction_ECR2.0.pdf" TargetMode="External"/><Relationship Id="rId373" Type="http://schemas.openxmlformats.org/officeDocument/2006/relationships/hyperlink" Target="https://epfindia.gov.in/site_docs/PDFs/OnlineECR_PDFs/ECR_ForEmployers_FileStructure.pdf" TargetMode="External"/><Relationship Id="rId374" Type="http://schemas.openxmlformats.org/officeDocument/2006/relationships/hyperlink" Target="https://www.sgcms.com/regulatory-updates/faqs-by-epfo-wage-ceiling-raised-to-25000/" TargetMode="External"/><Relationship Id="rId375" Type="http://schemas.openxmlformats.org/officeDocument/2006/relationships/hyperlink" Target="https://assets.kpmg.com/content/dam/kpmgsites/in/pdf/2026/07/KPMG-Flash-News-New-Social-Security-Schemes-2026.pdf" TargetMode="External"/><Relationship Id="rId376" Type="http://schemas.openxmlformats.org/officeDocument/2006/relationships/hyperlink" Target="https://khaitanco.com/thought-leadership/Big-Move-in-the-EPF-Regime" TargetMode="External"/><Relationship Id="rId377" Type="http://schemas.openxmlformats.org/officeDocument/2006/relationships/hyperlink" Target="https://web.esic.gov.in/web/esic/contribution" TargetMode="External"/><Relationship Id="rId378" Type="http://schemas.openxmlformats.org/officeDocument/2006/relationships/hyperlink" Target="https://taxclue.in/blog/rule-19-20-social-security-central-rules-2026-rate-of-contributions-and-administrative-expenses/" TargetMode="External"/><Relationship Id="rId379" Type="http://schemas.openxmlformats.org/officeDocument/2006/relationships/hyperlink" Target="https://bankbazaar.com/tax/maharashtra-professional-tax-slab-rate.html" TargetMode="External"/><Relationship Id="rId380" Type="http://schemas.openxmlformats.org/officeDocument/2006/relationships/hyperlink" Target="https://taxguru.in/company-law/summary-clauses-caro-2020-consequential-amendments-schedule-iii-companies-act-2013.html" TargetMode="External"/><Relationship Id="rId381" Type="http://schemas.openxmlformats.org/officeDocument/2006/relationships/hyperlink" Target="https://www.casemine.com/commentary/in/supreme-court-affirmation-on-disallowance-of-late-employee-contributions-under-section-36(1)(va)/view" TargetMode="External"/><Relationship Id="rId382" Type="http://schemas.openxmlformats.org/officeDocument/2006/relationships/hyperlink" Target="https://taxguru.in/income-tax/pf-esi-deduction-denied-employees-contribution-deposited-statutory-due-date.html" TargetMode="External"/><Relationship Id="rId383" Type="http://schemas.openxmlformats.org/officeDocument/2006/relationships/hyperlink" Target="https://eztax.in/income-tax-act-2025/section-29" TargetMode="External"/><Relationship Id="rId384" Type="http://schemas.openxmlformats.org/officeDocument/2006/relationships/hyperlink" Target="https://ksandk.com/labour-employment/50-wage-rule-labour-codes-salary-pf-gratuity/" TargetMode="External"/><Relationship Id="rId385" Type="http://schemas.openxmlformats.org/officeDocument/2006/relationships/hyperlink" Target="https://employmentlaw.lkslaw.com/gratuity-guide-2025" TargetMode="External"/><Relationship Id="rId386" Type="http://schemas.openxmlformats.org/officeDocument/2006/relationships/hyperlink" Target="https://www.scconline.com/blog/post/2026/08/26/bonus-rules-under-code-on-wages-eligibility-calculation/" TargetMode="External"/><Relationship Id="rId387" Type="http://schemas.openxmlformats.org/officeDocument/2006/relationships/hyperlink" Target="https://www.rbi.org.in/commonman/English/scripts/Notification.aspx?Id=961" TargetMode="External"/><Relationship Id="rId388" Type="http://schemas.openxmlformats.org/officeDocument/2006/relationships/hyperlink" Target="https://www.bajajfinserv.in/gst-on-bank-account" TargetMode="External"/><Relationship Id="rId389" Type="http://schemas.openxmlformats.org/officeDocument/2006/relationships/hyperlink" Target="https://www.idfcfirst.bank.in/content/dam/IDFCFirstBank/PDF/TDS/FAQs_on_cash_withdrawal_TDS.pdf" TargetMode="External"/><Relationship Id="rId390" Type="http://schemas.openxmlformats.org/officeDocument/2006/relationships/hyperlink" Target="https://incometaxindia.gov.in/Tutorials/52.Section-194N.pdf" TargetMode="External"/><Relationship Id="rId391" Type="http://schemas.openxmlformats.org/officeDocument/2006/relationships/hyperlink" Target="https://www.dpncindia.com/amendment-in-schedule-iii-of-the-companies-act-2013-applicable-w-e-f-01-04-2021" TargetMode="External"/><Relationship Id="rId392" Type="http://schemas.openxmlformats.org/officeDocument/2006/relationships/hyperlink" Target="https://ca2013.com/schedule-ii/" TargetMode="External"/><Relationship Id="rId393" Type="http://schemas.openxmlformats.org/officeDocument/2006/relationships/hyperlink" Target="https://thetaxtalk.com/2022/05/caro-2020-auditor-now-required-to-check-the-quarterly-return-filed-by-the-company-with-the-banker/" TargetMode="External"/><Relationship Id="rId394" Type="http://schemas.openxmlformats.org/officeDocument/2006/relationships/hyperlink" Target="https://taxmann.com/post/blog/a-study-of-provisions-of-the-msmed-act-related-disclosure-under-schedule-iii-of-companies-act" TargetMode="External"/><Relationship Id="rId395" Type="http://schemas.openxmlformats.org/officeDocument/2006/relationships/hyperlink" Target="https://www.taxmann.com/post/blog/mca-revises-msme-form-1-with-enhanced-disclosures-for-reporting-payments-pending-over-45-days-to-micro-small-enterprises/" TargetMode="External"/><Relationship Id="rId396" Type="http://schemas.openxmlformats.org/officeDocument/2006/relationships/hyperlink" Target="https://rbi.org.in/" TargetMode="External"/><Relationship Id="rId397" Type="http://schemas.openxmlformats.org/officeDocument/2006/relationships/hyperlink" Target="https://docs.enriched-api.vayana.com/routes/basic/gstn/apis/returns/Gstr-Download-Lite-Api/gstr-1/" TargetMode="External"/><Relationship Id="rId398" Type="http://schemas.openxmlformats.org/officeDocument/2006/relationships/hyperlink" Target="https://github.com/resilient-tech/india-compliance" TargetMode="External"/><Relationship Id="rId399" Type="http://schemas.openxmlformats.org/officeDocument/2006/relationships/hyperlink" Target="https://developer.gst.gov.in/apiportal/taxpayer/returns/apilist" TargetMode="External"/><Relationship Id="rId400" Type="http://schemas.openxmlformats.org/officeDocument/2006/relationships/hyperlink" Target="https://taxo.online/latest-news/02-05-2025-gstn-issued-advisory-relating-to-reporting-of-hsn-codes-in-table-12-and-list-of-documents-in-table-13-of-gstr-1-1a/" TargetMode="External"/><Relationship Id="rId401" Type="http://schemas.openxmlformats.org/officeDocument/2006/relationships/hyperlink" Target="https://taxo.online/latest-news/16-01-2024-gstn-issued-advisory-on-introduction-of-new-tables-14-15-in-gstr-1/" TargetMode="External"/><Relationship Id="rId402" Type="http://schemas.openxmlformats.org/officeDocument/2006/relationships/hyperlink" Target="https://tutorial.gst.gov.in/contextualhelp/Einv/SUPECO_14.htm" TargetMode="External"/><Relationship Id="rId403" Type="http://schemas.openxmlformats.org/officeDocument/2006/relationships/hyperlink" Target="https://taxo.online/latest-news/27-07-2024-advisory-issued-relating-to-form-gstr-1a/" TargetMode="External"/><Relationship Id="rId404" Type="http://schemas.openxmlformats.org/officeDocument/2006/relationships/hyperlink" Target="https://docs.mastersindia.co/goods-and-services-tax-gst-api/save_3b_data" TargetMode="External"/><Relationship Id="rId405" Type="http://schemas.openxmlformats.org/officeDocument/2006/relationships/hyperlink" Target="https://www.gstgyaan.com/pdf/form-gstr-3b.pdf" TargetMode="External"/><Relationship Id="rId406" Type="http://schemas.openxmlformats.org/officeDocument/2006/relationships/hyperlink" Target="https://www.vjmglobal.com/blog/changes-in-gstr-3b-with-effect-from-01-09-2022" TargetMode="External"/><Relationship Id="rId407" Type="http://schemas.openxmlformats.org/officeDocument/2006/relationships/hyperlink" Target="https://cleartax.in/s/table-3-1-1-of-gstr-3b-for-e-commerce-transactions-under-95" TargetMode="External"/><Relationship Id="rId408" Type="http://schemas.openxmlformats.org/officeDocument/2006/relationships/hyperlink" Target="https://www.gstcouncil.gov.in/sites/default/files/2024-06/cir-170-02-2022-cgst.pdf" TargetMode="External"/><Relationship Id="rId409" Type="http://schemas.openxmlformats.org/officeDocument/2006/relationships/hyperlink" Target="https://tutorial.gst.gov.in/userguide/returns/Manual_gstr9.htm" TargetMode="External"/><Relationship Id="rId410" Type="http://schemas.openxmlformats.org/officeDocument/2006/relationships/hyperlink" Target="https://docs.enriched-api.vayana.com/routes/basic/gstn/apis/returns/Gstr-Download-Lite-Api/gstr-2b/" TargetMode="External"/><Relationship Id="rId411" Type="http://schemas.openxmlformats.org/officeDocument/2006/relationships/hyperlink" Target="https://www.gstgyaan.com/pdf/faqs-on-invoice-management-system.pdf" TargetMode="External"/><Relationship Id="rId412" Type="http://schemas.openxmlformats.org/officeDocument/2006/relationships/hyperlink" Target="https://cleartax.in/s/faqs-on-invoice-management-system-ims-gst" TargetMode="External"/><Relationship Id="rId413" Type="http://schemas.openxmlformats.org/officeDocument/2006/relationships/hyperlink" Target="https://www.gstgyaan.com/pdf/form-gstr-9.pdf" TargetMode="External"/><Relationship Id="rId414" Type="http://schemas.openxmlformats.org/officeDocument/2006/relationships/hyperlink" Target="https://gstzen.in/a/faqs-on-gstr-9-9c-changes-fy-2024-25.html" TargetMode="External"/><Relationship Id="rId415" Type="http://schemas.openxmlformats.org/officeDocument/2006/relationships/hyperlink" Target="https://taxguru.in/?p=1004189" TargetMode="External"/><Relationship Id="rId416" Type="http://schemas.openxmlformats.org/officeDocument/2006/relationships/hyperlink" Target="https://www.taxheal.com/?p=105269" TargetMode="External"/><Relationship Id="rId417" Type="http://schemas.openxmlformats.org/officeDocument/2006/relationships/hyperlink" Target="https://www.gstgyaan.com/pdf/form-gstr-9c.pdf" TargetMode="External"/><Relationship Id="rId418" Type="http://schemas.openxmlformats.org/officeDocument/2006/relationships/hyperlink" Target="https://cleartax.in/s/gst-reconciliation-statement-gstr-9c" TargetMode="External"/><Relationship Id="rId419" Type="http://schemas.openxmlformats.org/officeDocument/2006/relationships/hyperlink" Target="https://www.gstgyaan.com/pdf/form-gstr-4.pdf" TargetMode="External"/><Relationship Id="rId420" Type="http://schemas.openxmlformats.org/officeDocument/2006/relationships/hyperlink" Target="https://www.indiafilings.com/learn/gstr-4-filing/" TargetMode="External"/><Relationship Id="rId421" Type="http://schemas.openxmlformats.org/officeDocument/2006/relationships/hyperlink" Target="https://www.cggst.com/uploads/document/1748517231-form-gst-cmp-08.pdf" TargetMode="External"/><Relationship Id="rId422" Type="http://schemas.openxmlformats.org/officeDocument/2006/relationships/hyperlink" Target="https://www.cggst.com/uploads/document/1745416157-r-07.pdf" TargetMode="External"/><Relationship Id="rId423" Type="http://schemas.openxmlformats.org/officeDocument/2006/relationships/hyperlink" Target="https://taxo.online/latest-news/07-05-2025-gstn-issued-advisory-on-deferment-invoice-wise-reporting-functionality-in-form-gstr-7/" TargetMode="External"/><Relationship Id="rId424" Type="http://schemas.openxmlformats.org/officeDocument/2006/relationships/hyperlink" Target="https://tutorial.gst.gov.in/userguide/returns/GSTR7_FAQ.htm" TargetMode="External"/><Relationship Id="rId425" Type="http://schemas.openxmlformats.org/officeDocument/2006/relationships/hyperlink" Target="https://www.gstgyaan.com/pdf/form-gstr-8.pdf" TargetMode="External"/><Relationship Id="rId426" Type="http://schemas.openxmlformats.org/officeDocument/2006/relationships/hyperlink" Target="https://www.taxheal.com/?p=96048" TargetMode="External"/><Relationship Id="rId427" Type="http://schemas.openxmlformats.org/officeDocument/2006/relationships/hyperlink" Target="https://einv-apisandbox.nic.in/version1.03/generate-irn.html" TargetMode="External"/><Relationship Id="rId428" Type="http://schemas.openxmlformats.org/officeDocument/2006/relationships/hyperlink" Target="https://docs.logitax.in/Docs/Standard_Create_E_invoice" TargetMode="External"/><Relationship Id="rId429" Type="http://schemas.openxmlformats.org/officeDocument/2006/relationships/hyperlink" Target="https://mspa.in/detail/38865.aspx" TargetMode="External"/><Relationship Id="rId430" Type="http://schemas.openxmlformats.org/officeDocument/2006/relationships/hyperlink" Target="https://www.ey.com/en_in/alerts-hub/2023/05/cbic-lowers-turnover-threshold-for-e-invoicing-to-inr5-crores-with-effect-from-1-august-2023" TargetMode="External"/><Relationship Id="rId431" Type="http://schemas.openxmlformats.org/officeDocument/2006/relationships/hyperlink" Target="https://www.taxmann.com/post/blog/time-limit-of-30-days-for-reporting-e-invoice-on-irp-portal-for-taxpayers-with-aato-of-10-crores-and-above-gstn-update/" TargetMode="External"/><Relationship Id="rId432" Type="http://schemas.openxmlformats.org/officeDocument/2006/relationships/hyperlink" Target="https://docs.ewaybillgst.gov.in/apidocs/version1.03/generate-eway-bill.html" TargetMode="External"/><Relationship Id="rId433" Type="http://schemas.openxmlformats.org/officeDocument/2006/relationships/hyperlink" Target="https://docs.logitax.in/Docs/Standard_Get_E_Way_Bill_By_EWB_No" TargetMode="External"/><Relationship Id="rId434" Type="http://schemas.openxmlformats.org/officeDocument/2006/relationships/hyperlink" Target="https://www.taxmann.com/post/blog/process-of-generating-e-way-bill/" TargetMode="External"/><Relationship Id="rId435" Type="http://schemas.openxmlformats.org/officeDocument/2006/relationships/hyperlink" Target="https://cleartax.in/s/time-limit-for-e-way-bill-generation" TargetMode="External"/><Relationship Id="rId436" Type="http://schemas.openxmlformats.org/officeDocument/2006/relationships/hyperlink" Target="https://statetax.goa.gov.in/PDF/gst_forms/Payment.pdf" TargetMode="External"/><Relationship Id="rId437" Type="http://schemas.openxmlformats.org/officeDocument/2006/relationships/hyperlink" Target="https://developers.qodex.ai/sandbox-api/gst-compliance/taxpayer-ledgers/get-cash-ledger" TargetMode="External"/><Relationship Id="rId438" Type="http://schemas.openxmlformats.org/officeDocument/2006/relationships/hyperlink" Target="https://developer.gst.gov.in/apiportal/taxpayer/ledger" TargetMode="External"/><Relationship Id="rId439" Type="http://schemas.openxmlformats.org/officeDocument/2006/relationships/hyperlink" Target="https://taxinformation.cbic.gov.in/content/html/tax_repository/gst/rules/cgst_rules/active/chapter9/rule88b_v1.00.html" TargetMode="External"/><Relationship Id="rId440" Type="http://schemas.openxmlformats.org/officeDocument/2006/relationships/hyperlink" Target="https://gsthero.com/blog/electronic-credit-reversal-and-reclaimed-statement/" TargetMode="External"/><Relationship Id="rId441" Type="http://schemas.openxmlformats.org/officeDocument/2006/relationships/hyperlink" Target="https://www.cygnet.one/blog/understanding-electronic-credit-reversal-and-re-claimed-statement-ecrs" TargetMode="External"/><Relationship Id="rId442" Type="http://schemas.openxmlformats.org/officeDocument/2006/relationships/hyperlink" Target="https://tutorial.gst.gov.in/userguide/demandsandrecovery/Manual_GST_FORM_DRC-03.htm" TargetMode="External"/><Relationship Id="rId443" Type="http://schemas.openxmlformats.org/officeDocument/2006/relationships/hyperlink" Target="https://www.gstgyaan.com/advisory-for-form-gst-drc-03a-dated-05-06-2024" TargetMode="External"/><Relationship Id="rId444" Type="http://schemas.openxmlformats.org/officeDocument/2006/relationships/hyperlink" Target="https://www.neist.res.in/assets/pdf/CAZPT3636C-2026.pdf" TargetMode="External"/><Relationship Id="rId445" Type="http://schemas.openxmlformats.org/officeDocument/2006/relationships/hyperlink" Target="https://cleartax.in/s/view-form-26as-tax-credit-statement" TargetMode="External"/><Relationship Id="rId446" Type="http://schemas.openxmlformats.org/officeDocument/2006/relationships/hyperlink" Target="https://blog.tdsman.com/2014/06/faq-on-form-26as" TargetMode="External"/><Relationship Id="rId447" Type="http://schemas.openxmlformats.org/officeDocument/2006/relationships/hyperlink" Target="https://blog.tdsman.com/2026/02/different-matching-statuses-form-16-form-16a/" TargetMode="External"/><Relationship Id="rId448" Type="http://schemas.openxmlformats.org/officeDocument/2006/relationships/hyperlink" Target="https://www.incometaxindia.gov.in/documents/d/guest/form-168-faqs" TargetMode="External"/><Relationship Id="rId449" Type="http://schemas.openxmlformats.org/officeDocument/2006/relationships/hyperlink" Target="https://www.incometax.gov.in/iec/foportal/help/all-topics/e-filing-services/ais-annual-information-statement" TargetMode="External"/><Relationship Id="rId450" Type="http://schemas.openxmlformats.org/officeDocument/2006/relationships/hyperlink" Target="https://www.incometax.gov.in/iec/foportal/help/all-topics/e-filing-services/ais%20-%20annual%20information%20statement-faqs" TargetMode="External"/><Relationship Id="rId451" Type="http://schemas.openxmlformats.org/officeDocument/2006/relationships/hyperlink" Target="https://taxguru.in/income-tax/view-ais-annual-information-statement.html" TargetMode="External"/><Relationship Id="rId452" Type="http://schemas.openxmlformats.org/officeDocument/2006/relationships/hyperlink" Target="https://www.taxaj.com/learn/?p=304" TargetMode="External"/><Relationship Id="rId453" Type="http://schemas.openxmlformats.org/officeDocument/2006/relationships/hyperlink" Target="https://www.incometax.gov.in/iec/foportal/sites/default/files/2026-07/ITR%203_Schema%20change%20document_AY2026-27_V1.1_0.pdf" TargetMode="External"/><Relationship Id="rId454" Type="http://schemas.openxmlformats.org/officeDocument/2006/relationships/hyperlink" Target="https://www.taxheal.com/part-b-tti-computation-of-tax-liability-on-total-income-ay-2026-27.html" TargetMode="External"/><Relationship Id="rId455" Type="http://schemas.openxmlformats.org/officeDocument/2006/relationships/hyperlink" Target="https://www.taxheal.com/part-b-ti-statement-of-income-for-the-period-ended-on-31st-march-ay-2026-27.html" TargetMode="External"/><Relationship Id="rId456" Type="http://schemas.openxmlformats.org/officeDocument/2006/relationships/hyperlink" Target="https://incometaxindia.gov.in/documents/d/guest/circular-7-2026-pdf" TargetMode="External"/><Relationship Id="rId457" Type="http://schemas.openxmlformats.org/officeDocument/2006/relationships/hyperlink" Target="https://www.incometaxindia.gov.in/w/rule-37ba" TargetMode="External"/><Relationship Id="rId458" Type="http://schemas.openxmlformats.org/officeDocument/2006/relationships/hyperlink" Target="https://www.incometaxindia.gov.in/documents/d/guest/form-130-faqs" TargetMode="External"/><Relationship Id="rId459" Type="http://schemas.openxmlformats.org/officeDocument/2006/relationships/hyperlink" Target="https://www.incometaxindia.gov.in/documents/d/guest/fn-138" TargetMode="External"/><Relationship Id="rId460" Type="http://schemas.openxmlformats.org/officeDocument/2006/relationships/hyperlink" Target="https://taxguru.in/income-tax/income-tax-form-131-tds-certificate-u-s-395-4-non-salary-pension-senior-citizen-interest.html" TargetMode="External"/><Relationship Id="rId461" Type="http://schemas.openxmlformats.org/officeDocument/2006/relationships/hyperlink" Target="https://blog.tdsman.com/downloads/key_features_fvu_1_2.pdf" TargetMode="External"/><Relationship Id="rId462" Type="http://schemas.openxmlformats.org/officeDocument/2006/relationships/hyperlink" Target="https://blog.tdsman.com/2026/08/new-file-validation-utility-fvu-version-1-2-released-on-19th-august-2026/" TargetMode="External"/><Relationship Id="rId463" Type="http://schemas.openxmlformats.org/officeDocument/2006/relationships/hyperlink" Target="https://docs.oracle.com/cd/E16582_01/doc.91/e23355/txt_file_field_26q.htm" TargetMode="External"/><Relationship Id="rId464" Type="http://schemas.openxmlformats.org/officeDocument/2006/relationships/hyperlink" Target="https://tinpan.proteantech.in/downloads/e-tds/download/26Q_04012018.pdf" TargetMode="External"/><Relationship Id="rId465" Type="http://schemas.openxmlformats.org/officeDocument/2006/relationships/hyperlink" Target="https://www.incometaxindia.gov.in/w/rule-219-1" TargetMode="External"/><Relationship Id="rId466" Type="http://schemas.openxmlformats.org/officeDocument/2006/relationships/hyperlink" Target="https://www.incometaxindia.gov.in/documents/d/guest/fn-140" TargetMode="External"/><Relationship Id="rId467" Type="http://schemas.openxmlformats.org/officeDocument/2006/relationships/hyperlink" Target="https://tinpan.proteantech.in/downloads/e-tds/download/DosandDontsdeductorscollectors.pdf" TargetMode="External"/><Relationship Id="rId468" Type="http://schemas.openxmlformats.org/officeDocument/2006/relationships/hyperlink" Target="https://www.incometaxindia.gov.in/documents/d/guest/fn-144" TargetMode="External"/><Relationship Id="rId469" Type="http://schemas.openxmlformats.org/officeDocument/2006/relationships/hyperlink" Target="https://www.incometaxindia.gov.in/documents/d/guest/fn-143" TargetMode="External"/><Relationship Id="rId470" Type="http://schemas.openxmlformats.org/officeDocument/2006/relationships/hyperlink" Target="https://taxguru.in/income-tax/q1-tax-year-2026-27-tds-tcs-return-filing-forms-due-dates.html" TargetMode="External"/><Relationship Id="rId471" Type="http://schemas.openxmlformats.org/officeDocument/2006/relationships/hyperlink" Target="https://cleartax.in/s/tds-challan-itns-281" TargetMode="External"/><Relationship Id="rId472" Type="http://schemas.openxmlformats.org/officeDocument/2006/relationships/hyperlink" Target="https://www.incometaxindia.gov.in/w/rule-218-1" TargetMode="External"/><Relationship Id="rId473" Type="http://schemas.openxmlformats.org/officeDocument/2006/relationships/hyperlink" Target="https://www.incometaxindia.gov.in/documents/d/guest/fn-137" TargetMode="External"/><Relationship Id="rId474" Type="http://schemas.openxmlformats.org/officeDocument/2006/relationships/hyperlink" Target="https://cleartax.in/s/download-justification-report-to-reply-to-tds-demand-notice" TargetMode="External"/><Relationship Id="rId475" Type="http://schemas.openxmlformats.org/officeDocument/2006/relationships/hyperlink" Target="https://learn.quicko.com/traces-download-justification-report-24q-26q-27q" TargetMode="External"/><Relationship Id="rId476" Type="http://schemas.openxmlformats.org/officeDocument/2006/relationships/hyperlink" Target="https://blog.tdsman.com/2013/07/evaluate-your-tds-defaults-using-justification-report-downloaded-from-traces/" TargetMode="External"/><Relationship Id="rId477" Type="http://schemas.openxmlformats.org/officeDocument/2006/relationships/hyperlink" Target="https://www.incometaxindia.gov.in/w/section-397-6" TargetMode="External"/><Relationship Id="rId478" Type="http://schemas.openxmlformats.org/officeDocument/2006/relationships/hyperlink" Target="https://help.tallysolutions.com/tally-prime/export-data-in-tally" TargetMode="External"/><Relationship Id="rId479" Type="http://schemas.openxmlformats.org/officeDocument/2006/relationships/hyperlink" Target="https://help.tallysolutions.com/tally-prime/import-data/download-sample-excel-files-with-data-for-import" TargetMode="External"/><Relationship Id="rId480" Type="http://schemas.openxmlformats.org/officeDocument/2006/relationships/hyperlink" Target="https://www.pkcindia.com/blog/form-3cd-reporting-for-ay-2026-27-clause-wise-changes-every-business-should-check-before-the-tax-audit/" TargetMode="External"/><Relationship Id="rId481" Type="http://schemas.openxmlformats.org/officeDocument/2006/relationships/hyperlink" Target="https://calcguru.in/?p=8211" TargetMode="External"/><Relationship Id="rId482" Type="http://schemas.openxmlformats.org/officeDocument/2006/relationships/hyperlink" Target="https://taxguru.in/income-tax/tax-audit-fy-2025-26-guide-form-3cd.html" TargetMode="External"/><Relationship Id="rId483" Type="http://schemas.openxmlformats.org/officeDocument/2006/relationships/hyperlink" Target="https://cleartax.in/s/form-26-tax-audit" TargetMode="External"/><Relationship Id="rId484" Type="http://schemas.openxmlformats.org/officeDocument/2006/relationships/hyperlink" Target="https://www.incometaxindia.gov.in/w/section-234c-37" TargetMode="External"/><Relationship Id="rId485" Type="http://schemas.openxmlformats.org/officeDocument/2006/relationships/hyperlink" Target="https://www.incometaxindia.gov.in/w/section-425-5" TargetMode="External"/><Relationship Id="rId486" Type="http://schemas.openxmlformats.org/officeDocument/2006/relationships/hyperlink" Target="https://www.epfindia.gov.in:443/site_docs/PDFs/MiscPDFs/ContributionRate.pdf" TargetMode="External"/><Relationship Id="rId487" Type="http://schemas.openxmlformats.org/officeDocument/2006/relationships/hyperlink" Target="https://web.esic.gov.in/web/esic/contribution" TargetMode="External"/><Relationship Id="rId488" Type="http://schemas.openxmlformats.org/officeDocument/2006/relationships/hyperlink" Target="https://www.epfindia.gov.in:443/site_docs/PDFs/EPFOUnifiedPortal/Introduction_ECR2.0.pdf" TargetMode="External"/><Relationship Id="rId489" Type="http://schemas.openxmlformats.org/officeDocument/2006/relationships/hyperlink" Target="https://epfindia.gov.in/site_docs/PDFs/OnlineECR_PDFs/ECR_ForEmployers_FileStructure.pdf" TargetMode="External"/><Relationship Id="rId490" Type="http://schemas.openxmlformats.org/officeDocument/2006/relationships/hyperlink" Target="https://www.epfindia.gov.in/site_en/revamped_ecr.php" TargetMode="External"/><Relationship Id="rId491" Type="http://schemas.openxmlformats.org/officeDocument/2006/relationships/hyperlink" Target="https://vcportal.endurancegroup.com/data/contractor/2303_13__section1_.pdf" TargetMode="External"/><Relationship Id="rId492" Type="http://schemas.openxmlformats.org/officeDocument/2006/relationships/hyperlink" Target="https://docs.pockethrms.com/report-generation/esi-return-file" TargetMode="External"/><Relationship Id="rId493" Type="http://schemas.openxmlformats.org/officeDocument/2006/relationships/hyperlink" Target="https://shmch.delhi.gov.in/sites/default/files/inline-files/esic_2.pdf" TargetMode="External"/><Relationship Id="rId494" Type="http://schemas.openxmlformats.org/officeDocument/2006/relationships/hyperlink" Target="https://support.paybooks.in/support/solutions/articles/4000092794-why-values-need-be-selected-in-esi-remarks-field-" TargetMode="External"/><Relationship Id="rId495" Type="http://schemas.openxmlformats.org/officeDocument/2006/relationships/hyperlink" Target="https://bankbazaar.com/tax/maharashtra-professional-tax-slab-rate.html" TargetMode="External"/><Relationship Id="rId496" Type="http://schemas.openxmlformats.org/officeDocument/2006/relationships/hyperlink" Target="https://wbxpress.com/schedule-rates-tax-professions-trades-callings-employments-2026/" TargetMode="External"/><Relationship Id="rId497" Type="http://schemas.openxmlformats.org/officeDocument/2006/relationships/hyperlink" Target="https://help.tallysolutions.com/docs/te9rel66/Reports/Display_Registers_Ledgers/Sales_Register_Sales_Day_Book.htm" TargetMode="External"/><Relationship Id="rId498" Type="http://schemas.openxmlformats.org/officeDocument/2006/relationships/hyperlink" Target="https://www.rbi.org.in/commonman/English/scripts/Notification.aspx?Id=961" TargetMode="External"/><Relationship Id="rId499" Type="http://schemas.openxmlformats.org/officeDocument/2006/relationships/hyperlink" Target="https://taxguru.in/company-law/summary-clauses-caro-2020-consequential-amendments-schedule-iii-companies-act-2013.html" TargetMode="External"/><Relationship Id="rId500" Type="http://schemas.openxmlformats.org/officeDocument/2006/relationships/hyperlink" Target="https://www.dpncindia.com/amendment-in-schedule-iii-of-the-companies-act-2013-applicable-w-e-f-01-04-2021" TargetMode="External"/><Relationship Id="rId501" Type="http://schemas.openxmlformats.org/officeDocument/2006/relationships/hyperlink" Target="https://www.taxmann.com/post/blog/mca-revises-msme-form-1-with-enhanced-disclosures-for-reporting-payments-pending-over-45-days-to-micro-small-enterprises/" TargetMode="External"/><Relationship Id="rId502" Type="http://schemas.openxmlformats.org/officeDocument/2006/relationships/hyperlink" Target="https://foxmandal.in/news/monetary-limits-for-msme-classification-revised/" TargetMode="External"/>
</Relationships>
</file>

<file path=xl/worksheets/_rels/sheet32.xml.rels><?xml version="1.0" encoding="UTF-8"?>
<Relationships xmlns="http://schemas.openxmlformats.org/package/2006/relationships"><Relationship Id="rId1" Type="http://schemas.openxmlformats.org/officeDocument/2006/relationships/hyperlink" Target="Recon_Tool_Rulebook_v2.xlsx" TargetMode="External"/>
</Relationships>
</file>

<file path=xl/worksheets/_rels/sheet33.xml.rels><?xml version="1.0" encoding="UTF-8"?>
<Relationships xmlns="http://schemas.openxmlformats.org/package/2006/relationships"><Relationship Id="rId1" Type="http://schemas.openxmlformats.org/officeDocument/2006/relationships/hyperlink" Target="Recon_Tool_Rulebook_v2.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C27"/>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3" min="3" style="0" width="100"/>
  </cols>
  <sheetData>
    <row r="1" customFormat="false" ht="15" hidden="false" customHeight="false" outlineLevel="0" collapsed="false">
      <c r="A1" s="1"/>
      <c r="B1" s="1"/>
      <c r="C1" s="1"/>
    </row>
    <row r="2" customFormat="false" ht="26.8" hidden="false" customHeight="false" outlineLevel="0" collapsed="false">
      <c r="A2" s="1"/>
      <c r="B2" s="2" t="s">
        <v>0</v>
      </c>
      <c r="C2" s="1"/>
    </row>
    <row r="3" customFormat="false" ht="19.7" hidden="false" customHeight="false" outlineLevel="0" collapsed="false">
      <c r="A3" s="1"/>
      <c r="B3" s="3" t="s">
        <v>1</v>
      </c>
      <c r="C3" s="1"/>
    </row>
    <row r="4" customFormat="false" ht="15" hidden="false" customHeight="false" outlineLevel="0" collapsed="false">
      <c r="A4" s="1"/>
      <c r="B4" s="1"/>
      <c r="C4" s="1"/>
    </row>
    <row r="5" customFormat="false" ht="15" hidden="false" customHeight="false" outlineLevel="0" collapsed="false">
      <c r="A5" s="1"/>
      <c r="B5" s="4" t="s">
        <v>2</v>
      </c>
      <c r="C5" s="1"/>
    </row>
    <row r="6" customFormat="false" ht="15" hidden="false" customHeight="false" outlineLevel="0" collapsed="false">
      <c r="A6" s="1"/>
      <c r="B6" s="1"/>
      <c r="C6" s="1"/>
    </row>
    <row r="7" customFormat="false" ht="15" hidden="false" customHeight="false" outlineLevel="0" collapsed="false">
      <c r="A7" s="5"/>
      <c r="B7" s="5"/>
      <c r="C7" s="5"/>
    </row>
    <row r="9" customFormat="false" ht="15" hidden="false" customHeight="true" outlineLevel="0" collapsed="false">
      <c r="B9" s="6" t="s">
        <v>3</v>
      </c>
      <c r="C9" s="7" t="s">
        <v>4</v>
      </c>
    </row>
    <row r="10" customFormat="false" ht="25.5" hidden="false" customHeight="true" outlineLevel="0" collapsed="false">
      <c r="B10" s="6" t="s">
        <v>5</v>
      </c>
      <c r="C10" s="7" t="s">
        <v>6</v>
      </c>
    </row>
    <row r="11" customFormat="false" ht="15" hidden="false" customHeight="true" outlineLevel="0" collapsed="false">
      <c r="B11" s="6" t="s">
        <v>7</v>
      </c>
      <c r="C11" s="7" t="n">
        <f aca="false">Contents!D6+Contents!D7+Contents!D8+Contents!D9</f>
        <v>90</v>
      </c>
    </row>
    <row r="12" customFormat="false" ht="25.5" hidden="false" customHeight="true" outlineLevel="0" collapsed="false">
      <c r="B12" s="6" t="s">
        <v>8</v>
      </c>
      <c r="C12" s="7" t="n">
        <f aca="false">Contents!D11+Contents!D12+Contents!D13+Contents!D14+Contents!D15+Contents!D16+Contents!D17+Contents!D18+Contents!D19+Contents!D20+Contents!D21+Contents!D22+Contents!D23+Contents!D24</f>
        <v>214</v>
      </c>
    </row>
    <row r="13" customFormat="false" ht="15" hidden="false" customHeight="true" outlineLevel="0" collapsed="false">
      <c r="B13" s="6" t="s">
        <v>9</v>
      </c>
      <c r="C13" s="7" t="n">
        <f aca="false">Contents!E25</f>
        <v>77</v>
      </c>
    </row>
    <row r="14" customFormat="false" ht="15" hidden="false" customHeight="true" outlineLevel="0" collapsed="false">
      <c r="B14" s="6" t="s">
        <v>10</v>
      </c>
      <c r="C14" s="7" t="s">
        <v>11</v>
      </c>
    </row>
    <row r="15" customFormat="false" ht="25.5" hidden="false" customHeight="true" outlineLevel="0" collapsed="false">
      <c r="B15" s="6" t="s">
        <v>12</v>
      </c>
      <c r="C15" s="7" t="s">
        <v>13</v>
      </c>
    </row>
    <row r="17" customFormat="false" ht="15" hidden="false" customHeight="false" outlineLevel="0" collapsed="false">
      <c r="B17" s="8" t="s">
        <v>14</v>
      </c>
    </row>
    <row r="18" customFormat="false" ht="15" hidden="false" customHeight="false" outlineLevel="0" collapsed="false">
      <c r="B18" s="9" t="s">
        <v>15</v>
      </c>
      <c r="C18" s="10" t="s">
        <v>16</v>
      </c>
    </row>
    <row r="19" customFormat="false" ht="15" hidden="false" customHeight="false" outlineLevel="0" collapsed="false">
      <c r="B19" s="11" t="s">
        <v>17</v>
      </c>
      <c r="C19" s="10" t="s">
        <v>18</v>
      </c>
    </row>
    <row r="20" customFormat="false" ht="15" hidden="false" customHeight="false" outlineLevel="0" collapsed="false">
      <c r="B20" s="12" t="s">
        <v>19</v>
      </c>
      <c r="C20" s="10" t="s">
        <v>20</v>
      </c>
    </row>
    <row r="21" customFormat="false" ht="15" hidden="false" customHeight="false" outlineLevel="0" collapsed="false">
      <c r="B21" s="13" t="s">
        <v>21</v>
      </c>
      <c r="C21" s="10" t="s">
        <v>22</v>
      </c>
    </row>
    <row r="22" customFormat="false" ht="15" hidden="false" customHeight="false" outlineLevel="0" collapsed="false">
      <c r="B22" s="14" t="s">
        <v>23</v>
      </c>
      <c r="C22" s="10" t="s">
        <v>24</v>
      </c>
    </row>
    <row r="24" customFormat="false" ht="15" hidden="false" customHeight="false" outlineLevel="0" collapsed="false">
      <c r="B24" s="15" t="s">
        <v>25</v>
      </c>
    </row>
    <row r="25" customFormat="false" ht="75" hidden="false" customHeight="true" outlineLevel="0" collapsed="false">
      <c r="B25" s="16" t="s">
        <v>26</v>
      </c>
      <c r="C25" s="16"/>
    </row>
    <row r="27" customFormat="false" ht="15" hidden="false" customHeight="false" outlineLevel="0" collapsed="false">
      <c r="B27" s="17" t="s">
        <v>27</v>
      </c>
    </row>
  </sheetData>
  <mergeCells count="1">
    <mergeCell ref="B25:C25"/>
  </mergeCells>
  <hyperlinks>
    <hyperlink ref="B27" r:id="rId1" location="'Contents'!A1" display="Go to Contents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J4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0"/>
    <col collapsed="false" customWidth="true" hidden="false" outlineLevel="0" max="4" min="4" style="0" width="8"/>
    <col collapsed="false" customWidth="true" hidden="false" outlineLevel="0" max="9" min="5" style="0" width="12"/>
    <col collapsed="false" customWidth="true" hidden="false" outlineLevel="0" max="10" min="10" style="0" width="10"/>
  </cols>
  <sheetData>
    <row r="1" customFormat="false" ht="30" hidden="false" customHeight="true" outlineLevel="0" collapsed="false">
      <c r="A1" s="18" t="s">
        <v>28</v>
      </c>
      <c r="B1" s="18"/>
      <c r="C1" s="18"/>
      <c r="D1" s="18"/>
      <c r="E1" s="18"/>
      <c r="F1" s="18"/>
      <c r="G1" s="18"/>
      <c r="H1" s="18"/>
      <c r="I1" s="18"/>
      <c r="J1" s="19" t="s">
        <v>29</v>
      </c>
    </row>
    <row r="2" customFormat="false" ht="31.5" hidden="false" customHeight="true" outlineLevel="0" collapsed="false">
      <c r="A2" s="20" t="s">
        <v>30</v>
      </c>
      <c r="B2" s="20"/>
      <c r="C2" s="20"/>
      <c r="D2" s="20"/>
      <c r="E2" s="20"/>
      <c r="F2" s="20"/>
      <c r="G2" s="20"/>
      <c r="H2" s="20"/>
      <c r="I2" s="20"/>
      <c r="J2" s="20"/>
    </row>
    <row r="4" customFormat="false" ht="33.75" hidden="false" customHeight="true" outlineLevel="0" collapsed="false">
      <c r="A4" s="21" t="s">
        <v>31</v>
      </c>
      <c r="B4" s="21" t="s">
        <v>32</v>
      </c>
      <c r="C4" s="21" t="s">
        <v>33</v>
      </c>
      <c r="D4" s="21" t="s">
        <v>34</v>
      </c>
      <c r="E4" s="21" t="s">
        <v>35</v>
      </c>
      <c r="F4" s="21" t="s">
        <v>36</v>
      </c>
      <c r="G4" s="21" t="s">
        <v>19</v>
      </c>
      <c r="H4" s="21" t="s">
        <v>37</v>
      </c>
      <c r="I4" s="21" t="s">
        <v>38</v>
      </c>
      <c r="J4" s="21" t="s">
        <v>39</v>
      </c>
    </row>
    <row r="5" customFormat="false" ht="15" hidden="false" customHeight="false" outlineLevel="0" collapsed="false">
      <c r="B5" s="8" t="s">
        <v>40</v>
      </c>
    </row>
    <row r="6" customFormat="false" ht="32.8" hidden="false" customHeight="false" outlineLevel="0" collapsed="false">
      <c r="A6" s="22" t="n">
        <v>1</v>
      </c>
      <c r="B6" s="23" t="s">
        <v>41</v>
      </c>
      <c r="C6" s="22" t="s">
        <v>42</v>
      </c>
      <c r="D6" s="24" t="n">
        <f aca="false">COUNTA('Recon – GST'!A6:A2000)</f>
        <v>40</v>
      </c>
      <c r="E6" s="22" t="n">
        <f aca="false">COUNTIF('Recon – GST'!E6:E2000,"Verified – official source")</f>
        <v>0</v>
      </c>
      <c r="F6" s="22" t="n">
        <f aca="false">COUNTIF('Recon – GST'!E6:E2000,"Verified – secondary source only")</f>
        <v>4</v>
      </c>
      <c r="G6" s="22" t="n">
        <f aca="false">COUNTIF('Recon – GST'!E6:E2000,"Partially verified")</f>
        <v>30</v>
      </c>
      <c r="H6" s="22" t="n">
        <f aca="false">COUNTIF('Recon – GST'!E6:E2000,"Unverified – needs CA review")</f>
        <v>6</v>
      </c>
      <c r="I6" s="22" t="n">
        <f aca="false">COUNTIF('Recon – GST'!E6:E2000,"Ambiguous / conflicting – needs CA review")</f>
        <v>0</v>
      </c>
      <c r="J6" s="25" t="n">
        <f aca="false">IF(D6=0,0,E6/D6)</f>
        <v>0</v>
      </c>
    </row>
    <row r="7" customFormat="false" ht="22.35" hidden="false" customHeight="false" outlineLevel="0" collapsed="false">
      <c r="A7" s="22" t="n">
        <v>2</v>
      </c>
      <c r="B7" s="23" t="s">
        <v>43</v>
      </c>
      <c r="C7" s="22" t="s">
        <v>44</v>
      </c>
      <c r="D7" s="24" t="n">
        <f aca="false">COUNTA('Recon – TDS &amp; Income Tax'!A6:A2000)</f>
        <v>25</v>
      </c>
      <c r="E7" s="22" t="n">
        <f aca="false">COUNTIF('Recon – TDS &amp; Income Tax'!E6:E2000,"Verified – official source")</f>
        <v>1</v>
      </c>
      <c r="F7" s="22" t="n">
        <f aca="false">COUNTIF('Recon – TDS &amp; Income Tax'!E6:E2000,"Verified – secondary source only")</f>
        <v>1</v>
      </c>
      <c r="G7" s="22" t="n">
        <f aca="false">COUNTIF('Recon – TDS &amp; Income Tax'!E6:E2000,"Partially verified")</f>
        <v>22</v>
      </c>
      <c r="H7" s="22" t="n">
        <f aca="false">COUNTIF('Recon – TDS &amp; Income Tax'!E6:E2000,"Unverified – needs CA review")</f>
        <v>1</v>
      </c>
      <c r="I7" s="22" t="n">
        <f aca="false">COUNTIF('Recon – TDS &amp; Income Tax'!E6:E2000,"Ambiguous / conflicting – needs CA review")</f>
        <v>0</v>
      </c>
      <c r="J7" s="25" t="n">
        <f aca="false">IF(D7=0,0,E7/D7)</f>
        <v>0.04</v>
      </c>
    </row>
    <row r="8" customFormat="false" ht="22.35" hidden="false" customHeight="false" outlineLevel="0" collapsed="false">
      <c r="A8" s="22" t="n">
        <v>3</v>
      </c>
      <c r="B8" s="23" t="s">
        <v>45</v>
      </c>
      <c r="C8" s="22" t="s">
        <v>46</v>
      </c>
      <c r="D8" s="24" t="n">
        <f aca="false">COUNTA('Recon – Payroll'!A6:A2000)</f>
        <v>8</v>
      </c>
      <c r="E8" s="22" t="n">
        <f aca="false">COUNTIF('Recon – Payroll'!E6:E2000,"Verified – official source")</f>
        <v>0</v>
      </c>
      <c r="F8" s="22" t="n">
        <f aca="false">COUNTIF('Recon – Payroll'!E6:E2000,"Verified – secondary source only")</f>
        <v>3</v>
      </c>
      <c r="G8" s="22" t="n">
        <f aca="false">COUNTIF('Recon – Payroll'!E6:E2000,"Partially verified")</f>
        <v>5</v>
      </c>
      <c r="H8" s="22" t="n">
        <f aca="false">COUNTIF('Recon – Payroll'!E6:E2000,"Unverified – needs CA review")</f>
        <v>0</v>
      </c>
      <c r="I8" s="22" t="n">
        <f aca="false">COUNTIF('Recon – Payroll'!E6:E2000,"Ambiguous / conflicting – needs CA review")</f>
        <v>0</v>
      </c>
      <c r="J8" s="25" t="n">
        <f aca="false">IF(D8=0,0,E8/D8)</f>
        <v>0</v>
      </c>
    </row>
    <row r="9" customFormat="false" ht="22.35" hidden="false" customHeight="false" outlineLevel="0" collapsed="false">
      <c r="A9" s="22" t="n">
        <v>4</v>
      </c>
      <c r="B9" s="23" t="s">
        <v>47</v>
      </c>
      <c r="C9" s="22" t="s">
        <v>48</v>
      </c>
      <c r="D9" s="24" t="n">
        <f aca="false">COUNTA('Recon – Bank &amp; Accounts'!A6:A2000)</f>
        <v>17</v>
      </c>
      <c r="E9" s="22" t="n">
        <f aca="false">COUNTIF('Recon – Bank &amp; Accounts'!E6:E2000,"Verified – official source")</f>
        <v>0</v>
      </c>
      <c r="F9" s="22" t="n">
        <f aca="false">COUNTIF('Recon – Bank &amp; Accounts'!E6:E2000,"Verified – secondary source only")</f>
        <v>4</v>
      </c>
      <c r="G9" s="22" t="n">
        <f aca="false">COUNTIF('Recon – Bank &amp; Accounts'!E6:E2000,"Partially verified")</f>
        <v>9</v>
      </c>
      <c r="H9" s="22" t="n">
        <f aca="false">COUNTIF('Recon – Bank &amp; Accounts'!E6:E2000,"Unverified – needs CA review")</f>
        <v>4</v>
      </c>
      <c r="I9" s="22" t="n">
        <f aca="false">COUNTIF('Recon – Bank &amp; Accounts'!E6:E2000,"Ambiguous / conflicting – needs CA review")</f>
        <v>0</v>
      </c>
      <c r="J9" s="25" t="n">
        <f aca="false">IF(D9=0,0,E9/D9)</f>
        <v>0</v>
      </c>
    </row>
    <row r="10" customFormat="false" ht="15" hidden="false" customHeight="false" outlineLevel="0" collapsed="false">
      <c r="B10" s="8" t="s">
        <v>49</v>
      </c>
    </row>
    <row r="11" customFormat="false" ht="22.35" hidden="false" customHeight="false" outlineLevel="0" collapsed="false">
      <c r="A11" s="22" t="n">
        <v>5</v>
      </c>
      <c r="B11" s="23" t="s">
        <v>50</v>
      </c>
      <c r="C11" s="22" t="s">
        <v>51</v>
      </c>
      <c r="D11" s="24" t="n">
        <f aca="false">COUNTA('Income Tax'!A6:A2000)</f>
        <v>25</v>
      </c>
      <c r="E11" s="22" t="n">
        <f aca="false">COUNTIF('Income Tax'!E6:E2000,"Verified – official source")</f>
        <v>13</v>
      </c>
      <c r="F11" s="22" t="n">
        <f aca="false">COUNTIF('Income Tax'!E6:E2000,"Verified – secondary source only")</f>
        <v>1</v>
      </c>
      <c r="G11" s="22" t="n">
        <f aca="false">COUNTIF('Income Tax'!E6:E2000,"Partially verified")</f>
        <v>11</v>
      </c>
      <c r="H11" s="22" t="n">
        <f aca="false">COUNTIF('Income Tax'!E6:E2000,"Unverified – needs CA review")</f>
        <v>0</v>
      </c>
      <c r="I11" s="22" t="n">
        <f aca="false">COUNTIF('Income Tax'!E6:E2000,"Ambiguous / conflicting – needs CA review")</f>
        <v>0</v>
      </c>
      <c r="J11" s="25" t="n">
        <f aca="false">IF(D11=0,0,E11/D11)</f>
        <v>0.52</v>
      </c>
    </row>
    <row r="12" customFormat="false" ht="15" hidden="false" customHeight="false" outlineLevel="0" collapsed="false">
      <c r="A12" s="22" t="n">
        <v>6</v>
      </c>
      <c r="B12" s="23" t="s">
        <v>52</v>
      </c>
      <c r="C12" s="22" t="s">
        <v>53</v>
      </c>
      <c r="D12" s="24" t="n">
        <f aca="false">COUNTA('Advance Tax &amp; Interest'!A6:A2000)</f>
        <v>8</v>
      </c>
      <c r="E12" s="22" t="n">
        <f aca="false">COUNTIF('Advance Tax &amp; Interest'!E6:E2000,"Verified – official source")</f>
        <v>7</v>
      </c>
      <c r="F12" s="22" t="n">
        <f aca="false">COUNTIF('Advance Tax &amp; Interest'!E6:E2000,"Verified – secondary source only")</f>
        <v>0</v>
      </c>
      <c r="G12" s="22" t="n">
        <f aca="false">COUNTIF('Advance Tax &amp; Interest'!E6:E2000,"Partially verified")</f>
        <v>1</v>
      </c>
      <c r="H12" s="22" t="n">
        <f aca="false">COUNTIF('Advance Tax &amp; Interest'!E6:E2000,"Unverified – needs CA review")</f>
        <v>0</v>
      </c>
      <c r="I12" s="22" t="n">
        <f aca="false">COUNTIF('Advance Tax &amp; Interest'!E6:E2000,"Ambiguous / conflicting – needs CA review")</f>
        <v>0</v>
      </c>
      <c r="J12" s="25" t="n">
        <f aca="false">IF(D12=0,0,E12/D12)</f>
        <v>0.875</v>
      </c>
    </row>
    <row r="13" customFormat="false" ht="15" hidden="false" customHeight="false" outlineLevel="0" collapsed="false">
      <c r="A13" s="22" t="n">
        <v>7</v>
      </c>
      <c r="B13" s="23" t="s">
        <v>54</v>
      </c>
      <c r="C13" s="22" t="s">
        <v>55</v>
      </c>
      <c r="D13" s="24" t="n">
        <f aca="false">COUNTA('Returns &amp; 26AS-AIS'!A6:A2000)</f>
        <v>7</v>
      </c>
      <c r="E13" s="22" t="n">
        <f aca="false">COUNTIF('Returns &amp; 26AS-AIS'!E6:E2000,"Verified – official source")</f>
        <v>1</v>
      </c>
      <c r="F13" s="22" t="n">
        <f aca="false">COUNTIF('Returns &amp; 26AS-AIS'!E6:E2000,"Verified – secondary source only")</f>
        <v>0</v>
      </c>
      <c r="G13" s="22" t="n">
        <f aca="false">COUNTIF('Returns &amp; 26AS-AIS'!E6:E2000,"Partially verified")</f>
        <v>4</v>
      </c>
      <c r="H13" s="22" t="n">
        <f aca="false">COUNTIF('Returns &amp; 26AS-AIS'!E6:E2000,"Unverified – needs CA review")</f>
        <v>1</v>
      </c>
      <c r="I13" s="22" t="n">
        <f aca="false">COUNTIF('Returns &amp; 26AS-AIS'!E6:E2000,"Ambiguous / conflicting – needs CA review")</f>
        <v>1</v>
      </c>
      <c r="J13" s="25" t="n">
        <f aca="false">IF(D13=0,0,E13/D13)</f>
        <v>0.142857142857143</v>
      </c>
    </row>
    <row r="14" customFormat="false" ht="22.35" hidden="false" customHeight="false" outlineLevel="0" collapsed="false">
      <c r="A14" s="22" t="n">
        <v>8</v>
      </c>
      <c r="B14" s="23" t="s">
        <v>56</v>
      </c>
      <c r="C14" s="22" t="s">
        <v>57</v>
      </c>
      <c r="D14" s="24" t="n">
        <f aca="false">COUNTA(TDS!A6:A2000)</f>
        <v>49</v>
      </c>
      <c r="E14" s="22" t="n">
        <f aca="false">COUNTIF(TDS!E6:E2000,"Verified – official source")</f>
        <v>28</v>
      </c>
      <c r="F14" s="22" t="n">
        <f aca="false">COUNTIF(TDS!E6:E2000,"Verified – secondary source only")</f>
        <v>1</v>
      </c>
      <c r="G14" s="22" t="n">
        <f aca="false">COUNTIF(TDS!E6:E2000,"Partially verified")</f>
        <v>17</v>
      </c>
      <c r="H14" s="22" t="n">
        <f aca="false">COUNTIF(TDS!E6:E2000,"Unverified – needs CA review")</f>
        <v>3</v>
      </c>
      <c r="I14" s="22" t="n">
        <f aca="false">COUNTIF(TDS!E6:E2000,"Ambiguous / conflicting – needs CA review")</f>
        <v>0</v>
      </c>
      <c r="J14" s="25" t="n">
        <f aca="false">IF(D14=0,0,E14/D14)</f>
        <v>0.571428571428571</v>
      </c>
    </row>
    <row r="15" customFormat="false" ht="22.35" hidden="false" customHeight="false" outlineLevel="0" collapsed="false">
      <c r="A15" s="22" t="n">
        <v>9</v>
      </c>
      <c r="B15" s="23" t="s">
        <v>58</v>
      </c>
      <c r="C15" s="22" t="s">
        <v>59</v>
      </c>
      <c r="D15" s="24" t="n">
        <f aca="false">COUNTA(TCS!A6:A2000)</f>
        <v>9</v>
      </c>
      <c r="E15" s="22" t="n">
        <f aca="false">COUNTIF(TCS!E6:E2000,"Verified – official source")</f>
        <v>6</v>
      </c>
      <c r="F15" s="22" t="n">
        <f aca="false">COUNTIF(TCS!E6:E2000,"Verified – secondary source only")</f>
        <v>0</v>
      </c>
      <c r="G15" s="22" t="n">
        <f aca="false">COUNTIF(TCS!E6:E2000,"Partially verified")</f>
        <v>3</v>
      </c>
      <c r="H15" s="22" t="n">
        <f aca="false">COUNTIF(TCS!E6:E2000,"Unverified – needs CA review")</f>
        <v>0</v>
      </c>
      <c r="I15" s="22" t="n">
        <f aca="false">COUNTIF(TCS!E6:E2000,"Ambiguous / conflicting – needs CA review")</f>
        <v>0</v>
      </c>
      <c r="J15" s="25" t="n">
        <f aca="false">IF(D15=0,0,E15/D15)</f>
        <v>0.666666666666667</v>
      </c>
    </row>
    <row r="16" customFormat="false" ht="22.35" hidden="false" customHeight="false" outlineLevel="0" collapsed="false">
      <c r="A16" s="22" t="n">
        <v>10</v>
      </c>
      <c r="B16" s="23" t="s">
        <v>60</v>
      </c>
      <c r="C16" s="22" t="s">
        <v>61</v>
      </c>
      <c r="D16" s="24" t="n">
        <f aca="false">COUNTA(GST!A6:A2000)</f>
        <v>33</v>
      </c>
      <c r="E16" s="22" t="n">
        <f aca="false">COUNTIF(GST!E6:E2000,"Verified – official source")</f>
        <v>6</v>
      </c>
      <c r="F16" s="22" t="n">
        <f aca="false">COUNTIF(GST!E6:E2000,"Verified – secondary source only")</f>
        <v>5</v>
      </c>
      <c r="G16" s="22" t="n">
        <f aca="false">COUNTIF(GST!E6:E2000,"Partially verified")</f>
        <v>21</v>
      </c>
      <c r="H16" s="22" t="n">
        <f aca="false">COUNTIF(GST!E6:E2000,"Unverified – needs CA review")</f>
        <v>1</v>
      </c>
      <c r="I16" s="22" t="n">
        <f aca="false">COUNTIF(GST!E6:E2000,"Ambiguous / conflicting – needs CA review")</f>
        <v>0</v>
      </c>
      <c r="J16" s="25" t="n">
        <f aca="false">IF(D16=0,0,E16/D16)</f>
        <v>0.181818181818182</v>
      </c>
    </row>
    <row r="17" customFormat="false" ht="22.35" hidden="false" customHeight="false" outlineLevel="0" collapsed="false">
      <c r="A17" s="22" t="n">
        <v>11</v>
      </c>
      <c r="B17" s="23" t="s">
        <v>62</v>
      </c>
      <c r="C17" s="22" t="s">
        <v>63</v>
      </c>
      <c r="D17" s="24" t="n">
        <f aca="false">COUNTA(Payroll!A6:A2000)</f>
        <v>37</v>
      </c>
      <c r="E17" s="22" t="n">
        <f aca="false">COUNTIF(Payroll!E6:E2000,"Verified – official source")</f>
        <v>12</v>
      </c>
      <c r="F17" s="22" t="n">
        <f aca="false">COUNTIF(Payroll!E6:E2000,"Verified – secondary source only")</f>
        <v>9</v>
      </c>
      <c r="G17" s="22" t="n">
        <f aca="false">COUNTIF(Payroll!E6:E2000,"Partially verified")</f>
        <v>14</v>
      </c>
      <c r="H17" s="22" t="n">
        <f aca="false">COUNTIF(Payroll!E6:E2000,"Unverified – needs CA review")</f>
        <v>2</v>
      </c>
      <c r="I17" s="22" t="n">
        <f aca="false">COUNTIF(Payroll!E6:E2000,"Ambiguous / conflicting – needs CA review")</f>
        <v>0</v>
      </c>
      <c r="J17" s="25" t="n">
        <f aca="false">IF(D17=0,0,E17/D17)</f>
        <v>0.324324324324324</v>
      </c>
    </row>
    <row r="18" customFormat="false" ht="15" hidden="false" customHeight="false" outlineLevel="0" collapsed="false">
      <c r="A18" s="22" t="n">
        <v>12</v>
      </c>
      <c r="B18" s="23" t="s">
        <v>64</v>
      </c>
      <c r="C18" s="22" t="s">
        <v>65</v>
      </c>
      <c r="D18" s="24" t="n">
        <f aca="false">COUNTA('Bank Reconciliation'!A6:A2000)</f>
        <v>5</v>
      </c>
      <c r="E18" s="22" t="n">
        <f aca="false">COUNTIF('Bank Reconciliation'!E6:E2000,"Verified – official source")</f>
        <v>1</v>
      </c>
      <c r="F18" s="22" t="n">
        <f aca="false">COUNTIF('Bank Reconciliation'!E6:E2000,"Verified – secondary source only")</f>
        <v>3</v>
      </c>
      <c r="G18" s="22" t="n">
        <f aca="false">COUNTIF('Bank Reconciliation'!E6:E2000,"Partially verified")</f>
        <v>1</v>
      </c>
      <c r="H18" s="22" t="n">
        <f aca="false">COUNTIF('Bank Reconciliation'!E6:E2000,"Unverified – needs CA review")</f>
        <v>0</v>
      </c>
      <c r="I18" s="22" t="n">
        <f aca="false">COUNTIF('Bank Reconciliation'!E6:E2000,"Ambiguous / conflicting – needs CA review")</f>
        <v>0</v>
      </c>
      <c r="J18" s="25" t="n">
        <f aca="false">IF(D18=0,0,E18/D18)</f>
        <v>0.2</v>
      </c>
    </row>
    <row r="19" customFormat="false" ht="15" hidden="false" customHeight="false" outlineLevel="0" collapsed="false">
      <c r="A19" s="22" t="n">
        <v>13</v>
      </c>
      <c r="B19" s="23" t="s">
        <v>66</v>
      </c>
      <c r="C19" s="22" t="s">
        <v>67</v>
      </c>
      <c r="D19" s="24" t="n">
        <f aca="false">COUNTA('Trial Balance'!A6:A2000)</f>
        <v>5</v>
      </c>
      <c r="E19" s="22" t="n">
        <f aca="false">COUNTIF('Trial Balance'!E6:E2000,"Verified – official source")</f>
        <v>0</v>
      </c>
      <c r="F19" s="22" t="n">
        <f aca="false">COUNTIF('Trial Balance'!E6:E2000,"Verified – secondary source only")</f>
        <v>4</v>
      </c>
      <c r="G19" s="22" t="n">
        <f aca="false">COUNTIF('Trial Balance'!E6:E2000,"Partially verified")</f>
        <v>1</v>
      </c>
      <c r="H19" s="22" t="n">
        <f aca="false">COUNTIF('Trial Balance'!E6:E2000,"Unverified – needs CA review")</f>
        <v>0</v>
      </c>
      <c r="I19" s="22" t="n">
        <f aca="false">COUNTIF('Trial Balance'!E6:E2000,"Ambiguous / conflicting – needs CA review")</f>
        <v>0</v>
      </c>
      <c r="J19" s="25" t="n">
        <f aca="false">IF(D19=0,0,E19/D19)</f>
        <v>0</v>
      </c>
    </row>
    <row r="20" customFormat="false" ht="22.35" hidden="false" customHeight="false" outlineLevel="0" collapsed="false">
      <c r="A20" s="22" t="n">
        <v>14</v>
      </c>
      <c r="B20" s="23" t="s">
        <v>68</v>
      </c>
      <c r="C20" s="22" t="s">
        <v>69</v>
      </c>
      <c r="D20" s="24" t="n">
        <f aca="false">COUNTA('Ledger Scrutiny'!A6:A2000)</f>
        <v>14</v>
      </c>
      <c r="E20" s="22" t="n">
        <f aca="false">COUNTIF('Ledger Scrutiny'!E6:E2000,"Verified – official source")</f>
        <v>0</v>
      </c>
      <c r="F20" s="22" t="n">
        <f aca="false">COUNTIF('Ledger Scrutiny'!E6:E2000,"Verified – secondary source only")</f>
        <v>3</v>
      </c>
      <c r="G20" s="22" t="n">
        <f aca="false">COUNTIF('Ledger Scrutiny'!E6:E2000,"Partially verified")</f>
        <v>5</v>
      </c>
      <c r="H20" s="22" t="n">
        <f aca="false">COUNTIF('Ledger Scrutiny'!E6:E2000,"Unverified – needs CA review")</f>
        <v>6</v>
      </c>
      <c r="I20" s="22" t="n">
        <f aca="false">COUNTIF('Ledger Scrutiny'!E6:E2000,"Ambiguous / conflicting – needs CA review")</f>
        <v>0</v>
      </c>
      <c r="J20" s="25" t="n">
        <f aca="false">IF(D20=0,0,E20/D20)</f>
        <v>0</v>
      </c>
    </row>
    <row r="21" customFormat="false" ht="15" hidden="false" customHeight="false" outlineLevel="0" collapsed="false">
      <c r="A21" s="22" t="n">
        <v>15</v>
      </c>
      <c r="B21" s="23" t="s">
        <v>70</v>
      </c>
      <c r="C21" s="22" t="s">
        <v>71</v>
      </c>
      <c r="D21" s="24" t="n">
        <f aca="false">COUNTA('Financial Statements'!A6:A2000)</f>
        <v>7</v>
      </c>
      <c r="E21" s="22" t="n">
        <f aca="false">COUNTIF('Financial Statements'!E6:E2000,"Verified – official source")</f>
        <v>0</v>
      </c>
      <c r="F21" s="22" t="n">
        <f aca="false">COUNTIF('Financial Statements'!E6:E2000,"Verified – secondary source only")</f>
        <v>1</v>
      </c>
      <c r="G21" s="22" t="n">
        <f aca="false">COUNTIF('Financial Statements'!E6:E2000,"Partially verified")</f>
        <v>5</v>
      </c>
      <c r="H21" s="22" t="n">
        <f aca="false">COUNTIF('Financial Statements'!E6:E2000,"Unverified – needs CA review")</f>
        <v>0</v>
      </c>
      <c r="I21" s="22" t="n">
        <f aca="false">COUNTIF('Financial Statements'!E6:E2000,"Ambiguous / conflicting – needs CA review")</f>
        <v>1</v>
      </c>
      <c r="J21" s="25" t="n">
        <f aca="false">IF(D21=0,0,E21/D21)</f>
        <v>0</v>
      </c>
    </row>
    <row r="22" customFormat="false" ht="15" hidden="false" customHeight="false" outlineLevel="0" collapsed="false">
      <c r="A22" s="22" t="n">
        <v>16</v>
      </c>
      <c r="B22" s="23" t="s">
        <v>72</v>
      </c>
      <c r="C22" s="22" t="s">
        <v>73</v>
      </c>
      <c r="D22" s="24" t="n">
        <f aca="false">COUNTA(MSME!A6:A2000)</f>
        <v>4</v>
      </c>
      <c r="E22" s="22" t="n">
        <f aca="false">COUNTIF(MSME!E6:E2000,"Verified – official source")</f>
        <v>1</v>
      </c>
      <c r="F22" s="22" t="n">
        <f aca="false">COUNTIF(MSME!E6:E2000,"Verified – secondary source only")</f>
        <v>0</v>
      </c>
      <c r="G22" s="22" t="n">
        <f aca="false">COUNTIF(MSME!E6:E2000,"Partially verified")</f>
        <v>3</v>
      </c>
      <c r="H22" s="22" t="n">
        <f aca="false">COUNTIF(MSME!E6:E2000,"Unverified – needs CA review")</f>
        <v>0</v>
      </c>
      <c r="I22" s="22" t="n">
        <f aca="false">COUNTIF(MSME!E6:E2000,"Ambiguous / conflicting – needs CA review")</f>
        <v>0</v>
      </c>
      <c r="J22" s="25" t="n">
        <f aca="false">IF(D22=0,0,E22/D22)</f>
        <v>0.25</v>
      </c>
    </row>
    <row r="23" customFormat="false" ht="15" hidden="false" customHeight="false" outlineLevel="0" collapsed="false">
      <c r="A23" s="22" t="n">
        <v>17</v>
      </c>
      <c r="B23" s="23" t="s">
        <v>74</v>
      </c>
      <c r="C23" s="22" t="s">
        <v>75</v>
      </c>
      <c r="D23" s="24" t="n">
        <f aca="false">COUNTA('Company Law (MCA)'!A6:A2000)</f>
        <v>4</v>
      </c>
      <c r="E23" s="22" t="n">
        <f aca="false">COUNTIF('Company Law (MCA)'!E6:E2000,"Verified – official source")</f>
        <v>1</v>
      </c>
      <c r="F23" s="22" t="n">
        <f aca="false">COUNTIF('Company Law (MCA)'!E6:E2000,"Verified – secondary source only")</f>
        <v>1</v>
      </c>
      <c r="G23" s="22" t="n">
        <f aca="false">COUNTIF('Company Law (MCA)'!E6:E2000,"Partially verified")</f>
        <v>2</v>
      </c>
      <c r="H23" s="22" t="n">
        <f aca="false">COUNTIF('Company Law (MCA)'!E6:E2000,"Unverified – needs CA review")</f>
        <v>0</v>
      </c>
      <c r="I23" s="22" t="n">
        <f aca="false">COUNTIF('Company Law (MCA)'!E6:E2000,"Ambiguous / conflicting – needs CA review")</f>
        <v>0</v>
      </c>
      <c r="J23" s="25" t="n">
        <f aca="false">IF(D23=0,0,E23/D23)</f>
        <v>0.25</v>
      </c>
    </row>
    <row r="24" customFormat="false" ht="15" hidden="false" customHeight="false" outlineLevel="0" collapsed="false">
      <c r="A24" s="22" t="n">
        <v>18</v>
      </c>
      <c r="B24" s="23" t="s">
        <v>76</v>
      </c>
      <c r="C24" s="22" t="s">
        <v>77</v>
      </c>
      <c r="D24" s="24" t="n">
        <f aca="false">COUNTA(Audit!A6:A2000)</f>
        <v>7</v>
      </c>
      <c r="E24" s="22" t="n">
        <f aca="false">COUNTIF(Audit!E6:E2000,"Verified – official source")</f>
        <v>0</v>
      </c>
      <c r="F24" s="22" t="n">
        <f aca="false">COUNTIF(Audit!E6:E2000,"Verified – secondary source only")</f>
        <v>3</v>
      </c>
      <c r="G24" s="22" t="n">
        <f aca="false">COUNTIF(Audit!E6:E2000,"Partially verified")</f>
        <v>4</v>
      </c>
      <c r="H24" s="22" t="n">
        <f aca="false">COUNTIF(Audit!E6:E2000,"Unverified – needs CA review")</f>
        <v>0</v>
      </c>
      <c r="I24" s="22" t="n">
        <f aca="false">COUNTIF(Audit!E6:E2000,"Ambiguous / conflicting – needs CA review")</f>
        <v>0</v>
      </c>
      <c r="J24" s="25" t="n">
        <f aca="false">IF(D24=0,0,E24/D24)</f>
        <v>0</v>
      </c>
    </row>
    <row r="25" customFormat="false" ht="15" hidden="false" customHeight="false" outlineLevel="0" collapsed="false">
      <c r="A25" s="26"/>
      <c r="B25" s="27" t="s">
        <v>78</v>
      </c>
      <c r="C25" s="26"/>
      <c r="D25" s="27" t="n">
        <f aca="false">D6+D7+D8+D9+D11+D12+D13+D14+D15+D16+D17+D18+D19+D20+D21+D22+D23+D24</f>
        <v>304</v>
      </c>
      <c r="E25" s="27" t="n">
        <f aca="false">E6+E7+E8+E9+E11+E12+E13+E14+E15+E16+E17+E18+E19+E20+E21+E22+E23+E24</f>
        <v>77</v>
      </c>
      <c r="F25" s="27" t="n">
        <f aca="false">F6+F7+F8+F9+F11+F12+F13+F14+F15+F16+F17+F18+F19+F20+F21+F22+F23+F24</f>
        <v>43</v>
      </c>
      <c r="G25" s="27" t="n">
        <f aca="false">G6+G7+G8+G9+G11+G12+G13+G14+G15+G16+G17+G18+G19+G20+G21+G22+G23+G24</f>
        <v>158</v>
      </c>
      <c r="H25" s="27" t="n">
        <f aca="false">H6+H7+H8+H9+H11+H12+H13+H14+H15+H16+H17+H18+H19+H20+H21+H22+H23+H24</f>
        <v>24</v>
      </c>
      <c r="I25" s="27" t="n">
        <f aca="false">I6+I7+I8+I9+I11+I12+I13+I14+I15+I16+I17+I18+I19+I20+I21+I22+I23+I24</f>
        <v>2</v>
      </c>
      <c r="J25" s="28" t="n">
        <f aca="false">IF(D25=0,0,E25/D25)</f>
        <v>0.253289473684211</v>
      </c>
    </row>
    <row r="27" customFormat="false" ht="15" hidden="false" customHeight="false" outlineLevel="0" collapsed="false">
      <c r="B27" s="8" t="s">
        <v>79</v>
      </c>
    </row>
    <row r="28" customFormat="false" ht="15" hidden="false" customHeight="false" outlineLevel="0" collapsed="false">
      <c r="B28" s="29" t="s">
        <v>80</v>
      </c>
      <c r="C28" s="10" t="s">
        <v>81</v>
      </c>
    </row>
    <row r="29" customFormat="false" ht="15" hidden="false" customHeight="false" outlineLevel="0" collapsed="false">
      <c r="B29" s="29" t="s">
        <v>82</v>
      </c>
      <c r="C29" s="10" t="s">
        <v>83</v>
      </c>
    </row>
    <row r="30" customFormat="false" ht="15" hidden="false" customHeight="false" outlineLevel="0" collapsed="false">
      <c r="B30" s="29" t="s">
        <v>84</v>
      </c>
      <c r="C30" s="10" t="s">
        <v>85</v>
      </c>
    </row>
    <row r="31" customFormat="false" ht="15" hidden="false" customHeight="false" outlineLevel="0" collapsed="false">
      <c r="B31" s="29" t="s">
        <v>86</v>
      </c>
      <c r="C31" s="10" t="s">
        <v>87</v>
      </c>
    </row>
    <row r="32" customFormat="false" ht="15" hidden="false" customHeight="false" outlineLevel="0" collapsed="false">
      <c r="B32" s="29" t="s">
        <v>88</v>
      </c>
      <c r="C32" s="10" t="s">
        <v>89</v>
      </c>
    </row>
    <row r="33" customFormat="false" ht="15" hidden="false" customHeight="false" outlineLevel="0" collapsed="false">
      <c r="B33" s="29" t="s">
        <v>90</v>
      </c>
      <c r="C33" s="10" t="s">
        <v>91</v>
      </c>
    </row>
    <row r="34" customFormat="false" ht="15" hidden="false" customHeight="false" outlineLevel="0" collapsed="false">
      <c r="B34" s="29" t="s">
        <v>92</v>
      </c>
      <c r="C34" s="10" t="s">
        <v>93</v>
      </c>
    </row>
    <row r="35" customFormat="false" ht="15" hidden="false" customHeight="false" outlineLevel="0" collapsed="false">
      <c r="B35" s="29" t="s">
        <v>94</v>
      </c>
      <c r="C35" s="10" t="s">
        <v>95</v>
      </c>
    </row>
    <row r="36" customFormat="false" ht="15" hidden="false" customHeight="false" outlineLevel="0" collapsed="false">
      <c r="B36" s="29" t="s">
        <v>96</v>
      </c>
      <c r="C36" s="10" t="s">
        <v>97</v>
      </c>
    </row>
    <row r="37" customFormat="false" ht="15" hidden="false" customHeight="false" outlineLevel="0" collapsed="false">
      <c r="B37" s="29" t="s">
        <v>98</v>
      </c>
      <c r="C37" s="10" t="s">
        <v>99</v>
      </c>
    </row>
    <row r="38" customFormat="false" ht="15" hidden="false" customHeight="false" outlineLevel="0" collapsed="false">
      <c r="B38" s="29" t="s">
        <v>100</v>
      </c>
      <c r="C38" s="10" t="s">
        <v>101</v>
      </c>
    </row>
    <row r="39" customFormat="false" ht="15" hidden="false" customHeight="false" outlineLevel="0" collapsed="false">
      <c r="B39" s="29" t="s">
        <v>102</v>
      </c>
      <c r="C39" s="10" t="s">
        <v>103</v>
      </c>
    </row>
    <row r="40" customFormat="false" ht="15" hidden="false" customHeight="false" outlineLevel="0" collapsed="false">
      <c r="B40" s="29" t="s">
        <v>104</v>
      </c>
      <c r="C40" s="10" t="s">
        <v>105</v>
      </c>
    </row>
    <row r="41" customFormat="false" ht="15" hidden="false" customHeight="false" outlineLevel="0" collapsed="false">
      <c r="B41" s="29" t="s">
        <v>106</v>
      </c>
      <c r="C41" s="10" t="s">
        <v>107</v>
      </c>
    </row>
  </sheetData>
  <mergeCells count="2">
    <mergeCell ref="A1:I1"/>
    <mergeCell ref="A2:J2"/>
  </mergeCells>
  <hyperlinks>
    <hyperlink ref="J1" r:id="rId1" location="'Contents'!A1" display="← Contents"/>
    <hyperlink ref="B6" r:id="rId2" location="'Recon%20–%20GST'!A1" display="Recon – GST"/>
    <hyperlink ref="B7" r:id="rId3" location="'Recon%20–%20TDS%20&amp;%20Income%20Tax'!A1" display="Recon – TDS &amp; Income Tax"/>
    <hyperlink ref="B8" r:id="rId4" location="'Recon%20–%20Payroll'!A1" display="Recon – Payroll"/>
    <hyperlink ref="B9" r:id="rId5" location="'Recon%20–%20Bank%20&amp;%20Accounts'!A1" display="Recon – Bank &amp; Accounts"/>
    <hyperlink ref="B11" r:id="rId6" location="'Income%20Tax'!A1" display="Income Tax"/>
    <hyperlink ref="B12" r:id="rId7" location="'Advance%20Tax%20&amp;%20Interest'!A1" display="Advance Tax &amp; Interest"/>
    <hyperlink ref="B13" r:id="rId8" location="'Returns%20&amp;%2026AS-AIS'!A1" display="Returns &amp; 26AS-AIS"/>
    <hyperlink ref="B14" r:id="rId9" location="'TDS'!A1" display="TDS"/>
    <hyperlink ref="B15" r:id="rId10" location="'TCS'!A1" display="TCS"/>
    <hyperlink ref="B16" r:id="rId11" location="'GST'!A1" display="GST"/>
    <hyperlink ref="B17" r:id="rId12" location="'Payroll'!A1" display="Payroll"/>
    <hyperlink ref="B18" r:id="rId13" location="'Bank%20Reconciliation'!A1" display="Bank Reconciliation"/>
    <hyperlink ref="B19" r:id="rId14" location="'Trial%20Balance'!A1" display="Trial Balance"/>
    <hyperlink ref="B20" r:id="rId15" location="'Ledger%20Scrutiny'!A1" display="Ledger Scrutiny"/>
    <hyperlink ref="B21" r:id="rId16" location="'Financial%20Statements'!A1" display="Financial Statements"/>
    <hyperlink ref="B22" r:id="rId17" location="'MSME'!A1" display="MSME"/>
    <hyperlink ref="B23" r:id="rId18" location="'Company%20Law%20(MCA)'!A1" display="Company Law (MCA)"/>
    <hyperlink ref="B24" r:id="rId19" location="'Audit'!A1" display="Audit"/>
    <hyperlink ref="B28" r:id="rId20" location="'Cover'!A1" display="Cover"/>
    <hyperlink ref="B29" r:id="rId21" location="'Document%20Pair%20Matrix'!A1" display="Document Pair Matrix"/>
    <hyperlink ref="B30" r:id="rId22" location="'Documents'!A1" display="Documents"/>
    <hyperlink ref="B31" r:id="rId23" location="'Document%20Fields'!A1" display="Document Fields"/>
    <hyperlink ref="B32" r:id="rId24" location="'Field%20Map'!A1" display="Field Map"/>
    <hyperlink ref="B33" r:id="rId25" location="'Act%20Transition'!A1" display="Act Transition"/>
    <hyperlink ref="B34" r:id="rId26" location="'Calculators'!A1" display="Calculators"/>
    <hyperlink ref="B35" r:id="rId27" location="'Review%20Register'!A1" display="Review Register"/>
    <hyperlink ref="B36" r:id="rId28" location="'Superseded%20Provisions'!A1" display="Superseded Provisions"/>
    <hyperlink ref="B37" r:id="rId29" location="'Open%20Questions'!A1" display="Open Questions"/>
    <hyperlink ref="B38" r:id="rId30" location="'Rule%20Sources'!A1" display="Rule Sources"/>
    <hyperlink ref="B39" r:id="rId31" location="'Sources%20Consulted'!A1" display="Sources Consulted"/>
    <hyperlink ref="B40" r:id="rId32" location="'YAML%20Conventions'!A1" display="YAML Conventions"/>
    <hyperlink ref="B41" r:id="rId33" location="'Methodology'!A1" display="Methodolog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I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16"/>
    <col collapsed="false" customWidth="true" hidden="false" outlineLevel="0" max="6" min="6" style="0" width="30"/>
    <col collapsed="false" customWidth="true" hidden="false" outlineLevel="0" max="8" min="7" style="0" width="13"/>
    <col collapsed="false" customWidth="true" hidden="false" outlineLevel="0" max="9" min="9" style="0" width="12"/>
    <col collapsed="false" customWidth="true" hidden="false" outlineLevel="0" max="10" min="10" style="0" width="16"/>
    <col collapsed="false" customWidth="true" hidden="false" outlineLevel="0" max="11" min="11" style="0" width="32"/>
    <col collapsed="false" customWidth="true" hidden="false" outlineLevel="0" max="12" min="12" style="0" width="26"/>
    <col collapsed="false" customWidth="true" hidden="false" outlineLevel="0" max="13" min="13" style="0" width="12"/>
    <col collapsed="false" customWidth="true" hidden="false" outlineLevel="0" max="14" min="14" style="0" width="11"/>
    <col collapsed="false" customWidth="true" hidden="false" outlineLevel="0" max="15" min="15" style="0" width="24"/>
    <col collapsed="false" customWidth="true" hidden="false" outlineLevel="0" max="17" min="16" style="0" width="40"/>
    <col collapsed="false" customWidth="true" hidden="false" outlineLevel="0" max="18" min="18" style="0" width="24"/>
    <col collapsed="false" customWidth="true" hidden="false" outlineLevel="0" max="19" min="19" style="0" width="40"/>
    <col collapsed="false" customWidth="true" hidden="false" outlineLevel="0" max="20" min="20" style="0" width="26"/>
    <col collapsed="false" customWidth="true" hidden="false" outlineLevel="0" max="21" min="21" style="0" width="36"/>
    <col collapsed="false" customWidth="true" hidden="false" outlineLevel="0" max="22" min="22" style="0" width="55"/>
    <col collapsed="false" customWidth="true" hidden="false" outlineLevel="0" max="23" min="23" style="0" width="45"/>
    <col collapsed="false" customWidth="true" hidden="false" outlineLevel="0" max="24" min="24" style="0" width="32"/>
    <col collapsed="false" customWidth="true" hidden="false" outlineLevel="0" max="25" min="25" style="0" width="30"/>
    <col collapsed="false" customWidth="true" hidden="false" outlineLevel="0" max="26" min="26" style="0" width="32"/>
    <col collapsed="false" customWidth="true" hidden="false" outlineLevel="0" max="27" min="27" style="0" width="30"/>
    <col collapsed="false" customWidth="true" hidden="false" outlineLevel="0" max="28" min="28" style="0" width="55"/>
    <col collapsed="false" customWidth="true" hidden="false" outlineLevel="0" max="30" min="29" style="0" width="32"/>
    <col collapsed="false" customWidth="true" hidden="false" outlineLevel="0" max="32" min="31" style="0" width="30"/>
    <col collapsed="false" customWidth="true" hidden="false" outlineLevel="0" max="33" min="33" style="0" width="55"/>
    <col collapsed="false" customWidth="true" hidden="false" outlineLevel="0" max="34" min="34" style="0" width="60"/>
    <col collapsed="false" customWidth="true" hidden="false" outlineLevel="0" max="35" min="35" style="0" width="45"/>
  </cols>
  <sheetData>
    <row r="1" customFormat="false" ht="30" hidden="false" customHeight="true" outlineLevel="0" collapsed="false">
      <c r="A1" s="18" t="s">
        <v>41</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9" t="s">
        <v>29</v>
      </c>
    </row>
    <row r="2" customFormat="false" ht="31.5" hidden="false" customHeight="true" outlineLevel="0" collapsed="false">
      <c r="A2" s="20" t="s">
        <v>108</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row>
    <row r="3" customFormat="false" ht="15" hidden="false" customHeight="false" outlineLevel="0" collapsed="false">
      <c r="A3" s="6" t="s">
        <v>109</v>
      </c>
      <c r="C3" s="6" t="n">
        <f aca="false">COUNTA(A6:A2000)</f>
        <v>40</v>
      </c>
    </row>
    <row r="4" customFormat="false" ht="33.75" hidden="false" customHeight="true" outlineLevel="0" collapsed="false">
      <c r="A4" s="21" t="s">
        <v>110</v>
      </c>
      <c r="B4" s="21" t="s">
        <v>111</v>
      </c>
      <c r="C4" s="21" t="s">
        <v>112</v>
      </c>
      <c r="D4" s="21" t="s">
        <v>113</v>
      </c>
      <c r="E4" s="21" t="s">
        <v>114</v>
      </c>
      <c r="F4" s="21" t="s">
        <v>115</v>
      </c>
      <c r="G4" s="21" t="s">
        <v>116</v>
      </c>
      <c r="H4" s="21" t="s">
        <v>117</v>
      </c>
      <c r="I4" s="21" t="s">
        <v>118</v>
      </c>
      <c r="J4" s="21" t="s">
        <v>119</v>
      </c>
      <c r="K4" s="21" t="s">
        <v>120</v>
      </c>
      <c r="L4" s="21" t="s">
        <v>121</v>
      </c>
      <c r="M4" s="21" t="s">
        <v>122</v>
      </c>
      <c r="N4" s="21" t="s">
        <v>123</v>
      </c>
      <c r="O4" s="21" t="s">
        <v>124</v>
      </c>
      <c r="P4" s="21" t="s">
        <v>125</v>
      </c>
      <c r="Q4" s="21" t="s">
        <v>126</v>
      </c>
      <c r="R4" s="21" t="s">
        <v>127</v>
      </c>
      <c r="S4" s="21" t="s">
        <v>128</v>
      </c>
      <c r="T4" s="21" t="s">
        <v>129</v>
      </c>
      <c r="U4" s="21" t="s">
        <v>130</v>
      </c>
      <c r="V4" s="21" t="s">
        <v>131</v>
      </c>
      <c r="W4" s="21" t="s">
        <v>132</v>
      </c>
      <c r="X4" s="21" t="s">
        <v>133</v>
      </c>
      <c r="Y4" s="21" t="s">
        <v>134</v>
      </c>
      <c r="Z4" s="21" t="s">
        <v>135</v>
      </c>
      <c r="AA4" s="21" t="s">
        <v>136</v>
      </c>
      <c r="AB4" s="21" t="s">
        <v>137</v>
      </c>
      <c r="AC4" s="21" t="s">
        <v>138</v>
      </c>
      <c r="AD4" s="21" t="s">
        <v>139</v>
      </c>
      <c r="AE4" s="21" t="s">
        <v>140</v>
      </c>
      <c r="AF4" s="21" t="s">
        <v>141</v>
      </c>
      <c r="AG4" s="21" t="s">
        <v>142</v>
      </c>
      <c r="AH4" s="21" t="s">
        <v>143</v>
      </c>
      <c r="AI4" s="21" t="s">
        <v>144</v>
      </c>
    </row>
    <row r="5" customFormat="false" ht="15" hidden="false" customHeight="false" outlineLevel="0" collapsed="false">
      <c r="A5" s="30" t="s">
        <v>145</v>
      </c>
      <c r="B5" s="30" t="s">
        <v>146</v>
      </c>
      <c r="C5" s="30" t="s">
        <v>147</v>
      </c>
      <c r="D5" s="30" t="s">
        <v>148</v>
      </c>
      <c r="E5" s="30" t="s">
        <v>149</v>
      </c>
      <c r="F5" s="30" t="s">
        <v>150</v>
      </c>
      <c r="G5" s="30" t="s">
        <v>151</v>
      </c>
      <c r="H5" s="30" t="s">
        <v>152</v>
      </c>
      <c r="I5" s="30" t="s">
        <v>153</v>
      </c>
      <c r="J5" s="30" t="s">
        <v>154</v>
      </c>
      <c r="K5" s="30" t="s">
        <v>155</v>
      </c>
      <c r="L5" s="30" t="s">
        <v>156</v>
      </c>
      <c r="M5" s="30" t="s">
        <v>157</v>
      </c>
      <c r="N5" s="30" t="s">
        <v>158</v>
      </c>
      <c r="O5" s="30" t="s">
        <v>159</v>
      </c>
      <c r="P5" s="30" t="s">
        <v>160</v>
      </c>
      <c r="Q5" s="30" t="s">
        <v>161</v>
      </c>
      <c r="R5" s="30" t="s">
        <v>162</v>
      </c>
      <c r="S5" s="30" t="s">
        <v>163</v>
      </c>
      <c r="T5" s="30" t="s">
        <v>164</v>
      </c>
      <c r="U5" s="30" t="s">
        <v>165</v>
      </c>
      <c r="V5" s="30" t="s">
        <v>166</v>
      </c>
      <c r="W5" s="30" t="s">
        <v>167</v>
      </c>
      <c r="X5" s="30" t="s">
        <v>168</v>
      </c>
      <c r="Y5" s="30" t="s">
        <v>169</v>
      </c>
      <c r="Z5" s="30" t="s">
        <v>170</v>
      </c>
      <c r="AA5" s="30" t="s">
        <v>171</v>
      </c>
      <c r="AB5" s="30" t="s">
        <v>172</v>
      </c>
      <c r="AC5" s="30" t="s">
        <v>173</v>
      </c>
      <c r="AD5" s="30" t="s">
        <v>174</v>
      </c>
      <c r="AE5" s="30" t="s">
        <v>175</v>
      </c>
      <c r="AF5" s="30" t="s">
        <v>176</v>
      </c>
      <c r="AG5" s="30" t="s">
        <v>177</v>
      </c>
      <c r="AH5" s="30" t="s">
        <v>178</v>
      </c>
      <c r="AI5" s="30" t="s">
        <v>179</v>
      </c>
    </row>
    <row r="6" customFormat="false" ht="408.75" hidden="false" customHeight="true" outlineLevel="0" collapsed="false">
      <c r="A6" s="24" t="s">
        <v>180</v>
      </c>
      <c r="B6" s="22" t="s">
        <v>181</v>
      </c>
      <c r="C6" s="22" t="s">
        <v>182</v>
      </c>
      <c r="D6" s="22" t="s">
        <v>183</v>
      </c>
      <c r="E6" s="31" t="s">
        <v>19</v>
      </c>
      <c r="F6" s="22" t="s">
        <v>184</v>
      </c>
      <c r="G6" s="22" t="s">
        <v>185</v>
      </c>
      <c r="H6" s="22" t="s">
        <v>186</v>
      </c>
      <c r="I6" s="22" t="s">
        <v>187</v>
      </c>
      <c r="J6" s="22" t="s">
        <v>188</v>
      </c>
      <c r="K6" s="22" t="s">
        <v>189</v>
      </c>
      <c r="L6" s="22" t="s">
        <v>190</v>
      </c>
      <c r="M6" s="22" t="s">
        <v>191</v>
      </c>
      <c r="N6" s="22"/>
      <c r="O6" s="22" t="s">
        <v>192</v>
      </c>
      <c r="P6" s="32" t="s">
        <v>193</v>
      </c>
      <c r="Q6" s="22" t="s">
        <v>194</v>
      </c>
      <c r="R6" s="22" t="s">
        <v>195</v>
      </c>
      <c r="S6" s="32" t="s">
        <v>196</v>
      </c>
      <c r="T6" s="22" t="s">
        <v>197</v>
      </c>
      <c r="U6" s="22" t="s">
        <v>198</v>
      </c>
      <c r="V6" s="22" t="s">
        <v>199</v>
      </c>
      <c r="W6" s="22" t="s">
        <v>200</v>
      </c>
      <c r="X6" s="22" t="s">
        <v>201</v>
      </c>
      <c r="Y6" s="32" t="s">
        <v>202</v>
      </c>
      <c r="Z6" s="22" t="s">
        <v>203</v>
      </c>
      <c r="AA6" s="22" t="s">
        <v>204</v>
      </c>
      <c r="AB6" s="22" t="s">
        <v>205</v>
      </c>
      <c r="AC6" s="22" t="s">
        <v>206</v>
      </c>
      <c r="AD6" s="22" t="s">
        <v>207</v>
      </c>
      <c r="AE6" s="22" t="s">
        <v>208</v>
      </c>
      <c r="AF6" s="22" t="s">
        <v>209</v>
      </c>
      <c r="AG6" s="32" t="s">
        <v>210</v>
      </c>
      <c r="AH6" s="22" t="s">
        <v>211</v>
      </c>
      <c r="AI6" s="22" t="s">
        <v>212</v>
      </c>
    </row>
    <row r="7" customFormat="false" ht="237" hidden="false" customHeight="true" outlineLevel="0" collapsed="false">
      <c r="A7" s="24" t="s">
        <v>213</v>
      </c>
      <c r="B7" s="22" t="s">
        <v>181</v>
      </c>
      <c r="C7" s="22" t="s">
        <v>182</v>
      </c>
      <c r="D7" s="22" t="s">
        <v>214</v>
      </c>
      <c r="E7" s="31" t="s">
        <v>19</v>
      </c>
      <c r="F7" s="22" t="s">
        <v>215</v>
      </c>
      <c r="G7" s="22" t="s">
        <v>185</v>
      </c>
      <c r="H7" s="22" t="s">
        <v>186</v>
      </c>
      <c r="I7" s="22"/>
      <c r="J7" s="22" t="s">
        <v>216</v>
      </c>
      <c r="K7" s="22" t="s">
        <v>217</v>
      </c>
      <c r="L7" s="22" t="s">
        <v>218</v>
      </c>
      <c r="M7" s="22" t="s">
        <v>219</v>
      </c>
      <c r="N7" s="22"/>
      <c r="O7" s="22" t="s">
        <v>220</v>
      </c>
      <c r="P7" s="32" t="s">
        <v>221</v>
      </c>
      <c r="Q7" s="22" t="s">
        <v>222</v>
      </c>
      <c r="R7" s="22" t="s">
        <v>223</v>
      </c>
      <c r="S7" s="32" t="s">
        <v>224</v>
      </c>
      <c r="T7" s="22" t="s">
        <v>225</v>
      </c>
      <c r="U7" s="22" t="s">
        <v>226</v>
      </c>
      <c r="V7" s="22" t="s">
        <v>227</v>
      </c>
      <c r="W7" s="22" t="s">
        <v>228</v>
      </c>
      <c r="X7" s="22" t="s">
        <v>229</v>
      </c>
      <c r="Y7" s="32" t="s">
        <v>230</v>
      </c>
      <c r="Z7" s="22" t="s">
        <v>231</v>
      </c>
      <c r="AA7" s="22" t="s">
        <v>232</v>
      </c>
      <c r="AB7" s="22" t="s">
        <v>233</v>
      </c>
      <c r="AC7" s="22" t="s">
        <v>234</v>
      </c>
      <c r="AD7" s="22" t="s">
        <v>235</v>
      </c>
      <c r="AE7" s="22" t="s">
        <v>236</v>
      </c>
      <c r="AF7" s="22" t="s">
        <v>237</v>
      </c>
      <c r="AG7" s="32" t="s">
        <v>238</v>
      </c>
      <c r="AH7" s="22" t="s">
        <v>239</v>
      </c>
      <c r="AI7" s="22" t="s">
        <v>240</v>
      </c>
    </row>
    <row r="8" customFormat="false" ht="287.25" hidden="false" customHeight="true" outlineLevel="0" collapsed="false">
      <c r="A8" s="24" t="s">
        <v>241</v>
      </c>
      <c r="B8" s="22" t="s">
        <v>181</v>
      </c>
      <c r="C8" s="22" t="s">
        <v>182</v>
      </c>
      <c r="D8" s="22" t="s">
        <v>242</v>
      </c>
      <c r="E8" s="33" t="s">
        <v>21</v>
      </c>
      <c r="F8" s="22" t="s">
        <v>243</v>
      </c>
      <c r="G8" s="22" t="s">
        <v>185</v>
      </c>
      <c r="H8" s="22" t="s">
        <v>186</v>
      </c>
      <c r="I8" s="22"/>
      <c r="J8" s="22" t="s">
        <v>216</v>
      </c>
      <c r="K8" s="22" t="s">
        <v>244</v>
      </c>
      <c r="L8" s="22" t="s">
        <v>245</v>
      </c>
      <c r="M8" s="22" t="s">
        <v>191</v>
      </c>
      <c r="N8" s="22"/>
      <c r="O8" s="22" t="s">
        <v>246</v>
      </c>
      <c r="P8" s="32" t="s">
        <v>247</v>
      </c>
      <c r="Q8" s="22" t="s">
        <v>248</v>
      </c>
      <c r="R8" s="22" t="s">
        <v>249</v>
      </c>
      <c r="S8" s="32" t="s">
        <v>250</v>
      </c>
      <c r="T8" s="22" t="s">
        <v>251</v>
      </c>
      <c r="U8" s="22" t="s">
        <v>252</v>
      </c>
      <c r="V8" s="22" t="s">
        <v>253</v>
      </c>
      <c r="W8" s="22" t="s">
        <v>254</v>
      </c>
      <c r="X8" s="22" t="s">
        <v>255</v>
      </c>
      <c r="Y8" s="32" t="s">
        <v>256</v>
      </c>
      <c r="Z8" s="22" t="s">
        <v>257</v>
      </c>
      <c r="AA8" s="22" t="s">
        <v>258</v>
      </c>
      <c r="AB8" s="22" t="s">
        <v>259</v>
      </c>
      <c r="AC8" s="22" t="s">
        <v>260</v>
      </c>
      <c r="AD8" s="22" t="s">
        <v>261</v>
      </c>
      <c r="AE8" s="22" t="s">
        <v>262</v>
      </c>
      <c r="AF8" s="22" t="s">
        <v>263</v>
      </c>
      <c r="AG8" s="32" t="s">
        <v>264</v>
      </c>
      <c r="AH8" s="22" t="s">
        <v>239</v>
      </c>
      <c r="AI8" s="22" t="s">
        <v>265</v>
      </c>
    </row>
    <row r="9" customFormat="false" ht="225" hidden="false" customHeight="true" outlineLevel="0" collapsed="false">
      <c r="A9" s="24" t="s">
        <v>266</v>
      </c>
      <c r="B9" s="22" t="s">
        <v>181</v>
      </c>
      <c r="C9" s="22" t="s">
        <v>267</v>
      </c>
      <c r="D9" s="22" t="s">
        <v>268</v>
      </c>
      <c r="E9" s="33" t="s">
        <v>21</v>
      </c>
      <c r="F9" s="22" t="s">
        <v>269</v>
      </c>
      <c r="G9" s="22" t="s">
        <v>185</v>
      </c>
      <c r="H9" s="22" t="s">
        <v>186</v>
      </c>
      <c r="I9" s="22" t="s">
        <v>270</v>
      </c>
      <c r="J9" s="22" t="s">
        <v>271</v>
      </c>
      <c r="K9" s="22" t="s">
        <v>272</v>
      </c>
      <c r="L9" s="22" t="s">
        <v>273</v>
      </c>
      <c r="M9" s="22" t="s">
        <v>191</v>
      </c>
      <c r="N9" s="22"/>
      <c r="O9" s="22" t="s">
        <v>274</v>
      </c>
      <c r="P9" s="32" t="s">
        <v>275</v>
      </c>
      <c r="Q9" s="22" t="s">
        <v>276</v>
      </c>
      <c r="R9" s="22" t="s">
        <v>277</v>
      </c>
      <c r="S9" s="32" t="s">
        <v>278</v>
      </c>
      <c r="T9" s="22" t="s">
        <v>279</v>
      </c>
      <c r="U9" s="22" t="s">
        <v>280</v>
      </c>
      <c r="V9" s="22" t="s">
        <v>281</v>
      </c>
      <c r="W9" s="22" t="s">
        <v>282</v>
      </c>
      <c r="X9" s="22" t="s">
        <v>283</v>
      </c>
      <c r="Y9" s="32" t="s">
        <v>284</v>
      </c>
      <c r="Z9" s="22" t="s">
        <v>285</v>
      </c>
      <c r="AA9" s="22" t="s">
        <v>286</v>
      </c>
      <c r="AB9" s="22" t="s">
        <v>287</v>
      </c>
      <c r="AC9" s="22" t="s">
        <v>288</v>
      </c>
      <c r="AD9" s="22" t="s">
        <v>289</v>
      </c>
      <c r="AE9" s="22" t="s">
        <v>290</v>
      </c>
      <c r="AF9" s="22" t="s">
        <v>291</v>
      </c>
      <c r="AG9" s="32" t="s">
        <v>292</v>
      </c>
      <c r="AH9" s="22" t="s">
        <v>293</v>
      </c>
      <c r="AI9" s="22" t="s">
        <v>294</v>
      </c>
    </row>
    <row r="10" customFormat="false" ht="262.5" hidden="false" customHeight="true" outlineLevel="0" collapsed="false">
      <c r="A10" s="24" t="s">
        <v>295</v>
      </c>
      <c r="B10" s="22" t="s">
        <v>181</v>
      </c>
      <c r="C10" s="22" t="s">
        <v>296</v>
      </c>
      <c r="D10" s="22" t="s">
        <v>297</v>
      </c>
      <c r="E10" s="31" t="s">
        <v>19</v>
      </c>
      <c r="F10" s="22" t="s">
        <v>298</v>
      </c>
      <c r="G10" s="22" t="s">
        <v>185</v>
      </c>
      <c r="H10" s="22" t="s">
        <v>186</v>
      </c>
      <c r="I10" s="22" t="s">
        <v>187</v>
      </c>
      <c r="J10" s="22" t="s">
        <v>299</v>
      </c>
      <c r="K10" s="22" t="s">
        <v>300</v>
      </c>
      <c r="L10" s="22" t="s">
        <v>301</v>
      </c>
      <c r="M10" s="22" t="s">
        <v>191</v>
      </c>
      <c r="N10" s="22"/>
      <c r="O10" s="22" t="s">
        <v>302</v>
      </c>
      <c r="P10" s="32" t="s">
        <v>303</v>
      </c>
      <c r="Q10" s="22" t="s">
        <v>304</v>
      </c>
      <c r="R10" s="22" t="s">
        <v>305</v>
      </c>
      <c r="S10" s="32" t="s">
        <v>306</v>
      </c>
      <c r="T10" s="22" t="s">
        <v>307</v>
      </c>
      <c r="U10" s="22" t="s">
        <v>308</v>
      </c>
      <c r="V10" s="22" t="s">
        <v>309</v>
      </c>
      <c r="W10" s="22" t="s">
        <v>310</v>
      </c>
      <c r="X10" s="22" t="s">
        <v>311</v>
      </c>
      <c r="Y10" s="32" t="s">
        <v>312</v>
      </c>
      <c r="Z10" s="22" t="s">
        <v>313</v>
      </c>
      <c r="AA10" s="22" t="s">
        <v>314</v>
      </c>
      <c r="AB10" s="22" t="s">
        <v>315</v>
      </c>
      <c r="AC10" s="22" t="s">
        <v>316</v>
      </c>
      <c r="AD10" s="22" t="s">
        <v>317</v>
      </c>
      <c r="AE10" s="22" t="s">
        <v>318</v>
      </c>
      <c r="AF10" s="22" t="s">
        <v>319</v>
      </c>
      <c r="AG10" s="32" t="s">
        <v>320</v>
      </c>
      <c r="AH10" s="22" t="s">
        <v>321</v>
      </c>
      <c r="AI10" s="22" t="s">
        <v>322</v>
      </c>
    </row>
    <row r="11" customFormat="false" ht="212.25" hidden="false" customHeight="true" outlineLevel="0" collapsed="false">
      <c r="A11" s="24" t="s">
        <v>323</v>
      </c>
      <c r="B11" s="22" t="s">
        <v>181</v>
      </c>
      <c r="C11" s="22" t="s">
        <v>324</v>
      </c>
      <c r="D11" s="22" t="s">
        <v>325</v>
      </c>
      <c r="E11" s="31" t="s">
        <v>19</v>
      </c>
      <c r="F11" s="22" t="s">
        <v>326</v>
      </c>
      <c r="G11" s="22" t="s">
        <v>186</v>
      </c>
      <c r="H11" s="22" t="s">
        <v>185</v>
      </c>
      <c r="I11" s="22"/>
      <c r="J11" s="22" t="s">
        <v>327</v>
      </c>
      <c r="K11" s="22" t="s">
        <v>328</v>
      </c>
      <c r="L11" s="22" t="s">
        <v>329</v>
      </c>
      <c r="M11" s="22" t="s">
        <v>330</v>
      </c>
      <c r="N11" s="22"/>
      <c r="O11" s="22" t="s">
        <v>331</v>
      </c>
      <c r="P11" s="32" t="s">
        <v>332</v>
      </c>
      <c r="Q11" s="22" t="s">
        <v>333</v>
      </c>
      <c r="R11" s="22" t="s">
        <v>334</v>
      </c>
      <c r="S11" s="32" t="s">
        <v>335</v>
      </c>
      <c r="T11" s="22" t="s">
        <v>336</v>
      </c>
      <c r="U11" s="22" t="s">
        <v>337</v>
      </c>
      <c r="V11" s="22" t="s">
        <v>338</v>
      </c>
      <c r="W11" s="22" t="s">
        <v>339</v>
      </c>
      <c r="X11" s="22" t="s">
        <v>340</v>
      </c>
      <c r="Y11" s="32" t="s">
        <v>341</v>
      </c>
      <c r="Z11" s="22" t="s">
        <v>342</v>
      </c>
      <c r="AA11" s="22" t="s">
        <v>343</v>
      </c>
      <c r="AB11" s="22" t="s">
        <v>344</v>
      </c>
      <c r="AC11" s="22" t="s">
        <v>345</v>
      </c>
      <c r="AD11" s="22" t="s">
        <v>346</v>
      </c>
      <c r="AE11" s="22" t="s">
        <v>347</v>
      </c>
      <c r="AF11" s="22" t="s">
        <v>348</v>
      </c>
      <c r="AG11" s="32" t="s">
        <v>349</v>
      </c>
      <c r="AH11" s="22" t="s">
        <v>350</v>
      </c>
      <c r="AI11" s="22" t="s">
        <v>351</v>
      </c>
    </row>
    <row r="12" customFormat="false" ht="375" hidden="false" customHeight="true" outlineLevel="0" collapsed="false">
      <c r="A12" s="24" t="s">
        <v>352</v>
      </c>
      <c r="B12" s="22" t="s">
        <v>181</v>
      </c>
      <c r="C12" s="22" t="s">
        <v>353</v>
      </c>
      <c r="D12" s="22" t="s">
        <v>354</v>
      </c>
      <c r="E12" s="31" t="s">
        <v>19</v>
      </c>
      <c r="F12" s="22" t="s">
        <v>355</v>
      </c>
      <c r="G12" s="22" t="s">
        <v>186</v>
      </c>
      <c r="H12" s="22" t="s">
        <v>270</v>
      </c>
      <c r="I12" s="22" t="s">
        <v>187</v>
      </c>
      <c r="J12" s="22" t="s">
        <v>356</v>
      </c>
      <c r="K12" s="22" t="s">
        <v>357</v>
      </c>
      <c r="L12" s="22" t="s">
        <v>358</v>
      </c>
      <c r="M12" s="22" t="s">
        <v>359</v>
      </c>
      <c r="N12" s="22"/>
      <c r="O12" s="22" t="s">
        <v>360</v>
      </c>
      <c r="P12" s="32" t="s">
        <v>361</v>
      </c>
      <c r="Q12" s="22" t="s">
        <v>362</v>
      </c>
      <c r="R12" s="22" t="s">
        <v>363</v>
      </c>
      <c r="S12" s="32" t="s">
        <v>364</v>
      </c>
      <c r="T12" s="22" t="s">
        <v>365</v>
      </c>
      <c r="U12" s="22" t="s">
        <v>366</v>
      </c>
      <c r="V12" s="22" t="s">
        <v>367</v>
      </c>
      <c r="W12" s="22" t="s">
        <v>368</v>
      </c>
      <c r="X12" s="22" t="s">
        <v>369</v>
      </c>
      <c r="Y12" s="32" t="s">
        <v>370</v>
      </c>
      <c r="Z12" s="22" t="s">
        <v>371</v>
      </c>
      <c r="AA12" s="22" t="s">
        <v>372</v>
      </c>
      <c r="AB12" s="22" t="s">
        <v>373</v>
      </c>
      <c r="AC12" s="22" t="s">
        <v>374</v>
      </c>
      <c r="AD12" s="22" t="s">
        <v>375</v>
      </c>
      <c r="AE12" s="22" t="s">
        <v>376</v>
      </c>
      <c r="AF12" s="22" t="s">
        <v>377</v>
      </c>
      <c r="AG12" s="32" t="s">
        <v>378</v>
      </c>
      <c r="AH12" s="22" t="s">
        <v>379</v>
      </c>
      <c r="AI12" s="22" t="s">
        <v>380</v>
      </c>
    </row>
    <row r="13" customFormat="false" ht="249.75" hidden="false" customHeight="true" outlineLevel="0" collapsed="false">
      <c r="A13" s="24" t="s">
        <v>381</v>
      </c>
      <c r="B13" s="22" t="s">
        <v>181</v>
      </c>
      <c r="C13" s="22" t="s">
        <v>382</v>
      </c>
      <c r="D13" s="22" t="s">
        <v>383</v>
      </c>
      <c r="E13" s="31" t="s">
        <v>19</v>
      </c>
      <c r="F13" s="22" t="s">
        <v>384</v>
      </c>
      <c r="G13" s="22" t="s">
        <v>385</v>
      </c>
      <c r="H13" s="22" t="s">
        <v>186</v>
      </c>
      <c r="I13" s="22" t="s">
        <v>185</v>
      </c>
      <c r="J13" s="22" t="s">
        <v>271</v>
      </c>
      <c r="K13" s="22" t="s">
        <v>386</v>
      </c>
      <c r="L13" s="22" t="s">
        <v>387</v>
      </c>
      <c r="M13" s="22" t="s">
        <v>388</v>
      </c>
      <c r="N13" s="22"/>
      <c r="O13" s="22" t="s">
        <v>389</v>
      </c>
      <c r="P13" s="32" t="s">
        <v>390</v>
      </c>
      <c r="Q13" s="22" t="s">
        <v>391</v>
      </c>
      <c r="R13" s="22" t="s">
        <v>392</v>
      </c>
      <c r="S13" s="32" t="s">
        <v>393</v>
      </c>
      <c r="T13" s="22" t="s">
        <v>394</v>
      </c>
      <c r="U13" s="22" t="s">
        <v>395</v>
      </c>
      <c r="V13" s="22" t="s">
        <v>396</v>
      </c>
      <c r="W13" s="22" t="s">
        <v>397</v>
      </c>
      <c r="X13" s="22" t="s">
        <v>398</v>
      </c>
      <c r="Y13" s="32" t="s">
        <v>399</v>
      </c>
      <c r="Z13" s="22" t="s">
        <v>400</v>
      </c>
      <c r="AA13" s="22" t="s">
        <v>401</v>
      </c>
      <c r="AB13" s="22" t="s">
        <v>402</v>
      </c>
      <c r="AC13" s="22" t="s">
        <v>403</v>
      </c>
      <c r="AD13" s="22" t="s">
        <v>404</v>
      </c>
      <c r="AE13" s="22" t="s">
        <v>405</v>
      </c>
      <c r="AF13" s="22" t="s">
        <v>406</v>
      </c>
      <c r="AG13" s="32" t="s">
        <v>407</v>
      </c>
      <c r="AH13" s="22" t="s">
        <v>408</v>
      </c>
      <c r="AI13" s="22" t="s">
        <v>409</v>
      </c>
    </row>
    <row r="14" customFormat="false" ht="225" hidden="false" customHeight="true" outlineLevel="0" collapsed="false">
      <c r="A14" s="24" t="s">
        <v>410</v>
      </c>
      <c r="B14" s="22" t="s">
        <v>181</v>
      </c>
      <c r="C14" s="22" t="s">
        <v>382</v>
      </c>
      <c r="D14" s="22" t="s">
        <v>411</v>
      </c>
      <c r="E14" s="34" t="s">
        <v>17</v>
      </c>
      <c r="F14" s="22" t="s">
        <v>412</v>
      </c>
      <c r="G14" s="22" t="s">
        <v>185</v>
      </c>
      <c r="H14" s="22" t="s">
        <v>385</v>
      </c>
      <c r="I14" s="22"/>
      <c r="J14" s="22" t="s">
        <v>271</v>
      </c>
      <c r="K14" s="22" t="s">
        <v>413</v>
      </c>
      <c r="L14" s="22" t="s">
        <v>414</v>
      </c>
      <c r="M14" s="22" t="s">
        <v>415</v>
      </c>
      <c r="N14" s="22"/>
      <c r="O14" s="22" t="s">
        <v>416</v>
      </c>
      <c r="P14" s="32" t="s">
        <v>417</v>
      </c>
      <c r="Q14" s="22" t="s">
        <v>333</v>
      </c>
      <c r="R14" s="22" t="s">
        <v>392</v>
      </c>
      <c r="S14" s="32" t="s">
        <v>418</v>
      </c>
      <c r="T14" s="22" t="s">
        <v>419</v>
      </c>
      <c r="U14" s="22" t="s">
        <v>420</v>
      </c>
      <c r="V14" s="22" t="s">
        <v>421</v>
      </c>
      <c r="W14" s="22" t="s">
        <v>422</v>
      </c>
      <c r="X14" s="22" t="s">
        <v>423</v>
      </c>
      <c r="Y14" s="32" t="s">
        <v>424</v>
      </c>
      <c r="Z14" s="22" t="s">
        <v>425</v>
      </c>
      <c r="AA14" s="22" t="s">
        <v>426</v>
      </c>
      <c r="AB14" s="22" t="s">
        <v>427</v>
      </c>
      <c r="AC14" s="22" t="s">
        <v>428</v>
      </c>
      <c r="AD14" s="22" t="s">
        <v>429</v>
      </c>
      <c r="AE14" s="22" t="s">
        <v>430</v>
      </c>
      <c r="AF14" s="22" t="s">
        <v>431</v>
      </c>
      <c r="AG14" s="32" t="s">
        <v>432</v>
      </c>
      <c r="AH14" s="22" t="s">
        <v>433</v>
      </c>
      <c r="AI14" s="22" t="s">
        <v>434</v>
      </c>
    </row>
    <row r="15" customFormat="false" ht="225" hidden="false" customHeight="true" outlineLevel="0" collapsed="false">
      <c r="A15" s="24" t="s">
        <v>435</v>
      </c>
      <c r="B15" s="22" t="s">
        <v>181</v>
      </c>
      <c r="C15" s="22" t="s">
        <v>436</v>
      </c>
      <c r="D15" s="22" t="s">
        <v>437</v>
      </c>
      <c r="E15" s="34" t="s">
        <v>17</v>
      </c>
      <c r="F15" s="22" t="s">
        <v>438</v>
      </c>
      <c r="G15" s="22" t="s">
        <v>185</v>
      </c>
      <c r="H15" s="22" t="s">
        <v>439</v>
      </c>
      <c r="I15" s="22" t="s">
        <v>385</v>
      </c>
      <c r="J15" s="22" t="s">
        <v>271</v>
      </c>
      <c r="K15" s="22" t="s">
        <v>440</v>
      </c>
      <c r="L15" s="22" t="s">
        <v>441</v>
      </c>
      <c r="M15" s="22" t="s">
        <v>442</v>
      </c>
      <c r="N15" s="22"/>
      <c r="O15" s="22" t="s">
        <v>443</v>
      </c>
      <c r="P15" s="32" t="s">
        <v>444</v>
      </c>
      <c r="Q15" s="22" t="s">
        <v>445</v>
      </c>
      <c r="R15" s="22" t="s">
        <v>446</v>
      </c>
      <c r="S15" s="32" t="s">
        <v>447</v>
      </c>
      <c r="T15" s="22" t="s">
        <v>448</v>
      </c>
      <c r="U15" s="22" t="s">
        <v>449</v>
      </c>
      <c r="V15" s="22" t="s">
        <v>450</v>
      </c>
      <c r="W15" s="22" t="s">
        <v>451</v>
      </c>
      <c r="X15" s="22" t="s">
        <v>452</v>
      </c>
      <c r="Y15" s="32" t="s">
        <v>453</v>
      </c>
      <c r="Z15" s="22" t="s">
        <v>454</v>
      </c>
      <c r="AA15" s="22" t="s">
        <v>455</v>
      </c>
      <c r="AB15" s="22" t="s">
        <v>456</v>
      </c>
      <c r="AC15" s="22" t="s">
        <v>457</v>
      </c>
      <c r="AD15" s="22" t="s">
        <v>458</v>
      </c>
      <c r="AE15" s="22" t="s">
        <v>459</v>
      </c>
      <c r="AF15" s="22" t="s">
        <v>460</v>
      </c>
      <c r="AG15" s="32" t="s">
        <v>461</v>
      </c>
      <c r="AH15" s="22" t="s">
        <v>462</v>
      </c>
      <c r="AI15" s="22" t="s">
        <v>463</v>
      </c>
    </row>
    <row r="16" customFormat="false" ht="237" hidden="false" customHeight="true" outlineLevel="0" collapsed="false">
      <c r="A16" s="24" t="s">
        <v>464</v>
      </c>
      <c r="B16" s="22" t="s">
        <v>181</v>
      </c>
      <c r="C16" s="22" t="s">
        <v>465</v>
      </c>
      <c r="D16" s="22" t="s">
        <v>466</v>
      </c>
      <c r="E16" s="31" t="s">
        <v>19</v>
      </c>
      <c r="F16" s="22" t="s">
        <v>467</v>
      </c>
      <c r="G16" s="22" t="s">
        <v>186</v>
      </c>
      <c r="H16" s="22" t="s">
        <v>185</v>
      </c>
      <c r="I16" s="22"/>
      <c r="J16" s="22" t="s">
        <v>468</v>
      </c>
      <c r="K16" s="22" t="s">
        <v>469</v>
      </c>
      <c r="L16" s="22" t="s">
        <v>329</v>
      </c>
      <c r="M16" s="22" t="s">
        <v>470</v>
      </c>
      <c r="N16" s="22"/>
      <c r="O16" s="22" t="s">
        <v>471</v>
      </c>
      <c r="P16" s="32" t="s">
        <v>472</v>
      </c>
      <c r="Q16" s="22" t="s">
        <v>473</v>
      </c>
      <c r="R16" s="22" t="s">
        <v>474</v>
      </c>
      <c r="S16" s="32" t="s">
        <v>475</v>
      </c>
      <c r="T16" s="22" t="s">
        <v>476</v>
      </c>
      <c r="U16" s="22" t="s">
        <v>477</v>
      </c>
      <c r="V16" s="22" t="s">
        <v>478</v>
      </c>
      <c r="W16" s="22" t="s">
        <v>479</v>
      </c>
      <c r="X16" s="22" t="s">
        <v>480</v>
      </c>
      <c r="Y16" s="32" t="s">
        <v>481</v>
      </c>
      <c r="Z16" s="22" t="s">
        <v>482</v>
      </c>
      <c r="AA16" s="22" t="s">
        <v>483</v>
      </c>
      <c r="AB16" s="22" t="s">
        <v>484</v>
      </c>
      <c r="AC16" s="22" t="s">
        <v>485</v>
      </c>
      <c r="AD16" s="22" t="s">
        <v>486</v>
      </c>
      <c r="AE16" s="22" t="s">
        <v>487</v>
      </c>
      <c r="AF16" s="22" t="s">
        <v>488</v>
      </c>
      <c r="AG16" s="32" t="s">
        <v>489</v>
      </c>
      <c r="AH16" s="22" t="s">
        <v>490</v>
      </c>
      <c r="AI16" s="22" t="s">
        <v>491</v>
      </c>
    </row>
    <row r="17" customFormat="false" ht="324.75" hidden="false" customHeight="true" outlineLevel="0" collapsed="false">
      <c r="A17" s="24" t="s">
        <v>492</v>
      </c>
      <c r="B17" s="22" t="s">
        <v>181</v>
      </c>
      <c r="C17" s="22" t="s">
        <v>493</v>
      </c>
      <c r="D17" s="22" t="s">
        <v>494</v>
      </c>
      <c r="E17" s="31" t="s">
        <v>19</v>
      </c>
      <c r="F17" s="22" t="s">
        <v>495</v>
      </c>
      <c r="G17" s="22" t="s">
        <v>185</v>
      </c>
      <c r="H17" s="22" t="s">
        <v>186</v>
      </c>
      <c r="I17" s="22"/>
      <c r="J17" s="22" t="s">
        <v>468</v>
      </c>
      <c r="K17" s="22" t="s">
        <v>496</v>
      </c>
      <c r="L17" s="22" t="s">
        <v>329</v>
      </c>
      <c r="M17" s="22" t="s">
        <v>497</v>
      </c>
      <c r="N17" s="22"/>
      <c r="O17" s="22" t="s">
        <v>498</v>
      </c>
      <c r="P17" s="32" t="s">
        <v>499</v>
      </c>
      <c r="Q17" s="22" t="s">
        <v>500</v>
      </c>
      <c r="R17" s="22" t="s">
        <v>501</v>
      </c>
      <c r="S17" s="32" t="s">
        <v>502</v>
      </c>
      <c r="T17" s="22" t="s">
        <v>503</v>
      </c>
      <c r="U17" s="22" t="s">
        <v>504</v>
      </c>
      <c r="V17" s="22" t="s">
        <v>505</v>
      </c>
      <c r="W17" s="22" t="s">
        <v>506</v>
      </c>
      <c r="X17" s="22" t="s">
        <v>507</v>
      </c>
      <c r="Y17" s="32" t="s">
        <v>508</v>
      </c>
      <c r="Z17" s="22" t="s">
        <v>509</v>
      </c>
      <c r="AA17" s="22" t="s">
        <v>510</v>
      </c>
      <c r="AB17" s="22" t="s">
        <v>511</v>
      </c>
      <c r="AC17" s="22" t="s">
        <v>512</v>
      </c>
      <c r="AD17" s="22" t="s">
        <v>513</v>
      </c>
      <c r="AE17" s="22" t="s">
        <v>514</v>
      </c>
      <c r="AF17" s="22" t="s">
        <v>515</v>
      </c>
      <c r="AG17" s="32" t="s">
        <v>516</v>
      </c>
      <c r="AH17" s="22" t="s">
        <v>517</v>
      </c>
      <c r="AI17" s="22" t="s">
        <v>518</v>
      </c>
    </row>
    <row r="18" customFormat="false" ht="337.5" hidden="false" customHeight="true" outlineLevel="0" collapsed="false">
      <c r="A18" s="24" t="s">
        <v>519</v>
      </c>
      <c r="B18" s="22" t="s">
        <v>181</v>
      </c>
      <c r="C18" s="22" t="s">
        <v>520</v>
      </c>
      <c r="D18" s="22" t="s">
        <v>521</v>
      </c>
      <c r="E18" s="31" t="s">
        <v>19</v>
      </c>
      <c r="F18" s="22" t="s">
        <v>522</v>
      </c>
      <c r="G18" s="22" t="s">
        <v>523</v>
      </c>
      <c r="H18" s="22" t="s">
        <v>524</v>
      </c>
      <c r="I18" s="22" t="s">
        <v>525</v>
      </c>
      <c r="J18" s="22" t="s">
        <v>526</v>
      </c>
      <c r="K18" s="22" t="s">
        <v>527</v>
      </c>
      <c r="L18" s="22" t="s">
        <v>528</v>
      </c>
      <c r="M18" s="22" t="s">
        <v>529</v>
      </c>
      <c r="N18" s="22"/>
      <c r="O18" s="22" t="s">
        <v>530</v>
      </c>
      <c r="P18" s="32" t="s">
        <v>531</v>
      </c>
      <c r="Q18" s="22" t="s">
        <v>532</v>
      </c>
      <c r="R18" s="22" t="s">
        <v>533</v>
      </c>
      <c r="S18" s="32" t="s">
        <v>534</v>
      </c>
      <c r="T18" s="22" t="s">
        <v>535</v>
      </c>
      <c r="U18" s="22" t="s">
        <v>536</v>
      </c>
      <c r="V18" s="22" t="s">
        <v>537</v>
      </c>
      <c r="W18" s="22" t="s">
        <v>538</v>
      </c>
      <c r="X18" s="22" t="s">
        <v>539</v>
      </c>
      <c r="Y18" s="32" t="s">
        <v>540</v>
      </c>
      <c r="Z18" s="22" t="s">
        <v>541</v>
      </c>
      <c r="AA18" s="22" t="s">
        <v>542</v>
      </c>
      <c r="AB18" s="22" t="s">
        <v>543</v>
      </c>
      <c r="AC18" s="22" t="s">
        <v>544</v>
      </c>
      <c r="AD18" s="22" t="s">
        <v>545</v>
      </c>
      <c r="AE18" s="22" t="s">
        <v>546</v>
      </c>
      <c r="AF18" s="22" t="s">
        <v>547</v>
      </c>
      <c r="AG18" s="32" t="s">
        <v>548</v>
      </c>
      <c r="AH18" s="22" t="s">
        <v>549</v>
      </c>
      <c r="AI18" s="22" t="s">
        <v>550</v>
      </c>
    </row>
    <row r="19" customFormat="false" ht="287.25" hidden="false" customHeight="true" outlineLevel="0" collapsed="false">
      <c r="A19" s="24" t="s">
        <v>551</v>
      </c>
      <c r="B19" s="22" t="s">
        <v>181</v>
      </c>
      <c r="C19" s="22" t="s">
        <v>552</v>
      </c>
      <c r="D19" s="22" t="s">
        <v>553</v>
      </c>
      <c r="E19" s="31" t="s">
        <v>19</v>
      </c>
      <c r="F19" s="22" t="s">
        <v>554</v>
      </c>
      <c r="G19" s="22" t="s">
        <v>524</v>
      </c>
      <c r="H19" s="22" t="s">
        <v>270</v>
      </c>
      <c r="I19" s="22" t="s">
        <v>555</v>
      </c>
      <c r="J19" s="22" t="s">
        <v>556</v>
      </c>
      <c r="K19" s="22" t="s">
        <v>557</v>
      </c>
      <c r="L19" s="22" t="s">
        <v>558</v>
      </c>
      <c r="M19" s="22" t="s">
        <v>559</v>
      </c>
      <c r="N19" s="22"/>
      <c r="O19" s="22" t="s">
        <v>560</v>
      </c>
      <c r="P19" s="32" t="s">
        <v>561</v>
      </c>
      <c r="Q19" s="22" t="s">
        <v>562</v>
      </c>
      <c r="R19" s="22" t="s">
        <v>563</v>
      </c>
      <c r="S19" s="32" t="s">
        <v>564</v>
      </c>
      <c r="T19" s="22" t="s">
        <v>565</v>
      </c>
      <c r="U19" s="22" t="s">
        <v>566</v>
      </c>
      <c r="V19" s="22" t="s">
        <v>567</v>
      </c>
      <c r="W19" s="22" t="s">
        <v>568</v>
      </c>
      <c r="X19" s="22" t="s">
        <v>569</v>
      </c>
      <c r="Y19" s="32" t="s">
        <v>570</v>
      </c>
      <c r="Z19" s="22" t="s">
        <v>571</v>
      </c>
      <c r="AA19" s="22" t="s">
        <v>572</v>
      </c>
      <c r="AB19" s="22" t="s">
        <v>573</v>
      </c>
      <c r="AC19" s="22" t="s">
        <v>574</v>
      </c>
      <c r="AD19" s="22" t="s">
        <v>575</v>
      </c>
      <c r="AE19" s="22" t="s">
        <v>576</v>
      </c>
      <c r="AF19" s="22" t="s">
        <v>577</v>
      </c>
      <c r="AG19" s="32" t="s">
        <v>578</v>
      </c>
      <c r="AH19" s="22" t="s">
        <v>579</v>
      </c>
      <c r="AI19" s="22" t="s">
        <v>580</v>
      </c>
    </row>
    <row r="20" customFormat="false" ht="249.75" hidden="false" customHeight="true" outlineLevel="0" collapsed="false">
      <c r="A20" s="24" t="s">
        <v>581</v>
      </c>
      <c r="B20" s="22" t="s">
        <v>181</v>
      </c>
      <c r="C20" s="22" t="s">
        <v>582</v>
      </c>
      <c r="D20" s="22" t="s">
        <v>583</v>
      </c>
      <c r="E20" s="31" t="s">
        <v>19</v>
      </c>
      <c r="F20" s="22" t="s">
        <v>584</v>
      </c>
      <c r="G20" s="22" t="s">
        <v>525</v>
      </c>
      <c r="H20" s="22" t="s">
        <v>523</v>
      </c>
      <c r="I20" s="22" t="s">
        <v>524</v>
      </c>
      <c r="J20" s="22" t="s">
        <v>271</v>
      </c>
      <c r="K20" s="22" t="s">
        <v>585</v>
      </c>
      <c r="L20" s="22" t="s">
        <v>586</v>
      </c>
      <c r="M20" s="22" t="s">
        <v>587</v>
      </c>
      <c r="N20" s="22"/>
      <c r="O20" s="22" t="s">
        <v>588</v>
      </c>
      <c r="P20" s="32" t="s">
        <v>589</v>
      </c>
      <c r="Q20" s="22" t="s">
        <v>333</v>
      </c>
      <c r="R20" s="22" t="s">
        <v>392</v>
      </c>
      <c r="S20" s="32" t="s">
        <v>590</v>
      </c>
      <c r="T20" s="22" t="s">
        <v>591</v>
      </c>
      <c r="U20" s="22" t="s">
        <v>592</v>
      </c>
      <c r="V20" s="22" t="s">
        <v>593</v>
      </c>
      <c r="W20" s="22" t="s">
        <v>594</v>
      </c>
      <c r="X20" s="22" t="s">
        <v>595</v>
      </c>
      <c r="Y20" s="32" t="s">
        <v>596</v>
      </c>
      <c r="Z20" s="22" t="s">
        <v>597</v>
      </c>
      <c r="AA20" s="22" t="s">
        <v>598</v>
      </c>
      <c r="AB20" s="22" t="s">
        <v>599</v>
      </c>
      <c r="AC20" s="22" t="s">
        <v>600</v>
      </c>
      <c r="AD20" s="22" t="s">
        <v>601</v>
      </c>
      <c r="AE20" s="22" t="s">
        <v>602</v>
      </c>
      <c r="AF20" s="22" t="s">
        <v>603</v>
      </c>
      <c r="AG20" s="32" t="s">
        <v>604</v>
      </c>
      <c r="AH20" s="22" t="s">
        <v>605</v>
      </c>
      <c r="AI20" s="22" t="s">
        <v>606</v>
      </c>
    </row>
    <row r="21" customFormat="false" ht="212.25" hidden="false" customHeight="true" outlineLevel="0" collapsed="false">
      <c r="A21" s="24" t="s">
        <v>607</v>
      </c>
      <c r="B21" s="22" t="s">
        <v>181</v>
      </c>
      <c r="C21" s="22" t="s">
        <v>552</v>
      </c>
      <c r="D21" s="22" t="s">
        <v>608</v>
      </c>
      <c r="E21" s="33" t="s">
        <v>21</v>
      </c>
      <c r="F21" s="22" t="s">
        <v>609</v>
      </c>
      <c r="G21" s="22" t="s">
        <v>610</v>
      </c>
      <c r="H21" s="22" t="s">
        <v>524</v>
      </c>
      <c r="I21" s="22" t="s">
        <v>523</v>
      </c>
      <c r="J21" s="22" t="s">
        <v>611</v>
      </c>
      <c r="K21" s="22" t="s">
        <v>612</v>
      </c>
      <c r="L21" s="22" t="s">
        <v>613</v>
      </c>
      <c r="M21" s="22" t="s">
        <v>529</v>
      </c>
      <c r="N21" s="22"/>
      <c r="O21" s="22" t="s">
        <v>614</v>
      </c>
      <c r="P21" s="32" t="s">
        <v>615</v>
      </c>
      <c r="Q21" s="22" t="s">
        <v>333</v>
      </c>
      <c r="R21" s="22" t="s">
        <v>392</v>
      </c>
      <c r="S21" s="32" t="s">
        <v>616</v>
      </c>
      <c r="T21" s="22" t="s">
        <v>617</v>
      </c>
      <c r="U21" s="22" t="s">
        <v>618</v>
      </c>
      <c r="V21" s="22" t="s">
        <v>619</v>
      </c>
      <c r="W21" s="22" t="s">
        <v>620</v>
      </c>
      <c r="X21" s="22" t="s">
        <v>621</v>
      </c>
      <c r="Y21" s="32" t="s">
        <v>622</v>
      </c>
      <c r="Z21" s="22" t="s">
        <v>623</v>
      </c>
      <c r="AA21" s="22" t="s">
        <v>624</v>
      </c>
      <c r="AB21" s="22" t="s">
        <v>625</v>
      </c>
      <c r="AC21" s="22" t="s">
        <v>626</v>
      </c>
      <c r="AD21" s="22" t="s">
        <v>627</v>
      </c>
      <c r="AE21" s="22" t="s">
        <v>628</v>
      </c>
      <c r="AF21" s="22" t="s">
        <v>629</v>
      </c>
      <c r="AG21" s="32" t="s">
        <v>630</v>
      </c>
      <c r="AH21" s="22" t="s">
        <v>631</v>
      </c>
      <c r="AI21" s="22" t="s">
        <v>632</v>
      </c>
    </row>
    <row r="22" customFormat="false" ht="300" hidden="false" customHeight="true" outlineLevel="0" collapsed="false">
      <c r="A22" s="24" t="s">
        <v>633</v>
      </c>
      <c r="B22" s="22" t="s">
        <v>181</v>
      </c>
      <c r="C22" s="22" t="s">
        <v>634</v>
      </c>
      <c r="D22" s="22" t="s">
        <v>635</v>
      </c>
      <c r="E22" s="31" t="s">
        <v>19</v>
      </c>
      <c r="F22" s="22" t="s">
        <v>636</v>
      </c>
      <c r="G22" s="22" t="s">
        <v>523</v>
      </c>
      <c r="H22" s="22" t="s">
        <v>637</v>
      </c>
      <c r="I22" s="22" t="s">
        <v>270</v>
      </c>
      <c r="J22" s="22" t="s">
        <v>638</v>
      </c>
      <c r="K22" s="22" t="s">
        <v>639</v>
      </c>
      <c r="L22" s="22" t="s">
        <v>640</v>
      </c>
      <c r="M22" s="22" t="s">
        <v>330</v>
      </c>
      <c r="N22" s="22"/>
      <c r="O22" s="22" t="s">
        <v>641</v>
      </c>
      <c r="P22" s="32" t="s">
        <v>642</v>
      </c>
      <c r="Q22" s="22" t="s">
        <v>643</v>
      </c>
      <c r="R22" s="22" t="s">
        <v>644</v>
      </c>
      <c r="S22" s="32" t="s">
        <v>645</v>
      </c>
      <c r="T22" s="22" t="s">
        <v>646</v>
      </c>
      <c r="U22" s="22" t="s">
        <v>647</v>
      </c>
      <c r="V22" s="22" t="s">
        <v>648</v>
      </c>
      <c r="W22" s="22" t="s">
        <v>649</v>
      </c>
      <c r="X22" s="22" t="s">
        <v>650</v>
      </c>
      <c r="Y22" s="32" t="s">
        <v>651</v>
      </c>
      <c r="Z22" s="22" t="s">
        <v>652</v>
      </c>
      <c r="AA22" s="22" t="s">
        <v>653</v>
      </c>
      <c r="AB22" s="22" t="s">
        <v>654</v>
      </c>
      <c r="AC22" s="22" t="s">
        <v>655</v>
      </c>
      <c r="AD22" s="22" t="s">
        <v>656</v>
      </c>
      <c r="AE22" s="22" t="s">
        <v>657</v>
      </c>
      <c r="AF22" s="22" t="s">
        <v>658</v>
      </c>
      <c r="AG22" s="32" t="s">
        <v>659</v>
      </c>
      <c r="AH22" s="22" t="s">
        <v>660</v>
      </c>
      <c r="AI22" s="22" t="s">
        <v>661</v>
      </c>
    </row>
    <row r="23" customFormat="false" ht="249.75" hidden="false" customHeight="true" outlineLevel="0" collapsed="false">
      <c r="A23" s="24" t="s">
        <v>662</v>
      </c>
      <c r="B23" s="22" t="s">
        <v>181</v>
      </c>
      <c r="C23" s="22" t="s">
        <v>663</v>
      </c>
      <c r="D23" s="22" t="s">
        <v>664</v>
      </c>
      <c r="E23" s="31" t="s">
        <v>19</v>
      </c>
      <c r="F23" s="22" t="s">
        <v>665</v>
      </c>
      <c r="G23" s="22" t="s">
        <v>270</v>
      </c>
      <c r="H23" s="22" t="s">
        <v>555</v>
      </c>
      <c r="I23" s="22" t="s">
        <v>523</v>
      </c>
      <c r="J23" s="22" t="s">
        <v>666</v>
      </c>
      <c r="K23" s="22" t="s">
        <v>667</v>
      </c>
      <c r="L23" s="22" t="s">
        <v>558</v>
      </c>
      <c r="M23" s="22" t="s">
        <v>388</v>
      </c>
      <c r="N23" s="22"/>
      <c r="O23" s="22" t="s">
        <v>668</v>
      </c>
      <c r="P23" s="32" t="s">
        <v>669</v>
      </c>
      <c r="Q23" s="22" t="s">
        <v>562</v>
      </c>
      <c r="R23" s="22" t="s">
        <v>670</v>
      </c>
      <c r="S23" s="32" t="s">
        <v>671</v>
      </c>
      <c r="T23" s="22" t="s">
        <v>672</v>
      </c>
      <c r="U23" s="22" t="s">
        <v>673</v>
      </c>
      <c r="V23" s="22" t="s">
        <v>674</v>
      </c>
      <c r="W23" s="22" t="s">
        <v>675</v>
      </c>
      <c r="X23" s="22" t="s">
        <v>676</v>
      </c>
      <c r="Y23" s="32" t="s">
        <v>677</v>
      </c>
      <c r="Z23" s="22" t="s">
        <v>678</v>
      </c>
      <c r="AA23" s="22" t="s">
        <v>679</v>
      </c>
      <c r="AB23" s="22" t="s">
        <v>680</v>
      </c>
      <c r="AC23" s="22" t="s">
        <v>681</v>
      </c>
      <c r="AD23" s="22" t="s">
        <v>682</v>
      </c>
      <c r="AE23" s="22" t="s">
        <v>683</v>
      </c>
      <c r="AF23" s="22" t="s">
        <v>684</v>
      </c>
      <c r="AG23" s="32" t="s">
        <v>685</v>
      </c>
      <c r="AH23" s="22" t="s">
        <v>686</v>
      </c>
      <c r="AI23" s="22" t="s">
        <v>687</v>
      </c>
    </row>
    <row r="24" customFormat="false" ht="287.25" hidden="false" customHeight="true" outlineLevel="0" collapsed="false">
      <c r="A24" s="24" t="s">
        <v>688</v>
      </c>
      <c r="B24" s="22" t="s">
        <v>181</v>
      </c>
      <c r="C24" s="22" t="s">
        <v>689</v>
      </c>
      <c r="D24" s="22" t="s">
        <v>690</v>
      </c>
      <c r="E24" s="31" t="s">
        <v>19</v>
      </c>
      <c r="F24" s="22" t="s">
        <v>691</v>
      </c>
      <c r="G24" s="22" t="s">
        <v>692</v>
      </c>
      <c r="H24" s="22" t="s">
        <v>270</v>
      </c>
      <c r="I24" s="22" t="s">
        <v>523</v>
      </c>
      <c r="J24" s="22" t="s">
        <v>693</v>
      </c>
      <c r="K24" s="22" t="s">
        <v>694</v>
      </c>
      <c r="L24" s="22" t="s">
        <v>695</v>
      </c>
      <c r="M24" s="22" t="s">
        <v>191</v>
      </c>
      <c r="N24" s="22"/>
      <c r="O24" s="22" t="s">
        <v>696</v>
      </c>
      <c r="P24" s="32" t="s">
        <v>697</v>
      </c>
      <c r="Q24" s="22" t="s">
        <v>698</v>
      </c>
      <c r="R24" s="22" t="s">
        <v>699</v>
      </c>
      <c r="S24" s="32" t="s">
        <v>700</v>
      </c>
      <c r="T24" s="22" t="s">
        <v>701</v>
      </c>
      <c r="U24" s="22" t="s">
        <v>702</v>
      </c>
      <c r="V24" s="22" t="s">
        <v>703</v>
      </c>
      <c r="W24" s="22" t="s">
        <v>704</v>
      </c>
      <c r="X24" s="22" t="s">
        <v>705</v>
      </c>
      <c r="Y24" s="32" t="s">
        <v>706</v>
      </c>
      <c r="Z24" s="22" t="s">
        <v>707</v>
      </c>
      <c r="AA24" s="22" t="s">
        <v>708</v>
      </c>
      <c r="AB24" s="22" t="s">
        <v>709</v>
      </c>
      <c r="AC24" s="22" t="s">
        <v>710</v>
      </c>
      <c r="AD24" s="22" t="s">
        <v>711</v>
      </c>
      <c r="AE24" s="22" t="s">
        <v>712</v>
      </c>
      <c r="AF24" s="22" t="s">
        <v>713</v>
      </c>
      <c r="AG24" s="32" t="s">
        <v>714</v>
      </c>
      <c r="AH24" s="22" t="s">
        <v>715</v>
      </c>
      <c r="AI24" s="22" t="s">
        <v>716</v>
      </c>
    </row>
    <row r="25" customFormat="false" ht="150" hidden="false" customHeight="true" outlineLevel="0" collapsed="false">
      <c r="A25" s="24" t="s">
        <v>717</v>
      </c>
      <c r="B25" s="22" t="s">
        <v>181</v>
      </c>
      <c r="C25" s="22" t="s">
        <v>689</v>
      </c>
      <c r="D25" s="22" t="s">
        <v>718</v>
      </c>
      <c r="E25" s="34" t="s">
        <v>17</v>
      </c>
      <c r="F25" s="22" t="s">
        <v>719</v>
      </c>
      <c r="G25" s="22" t="s">
        <v>270</v>
      </c>
      <c r="H25" s="22" t="s">
        <v>720</v>
      </c>
      <c r="I25" s="22"/>
      <c r="J25" s="22" t="s">
        <v>666</v>
      </c>
      <c r="K25" s="22" t="s">
        <v>721</v>
      </c>
      <c r="L25" s="22" t="s">
        <v>722</v>
      </c>
      <c r="M25" s="22" t="s">
        <v>723</v>
      </c>
      <c r="N25" s="22"/>
      <c r="O25" s="22" t="s">
        <v>724</v>
      </c>
      <c r="P25" s="32" t="s">
        <v>725</v>
      </c>
      <c r="Q25" s="22" t="s">
        <v>726</v>
      </c>
      <c r="R25" s="22" t="s">
        <v>727</v>
      </c>
      <c r="S25" s="32" t="s">
        <v>728</v>
      </c>
      <c r="T25" s="22" t="s">
        <v>729</v>
      </c>
      <c r="U25" s="22" t="s">
        <v>730</v>
      </c>
      <c r="V25" s="22" t="s">
        <v>731</v>
      </c>
      <c r="W25" s="22" t="s">
        <v>732</v>
      </c>
      <c r="X25" s="22" t="s">
        <v>733</v>
      </c>
      <c r="Y25" s="32" t="s">
        <v>734</v>
      </c>
      <c r="Z25" s="22" t="s">
        <v>735</v>
      </c>
      <c r="AA25" s="22" t="s">
        <v>736</v>
      </c>
      <c r="AB25" s="22" t="s">
        <v>737</v>
      </c>
      <c r="AC25" s="22" t="s">
        <v>738</v>
      </c>
      <c r="AD25" s="22" t="s">
        <v>739</v>
      </c>
      <c r="AE25" s="22" t="s">
        <v>740</v>
      </c>
      <c r="AF25" s="22" t="s">
        <v>741</v>
      </c>
      <c r="AG25" s="32" t="s">
        <v>742</v>
      </c>
      <c r="AH25" s="22" t="s">
        <v>743</v>
      </c>
      <c r="AI25" s="22" t="s">
        <v>744</v>
      </c>
    </row>
    <row r="26" customFormat="false" ht="262.5" hidden="false" customHeight="true" outlineLevel="0" collapsed="false">
      <c r="A26" s="24" t="s">
        <v>745</v>
      </c>
      <c r="B26" s="22" t="s">
        <v>181</v>
      </c>
      <c r="C26" s="22" t="s">
        <v>746</v>
      </c>
      <c r="D26" s="22" t="s">
        <v>747</v>
      </c>
      <c r="E26" s="34" t="s">
        <v>17</v>
      </c>
      <c r="F26" s="22" t="s">
        <v>748</v>
      </c>
      <c r="G26" s="22" t="s">
        <v>270</v>
      </c>
      <c r="H26" s="22" t="s">
        <v>749</v>
      </c>
      <c r="I26" s="22" t="s">
        <v>750</v>
      </c>
      <c r="J26" s="22" t="s">
        <v>271</v>
      </c>
      <c r="K26" s="22" t="s">
        <v>751</v>
      </c>
      <c r="L26" s="22" t="s">
        <v>558</v>
      </c>
      <c r="M26" s="22" t="s">
        <v>752</v>
      </c>
      <c r="N26" s="22"/>
      <c r="O26" s="22" t="s">
        <v>753</v>
      </c>
      <c r="P26" s="32" t="s">
        <v>754</v>
      </c>
      <c r="Q26" s="22" t="s">
        <v>755</v>
      </c>
      <c r="R26" s="22" t="s">
        <v>756</v>
      </c>
      <c r="S26" s="32" t="s">
        <v>757</v>
      </c>
      <c r="T26" s="22" t="s">
        <v>758</v>
      </c>
      <c r="U26" s="22" t="s">
        <v>759</v>
      </c>
      <c r="V26" s="22" t="s">
        <v>760</v>
      </c>
      <c r="W26" s="22" t="s">
        <v>761</v>
      </c>
      <c r="X26" s="22" t="s">
        <v>762</v>
      </c>
      <c r="Y26" s="32" t="s">
        <v>763</v>
      </c>
      <c r="Z26" s="22" t="s">
        <v>764</v>
      </c>
      <c r="AA26" s="22" t="s">
        <v>765</v>
      </c>
      <c r="AB26" s="22" t="s">
        <v>766</v>
      </c>
      <c r="AC26" s="22" t="s">
        <v>767</v>
      </c>
      <c r="AD26" s="22" t="s">
        <v>768</v>
      </c>
      <c r="AE26" s="22" t="s">
        <v>769</v>
      </c>
      <c r="AF26" s="22" t="s">
        <v>770</v>
      </c>
      <c r="AG26" s="32" t="s">
        <v>771</v>
      </c>
      <c r="AH26" s="22" t="s">
        <v>772</v>
      </c>
      <c r="AI26" s="22" t="s">
        <v>773</v>
      </c>
    </row>
    <row r="27" customFormat="false" ht="274.5" hidden="false" customHeight="true" outlineLevel="0" collapsed="false">
      <c r="A27" s="24" t="s">
        <v>774</v>
      </c>
      <c r="B27" s="22" t="s">
        <v>181</v>
      </c>
      <c r="C27" s="22" t="s">
        <v>775</v>
      </c>
      <c r="D27" s="22" t="s">
        <v>776</v>
      </c>
      <c r="E27" s="31" t="s">
        <v>19</v>
      </c>
      <c r="F27" s="22" t="s">
        <v>777</v>
      </c>
      <c r="G27" s="22" t="s">
        <v>270</v>
      </c>
      <c r="H27" s="22" t="s">
        <v>778</v>
      </c>
      <c r="I27" s="22" t="s">
        <v>779</v>
      </c>
      <c r="J27" s="22" t="s">
        <v>780</v>
      </c>
      <c r="K27" s="22" t="s">
        <v>781</v>
      </c>
      <c r="L27" s="22" t="s">
        <v>782</v>
      </c>
      <c r="M27" s="22" t="s">
        <v>191</v>
      </c>
      <c r="N27" s="22"/>
      <c r="O27" s="22" t="s">
        <v>783</v>
      </c>
      <c r="P27" s="32" t="s">
        <v>784</v>
      </c>
      <c r="Q27" s="22" t="s">
        <v>785</v>
      </c>
      <c r="R27" s="22" t="s">
        <v>786</v>
      </c>
      <c r="S27" s="32" t="s">
        <v>787</v>
      </c>
      <c r="T27" s="22" t="s">
        <v>788</v>
      </c>
      <c r="U27" s="22" t="s">
        <v>789</v>
      </c>
      <c r="V27" s="22" t="s">
        <v>790</v>
      </c>
      <c r="W27" s="22" t="s">
        <v>791</v>
      </c>
      <c r="X27" s="22" t="s">
        <v>792</v>
      </c>
      <c r="Y27" s="32" t="s">
        <v>793</v>
      </c>
      <c r="Z27" s="22" t="s">
        <v>794</v>
      </c>
      <c r="AA27" s="22" t="s">
        <v>795</v>
      </c>
      <c r="AB27" s="22" t="s">
        <v>796</v>
      </c>
      <c r="AC27" s="22" t="s">
        <v>797</v>
      </c>
      <c r="AD27" s="22" t="s">
        <v>798</v>
      </c>
      <c r="AE27" s="22" t="s">
        <v>799</v>
      </c>
      <c r="AF27" s="22" t="s">
        <v>800</v>
      </c>
      <c r="AG27" s="32" t="s">
        <v>801</v>
      </c>
      <c r="AH27" s="22" t="s">
        <v>802</v>
      </c>
      <c r="AI27" s="22" t="s">
        <v>803</v>
      </c>
    </row>
    <row r="28" customFormat="false" ht="237" hidden="false" customHeight="true" outlineLevel="0" collapsed="false">
      <c r="A28" s="24" t="s">
        <v>804</v>
      </c>
      <c r="B28" s="22" t="s">
        <v>181</v>
      </c>
      <c r="C28" s="22" t="s">
        <v>805</v>
      </c>
      <c r="D28" s="22" t="s">
        <v>806</v>
      </c>
      <c r="E28" s="31" t="s">
        <v>19</v>
      </c>
      <c r="F28" s="22" t="s">
        <v>807</v>
      </c>
      <c r="G28" s="22" t="s">
        <v>270</v>
      </c>
      <c r="H28" s="22" t="s">
        <v>749</v>
      </c>
      <c r="I28" s="22" t="s">
        <v>808</v>
      </c>
      <c r="J28" s="22" t="s">
        <v>809</v>
      </c>
      <c r="K28" s="22" t="s">
        <v>810</v>
      </c>
      <c r="L28" s="22" t="s">
        <v>811</v>
      </c>
      <c r="M28" s="22" t="s">
        <v>812</v>
      </c>
      <c r="N28" s="22"/>
      <c r="O28" s="22" t="s">
        <v>813</v>
      </c>
      <c r="P28" s="32" t="s">
        <v>814</v>
      </c>
      <c r="Q28" s="22" t="s">
        <v>815</v>
      </c>
      <c r="R28" s="22" t="s">
        <v>816</v>
      </c>
      <c r="S28" s="32" t="s">
        <v>817</v>
      </c>
      <c r="T28" s="22" t="s">
        <v>818</v>
      </c>
      <c r="U28" s="22" t="s">
        <v>819</v>
      </c>
      <c r="V28" s="22" t="s">
        <v>820</v>
      </c>
      <c r="W28" s="22" t="s">
        <v>821</v>
      </c>
      <c r="X28" s="22" t="s">
        <v>822</v>
      </c>
      <c r="Y28" s="32" t="s">
        <v>823</v>
      </c>
      <c r="Z28" s="22" t="s">
        <v>824</v>
      </c>
      <c r="AA28" s="22" t="s">
        <v>825</v>
      </c>
      <c r="AB28" s="22" t="s">
        <v>826</v>
      </c>
      <c r="AC28" s="22" t="s">
        <v>827</v>
      </c>
      <c r="AD28" s="22" t="s">
        <v>828</v>
      </c>
      <c r="AE28" s="22" t="s">
        <v>829</v>
      </c>
      <c r="AF28" s="22" t="s">
        <v>830</v>
      </c>
      <c r="AG28" s="32" t="s">
        <v>831</v>
      </c>
      <c r="AH28" s="22" t="s">
        <v>832</v>
      </c>
      <c r="AI28" s="22" t="s">
        <v>833</v>
      </c>
    </row>
    <row r="29" customFormat="false" ht="174.75" hidden="false" customHeight="true" outlineLevel="0" collapsed="false">
      <c r="A29" s="24" t="s">
        <v>834</v>
      </c>
      <c r="B29" s="22" t="s">
        <v>181</v>
      </c>
      <c r="C29" s="22" t="s">
        <v>835</v>
      </c>
      <c r="D29" s="22" t="s">
        <v>836</v>
      </c>
      <c r="E29" s="31" t="s">
        <v>19</v>
      </c>
      <c r="F29" s="22" t="s">
        <v>837</v>
      </c>
      <c r="G29" s="22" t="s">
        <v>808</v>
      </c>
      <c r="H29" s="22" t="s">
        <v>186</v>
      </c>
      <c r="I29" s="22" t="s">
        <v>270</v>
      </c>
      <c r="J29" s="22" t="s">
        <v>838</v>
      </c>
      <c r="K29" s="22" t="s">
        <v>839</v>
      </c>
      <c r="L29" s="22" t="s">
        <v>840</v>
      </c>
      <c r="M29" s="22" t="s">
        <v>191</v>
      </c>
      <c r="N29" s="22"/>
      <c r="O29" s="22" t="s">
        <v>841</v>
      </c>
      <c r="P29" s="32" t="s">
        <v>842</v>
      </c>
      <c r="Q29" s="22" t="s">
        <v>843</v>
      </c>
      <c r="R29" s="22" t="s">
        <v>844</v>
      </c>
      <c r="S29" s="32" t="s">
        <v>845</v>
      </c>
      <c r="T29" s="22" t="s">
        <v>846</v>
      </c>
      <c r="U29" s="22" t="s">
        <v>847</v>
      </c>
      <c r="V29" s="22" t="s">
        <v>848</v>
      </c>
      <c r="W29" s="22" t="s">
        <v>849</v>
      </c>
      <c r="X29" s="22" t="s">
        <v>850</v>
      </c>
      <c r="Y29" s="32" t="s">
        <v>851</v>
      </c>
      <c r="Z29" s="22" t="s">
        <v>852</v>
      </c>
      <c r="AA29" s="22" t="s">
        <v>853</v>
      </c>
      <c r="AB29" s="22" t="s">
        <v>854</v>
      </c>
      <c r="AC29" s="22" t="s">
        <v>855</v>
      </c>
      <c r="AD29" s="22" t="s">
        <v>856</v>
      </c>
      <c r="AE29" s="22" t="s">
        <v>857</v>
      </c>
      <c r="AF29" s="22" t="s">
        <v>858</v>
      </c>
      <c r="AG29" s="32" t="s">
        <v>859</v>
      </c>
      <c r="AH29" s="22" t="s">
        <v>860</v>
      </c>
      <c r="AI29" s="22" t="s">
        <v>861</v>
      </c>
    </row>
    <row r="30" customFormat="false" ht="225" hidden="false" customHeight="true" outlineLevel="0" collapsed="false">
      <c r="A30" s="24" t="s">
        <v>862</v>
      </c>
      <c r="B30" s="22" t="s">
        <v>181</v>
      </c>
      <c r="C30" s="22" t="s">
        <v>863</v>
      </c>
      <c r="D30" s="22" t="s">
        <v>864</v>
      </c>
      <c r="E30" s="31" t="s">
        <v>19</v>
      </c>
      <c r="F30" s="22" t="s">
        <v>865</v>
      </c>
      <c r="G30" s="22" t="s">
        <v>808</v>
      </c>
      <c r="H30" s="22" t="s">
        <v>524</v>
      </c>
      <c r="I30" s="22" t="s">
        <v>270</v>
      </c>
      <c r="J30" s="22" t="s">
        <v>838</v>
      </c>
      <c r="K30" s="22" t="s">
        <v>866</v>
      </c>
      <c r="L30" s="22" t="s">
        <v>867</v>
      </c>
      <c r="M30" s="22" t="s">
        <v>868</v>
      </c>
      <c r="N30" s="22"/>
      <c r="O30" s="22" t="s">
        <v>869</v>
      </c>
      <c r="P30" s="32" t="s">
        <v>870</v>
      </c>
      <c r="Q30" s="22" t="s">
        <v>333</v>
      </c>
      <c r="R30" s="22" t="s">
        <v>871</v>
      </c>
      <c r="S30" s="32" t="s">
        <v>872</v>
      </c>
      <c r="T30" s="22" t="s">
        <v>591</v>
      </c>
      <c r="U30" s="22" t="s">
        <v>873</v>
      </c>
      <c r="V30" s="22" t="s">
        <v>874</v>
      </c>
      <c r="W30" s="22" t="s">
        <v>875</v>
      </c>
      <c r="X30" s="22" t="s">
        <v>876</v>
      </c>
      <c r="Y30" s="32" t="s">
        <v>877</v>
      </c>
      <c r="Z30" s="22" t="s">
        <v>878</v>
      </c>
      <c r="AA30" s="22" t="s">
        <v>879</v>
      </c>
      <c r="AB30" s="22" t="s">
        <v>880</v>
      </c>
      <c r="AC30" s="22" t="s">
        <v>881</v>
      </c>
      <c r="AD30" s="22" t="s">
        <v>882</v>
      </c>
      <c r="AE30" s="22" t="s">
        <v>883</v>
      </c>
      <c r="AF30" s="22" t="s">
        <v>884</v>
      </c>
      <c r="AG30" s="32" t="s">
        <v>885</v>
      </c>
      <c r="AH30" s="22" t="s">
        <v>886</v>
      </c>
      <c r="AI30" s="22" t="s">
        <v>887</v>
      </c>
    </row>
    <row r="31" customFormat="false" ht="137.25" hidden="false" customHeight="true" outlineLevel="0" collapsed="false">
      <c r="A31" s="24" t="s">
        <v>888</v>
      </c>
      <c r="B31" s="22" t="s">
        <v>181</v>
      </c>
      <c r="C31" s="22" t="s">
        <v>889</v>
      </c>
      <c r="D31" s="22" t="s">
        <v>890</v>
      </c>
      <c r="E31" s="31" t="s">
        <v>19</v>
      </c>
      <c r="F31" s="22" t="s">
        <v>891</v>
      </c>
      <c r="G31" s="22" t="s">
        <v>892</v>
      </c>
      <c r="H31" s="22" t="s">
        <v>808</v>
      </c>
      <c r="I31" s="22" t="s">
        <v>893</v>
      </c>
      <c r="J31" s="22" t="s">
        <v>838</v>
      </c>
      <c r="K31" s="22" t="s">
        <v>894</v>
      </c>
      <c r="L31" s="22" t="s">
        <v>895</v>
      </c>
      <c r="M31" s="22" t="s">
        <v>896</v>
      </c>
      <c r="N31" s="22"/>
      <c r="O31" s="22" t="s">
        <v>897</v>
      </c>
      <c r="P31" s="32" t="s">
        <v>898</v>
      </c>
      <c r="Q31" s="22" t="s">
        <v>899</v>
      </c>
      <c r="R31" s="22" t="s">
        <v>900</v>
      </c>
      <c r="S31" s="32" t="s">
        <v>901</v>
      </c>
      <c r="T31" s="22" t="s">
        <v>902</v>
      </c>
      <c r="U31" s="22" t="s">
        <v>903</v>
      </c>
      <c r="V31" s="22" t="s">
        <v>904</v>
      </c>
      <c r="W31" s="22" t="s">
        <v>905</v>
      </c>
      <c r="X31" s="22" t="s">
        <v>906</v>
      </c>
      <c r="Y31" s="32" t="s">
        <v>907</v>
      </c>
      <c r="Z31" s="22" t="s">
        <v>908</v>
      </c>
      <c r="AA31" s="22" t="s">
        <v>909</v>
      </c>
      <c r="AB31" s="22" t="s">
        <v>910</v>
      </c>
      <c r="AC31" s="22" t="s">
        <v>911</v>
      </c>
      <c r="AD31" s="22" t="s">
        <v>912</v>
      </c>
      <c r="AE31" s="22" t="s">
        <v>913</v>
      </c>
      <c r="AF31" s="22" t="s">
        <v>914</v>
      </c>
      <c r="AG31" s="32" t="s">
        <v>915</v>
      </c>
      <c r="AH31" s="22" t="s">
        <v>916</v>
      </c>
      <c r="AI31" s="22" t="s">
        <v>917</v>
      </c>
    </row>
    <row r="32" customFormat="false" ht="137.25" hidden="false" customHeight="true" outlineLevel="0" collapsed="false">
      <c r="A32" s="24" t="s">
        <v>918</v>
      </c>
      <c r="B32" s="22" t="s">
        <v>181</v>
      </c>
      <c r="C32" s="22" t="s">
        <v>889</v>
      </c>
      <c r="D32" s="22" t="s">
        <v>919</v>
      </c>
      <c r="E32" s="31" t="s">
        <v>19</v>
      </c>
      <c r="F32" s="22" t="s">
        <v>920</v>
      </c>
      <c r="G32" s="22" t="s">
        <v>893</v>
      </c>
      <c r="H32" s="22" t="s">
        <v>808</v>
      </c>
      <c r="I32" s="22" t="s">
        <v>692</v>
      </c>
      <c r="J32" s="22" t="s">
        <v>838</v>
      </c>
      <c r="K32" s="22" t="s">
        <v>921</v>
      </c>
      <c r="L32" s="22" t="s">
        <v>922</v>
      </c>
      <c r="M32" s="22" t="s">
        <v>896</v>
      </c>
      <c r="N32" s="22"/>
      <c r="O32" s="22" t="s">
        <v>923</v>
      </c>
      <c r="P32" s="32" t="s">
        <v>924</v>
      </c>
      <c r="Q32" s="22" t="s">
        <v>925</v>
      </c>
      <c r="R32" s="22" t="s">
        <v>926</v>
      </c>
      <c r="S32" s="32" t="s">
        <v>927</v>
      </c>
      <c r="T32" s="22" t="s">
        <v>591</v>
      </c>
      <c r="U32" s="22" t="s">
        <v>928</v>
      </c>
      <c r="V32" s="22" t="s">
        <v>929</v>
      </c>
      <c r="W32" s="22" t="s">
        <v>930</v>
      </c>
      <c r="X32" s="22" t="s">
        <v>931</v>
      </c>
      <c r="Y32" s="32" t="s">
        <v>932</v>
      </c>
      <c r="Z32" s="22" t="s">
        <v>933</v>
      </c>
      <c r="AA32" s="22" t="s">
        <v>934</v>
      </c>
      <c r="AB32" s="22" t="s">
        <v>935</v>
      </c>
      <c r="AC32" s="22" t="s">
        <v>936</v>
      </c>
      <c r="AD32" s="22" t="s">
        <v>937</v>
      </c>
      <c r="AE32" s="22" t="s">
        <v>938</v>
      </c>
      <c r="AF32" s="22" t="s">
        <v>939</v>
      </c>
      <c r="AG32" s="32" t="s">
        <v>940</v>
      </c>
      <c r="AH32" s="22" t="s">
        <v>941</v>
      </c>
      <c r="AI32" s="22" t="s">
        <v>942</v>
      </c>
    </row>
    <row r="33" customFormat="false" ht="187.5" hidden="false" customHeight="true" outlineLevel="0" collapsed="false">
      <c r="A33" s="24" t="s">
        <v>943</v>
      </c>
      <c r="B33" s="22" t="s">
        <v>181</v>
      </c>
      <c r="C33" s="22" t="s">
        <v>944</v>
      </c>
      <c r="D33" s="22" t="s">
        <v>945</v>
      </c>
      <c r="E33" s="33" t="s">
        <v>21</v>
      </c>
      <c r="F33" s="22" t="s">
        <v>946</v>
      </c>
      <c r="G33" s="22" t="s">
        <v>893</v>
      </c>
      <c r="H33" s="22" t="s">
        <v>270</v>
      </c>
      <c r="I33" s="22" t="s">
        <v>692</v>
      </c>
      <c r="J33" s="22" t="s">
        <v>271</v>
      </c>
      <c r="K33" s="22" t="s">
        <v>947</v>
      </c>
      <c r="L33" s="22" t="s">
        <v>558</v>
      </c>
      <c r="M33" s="22" t="s">
        <v>191</v>
      </c>
      <c r="N33" s="22"/>
      <c r="O33" s="22" t="s">
        <v>948</v>
      </c>
      <c r="P33" s="32" t="s">
        <v>949</v>
      </c>
      <c r="Q33" s="22" t="s">
        <v>950</v>
      </c>
      <c r="R33" s="22" t="s">
        <v>951</v>
      </c>
      <c r="S33" s="32" t="s">
        <v>952</v>
      </c>
      <c r="T33" s="22" t="s">
        <v>953</v>
      </c>
      <c r="U33" s="22" t="s">
        <v>954</v>
      </c>
      <c r="V33" s="22" t="s">
        <v>955</v>
      </c>
      <c r="W33" s="22" t="s">
        <v>956</v>
      </c>
      <c r="X33" s="22" t="s">
        <v>957</v>
      </c>
      <c r="Y33" s="32" t="s">
        <v>958</v>
      </c>
      <c r="Z33" s="22" t="s">
        <v>959</v>
      </c>
      <c r="AA33" s="22" t="s">
        <v>960</v>
      </c>
      <c r="AB33" s="22" t="s">
        <v>961</v>
      </c>
      <c r="AC33" s="22" t="s">
        <v>962</v>
      </c>
      <c r="AD33" s="22" t="s">
        <v>963</v>
      </c>
      <c r="AE33" s="22" t="s">
        <v>964</v>
      </c>
      <c r="AF33" s="22" t="s">
        <v>965</v>
      </c>
      <c r="AG33" s="32" t="s">
        <v>966</v>
      </c>
      <c r="AH33" s="22" t="s">
        <v>967</v>
      </c>
      <c r="AI33" s="22" t="s">
        <v>968</v>
      </c>
    </row>
    <row r="34" customFormat="false" ht="225" hidden="false" customHeight="true" outlineLevel="0" collapsed="false">
      <c r="A34" s="24" t="s">
        <v>969</v>
      </c>
      <c r="B34" s="22" t="s">
        <v>181</v>
      </c>
      <c r="C34" s="22" t="s">
        <v>970</v>
      </c>
      <c r="D34" s="22" t="s">
        <v>971</v>
      </c>
      <c r="E34" s="31" t="s">
        <v>19</v>
      </c>
      <c r="F34" s="22" t="s">
        <v>972</v>
      </c>
      <c r="G34" s="22" t="s">
        <v>185</v>
      </c>
      <c r="H34" s="22" t="s">
        <v>186</v>
      </c>
      <c r="I34" s="22" t="s">
        <v>270</v>
      </c>
      <c r="J34" s="22" t="s">
        <v>973</v>
      </c>
      <c r="K34" s="22" t="s">
        <v>974</v>
      </c>
      <c r="L34" s="22" t="s">
        <v>975</v>
      </c>
      <c r="M34" s="22" t="s">
        <v>191</v>
      </c>
      <c r="N34" s="22"/>
      <c r="O34" s="22" t="s">
        <v>976</v>
      </c>
      <c r="P34" s="32" t="s">
        <v>977</v>
      </c>
      <c r="Q34" s="22" t="s">
        <v>978</v>
      </c>
      <c r="R34" s="22" t="s">
        <v>979</v>
      </c>
      <c r="S34" s="32" t="s">
        <v>980</v>
      </c>
      <c r="T34" s="22" t="s">
        <v>981</v>
      </c>
      <c r="U34" s="22" t="s">
        <v>982</v>
      </c>
      <c r="V34" s="22" t="s">
        <v>983</v>
      </c>
      <c r="W34" s="22" t="s">
        <v>984</v>
      </c>
      <c r="X34" s="22" t="s">
        <v>985</v>
      </c>
      <c r="Y34" s="32" t="s">
        <v>986</v>
      </c>
      <c r="Z34" s="22" t="s">
        <v>987</v>
      </c>
      <c r="AA34" s="22" t="s">
        <v>988</v>
      </c>
      <c r="AB34" s="22" t="s">
        <v>989</v>
      </c>
      <c r="AC34" s="22" t="s">
        <v>990</v>
      </c>
      <c r="AD34" s="22" t="s">
        <v>991</v>
      </c>
      <c r="AE34" s="22" t="s">
        <v>992</v>
      </c>
      <c r="AF34" s="22" t="s">
        <v>993</v>
      </c>
      <c r="AG34" s="32" t="s">
        <v>994</v>
      </c>
      <c r="AH34" s="22" t="s">
        <v>995</v>
      </c>
      <c r="AI34" s="22" t="s">
        <v>996</v>
      </c>
    </row>
    <row r="35" customFormat="false" ht="300" hidden="false" customHeight="true" outlineLevel="0" collapsed="false">
      <c r="A35" s="24" t="s">
        <v>997</v>
      </c>
      <c r="B35" s="22" t="s">
        <v>181</v>
      </c>
      <c r="C35" s="22" t="s">
        <v>998</v>
      </c>
      <c r="D35" s="22" t="s">
        <v>999</v>
      </c>
      <c r="E35" s="31" t="s">
        <v>19</v>
      </c>
      <c r="F35" s="22" t="s">
        <v>1000</v>
      </c>
      <c r="G35" s="22" t="s">
        <v>186</v>
      </c>
      <c r="H35" s="22" t="s">
        <v>525</v>
      </c>
      <c r="I35" s="22" t="s">
        <v>523</v>
      </c>
      <c r="J35" s="22" t="s">
        <v>271</v>
      </c>
      <c r="K35" s="22" t="s">
        <v>1001</v>
      </c>
      <c r="L35" s="22" t="s">
        <v>1002</v>
      </c>
      <c r="M35" s="22" t="s">
        <v>1003</v>
      </c>
      <c r="N35" s="22"/>
      <c r="O35" s="22" t="s">
        <v>1004</v>
      </c>
      <c r="P35" s="32" t="s">
        <v>1005</v>
      </c>
      <c r="Q35" s="22" t="s">
        <v>333</v>
      </c>
      <c r="R35" s="22" t="s">
        <v>1006</v>
      </c>
      <c r="S35" s="32" t="s">
        <v>1007</v>
      </c>
      <c r="T35" s="22" t="s">
        <v>591</v>
      </c>
      <c r="U35" s="22" t="s">
        <v>1008</v>
      </c>
      <c r="V35" s="22" t="s">
        <v>1009</v>
      </c>
      <c r="W35" s="22" t="s">
        <v>1010</v>
      </c>
      <c r="X35" s="22" t="s">
        <v>1011</v>
      </c>
      <c r="Y35" s="32" t="s">
        <v>1012</v>
      </c>
      <c r="Z35" s="22" t="s">
        <v>1013</v>
      </c>
      <c r="AA35" s="22" t="s">
        <v>1014</v>
      </c>
      <c r="AB35" s="22" t="s">
        <v>1015</v>
      </c>
      <c r="AC35" s="22" t="s">
        <v>1016</v>
      </c>
      <c r="AD35" s="22" t="s">
        <v>1017</v>
      </c>
      <c r="AE35" s="22" t="s">
        <v>1018</v>
      </c>
      <c r="AF35" s="22" t="s">
        <v>1019</v>
      </c>
      <c r="AG35" s="32" t="s">
        <v>1020</v>
      </c>
      <c r="AH35" s="22" t="s">
        <v>1021</v>
      </c>
      <c r="AI35" s="22" t="s">
        <v>1022</v>
      </c>
    </row>
    <row r="36" customFormat="false" ht="162" hidden="false" customHeight="true" outlineLevel="0" collapsed="false">
      <c r="A36" s="24" t="s">
        <v>1023</v>
      </c>
      <c r="B36" s="22" t="s">
        <v>181</v>
      </c>
      <c r="C36" s="22" t="s">
        <v>1024</v>
      </c>
      <c r="D36" s="22" t="s">
        <v>1025</v>
      </c>
      <c r="E36" s="31" t="s">
        <v>19</v>
      </c>
      <c r="F36" s="22" t="s">
        <v>1026</v>
      </c>
      <c r="G36" s="22" t="s">
        <v>523</v>
      </c>
      <c r="H36" s="22" t="s">
        <v>270</v>
      </c>
      <c r="I36" s="22" t="s">
        <v>524</v>
      </c>
      <c r="J36" s="22" t="s">
        <v>1027</v>
      </c>
      <c r="K36" s="22" t="s">
        <v>1028</v>
      </c>
      <c r="L36" s="22" t="s">
        <v>613</v>
      </c>
      <c r="M36" s="22" t="s">
        <v>330</v>
      </c>
      <c r="N36" s="22"/>
      <c r="O36" s="22" t="s">
        <v>1029</v>
      </c>
      <c r="P36" s="32" t="s">
        <v>1030</v>
      </c>
      <c r="Q36" s="22" t="s">
        <v>1031</v>
      </c>
      <c r="R36" s="22" t="s">
        <v>392</v>
      </c>
      <c r="S36" s="32" t="s">
        <v>1032</v>
      </c>
      <c r="T36" s="22" t="s">
        <v>1033</v>
      </c>
      <c r="U36" s="22" t="s">
        <v>1034</v>
      </c>
      <c r="V36" s="22" t="s">
        <v>1035</v>
      </c>
      <c r="W36" s="22" t="s">
        <v>1036</v>
      </c>
      <c r="X36" s="22" t="s">
        <v>1037</v>
      </c>
      <c r="Y36" s="32" t="s">
        <v>1038</v>
      </c>
      <c r="Z36" s="22" t="s">
        <v>1039</v>
      </c>
      <c r="AA36" s="22" t="s">
        <v>1040</v>
      </c>
      <c r="AB36" s="22" t="s">
        <v>1041</v>
      </c>
      <c r="AC36" s="22" t="s">
        <v>1042</v>
      </c>
      <c r="AD36" s="22" t="s">
        <v>1043</v>
      </c>
      <c r="AE36" s="22" t="s">
        <v>1044</v>
      </c>
      <c r="AF36" s="22" t="s">
        <v>1045</v>
      </c>
      <c r="AG36" s="32" t="s">
        <v>1046</v>
      </c>
      <c r="AH36" s="22" t="s">
        <v>1047</v>
      </c>
      <c r="AI36" s="22" t="s">
        <v>1048</v>
      </c>
    </row>
    <row r="37" customFormat="false" ht="137.25" hidden="false" customHeight="true" outlineLevel="0" collapsed="false">
      <c r="A37" s="24" t="s">
        <v>1049</v>
      </c>
      <c r="B37" s="22" t="s">
        <v>181</v>
      </c>
      <c r="C37" s="22" t="s">
        <v>1024</v>
      </c>
      <c r="D37" s="22" t="s">
        <v>1050</v>
      </c>
      <c r="E37" s="31" t="s">
        <v>19</v>
      </c>
      <c r="F37" s="22" t="s">
        <v>1051</v>
      </c>
      <c r="G37" s="22" t="s">
        <v>270</v>
      </c>
      <c r="H37" s="22" t="s">
        <v>186</v>
      </c>
      <c r="I37" s="22" t="s">
        <v>808</v>
      </c>
      <c r="J37" s="22" t="s">
        <v>1052</v>
      </c>
      <c r="K37" s="22" t="s">
        <v>1053</v>
      </c>
      <c r="L37" s="22" t="s">
        <v>1054</v>
      </c>
      <c r="M37" s="22" t="s">
        <v>1055</v>
      </c>
      <c r="N37" s="22"/>
      <c r="O37" s="22" t="s">
        <v>1056</v>
      </c>
      <c r="P37" s="32" t="s">
        <v>1057</v>
      </c>
      <c r="Q37" s="22" t="s">
        <v>1058</v>
      </c>
      <c r="R37" s="22" t="s">
        <v>1059</v>
      </c>
      <c r="S37" s="32" t="s">
        <v>1060</v>
      </c>
      <c r="T37" s="22" t="s">
        <v>1061</v>
      </c>
      <c r="U37" s="22" t="s">
        <v>1062</v>
      </c>
      <c r="V37" s="22" t="s">
        <v>1063</v>
      </c>
      <c r="W37" s="22" t="s">
        <v>1064</v>
      </c>
      <c r="X37" s="22" t="s">
        <v>1065</v>
      </c>
      <c r="Y37" s="32" t="s">
        <v>1066</v>
      </c>
      <c r="Z37" s="22" t="s">
        <v>1067</v>
      </c>
      <c r="AA37" s="22" t="s">
        <v>1068</v>
      </c>
      <c r="AB37" s="22" t="s">
        <v>1069</v>
      </c>
      <c r="AC37" s="22" t="s">
        <v>1070</v>
      </c>
      <c r="AD37" s="22" t="s">
        <v>1071</v>
      </c>
      <c r="AE37" s="22" t="s">
        <v>1072</v>
      </c>
      <c r="AF37" s="22" t="s">
        <v>1073</v>
      </c>
      <c r="AG37" s="32" t="s">
        <v>1074</v>
      </c>
      <c r="AH37" s="22" t="s">
        <v>1075</v>
      </c>
      <c r="AI37" s="22" t="s">
        <v>1076</v>
      </c>
    </row>
    <row r="38" customFormat="false" ht="225" hidden="false" customHeight="true" outlineLevel="0" collapsed="false">
      <c r="A38" s="24" t="s">
        <v>1077</v>
      </c>
      <c r="B38" s="22" t="s">
        <v>181</v>
      </c>
      <c r="C38" s="22" t="s">
        <v>1078</v>
      </c>
      <c r="D38" s="22" t="s">
        <v>1079</v>
      </c>
      <c r="E38" s="31" t="s">
        <v>19</v>
      </c>
      <c r="F38" s="22" t="s">
        <v>1080</v>
      </c>
      <c r="G38" s="22" t="s">
        <v>185</v>
      </c>
      <c r="H38" s="22" t="s">
        <v>185</v>
      </c>
      <c r="I38" s="22"/>
      <c r="J38" s="22" t="s">
        <v>1081</v>
      </c>
      <c r="K38" s="22" t="s">
        <v>1082</v>
      </c>
      <c r="L38" s="22" t="s">
        <v>1083</v>
      </c>
      <c r="M38" s="22" t="s">
        <v>1084</v>
      </c>
      <c r="N38" s="22"/>
      <c r="O38" s="22" t="s">
        <v>1085</v>
      </c>
      <c r="P38" s="32" t="s">
        <v>1086</v>
      </c>
      <c r="Q38" s="22" t="s">
        <v>1087</v>
      </c>
      <c r="R38" s="22" t="s">
        <v>1088</v>
      </c>
      <c r="S38" s="32" t="s">
        <v>1089</v>
      </c>
      <c r="T38" s="22" t="s">
        <v>1090</v>
      </c>
      <c r="U38" s="22" t="s">
        <v>1091</v>
      </c>
      <c r="V38" s="22" t="s">
        <v>1092</v>
      </c>
      <c r="W38" s="22" t="s">
        <v>1093</v>
      </c>
      <c r="X38" s="22" t="s">
        <v>1094</v>
      </c>
      <c r="Y38" s="32" t="s">
        <v>1095</v>
      </c>
      <c r="Z38" s="22" t="s">
        <v>1096</v>
      </c>
      <c r="AA38" s="22" t="s">
        <v>1097</v>
      </c>
      <c r="AB38" s="22" t="s">
        <v>1098</v>
      </c>
      <c r="AC38" s="22" t="s">
        <v>1099</v>
      </c>
      <c r="AD38" s="22" t="s">
        <v>1100</v>
      </c>
      <c r="AE38" s="22" t="s">
        <v>1101</v>
      </c>
      <c r="AF38" s="22" t="s">
        <v>1102</v>
      </c>
      <c r="AG38" s="32" t="s">
        <v>1103</v>
      </c>
      <c r="AH38" s="22" t="s">
        <v>1104</v>
      </c>
      <c r="AI38" s="22" t="s">
        <v>1105</v>
      </c>
    </row>
    <row r="39" customFormat="false" ht="199.5" hidden="false" customHeight="true" outlineLevel="0" collapsed="false">
      <c r="A39" s="24" t="s">
        <v>1106</v>
      </c>
      <c r="B39" s="22" t="s">
        <v>181</v>
      </c>
      <c r="C39" s="22" t="s">
        <v>1107</v>
      </c>
      <c r="D39" s="22" t="s">
        <v>1108</v>
      </c>
      <c r="E39" s="31" t="s">
        <v>19</v>
      </c>
      <c r="F39" s="22" t="s">
        <v>1109</v>
      </c>
      <c r="G39" s="22" t="s">
        <v>185</v>
      </c>
      <c r="H39" s="22" t="s">
        <v>186</v>
      </c>
      <c r="I39" s="22" t="s">
        <v>523</v>
      </c>
      <c r="J39" s="22" t="s">
        <v>1110</v>
      </c>
      <c r="K39" s="22" t="s">
        <v>1111</v>
      </c>
      <c r="L39" s="22" t="s">
        <v>1112</v>
      </c>
      <c r="M39" s="22" t="s">
        <v>191</v>
      </c>
      <c r="N39" s="22"/>
      <c r="O39" s="22" t="s">
        <v>1113</v>
      </c>
      <c r="P39" s="32" t="s">
        <v>1114</v>
      </c>
      <c r="Q39" s="22" t="s">
        <v>1115</v>
      </c>
      <c r="R39" s="22" t="s">
        <v>1116</v>
      </c>
      <c r="S39" s="32" t="s">
        <v>1117</v>
      </c>
      <c r="T39" s="22" t="s">
        <v>1118</v>
      </c>
      <c r="U39" s="22" t="s">
        <v>1119</v>
      </c>
      <c r="V39" s="22" t="s">
        <v>1120</v>
      </c>
      <c r="W39" s="22" t="s">
        <v>1121</v>
      </c>
      <c r="X39" s="22" t="s">
        <v>1122</v>
      </c>
      <c r="Y39" s="32" t="s">
        <v>1123</v>
      </c>
      <c r="Z39" s="22" t="s">
        <v>1124</v>
      </c>
      <c r="AA39" s="22" t="s">
        <v>1125</v>
      </c>
      <c r="AB39" s="22" t="s">
        <v>1126</v>
      </c>
      <c r="AC39" s="22" t="s">
        <v>1127</v>
      </c>
      <c r="AD39" s="22" t="s">
        <v>1128</v>
      </c>
      <c r="AE39" s="22" t="s">
        <v>1129</v>
      </c>
      <c r="AF39" s="22" t="s">
        <v>1130</v>
      </c>
      <c r="AG39" s="32" t="s">
        <v>1131</v>
      </c>
      <c r="AH39" s="22" t="s">
        <v>1132</v>
      </c>
      <c r="AI39" s="22" t="s">
        <v>1133</v>
      </c>
    </row>
    <row r="40" customFormat="false" ht="212.25" hidden="false" customHeight="true" outlineLevel="0" collapsed="false">
      <c r="A40" s="24" t="s">
        <v>1134</v>
      </c>
      <c r="B40" s="22" t="s">
        <v>181</v>
      </c>
      <c r="C40" s="22" t="s">
        <v>1135</v>
      </c>
      <c r="D40" s="22" t="s">
        <v>1136</v>
      </c>
      <c r="E40" s="31" t="s">
        <v>19</v>
      </c>
      <c r="F40" s="22" t="s">
        <v>1137</v>
      </c>
      <c r="G40" s="22" t="s">
        <v>1138</v>
      </c>
      <c r="H40" s="22" t="s">
        <v>692</v>
      </c>
      <c r="I40" s="22" t="s">
        <v>749</v>
      </c>
      <c r="J40" s="22" t="s">
        <v>271</v>
      </c>
      <c r="K40" s="22" t="s">
        <v>1139</v>
      </c>
      <c r="L40" s="22" t="s">
        <v>1140</v>
      </c>
      <c r="M40" s="22" t="s">
        <v>1141</v>
      </c>
      <c r="N40" s="22"/>
      <c r="O40" s="22" t="s">
        <v>1142</v>
      </c>
      <c r="P40" s="32" t="s">
        <v>1143</v>
      </c>
      <c r="Q40" s="22" t="s">
        <v>333</v>
      </c>
      <c r="R40" s="22" t="s">
        <v>1144</v>
      </c>
      <c r="S40" s="32" t="s">
        <v>1145</v>
      </c>
      <c r="T40" s="22" t="s">
        <v>1146</v>
      </c>
      <c r="U40" s="22" t="s">
        <v>1147</v>
      </c>
      <c r="V40" s="22" t="s">
        <v>1148</v>
      </c>
      <c r="W40" s="22" t="s">
        <v>1149</v>
      </c>
      <c r="X40" s="22" t="s">
        <v>1150</v>
      </c>
      <c r="Y40" s="32" t="s">
        <v>1151</v>
      </c>
      <c r="Z40" s="22" t="s">
        <v>1152</v>
      </c>
      <c r="AA40" s="22" t="s">
        <v>1153</v>
      </c>
      <c r="AB40" s="22" t="s">
        <v>1154</v>
      </c>
      <c r="AC40" s="22" t="s">
        <v>1155</v>
      </c>
      <c r="AD40" s="22" t="s">
        <v>1156</v>
      </c>
      <c r="AE40" s="22" t="s">
        <v>1157</v>
      </c>
      <c r="AF40" s="22" t="s">
        <v>1158</v>
      </c>
      <c r="AG40" s="32" t="s">
        <v>1159</v>
      </c>
      <c r="AH40" s="22" t="s">
        <v>1160</v>
      </c>
      <c r="AI40" s="22" t="s">
        <v>1161</v>
      </c>
    </row>
    <row r="41" customFormat="false" ht="187.5" hidden="false" customHeight="true" outlineLevel="0" collapsed="false">
      <c r="A41" s="24" t="s">
        <v>1162</v>
      </c>
      <c r="B41" s="22" t="s">
        <v>181</v>
      </c>
      <c r="C41" s="22" t="s">
        <v>1135</v>
      </c>
      <c r="D41" s="22" t="s">
        <v>1163</v>
      </c>
      <c r="E41" s="31" t="s">
        <v>19</v>
      </c>
      <c r="F41" s="22" t="s">
        <v>1164</v>
      </c>
      <c r="G41" s="22" t="s">
        <v>1165</v>
      </c>
      <c r="H41" s="22" t="s">
        <v>185</v>
      </c>
      <c r="I41" s="22" t="s">
        <v>749</v>
      </c>
      <c r="J41" s="22" t="s">
        <v>271</v>
      </c>
      <c r="K41" s="22" t="s">
        <v>1166</v>
      </c>
      <c r="L41" s="22" t="s">
        <v>1167</v>
      </c>
      <c r="M41" s="22" t="s">
        <v>219</v>
      </c>
      <c r="N41" s="22"/>
      <c r="O41" s="22" t="s">
        <v>1168</v>
      </c>
      <c r="P41" s="32" t="s">
        <v>1169</v>
      </c>
      <c r="Q41" s="22" t="s">
        <v>1170</v>
      </c>
      <c r="R41" s="22" t="s">
        <v>1171</v>
      </c>
      <c r="S41" s="32" t="s">
        <v>1172</v>
      </c>
      <c r="T41" s="22" t="s">
        <v>1173</v>
      </c>
      <c r="U41" s="22" t="s">
        <v>1174</v>
      </c>
      <c r="V41" s="22" t="s">
        <v>1175</v>
      </c>
      <c r="W41" s="22" t="s">
        <v>1176</v>
      </c>
      <c r="X41" s="22" t="s">
        <v>1177</v>
      </c>
      <c r="Y41" s="32" t="s">
        <v>1178</v>
      </c>
      <c r="Z41" s="22" t="s">
        <v>1179</v>
      </c>
      <c r="AA41" s="22" t="s">
        <v>1180</v>
      </c>
      <c r="AB41" s="22" t="s">
        <v>1181</v>
      </c>
      <c r="AC41" s="22" t="s">
        <v>1182</v>
      </c>
      <c r="AD41" s="22" t="s">
        <v>1183</v>
      </c>
      <c r="AE41" s="22" t="s">
        <v>1184</v>
      </c>
      <c r="AF41" s="22" t="s">
        <v>1185</v>
      </c>
      <c r="AG41" s="32" t="s">
        <v>1186</v>
      </c>
      <c r="AH41" s="22" t="s">
        <v>1187</v>
      </c>
      <c r="AI41" s="22" t="s">
        <v>1188</v>
      </c>
    </row>
    <row r="42" customFormat="false" ht="212.25" hidden="false" customHeight="true" outlineLevel="0" collapsed="false">
      <c r="A42" s="24" t="s">
        <v>1189</v>
      </c>
      <c r="B42" s="22" t="s">
        <v>181</v>
      </c>
      <c r="C42" s="22" t="s">
        <v>1190</v>
      </c>
      <c r="D42" s="22" t="s">
        <v>1191</v>
      </c>
      <c r="E42" s="31" t="s">
        <v>19</v>
      </c>
      <c r="F42" s="22" t="s">
        <v>1192</v>
      </c>
      <c r="G42" s="22" t="s">
        <v>524</v>
      </c>
      <c r="H42" s="22" t="s">
        <v>523</v>
      </c>
      <c r="I42" s="22" t="s">
        <v>270</v>
      </c>
      <c r="J42" s="22" t="s">
        <v>271</v>
      </c>
      <c r="K42" s="22" t="s">
        <v>1193</v>
      </c>
      <c r="L42" s="22" t="s">
        <v>1194</v>
      </c>
      <c r="M42" s="22" t="s">
        <v>415</v>
      </c>
      <c r="N42" s="22"/>
      <c r="O42" s="22" t="s">
        <v>1195</v>
      </c>
      <c r="P42" s="32" t="s">
        <v>1196</v>
      </c>
      <c r="Q42" s="22" t="s">
        <v>333</v>
      </c>
      <c r="R42" s="22" t="s">
        <v>1197</v>
      </c>
      <c r="S42" s="32" t="s">
        <v>1198</v>
      </c>
      <c r="T42" s="22" t="s">
        <v>1199</v>
      </c>
      <c r="U42" s="22" t="s">
        <v>1200</v>
      </c>
      <c r="V42" s="22" t="s">
        <v>1201</v>
      </c>
      <c r="W42" s="22" t="s">
        <v>1202</v>
      </c>
      <c r="X42" s="22" t="s">
        <v>1203</v>
      </c>
      <c r="Y42" s="32" t="s">
        <v>1204</v>
      </c>
      <c r="Z42" s="22" t="s">
        <v>1205</v>
      </c>
      <c r="AA42" s="22" t="s">
        <v>1206</v>
      </c>
      <c r="AB42" s="22" t="s">
        <v>1207</v>
      </c>
      <c r="AC42" s="22" t="s">
        <v>1208</v>
      </c>
      <c r="AD42" s="22" t="s">
        <v>1209</v>
      </c>
      <c r="AE42" s="22" t="s">
        <v>1210</v>
      </c>
      <c r="AF42" s="22" t="s">
        <v>1211</v>
      </c>
      <c r="AG42" s="32" t="s">
        <v>1212</v>
      </c>
      <c r="AH42" s="22" t="s">
        <v>1213</v>
      </c>
      <c r="AI42" s="22" t="s">
        <v>1214</v>
      </c>
    </row>
    <row r="43" customFormat="false" ht="199.5" hidden="false" customHeight="true" outlineLevel="0" collapsed="false">
      <c r="A43" s="24" t="s">
        <v>1215</v>
      </c>
      <c r="B43" s="22" t="s">
        <v>181</v>
      </c>
      <c r="C43" s="22" t="s">
        <v>1216</v>
      </c>
      <c r="D43" s="22" t="s">
        <v>1217</v>
      </c>
      <c r="E43" s="31" t="s">
        <v>19</v>
      </c>
      <c r="F43" s="22" t="s">
        <v>1218</v>
      </c>
      <c r="G43" s="22" t="s">
        <v>523</v>
      </c>
      <c r="H43" s="22" t="s">
        <v>524</v>
      </c>
      <c r="I43" s="22" t="s">
        <v>270</v>
      </c>
      <c r="J43" s="22" t="s">
        <v>1219</v>
      </c>
      <c r="K43" s="22" t="s">
        <v>1220</v>
      </c>
      <c r="L43" s="22" t="s">
        <v>1221</v>
      </c>
      <c r="M43" s="22" t="s">
        <v>1222</v>
      </c>
      <c r="N43" s="22"/>
      <c r="O43" s="22" t="s">
        <v>1223</v>
      </c>
      <c r="P43" s="32" t="s">
        <v>1224</v>
      </c>
      <c r="Q43" s="22" t="s">
        <v>1225</v>
      </c>
      <c r="R43" s="22" t="s">
        <v>1226</v>
      </c>
      <c r="S43" s="32" t="s">
        <v>1227</v>
      </c>
      <c r="T43" s="22" t="s">
        <v>1228</v>
      </c>
      <c r="U43" s="22" t="s">
        <v>1229</v>
      </c>
      <c r="V43" s="22" t="s">
        <v>1230</v>
      </c>
      <c r="W43" s="22" t="s">
        <v>1231</v>
      </c>
      <c r="X43" s="22" t="s">
        <v>1232</v>
      </c>
      <c r="Y43" s="32" t="s">
        <v>1233</v>
      </c>
      <c r="Z43" s="22" t="s">
        <v>1234</v>
      </c>
      <c r="AA43" s="22" t="s">
        <v>1235</v>
      </c>
      <c r="AB43" s="22" t="s">
        <v>1236</v>
      </c>
      <c r="AC43" s="22" t="s">
        <v>1237</v>
      </c>
      <c r="AD43" s="22" t="s">
        <v>1238</v>
      </c>
      <c r="AE43" s="22" t="s">
        <v>1239</v>
      </c>
      <c r="AF43" s="22" t="s">
        <v>1240</v>
      </c>
      <c r="AG43" s="32" t="s">
        <v>1241</v>
      </c>
      <c r="AH43" s="22" t="s">
        <v>1242</v>
      </c>
      <c r="AI43" s="22" t="s">
        <v>1243</v>
      </c>
    </row>
    <row r="44" customFormat="false" ht="174.75" hidden="false" customHeight="true" outlineLevel="0" collapsed="false">
      <c r="A44" s="24" t="s">
        <v>1244</v>
      </c>
      <c r="B44" s="22" t="s">
        <v>181</v>
      </c>
      <c r="C44" s="22" t="s">
        <v>1245</v>
      </c>
      <c r="D44" s="22" t="s">
        <v>1246</v>
      </c>
      <c r="E44" s="33" t="s">
        <v>21</v>
      </c>
      <c r="F44" s="22" t="s">
        <v>1247</v>
      </c>
      <c r="G44" s="22" t="s">
        <v>692</v>
      </c>
      <c r="H44" s="22" t="s">
        <v>186</v>
      </c>
      <c r="I44" s="22"/>
      <c r="J44" s="22" t="s">
        <v>271</v>
      </c>
      <c r="K44" s="22" t="s">
        <v>1248</v>
      </c>
      <c r="L44" s="22" t="s">
        <v>1249</v>
      </c>
      <c r="M44" s="22" t="s">
        <v>1250</v>
      </c>
      <c r="N44" s="22"/>
      <c r="O44" s="22" t="s">
        <v>1251</v>
      </c>
      <c r="P44" s="32" t="s">
        <v>1252</v>
      </c>
      <c r="Q44" s="22" t="s">
        <v>1253</v>
      </c>
      <c r="R44" s="22" t="s">
        <v>1254</v>
      </c>
      <c r="S44" s="32" t="s">
        <v>1255</v>
      </c>
      <c r="T44" s="22" t="s">
        <v>981</v>
      </c>
      <c r="U44" s="22" t="s">
        <v>1256</v>
      </c>
      <c r="V44" s="22" t="s">
        <v>1257</v>
      </c>
      <c r="W44" s="22" t="s">
        <v>1258</v>
      </c>
      <c r="X44" s="22" t="s">
        <v>1259</v>
      </c>
      <c r="Y44" s="32" t="s">
        <v>1260</v>
      </c>
      <c r="Z44" s="22" t="s">
        <v>1261</v>
      </c>
      <c r="AA44" s="22" t="s">
        <v>1262</v>
      </c>
      <c r="AB44" s="22" t="s">
        <v>1263</v>
      </c>
      <c r="AC44" s="22" t="s">
        <v>1264</v>
      </c>
      <c r="AD44" s="22" t="s">
        <v>1265</v>
      </c>
      <c r="AE44" s="22" t="s">
        <v>1266</v>
      </c>
      <c r="AF44" s="22" t="s">
        <v>1267</v>
      </c>
      <c r="AG44" s="32" t="s">
        <v>1268</v>
      </c>
      <c r="AH44" s="22"/>
      <c r="AI44" s="22" t="s">
        <v>1269</v>
      </c>
    </row>
    <row r="45" customFormat="false" ht="187.5" hidden="false" customHeight="true" outlineLevel="0" collapsed="false">
      <c r="A45" s="24" t="s">
        <v>1270</v>
      </c>
      <c r="B45" s="22" t="s">
        <v>181</v>
      </c>
      <c r="C45" s="22" t="s">
        <v>1271</v>
      </c>
      <c r="D45" s="22" t="s">
        <v>1272</v>
      </c>
      <c r="E45" s="33" t="s">
        <v>21</v>
      </c>
      <c r="F45" s="22" t="s">
        <v>1273</v>
      </c>
      <c r="G45" s="22" t="s">
        <v>1274</v>
      </c>
      <c r="H45" s="22" t="s">
        <v>185</v>
      </c>
      <c r="I45" s="22" t="s">
        <v>1275</v>
      </c>
      <c r="J45" s="22" t="s">
        <v>1276</v>
      </c>
      <c r="K45" s="22" t="s">
        <v>1277</v>
      </c>
      <c r="L45" s="22" t="s">
        <v>1278</v>
      </c>
      <c r="M45" s="22" t="s">
        <v>1279</v>
      </c>
      <c r="N45" s="22"/>
      <c r="O45" s="22" t="s">
        <v>1280</v>
      </c>
      <c r="P45" s="32" t="s">
        <v>1281</v>
      </c>
      <c r="Q45" s="22" t="s">
        <v>1282</v>
      </c>
      <c r="R45" s="22" t="s">
        <v>1283</v>
      </c>
      <c r="S45" s="32" t="s">
        <v>1284</v>
      </c>
      <c r="T45" s="22" t="s">
        <v>1285</v>
      </c>
      <c r="U45" s="22" t="s">
        <v>1286</v>
      </c>
      <c r="V45" s="22" t="s">
        <v>1287</v>
      </c>
      <c r="W45" s="22" t="s">
        <v>1288</v>
      </c>
      <c r="X45" s="22" t="s">
        <v>1289</v>
      </c>
      <c r="Y45" s="32" t="s">
        <v>1290</v>
      </c>
      <c r="Z45" s="22" t="s">
        <v>1291</v>
      </c>
      <c r="AA45" s="22" t="s">
        <v>1292</v>
      </c>
      <c r="AB45" s="22" t="s">
        <v>1293</v>
      </c>
      <c r="AC45" s="22" t="s">
        <v>1294</v>
      </c>
      <c r="AD45" s="22" t="s">
        <v>1295</v>
      </c>
      <c r="AE45" s="22" t="s">
        <v>1296</v>
      </c>
      <c r="AF45" s="22" t="s">
        <v>1297</v>
      </c>
      <c r="AG45" s="32" t="s">
        <v>1298</v>
      </c>
      <c r="AH45" s="22" t="s">
        <v>1299</v>
      </c>
      <c r="AI45" s="22" t="s">
        <v>1300</v>
      </c>
    </row>
  </sheetData>
  <autoFilter ref="A5:AI45"/>
  <mergeCells count="2">
    <mergeCell ref="A1:AH1"/>
    <mergeCell ref="A2:AI2"/>
  </mergeCells>
  <dataValidations count="1">
    <dataValidation allowBlank="true" errorStyle="stop" operator="between" showDropDown="false" showErrorMessage="false" showInputMessage="false" sqref="E6:E1045" type="list">
      <formula1>"Verified – official source,Verified – secondary source only,Partially verified,Unverified – needs CA review,Ambiguous / conflicting – needs CA review"</formula1>
      <formula2>0</formula2>
    </dataValidation>
  </dataValidations>
  <hyperlinks>
    <hyperlink ref="AI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I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16"/>
    <col collapsed="false" customWidth="true" hidden="false" outlineLevel="0" max="6" min="6" style="0" width="30"/>
    <col collapsed="false" customWidth="true" hidden="false" outlineLevel="0" max="8" min="7" style="0" width="13"/>
    <col collapsed="false" customWidth="true" hidden="false" outlineLevel="0" max="9" min="9" style="0" width="12"/>
    <col collapsed="false" customWidth="true" hidden="false" outlineLevel="0" max="10" min="10" style="0" width="16"/>
    <col collapsed="false" customWidth="true" hidden="false" outlineLevel="0" max="11" min="11" style="0" width="32"/>
    <col collapsed="false" customWidth="true" hidden="false" outlineLevel="0" max="12" min="12" style="0" width="26"/>
    <col collapsed="false" customWidth="true" hidden="false" outlineLevel="0" max="13" min="13" style="0" width="12"/>
    <col collapsed="false" customWidth="true" hidden="false" outlineLevel="0" max="14" min="14" style="0" width="11"/>
    <col collapsed="false" customWidth="true" hidden="false" outlineLevel="0" max="15" min="15" style="0" width="24"/>
    <col collapsed="false" customWidth="true" hidden="false" outlineLevel="0" max="17" min="16" style="0" width="40"/>
    <col collapsed="false" customWidth="true" hidden="false" outlineLevel="0" max="18" min="18" style="0" width="24"/>
    <col collapsed="false" customWidth="true" hidden="false" outlineLevel="0" max="19" min="19" style="0" width="40"/>
    <col collapsed="false" customWidth="true" hidden="false" outlineLevel="0" max="20" min="20" style="0" width="26"/>
    <col collapsed="false" customWidth="true" hidden="false" outlineLevel="0" max="21" min="21" style="0" width="36"/>
    <col collapsed="false" customWidth="true" hidden="false" outlineLevel="0" max="22" min="22" style="0" width="55"/>
    <col collapsed="false" customWidth="true" hidden="false" outlineLevel="0" max="23" min="23" style="0" width="45"/>
    <col collapsed="false" customWidth="true" hidden="false" outlineLevel="0" max="24" min="24" style="0" width="32"/>
    <col collapsed="false" customWidth="true" hidden="false" outlineLevel="0" max="25" min="25" style="0" width="30"/>
    <col collapsed="false" customWidth="true" hidden="false" outlineLevel="0" max="26" min="26" style="0" width="32"/>
    <col collapsed="false" customWidth="true" hidden="false" outlineLevel="0" max="27" min="27" style="0" width="30"/>
    <col collapsed="false" customWidth="true" hidden="false" outlineLevel="0" max="28" min="28" style="0" width="55"/>
    <col collapsed="false" customWidth="true" hidden="false" outlineLevel="0" max="30" min="29" style="0" width="32"/>
    <col collapsed="false" customWidth="true" hidden="false" outlineLevel="0" max="32" min="31" style="0" width="30"/>
    <col collapsed="false" customWidth="true" hidden="false" outlineLevel="0" max="33" min="33" style="0" width="55"/>
    <col collapsed="false" customWidth="true" hidden="false" outlineLevel="0" max="34" min="34" style="0" width="60"/>
    <col collapsed="false" customWidth="true" hidden="false" outlineLevel="0" max="35" min="35" style="0" width="45"/>
  </cols>
  <sheetData>
    <row r="1" customFormat="false" ht="30" hidden="false" customHeight="true" outlineLevel="0" collapsed="false">
      <c r="A1" s="18" t="s">
        <v>43</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9" t="s">
        <v>29</v>
      </c>
    </row>
    <row r="2" customFormat="false" ht="31.5" hidden="false" customHeight="true" outlineLevel="0" collapsed="false">
      <c r="A2" s="20" t="s">
        <v>1301</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row>
    <row r="3" customFormat="false" ht="15" hidden="false" customHeight="false" outlineLevel="0" collapsed="false">
      <c r="A3" s="6" t="s">
        <v>109</v>
      </c>
      <c r="C3" s="6" t="n">
        <f aca="false">COUNTA(A6:A2000)</f>
        <v>25</v>
      </c>
    </row>
    <row r="4" customFormat="false" ht="33.75" hidden="false" customHeight="true" outlineLevel="0" collapsed="false">
      <c r="A4" s="21" t="s">
        <v>110</v>
      </c>
      <c r="B4" s="21" t="s">
        <v>111</v>
      </c>
      <c r="C4" s="21" t="s">
        <v>112</v>
      </c>
      <c r="D4" s="21" t="s">
        <v>113</v>
      </c>
      <c r="E4" s="21" t="s">
        <v>114</v>
      </c>
      <c r="F4" s="21" t="s">
        <v>115</v>
      </c>
      <c r="G4" s="21" t="s">
        <v>116</v>
      </c>
      <c r="H4" s="21" t="s">
        <v>117</v>
      </c>
      <c r="I4" s="21" t="s">
        <v>118</v>
      </c>
      <c r="J4" s="21" t="s">
        <v>119</v>
      </c>
      <c r="K4" s="21" t="s">
        <v>120</v>
      </c>
      <c r="L4" s="21" t="s">
        <v>121</v>
      </c>
      <c r="M4" s="21" t="s">
        <v>122</v>
      </c>
      <c r="N4" s="21" t="s">
        <v>123</v>
      </c>
      <c r="O4" s="21" t="s">
        <v>124</v>
      </c>
      <c r="P4" s="21" t="s">
        <v>125</v>
      </c>
      <c r="Q4" s="21" t="s">
        <v>126</v>
      </c>
      <c r="R4" s="21" t="s">
        <v>127</v>
      </c>
      <c r="S4" s="21" t="s">
        <v>128</v>
      </c>
      <c r="T4" s="21" t="s">
        <v>129</v>
      </c>
      <c r="U4" s="21" t="s">
        <v>130</v>
      </c>
      <c r="V4" s="21" t="s">
        <v>131</v>
      </c>
      <c r="W4" s="21" t="s">
        <v>132</v>
      </c>
      <c r="X4" s="21" t="s">
        <v>133</v>
      </c>
      <c r="Y4" s="21" t="s">
        <v>134</v>
      </c>
      <c r="Z4" s="21" t="s">
        <v>135</v>
      </c>
      <c r="AA4" s="21" t="s">
        <v>136</v>
      </c>
      <c r="AB4" s="21" t="s">
        <v>137</v>
      </c>
      <c r="AC4" s="21" t="s">
        <v>138</v>
      </c>
      <c r="AD4" s="21" t="s">
        <v>139</v>
      </c>
      <c r="AE4" s="21" t="s">
        <v>140</v>
      </c>
      <c r="AF4" s="21" t="s">
        <v>141</v>
      </c>
      <c r="AG4" s="21" t="s">
        <v>142</v>
      </c>
      <c r="AH4" s="21" t="s">
        <v>143</v>
      </c>
      <c r="AI4" s="21" t="s">
        <v>144</v>
      </c>
    </row>
    <row r="5" customFormat="false" ht="15" hidden="false" customHeight="false" outlineLevel="0" collapsed="false">
      <c r="A5" s="30" t="s">
        <v>145</v>
      </c>
      <c r="B5" s="30" t="s">
        <v>146</v>
      </c>
      <c r="C5" s="30" t="s">
        <v>147</v>
      </c>
      <c r="D5" s="30" t="s">
        <v>148</v>
      </c>
      <c r="E5" s="30" t="s">
        <v>149</v>
      </c>
      <c r="F5" s="30" t="s">
        <v>150</v>
      </c>
      <c r="G5" s="30" t="s">
        <v>151</v>
      </c>
      <c r="H5" s="30" t="s">
        <v>152</v>
      </c>
      <c r="I5" s="30" t="s">
        <v>153</v>
      </c>
      <c r="J5" s="30" t="s">
        <v>154</v>
      </c>
      <c r="K5" s="30" t="s">
        <v>155</v>
      </c>
      <c r="L5" s="30" t="s">
        <v>156</v>
      </c>
      <c r="M5" s="30" t="s">
        <v>157</v>
      </c>
      <c r="N5" s="30" t="s">
        <v>158</v>
      </c>
      <c r="O5" s="30" t="s">
        <v>159</v>
      </c>
      <c r="P5" s="30" t="s">
        <v>160</v>
      </c>
      <c r="Q5" s="30" t="s">
        <v>161</v>
      </c>
      <c r="R5" s="30" t="s">
        <v>162</v>
      </c>
      <c r="S5" s="30" t="s">
        <v>163</v>
      </c>
      <c r="T5" s="30" t="s">
        <v>164</v>
      </c>
      <c r="U5" s="30" t="s">
        <v>165</v>
      </c>
      <c r="V5" s="30" t="s">
        <v>166</v>
      </c>
      <c r="W5" s="30" t="s">
        <v>167</v>
      </c>
      <c r="X5" s="30" t="s">
        <v>168</v>
      </c>
      <c r="Y5" s="30" t="s">
        <v>169</v>
      </c>
      <c r="Z5" s="30" t="s">
        <v>170</v>
      </c>
      <c r="AA5" s="30" t="s">
        <v>171</v>
      </c>
      <c r="AB5" s="30" t="s">
        <v>172</v>
      </c>
      <c r="AC5" s="30" t="s">
        <v>173</v>
      </c>
      <c r="AD5" s="30" t="s">
        <v>174</v>
      </c>
      <c r="AE5" s="30" t="s">
        <v>175</v>
      </c>
      <c r="AF5" s="30" t="s">
        <v>176</v>
      </c>
      <c r="AG5" s="30" t="s">
        <v>177</v>
      </c>
      <c r="AH5" s="30" t="s">
        <v>178</v>
      </c>
      <c r="AI5" s="30" t="s">
        <v>179</v>
      </c>
    </row>
    <row r="6" customFormat="false" ht="262.5" hidden="false" customHeight="true" outlineLevel="0" collapsed="false">
      <c r="A6" s="24" t="s">
        <v>1302</v>
      </c>
      <c r="B6" s="22" t="s">
        <v>181</v>
      </c>
      <c r="C6" s="22" t="s">
        <v>1303</v>
      </c>
      <c r="D6" s="22" t="s">
        <v>1304</v>
      </c>
      <c r="E6" s="31" t="s">
        <v>19</v>
      </c>
      <c r="F6" s="22" t="s">
        <v>1305</v>
      </c>
      <c r="G6" s="22" t="s">
        <v>1306</v>
      </c>
      <c r="H6" s="22" t="s">
        <v>1307</v>
      </c>
      <c r="I6" s="22"/>
      <c r="J6" s="22" t="s">
        <v>1308</v>
      </c>
      <c r="K6" s="22" t="s">
        <v>1309</v>
      </c>
      <c r="L6" s="22" t="s">
        <v>1310</v>
      </c>
      <c r="M6" s="22" t="s">
        <v>415</v>
      </c>
      <c r="N6" s="22"/>
      <c r="O6" s="22" t="s">
        <v>1311</v>
      </c>
      <c r="P6" s="32" t="s">
        <v>1312</v>
      </c>
      <c r="Q6" s="22" t="s">
        <v>1313</v>
      </c>
      <c r="R6" s="22" t="s">
        <v>1314</v>
      </c>
      <c r="S6" s="32" t="s">
        <v>1315</v>
      </c>
      <c r="T6" s="22" t="s">
        <v>1316</v>
      </c>
      <c r="U6" s="22" t="s">
        <v>1317</v>
      </c>
      <c r="V6" s="22" t="s">
        <v>1318</v>
      </c>
      <c r="W6" s="22" t="s">
        <v>1319</v>
      </c>
      <c r="X6" s="22" t="s">
        <v>1320</v>
      </c>
      <c r="Y6" s="32" t="s">
        <v>1321</v>
      </c>
      <c r="Z6" s="22" t="s">
        <v>1322</v>
      </c>
      <c r="AA6" s="22" t="s">
        <v>1323</v>
      </c>
      <c r="AB6" s="22" t="s">
        <v>1324</v>
      </c>
      <c r="AC6" s="22" t="s">
        <v>1325</v>
      </c>
      <c r="AD6" s="22" t="s">
        <v>1326</v>
      </c>
      <c r="AE6" s="22" t="s">
        <v>1327</v>
      </c>
      <c r="AF6" s="22" t="s">
        <v>1328</v>
      </c>
      <c r="AG6" s="32" t="s">
        <v>1329</v>
      </c>
      <c r="AH6" s="22" t="s">
        <v>1330</v>
      </c>
      <c r="AI6" s="22" t="s">
        <v>1331</v>
      </c>
    </row>
    <row r="7" customFormat="false" ht="212.25" hidden="false" customHeight="true" outlineLevel="0" collapsed="false">
      <c r="A7" s="24" t="s">
        <v>1332</v>
      </c>
      <c r="B7" s="22" t="s">
        <v>181</v>
      </c>
      <c r="C7" s="22" t="s">
        <v>1333</v>
      </c>
      <c r="D7" s="22" t="s">
        <v>1334</v>
      </c>
      <c r="E7" s="31" t="s">
        <v>19</v>
      </c>
      <c r="F7" s="22" t="s">
        <v>1335</v>
      </c>
      <c r="G7" s="22" t="s">
        <v>692</v>
      </c>
      <c r="H7" s="22" t="s">
        <v>1306</v>
      </c>
      <c r="I7" s="22" t="s">
        <v>1336</v>
      </c>
      <c r="J7" s="22" t="s">
        <v>1337</v>
      </c>
      <c r="K7" s="22" t="s">
        <v>1338</v>
      </c>
      <c r="L7" s="22" t="s">
        <v>1339</v>
      </c>
      <c r="M7" s="22" t="s">
        <v>415</v>
      </c>
      <c r="N7" s="22"/>
      <c r="O7" s="22" t="s">
        <v>1340</v>
      </c>
      <c r="P7" s="32" t="s">
        <v>1341</v>
      </c>
      <c r="Q7" s="22" t="s">
        <v>1342</v>
      </c>
      <c r="R7" s="22" t="s">
        <v>1343</v>
      </c>
      <c r="S7" s="32" t="s">
        <v>1344</v>
      </c>
      <c r="T7" s="22" t="s">
        <v>1345</v>
      </c>
      <c r="U7" s="22" t="s">
        <v>1346</v>
      </c>
      <c r="V7" s="22" t="s">
        <v>1347</v>
      </c>
      <c r="W7" s="22" t="s">
        <v>1348</v>
      </c>
      <c r="X7" s="22" t="s">
        <v>1349</v>
      </c>
      <c r="Y7" s="32" t="s">
        <v>1350</v>
      </c>
      <c r="Z7" s="22" t="s">
        <v>1351</v>
      </c>
      <c r="AA7" s="22" t="s">
        <v>1352</v>
      </c>
      <c r="AB7" s="22" t="s">
        <v>1353</v>
      </c>
      <c r="AC7" s="22" t="s">
        <v>1354</v>
      </c>
      <c r="AD7" s="22" t="s">
        <v>1355</v>
      </c>
      <c r="AE7" s="22" t="s">
        <v>1356</v>
      </c>
      <c r="AF7" s="22" t="s">
        <v>1357</v>
      </c>
      <c r="AG7" s="32" t="s">
        <v>1358</v>
      </c>
      <c r="AH7" s="22" t="s">
        <v>1359</v>
      </c>
      <c r="AI7" s="22" t="s">
        <v>1360</v>
      </c>
    </row>
    <row r="8" customFormat="false" ht="237" hidden="false" customHeight="true" outlineLevel="0" collapsed="false">
      <c r="A8" s="24" t="s">
        <v>1361</v>
      </c>
      <c r="B8" s="22" t="s">
        <v>181</v>
      </c>
      <c r="C8" s="22" t="s">
        <v>1362</v>
      </c>
      <c r="D8" s="22" t="s">
        <v>1363</v>
      </c>
      <c r="E8" s="31" t="s">
        <v>19</v>
      </c>
      <c r="F8" s="22" t="s">
        <v>1364</v>
      </c>
      <c r="G8" s="22" t="s">
        <v>1307</v>
      </c>
      <c r="H8" s="22" t="s">
        <v>1365</v>
      </c>
      <c r="I8" s="22" t="s">
        <v>1306</v>
      </c>
      <c r="J8" s="22" t="s">
        <v>1366</v>
      </c>
      <c r="K8" s="22" t="s">
        <v>1367</v>
      </c>
      <c r="L8" s="22" t="s">
        <v>1368</v>
      </c>
      <c r="M8" s="22" t="s">
        <v>415</v>
      </c>
      <c r="N8" s="22"/>
      <c r="O8" s="22" t="s">
        <v>1369</v>
      </c>
      <c r="P8" s="32" t="s">
        <v>1370</v>
      </c>
      <c r="Q8" s="22" t="s">
        <v>1371</v>
      </c>
      <c r="R8" s="22" t="s">
        <v>1372</v>
      </c>
      <c r="S8" s="32" t="s">
        <v>1373</v>
      </c>
      <c r="T8" s="22" t="s">
        <v>1374</v>
      </c>
      <c r="U8" s="22" t="s">
        <v>1375</v>
      </c>
      <c r="V8" s="22" t="s">
        <v>1376</v>
      </c>
      <c r="W8" s="22" t="s">
        <v>1377</v>
      </c>
      <c r="X8" s="22" t="s">
        <v>1378</v>
      </c>
      <c r="Y8" s="32" t="s">
        <v>1379</v>
      </c>
      <c r="Z8" s="22" t="s">
        <v>1380</v>
      </c>
      <c r="AA8" s="22" t="s">
        <v>1381</v>
      </c>
      <c r="AB8" s="22" t="s">
        <v>1382</v>
      </c>
      <c r="AC8" s="22" t="s">
        <v>1383</v>
      </c>
      <c r="AD8" s="22" t="s">
        <v>1384</v>
      </c>
      <c r="AE8" s="22" t="s">
        <v>1385</v>
      </c>
      <c r="AF8" s="22" t="s">
        <v>1386</v>
      </c>
      <c r="AG8" s="32" t="s">
        <v>1387</v>
      </c>
      <c r="AH8" s="22" t="s">
        <v>1388</v>
      </c>
      <c r="AI8" s="22" t="s">
        <v>1389</v>
      </c>
    </row>
    <row r="9" customFormat="false" ht="174.75" hidden="false" customHeight="true" outlineLevel="0" collapsed="false">
      <c r="A9" s="24" t="s">
        <v>1390</v>
      </c>
      <c r="B9" s="22" t="s">
        <v>181</v>
      </c>
      <c r="C9" s="22" t="s">
        <v>1391</v>
      </c>
      <c r="D9" s="22" t="s">
        <v>1392</v>
      </c>
      <c r="E9" s="31" t="s">
        <v>19</v>
      </c>
      <c r="F9" s="22" t="s">
        <v>1393</v>
      </c>
      <c r="G9" s="22" t="s">
        <v>1307</v>
      </c>
      <c r="H9" s="22" t="s">
        <v>1365</v>
      </c>
      <c r="I9" s="22" t="s">
        <v>1306</v>
      </c>
      <c r="J9" s="22" t="s">
        <v>1394</v>
      </c>
      <c r="K9" s="22" t="s">
        <v>1395</v>
      </c>
      <c r="L9" s="22" t="s">
        <v>1396</v>
      </c>
      <c r="M9" s="22" t="s">
        <v>415</v>
      </c>
      <c r="N9" s="22"/>
      <c r="O9" s="22" t="s">
        <v>1397</v>
      </c>
      <c r="P9" s="32" t="s">
        <v>1398</v>
      </c>
      <c r="Q9" s="22" t="s">
        <v>1399</v>
      </c>
      <c r="R9" s="22" t="s">
        <v>1400</v>
      </c>
      <c r="S9" s="32" t="s">
        <v>1401</v>
      </c>
      <c r="T9" s="22" t="s">
        <v>1402</v>
      </c>
      <c r="U9" s="22" t="s">
        <v>1403</v>
      </c>
      <c r="V9" s="22" t="s">
        <v>1404</v>
      </c>
      <c r="W9" s="22" t="s">
        <v>1405</v>
      </c>
      <c r="X9" s="22" t="s">
        <v>1406</v>
      </c>
      <c r="Y9" s="32" t="s">
        <v>1407</v>
      </c>
      <c r="Z9" s="22" t="s">
        <v>1408</v>
      </c>
      <c r="AA9" s="22" t="s">
        <v>1409</v>
      </c>
      <c r="AB9" s="22" t="s">
        <v>1410</v>
      </c>
      <c r="AC9" s="22" t="s">
        <v>1411</v>
      </c>
      <c r="AD9" s="22" t="s">
        <v>1412</v>
      </c>
      <c r="AE9" s="22" t="s">
        <v>1413</v>
      </c>
      <c r="AF9" s="22" t="s">
        <v>1414</v>
      </c>
      <c r="AG9" s="32" t="s">
        <v>1415</v>
      </c>
      <c r="AH9" s="22" t="s">
        <v>1416</v>
      </c>
      <c r="AI9" s="22" t="s">
        <v>1417</v>
      </c>
    </row>
    <row r="10" customFormat="false" ht="174.75" hidden="false" customHeight="true" outlineLevel="0" collapsed="false">
      <c r="A10" s="24" t="s">
        <v>1418</v>
      </c>
      <c r="B10" s="22" t="s">
        <v>181</v>
      </c>
      <c r="C10" s="22" t="s">
        <v>1391</v>
      </c>
      <c r="D10" s="22" t="s">
        <v>1419</v>
      </c>
      <c r="E10" s="31" t="s">
        <v>19</v>
      </c>
      <c r="F10" s="22" t="s">
        <v>1420</v>
      </c>
      <c r="G10" s="22" t="s">
        <v>1307</v>
      </c>
      <c r="H10" s="22" t="s">
        <v>692</v>
      </c>
      <c r="I10" s="22" t="s">
        <v>1306</v>
      </c>
      <c r="J10" s="22" t="s">
        <v>1421</v>
      </c>
      <c r="K10" s="22" t="s">
        <v>1422</v>
      </c>
      <c r="L10" s="22" t="s">
        <v>1423</v>
      </c>
      <c r="M10" s="22" t="s">
        <v>415</v>
      </c>
      <c r="N10" s="22"/>
      <c r="O10" s="22" t="s">
        <v>1424</v>
      </c>
      <c r="P10" s="32" t="s">
        <v>1425</v>
      </c>
      <c r="Q10" s="22" t="s">
        <v>1426</v>
      </c>
      <c r="R10" s="22" t="s">
        <v>1427</v>
      </c>
      <c r="S10" s="32" t="s">
        <v>1428</v>
      </c>
      <c r="T10" s="22" t="s">
        <v>1429</v>
      </c>
      <c r="U10" s="22" t="s">
        <v>1430</v>
      </c>
      <c r="V10" s="22" t="s">
        <v>1431</v>
      </c>
      <c r="W10" s="22" t="s">
        <v>1432</v>
      </c>
      <c r="X10" s="22" t="s">
        <v>1433</v>
      </c>
      <c r="Y10" s="32" t="s">
        <v>1434</v>
      </c>
      <c r="Z10" s="22" t="s">
        <v>1435</v>
      </c>
      <c r="AA10" s="22" t="s">
        <v>1436</v>
      </c>
      <c r="AB10" s="22" t="s">
        <v>1437</v>
      </c>
      <c r="AC10" s="22" t="s">
        <v>1438</v>
      </c>
      <c r="AD10" s="22" t="s">
        <v>1439</v>
      </c>
      <c r="AE10" s="22" t="s">
        <v>1440</v>
      </c>
      <c r="AF10" s="22" t="s">
        <v>1441</v>
      </c>
      <c r="AG10" s="32" t="s">
        <v>1442</v>
      </c>
      <c r="AH10" s="22" t="s">
        <v>1443</v>
      </c>
      <c r="AI10" s="22" t="s">
        <v>1444</v>
      </c>
    </row>
    <row r="11" customFormat="false" ht="187.5" hidden="false" customHeight="true" outlineLevel="0" collapsed="false">
      <c r="A11" s="24" t="s">
        <v>1445</v>
      </c>
      <c r="B11" s="22" t="s">
        <v>181</v>
      </c>
      <c r="C11" s="22" t="s">
        <v>1446</v>
      </c>
      <c r="D11" s="22" t="s">
        <v>1447</v>
      </c>
      <c r="E11" s="31" t="s">
        <v>19</v>
      </c>
      <c r="F11" s="22" t="s">
        <v>1448</v>
      </c>
      <c r="G11" s="22" t="s">
        <v>1307</v>
      </c>
      <c r="H11" s="22" t="s">
        <v>1336</v>
      </c>
      <c r="I11" s="22"/>
      <c r="J11" s="22" t="s">
        <v>1449</v>
      </c>
      <c r="K11" s="22" t="s">
        <v>1450</v>
      </c>
      <c r="L11" s="22" t="s">
        <v>1451</v>
      </c>
      <c r="M11" s="22" t="s">
        <v>415</v>
      </c>
      <c r="N11" s="22"/>
      <c r="O11" s="22" t="s">
        <v>1452</v>
      </c>
      <c r="P11" s="32" t="s">
        <v>1453</v>
      </c>
      <c r="Q11" s="22" t="s">
        <v>1454</v>
      </c>
      <c r="R11" s="22" t="s">
        <v>1455</v>
      </c>
      <c r="S11" s="32" t="s">
        <v>1456</v>
      </c>
      <c r="T11" s="22" t="s">
        <v>1457</v>
      </c>
      <c r="U11" s="22" t="s">
        <v>1458</v>
      </c>
      <c r="V11" s="22" t="s">
        <v>1459</v>
      </c>
      <c r="W11" s="22" t="s">
        <v>1460</v>
      </c>
      <c r="X11" s="22" t="s">
        <v>1461</v>
      </c>
      <c r="Y11" s="32" t="s">
        <v>1462</v>
      </c>
      <c r="Z11" s="22" t="s">
        <v>1463</v>
      </c>
      <c r="AA11" s="22" t="s">
        <v>1464</v>
      </c>
      <c r="AB11" s="22" t="s">
        <v>1465</v>
      </c>
      <c r="AC11" s="22" t="s">
        <v>1466</v>
      </c>
      <c r="AD11" s="22" t="s">
        <v>1467</v>
      </c>
      <c r="AE11" s="22" t="s">
        <v>1468</v>
      </c>
      <c r="AF11" s="22" t="s">
        <v>1469</v>
      </c>
      <c r="AG11" s="32" t="s">
        <v>1470</v>
      </c>
      <c r="AH11" s="22" t="s">
        <v>1471</v>
      </c>
      <c r="AI11" s="22" t="s">
        <v>1472</v>
      </c>
    </row>
    <row r="12" customFormat="false" ht="99.75" hidden="false" customHeight="true" outlineLevel="0" collapsed="false">
      <c r="A12" s="24" t="s">
        <v>1473</v>
      </c>
      <c r="B12" s="22" t="s">
        <v>181</v>
      </c>
      <c r="C12" s="22" t="s">
        <v>1474</v>
      </c>
      <c r="D12" s="22" t="s">
        <v>1475</v>
      </c>
      <c r="E12" s="35" t="s">
        <v>15</v>
      </c>
      <c r="F12" s="22" t="s">
        <v>1476</v>
      </c>
      <c r="G12" s="22" t="s">
        <v>1307</v>
      </c>
      <c r="H12" s="22" t="s">
        <v>1365</v>
      </c>
      <c r="I12" s="22" t="s">
        <v>1477</v>
      </c>
      <c r="J12" s="22" t="s">
        <v>1478</v>
      </c>
      <c r="K12" s="22" t="s">
        <v>1479</v>
      </c>
      <c r="L12" s="22" t="s">
        <v>1480</v>
      </c>
      <c r="M12" s="22" t="s">
        <v>415</v>
      </c>
      <c r="N12" s="22"/>
      <c r="O12" s="22" t="s">
        <v>1481</v>
      </c>
      <c r="P12" s="32" t="s">
        <v>1482</v>
      </c>
      <c r="Q12" s="22" t="s">
        <v>1483</v>
      </c>
      <c r="R12" s="22" t="s">
        <v>1484</v>
      </c>
      <c r="S12" s="32" t="s">
        <v>1485</v>
      </c>
      <c r="T12" s="22" t="s">
        <v>1486</v>
      </c>
      <c r="U12" s="22" t="s">
        <v>1487</v>
      </c>
      <c r="V12" s="22" t="s">
        <v>1488</v>
      </c>
      <c r="W12" s="22" t="s">
        <v>1489</v>
      </c>
      <c r="X12" s="22" t="s">
        <v>1490</v>
      </c>
      <c r="Y12" s="32" t="s">
        <v>1491</v>
      </c>
      <c r="Z12" s="22" t="s">
        <v>1492</v>
      </c>
      <c r="AA12" s="22" t="s">
        <v>1493</v>
      </c>
      <c r="AB12" s="22" t="s">
        <v>1494</v>
      </c>
      <c r="AC12" s="22" t="s">
        <v>1495</v>
      </c>
      <c r="AD12" s="22" t="s">
        <v>1496</v>
      </c>
      <c r="AE12" s="22" t="s">
        <v>1497</v>
      </c>
      <c r="AF12" s="22" t="s">
        <v>1498</v>
      </c>
      <c r="AG12" s="32" t="s">
        <v>1499</v>
      </c>
      <c r="AH12" s="22" t="s">
        <v>1500</v>
      </c>
      <c r="AI12" s="22" t="s">
        <v>1501</v>
      </c>
    </row>
    <row r="13" customFormat="false" ht="150" hidden="false" customHeight="true" outlineLevel="0" collapsed="false">
      <c r="A13" s="24" t="s">
        <v>1502</v>
      </c>
      <c r="B13" s="22" t="s">
        <v>181</v>
      </c>
      <c r="C13" s="22" t="s">
        <v>1503</v>
      </c>
      <c r="D13" s="22" t="s">
        <v>1504</v>
      </c>
      <c r="E13" s="31" t="s">
        <v>19</v>
      </c>
      <c r="F13" s="22" t="s">
        <v>1505</v>
      </c>
      <c r="G13" s="22" t="s">
        <v>1477</v>
      </c>
      <c r="H13" s="22" t="s">
        <v>1307</v>
      </c>
      <c r="I13" s="22" t="s">
        <v>1365</v>
      </c>
      <c r="J13" s="22" t="s">
        <v>1506</v>
      </c>
      <c r="K13" s="22" t="s">
        <v>1507</v>
      </c>
      <c r="L13" s="22" t="s">
        <v>1508</v>
      </c>
      <c r="M13" s="22" t="s">
        <v>415</v>
      </c>
      <c r="N13" s="22"/>
      <c r="O13" s="22" t="s">
        <v>1509</v>
      </c>
      <c r="P13" s="32" t="s">
        <v>1510</v>
      </c>
      <c r="Q13" s="22" t="s">
        <v>1511</v>
      </c>
      <c r="R13" s="22" t="s">
        <v>1512</v>
      </c>
      <c r="S13" s="32" t="s">
        <v>1513</v>
      </c>
      <c r="T13" s="22" t="s">
        <v>1514</v>
      </c>
      <c r="U13" s="22" t="s">
        <v>1515</v>
      </c>
      <c r="V13" s="22" t="s">
        <v>1516</v>
      </c>
      <c r="W13" s="22" t="s">
        <v>1517</v>
      </c>
      <c r="X13" s="22" t="s">
        <v>1518</v>
      </c>
      <c r="Y13" s="32" t="s">
        <v>1519</v>
      </c>
      <c r="Z13" s="22" t="s">
        <v>1520</v>
      </c>
      <c r="AA13" s="22" t="s">
        <v>1521</v>
      </c>
      <c r="AB13" s="22" t="s">
        <v>1522</v>
      </c>
      <c r="AC13" s="22" t="s">
        <v>1523</v>
      </c>
      <c r="AD13" s="22" t="s">
        <v>1524</v>
      </c>
      <c r="AE13" s="22" t="s">
        <v>1525</v>
      </c>
      <c r="AF13" s="22" t="s">
        <v>1526</v>
      </c>
      <c r="AG13" s="32" t="s">
        <v>1527</v>
      </c>
      <c r="AH13" s="22" t="s">
        <v>1528</v>
      </c>
      <c r="AI13" s="22" t="s">
        <v>1529</v>
      </c>
    </row>
    <row r="14" customFormat="false" ht="87" hidden="false" customHeight="true" outlineLevel="0" collapsed="false">
      <c r="A14" s="24" t="s">
        <v>1530</v>
      </c>
      <c r="B14" s="22" t="s">
        <v>181</v>
      </c>
      <c r="C14" s="22" t="s">
        <v>1531</v>
      </c>
      <c r="D14" s="22" t="s">
        <v>1532</v>
      </c>
      <c r="E14" s="31" t="s">
        <v>19</v>
      </c>
      <c r="F14" s="22" t="s">
        <v>1533</v>
      </c>
      <c r="G14" s="22" t="s">
        <v>1534</v>
      </c>
      <c r="H14" s="22" t="s">
        <v>1307</v>
      </c>
      <c r="I14" s="22"/>
      <c r="J14" s="22" t="s">
        <v>1535</v>
      </c>
      <c r="K14" s="22" t="s">
        <v>1536</v>
      </c>
      <c r="L14" s="22" t="s">
        <v>1537</v>
      </c>
      <c r="M14" s="22" t="s">
        <v>415</v>
      </c>
      <c r="N14" s="22"/>
      <c r="O14" s="22" t="s">
        <v>1538</v>
      </c>
      <c r="P14" s="32" t="s">
        <v>1539</v>
      </c>
      <c r="Q14" s="22" t="s">
        <v>1540</v>
      </c>
      <c r="R14" s="22" t="s">
        <v>1541</v>
      </c>
      <c r="S14" s="32" t="s">
        <v>1542</v>
      </c>
      <c r="T14" s="22" t="s">
        <v>1543</v>
      </c>
      <c r="U14" s="22" t="s">
        <v>1544</v>
      </c>
      <c r="V14" s="22" t="s">
        <v>1545</v>
      </c>
      <c r="W14" s="22" t="s">
        <v>1546</v>
      </c>
      <c r="X14" s="22" t="s">
        <v>1547</v>
      </c>
      <c r="Y14" s="32" t="s">
        <v>1548</v>
      </c>
      <c r="Z14" s="22" t="s">
        <v>1549</v>
      </c>
      <c r="AA14" s="22" t="s">
        <v>1550</v>
      </c>
      <c r="AB14" s="22" t="s">
        <v>1551</v>
      </c>
      <c r="AC14" s="22" t="s">
        <v>1552</v>
      </c>
      <c r="AD14" s="22" t="s">
        <v>1553</v>
      </c>
      <c r="AE14" s="22" t="s">
        <v>1554</v>
      </c>
      <c r="AF14" s="22" t="s">
        <v>1555</v>
      </c>
      <c r="AG14" s="32" t="s">
        <v>1556</v>
      </c>
      <c r="AH14" s="22" t="s">
        <v>1557</v>
      </c>
      <c r="AI14" s="22" t="s">
        <v>1558</v>
      </c>
    </row>
    <row r="15" customFormat="false" ht="137.25" hidden="false" customHeight="true" outlineLevel="0" collapsed="false">
      <c r="A15" s="24" t="s">
        <v>1559</v>
      </c>
      <c r="B15" s="22" t="s">
        <v>181</v>
      </c>
      <c r="C15" s="22" t="s">
        <v>1560</v>
      </c>
      <c r="D15" s="22" t="s">
        <v>1561</v>
      </c>
      <c r="E15" s="31" t="s">
        <v>19</v>
      </c>
      <c r="F15" s="22" t="s">
        <v>1562</v>
      </c>
      <c r="G15" s="22" t="s">
        <v>1563</v>
      </c>
      <c r="H15" s="22" t="s">
        <v>1564</v>
      </c>
      <c r="I15" s="22" t="s">
        <v>1306</v>
      </c>
      <c r="J15" s="22" t="s">
        <v>1565</v>
      </c>
      <c r="K15" s="22" t="s">
        <v>1566</v>
      </c>
      <c r="L15" s="22" t="s">
        <v>1567</v>
      </c>
      <c r="M15" s="22" t="s">
        <v>415</v>
      </c>
      <c r="N15" s="22"/>
      <c r="O15" s="22" t="s">
        <v>1568</v>
      </c>
      <c r="P15" s="32" t="s">
        <v>1569</v>
      </c>
      <c r="Q15" s="22" t="s">
        <v>1570</v>
      </c>
      <c r="R15" s="22" t="s">
        <v>1571</v>
      </c>
      <c r="S15" s="32" t="s">
        <v>1572</v>
      </c>
      <c r="T15" s="22" t="s">
        <v>1573</v>
      </c>
      <c r="U15" s="22" t="s">
        <v>1574</v>
      </c>
      <c r="V15" s="22" t="s">
        <v>1575</v>
      </c>
      <c r="W15" s="22" t="s">
        <v>1576</v>
      </c>
      <c r="X15" s="22" t="s">
        <v>1577</v>
      </c>
      <c r="Y15" s="32" t="s">
        <v>1578</v>
      </c>
      <c r="Z15" s="22" t="s">
        <v>1579</v>
      </c>
      <c r="AA15" s="22" t="s">
        <v>1580</v>
      </c>
      <c r="AB15" s="22" t="s">
        <v>1581</v>
      </c>
      <c r="AC15" s="22" t="s">
        <v>1582</v>
      </c>
      <c r="AD15" s="22" t="s">
        <v>1583</v>
      </c>
      <c r="AE15" s="22" t="s">
        <v>1584</v>
      </c>
      <c r="AF15" s="22" t="s">
        <v>1585</v>
      </c>
      <c r="AG15" s="32" t="s">
        <v>1586</v>
      </c>
      <c r="AH15" s="22" t="s">
        <v>1587</v>
      </c>
      <c r="AI15" s="22" t="s">
        <v>1588</v>
      </c>
    </row>
    <row r="16" customFormat="false" ht="137.25" hidden="false" customHeight="true" outlineLevel="0" collapsed="false">
      <c r="A16" s="24" t="s">
        <v>1589</v>
      </c>
      <c r="B16" s="22" t="s">
        <v>181</v>
      </c>
      <c r="C16" s="22" t="s">
        <v>1590</v>
      </c>
      <c r="D16" s="22" t="s">
        <v>1591</v>
      </c>
      <c r="E16" s="31" t="s">
        <v>19</v>
      </c>
      <c r="F16" s="22" t="s">
        <v>1592</v>
      </c>
      <c r="G16" s="22" t="s">
        <v>1564</v>
      </c>
      <c r="H16" s="22" t="s">
        <v>1593</v>
      </c>
      <c r="I16" s="22" t="s">
        <v>1563</v>
      </c>
      <c r="J16" s="22" t="s">
        <v>1594</v>
      </c>
      <c r="K16" s="22" t="s">
        <v>1595</v>
      </c>
      <c r="L16" s="22" t="s">
        <v>1596</v>
      </c>
      <c r="M16" s="22" t="s">
        <v>415</v>
      </c>
      <c r="N16" s="22"/>
      <c r="O16" s="22" t="s">
        <v>1597</v>
      </c>
      <c r="P16" s="32" t="s">
        <v>1598</v>
      </c>
      <c r="Q16" s="22" t="s">
        <v>1599</v>
      </c>
      <c r="R16" s="22" t="s">
        <v>1600</v>
      </c>
      <c r="S16" s="32" t="s">
        <v>1601</v>
      </c>
      <c r="T16" s="22" t="s">
        <v>1602</v>
      </c>
      <c r="U16" s="22" t="s">
        <v>1603</v>
      </c>
      <c r="V16" s="22" t="s">
        <v>1604</v>
      </c>
      <c r="W16" s="22" t="s">
        <v>1605</v>
      </c>
      <c r="X16" s="22" t="s">
        <v>1606</v>
      </c>
      <c r="Y16" s="32" t="s">
        <v>1607</v>
      </c>
      <c r="Z16" s="22" t="s">
        <v>1608</v>
      </c>
      <c r="AA16" s="22" t="s">
        <v>1609</v>
      </c>
      <c r="AB16" s="22" t="s">
        <v>1610</v>
      </c>
      <c r="AC16" s="22" t="s">
        <v>1611</v>
      </c>
      <c r="AD16" s="22" t="s">
        <v>1612</v>
      </c>
      <c r="AE16" s="22" t="s">
        <v>1613</v>
      </c>
      <c r="AF16" s="22" t="s">
        <v>1614</v>
      </c>
      <c r="AG16" s="32" t="s">
        <v>1615</v>
      </c>
      <c r="AH16" s="22" t="s">
        <v>1616</v>
      </c>
      <c r="AI16" s="22" t="s">
        <v>1617</v>
      </c>
    </row>
    <row r="17" customFormat="false" ht="99.75" hidden="false" customHeight="true" outlineLevel="0" collapsed="false">
      <c r="A17" s="24" t="s">
        <v>1618</v>
      </c>
      <c r="B17" s="22" t="s">
        <v>181</v>
      </c>
      <c r="C17" s="22" t="s">
        <v>1619</v>
      </c>
      <c r="D17" s="22" t="s">
        <v>1620</v>
      </c>
      <c r="E17" s="31" t="s">
        <v>19</v>
      </c>
      <c r="F17" s="22" t="s">
        <v>1621</v>
      </c>
      <c r="G17" s="22" t="s">
        <v>185</v>
      </c>
      <c r="H17" s="22" t="s">
        <v>1622</v>
      </c>
      <c r="I17" s="22" t="s">
        <v>1365</v>
      </c>
      <c r="J17" s="22" t="s">
        <v>1535</v>
      </c>
      <c r="K17" s="22" t="s">
        <v>1623</v>
      </c>
      <c r="L17" s="22" t="s">
        <v>1624</v>
      </c>
      <c r="M17" s="22" t="s">
        <v>415</v>
      </c>
      <c r="N17" s="22"/>
      <c r="O17" s="22" t="s">
        <v>1625</v>
      </c>
      <c r="P17" s="32" t="s">
        <v>1626</v>
      </c>
      <c r="Q17" s="22" t="s">
        <v>1627</v>
      </c>
      <c r="R17" s="22" t="s">
        <v>1628</v>
      </c>
      <c r="S17" s="32" t="s">
        <v>1629</v>
      </c>
      <c r="T17" s="22" t="s">
        <v>1630</v>
      </c>
      <c r="U17" s="22" t="s">
        <v>1631</v>
      </c>
      <c r="V17" s="22" t="s">
        <v>1632</v>
      </c>
      <c r="W17" s="22" t="s">
        <v>1633</v>
      </c>
      <c r="X17" s="22" t="s">
        <v>1634</v>
      </c>
      <c r="Y17" s="32" t="s">
        <v>1635</v>
      </c>
      <c r="Z17" s="22" t="s">
        <v>1636</v>
      </c>
      <c r="AA17" s="22" t="s">
        <v>1637</v>
      </c>
      <c r="AB17" s="22" t="s">
        <v>1638</v>
      </c>
      <c r="AC17" s="22" t="s">
        <v>1639</v>
      </c>
      <c r="AD17" s="22" t="s">
        <v>1640</v>
      </c>
      <c r="AE17" s="22" t="s">
        <v>1641</v>
      </c>
      <c r="AF17" s="22" t="s">
        <v>1642</v>
      </c>
      <c r="AG17" s="32" t="s">
        <v>1643</v>
      </c>
      <c r="AH17" s="22" t="s">
        <v>1644</v>
      </c>
      <c r="AI17" s="22" t="s">
        <v>1645</v>
      </c>
    </row>
    <row r="18" customFormat="false" ht="212.25" hidden="false" customHeight="true" outlineLevel="0" collapsed="false">
      <c r="A18" s="24" t="s">
        <v>1646</v>
      </c>
      <c r="B18" s="22" t="s">
        <v>181</v>
      </c>
      <c r="C18" s="22" t="s">
        <v>1647</v>
      </c>
      <c r="D18" s="22" t="s">
        <v>1648</v>
      </c>
      <c r="E18" s="31" t="s">
        <v>19</v>
      </c>
      <c r="F18" s="22" t="s">
        <v>1649</v>
      </c>
      <c r="G18" s="22" t="s">
        <v>1650</v>
      </c>
      <c r="H18" s="22" t="s">
        <v>692</v>
      </c>
      <c r="I18" s="22" t="s">
        <v>1651</v>
      </c>
      <c r="J18" s="22" t="s">
        <v>1652</v>
      </c>
      <c r="K18" s="22" t="s">
        <v>1653</v>
      </c>
      <c r="L18" s="22" t="s">
        <v>1654</v>
      </c>
      <c r="M18" s="22" t="s">
        <v>415</v>
      </c>
      <c r="N18" s="22"/>
      <c r="O18" s="22" t="s">
        <v>1655</v>
      </c>
      <c r="P18" s="32" t="s">
        <v>1656</v>
      </c>
      <c r="Q18" s="22" t="s">
        <v>1657</v>
      </c>
      <c r="R18" s="22" t="s">
        <v>1658</v>
      </c>
      <c r="S18" s="32" t="s">
        <v>1659</v>
      </c>
      <c r="T18" s="22" t="s">
        <v>1660</v>
      </c>
      <c r="U18" s="22" t="s">
        <v>1661</v>
      </c>
      <c r="V18" s="22" t="s">
        <v>1662</v>
      </c>
      <c r="W18" s="22" t="s">
        <v>1663</v>
      </c>
      <c r="X18" s="22" t="s">
        <v>1664</v>
      </c>
      <c r="Y18" s="32" t="s">
        <v>1665</v>
      </c>
      <c r="Z18" s="22" t="s">
        <v>1666</v>
      </c>
      <c r="AA18" s="22" t="s">
        <v>1667</v>
      </c>
      <c r="AB18" s="22" t="s">
        <v>1668</v>
      </c>
      <c r="AC18" s="22" t="s">
        <v>1669</v>
      </c>
      <c r="AD18" s="22" t="s">
        <v>1670</v>
      </c>
      <c r="AE18" s="22" t="s">
        <v>1671</v>
      </c>
      <c r="AF18" s="22" t="s">
        <v>1672</v>
      </c>
      <c r="AG18" s="32" t="s">
        <v>1673</v>
      </c>
      <c r="AH18" s="22" t="s">
        <v>1674</v>
      </c>
      <c r="AI18" s="22" t="s">
        <v>1675</v>
      </c>
    </row>
    <row r="19" customFormat="false" ht="137.25" hidden="false" customHeight="true" outlineLevel="0" collapsed="false">
      <c r="A19" s="24" t="s">
        <v>1676</v>
      </c>
      <c r="B19" s="22" t="s">
        <v>181</v>
      </c>
      <c r="C19" s="22" t="s">
        <v>1677</v>
      </c>
      <c r="D19" s="22" t="s">
        <v>1678</v>
      </c>
      <c r="E19" s="31" t="s">
        <v>19</v>
      </c>
      <c r="F19" s="22" t="s">
        <v>1679</v>
      </c>
      <c r="G19" s="22" t="s">
        <v>1650</v>
      </c>
      <c r="H19" s="22" t="s">
        <v>1306</v>
      </c>
      <c r="I19" s="22" t="s">
        <v>1680</v>
      </c>
      <c r="J19" s="22" t="s">
        <v>1681</v>
      </c>
      <c r="K19" s="22" t="s">
        <v>1682</v>
      </c>
      <c r="L19" s="22" t="s">
        <v>1683</v>
      </c>
      <c r="M19" s="22" t="s">
        <v>415</v>
      </c>
      <c r="N19" s="22"/>
      <c r="O19" s="22" t="s">
        <v>1684</v>
      </c>
      <c r="P19" s="32" t="s">
        <v>1685</v>
      </c>
      <c r="Q19" s="22" t="s">
        <v>1686</v>
      </c>
      <c r="R19" s="22" t="s">
        <v>1687</v>
      </c>
      <c r="S19" s="32" t="s">
        <v>1688</v>
      </c>
      <c r="T19" s="22" t="s">
        <v>1689</v>
      </c>
      <c r="U19" s="22" t="s">
        <v>1690</v>
      </c>
      <c r="V19" s="22" t="s">
        <v>1691</v>
      </c>
      <c r="W19" s="22" t="s">
        <v>1692</v>
      </c>
      <c r="X19" s="22" t="s">
        <v>1693</v>
      </c>
      <c r="Y19" s="32" t="s">
        <v>1694</v>
      </c>
      <c r="Z19" s="22" t="s">
        <v>1695</v>
      </c>
      <c r="AA19" s="22" t="s">
        <v>1696</v>
      </c>
      <c r="AB19" s="22" t="s">
        <v>1697</v>
      </c>
      <c r="AC19" s="22" t="s">
        <v>1698</v>
      </c>
      <c r="AD19" s="22" t="s">
        <v>1699</v>
      </c>
      <c r="AE19" s="22" t="s">
        <v>1700</v>
      </c>
      <c r="AF19" s="22" t="s">
        <v>1701</v>
      </c>
      <c r="AG19" s="32" t="s">
        <v>1702</v>
      </c>
      <c r="AH19" s="22" t="s">
        <v>1703</v>
      </c>
      <c r="AI19" s="22" t="s">
        <v>1704</v>
      </c>
    </row>
    <row r="20" customFormat="false" ht="174.75" hidden="false" customHeight="true" outlineLevel="0" collapsed="false">
      <c r="A20" s="24" t="s">
        <v>1705</v>
      </c>
      <c r="B20" s="22" t="s">
        <v>181</v>
      </c>
      <c r="C20" s="22" t="s">
        <v>1706</v>
      </c>
      <c r="D20" s="22" t="s">
        <v>1707</v>
      </c>
      <c r="E20" s="31" t="s">
        <v>19</v>
      </c>
      <c r="F20" s="22" t="s">
        <v>1708</v>
      </c>
      <c r="G20" s="22" t="s">
        <v>1651</v>
      </c>
      <c r="H20" s="22" t="s">
        <v>692</v>
      </c>
      <c r="I20" s="22" t="s">
        <v>1680</v>
      </c>
      <c r="J20" s="22" t="s">
        <v>1709</v>
      </c>
      <c r="K20" s="22" t="s">
        <v>1710</v>
      </c>
      <c r="L20" s="22" t="s">
        <v>1711</v>
      </c>
      <c r="M20" s="22" t="s">
        <v>415</v>
      </c>
      <c r="N20" s="22"/>
      <c r="O20" s="22" t="s">
        <v>1712</v>
      </c>
      <c r="P20" s="32" t="s">
        <v>1713</v>
      </c>
      <c r="Q20" s="22" t="s">
        <v>1714</v>
      </c>
      <c r="R20" s="22" t="s">
        <v>1715</v>
      </c>
      <c r="S20" s="32" t="s">
        <v>1716</v>
      </c>
      <c r="T20" s="22" t="s">
        <v>1717</v>
      </c>
      <c r="U20" s="22" t="s">
        <v>1718</v>
      </c>
      <c r="V20" s="22" t="s">
        <v>1719</v>
      </c>
      <c r="W20" s="22" t="s">
        <v>1720</v>
      </c>
      <c r="X20" s="22" t="s">
        <v>1721</v>
      </c>
      <c r="Y20" s="32" t="s">
        <v>1722</v>
      </c>
      <c r="Z20" s="22" t="s">
        <v>1723</v>
      </c>
      <c r="AA20" s="22" t="s">
        <v>1724</v>
      </c>
      <c r="AB20" s="22" t="s">
        <v>1725</v>
      </c>
      <c r="AC20" s="22" t="s">
        <v>1726</v>
      </c>
      <c r="AD20" s="22" t="s">
        <v>1727</v>
      </c>
      <c r="AE20" s="22" t="s">
        <v>1728</v>
      </c>
      <c r="AF20" s="22" t="s">
        <v>1729</v>
      </c>
      <c r="AG20" s="32" t="s">
        <v>1730</v>
      </c>
      <c r="AH20" s="22" t="s">
        <v>1731</v>
      </c>
      <c r="AI20" s="22" t="s">
        <v>1732</v>
      </c>
    </row>
    <row r="21" customFormat="false" ht="87" hidden="false" customHeight="true" outlineLevel="0" collapsed="false">
      <c r="A21" s="24" t="s">
        <v>1733</v>
      </c>
      <c r="B21" s="22" t="s">
        <v>181</v>
      </c>
      <c r="C21" s="22" t="s">
        <v>1734</v>
      </c>
      <c r="D21" s="22" t="s">
        <v>1735</v>
      </c>
      <c r="E21" s="31" t="s">
        <v>19</v>
      </c>
      <c r="F21" s="22" t="s">
        <v>1736</v>
      </c>
      <c r="G21" s="22" t="s">
        <v>1737</v>
      </c>
      <c r="H21" s="22" t="s">
        <v>1680</v>
      </c>
      <c r="I21" s="22"/>
      <c r="J21" s="22" t="s">
        <v>1709</v>
      </c>
      <c r="K21" s="22" t="s">
        <v>1738</v>
      </c>
      <c r="L21" s="22" t="s">
        <v>1739</v>
      </c>
      <c r="M21" s="22" t="s">
        <v>415</v>
      </c>
      <c r="N21" s="22"/>
      <c r="O21" s="22" t="s">
        <v>1740</v>
      </c>
      <c r="P21" s="32" t="s">
        <v>1741</v>
      </c>
      <c r="Q21" s="22" t="s">
        <v>1742</v>
      </c>
      <c r="R21" s="22" t="s">
        <v>1743</v>
      </c>
      <c r="S21" s="32" t="s">
        <v>1744</v>
      </c>
      <c r="T21" s="22" t="s">
        <v>1745</v>
      </c>
      <c r="U21" s="22" t="s">
        <v>1746</v>
      </c>
      <c r="V21" s="22" t="s">
        <v>1747</v>
      </c>
      <c r="W21" s="22" t="s">
        <v>1748</v>
      </c>
      <c r="X21" s="22" t="s">
        <v>1749</v>
      </c>
      <c r="Y21" s="32" t="s">
        <v>1750</v>
      </c>
      <c r="Z21" s="22" t="s">
        <v>1751</v>
      </c>
      <c r="AA21" s="22" t="s">
        <v>1752</v>
      </c>
      <c r="AB21" s="22" t="s">
        <v>1753</v>
      </c>
      <c r="AC21" s="22" t="s">
        <v>1754</v>
      </c>
      <c r="AD21" s="22" t="s">
        <v>1755</v>
      </c>
      <c r="AE21" s="22" t="s">
        <v>1756</v>
      </c>
      <c r="AF21" s="22" t="s">
        <v>1757</v>
      </c>
      <c r="AG21" s="32" t="s">
        <v>1758</v>
      </c>
      <c r="AH21" s="22" t="s">
        <v>1759</v>
      </c>
      <c r="AI21" s="22" t="s">
        <v>1760</v>
      </c>
    </row>
    <row r="22" customFormat="false" ht="99.75" hidden="false" customHeight="true" outlineLevel="0" collapsed="false">
      <c r="A22" s="24" t="s">
        <v>1761</v>
      </c>
      <c r="B22" s="22" t="s">
        <v>181</v>
      </c>
      <c r="C22" s="22" t="s">
        <v>1762</v>
      </c>
      <c r="D22" s="22" t="s">
        <v>1763</v>
      </c>
      <c r="E22" s="31" t="s">
        <v>19</v>
      </c>
      <c r="F22" s="22" t="s">
        <v>1764</v>
      </c>
      <c r="G22" s="22" t="s">
        <v>1765</v>
      </c>
      <c r="H22" s="22" t="s">
        <v>1680</v>
      </c>
      <c r="I22" s="22" t="s">
        <v>1650</v>
      </c>
      <c r="J22" s="22" t="s">
        <v>1766</v>
      </c>
      <c r="K22" s="22" t="s">
        <v>1767</v>
      </c>
      <c r="L22" s="22" t="s">
        <v>1768</v>
      </c>
      <c r="M22" s="22" t="s">
        <v>415</v>
      </c>
      <c r="N22" s="22"/>
      <c r="O22" s="22" t="s">
        <v>1769</v>
      </c>
      <c r="P22" s="32" t="s">
        <v>1770</v>
      </c>
      <c r="Q22" s="22" t="s">
        <v>1771</v>
      </c>
      <c r="R22" s="22" t="s">
        <v>1772</v>
      </c>
      <c r="S22" s="32" t="s">
        <v>1773</v>
      </c>
      <c r="T22" s="22" t="s">
        <v>1774</v>
      </c>
      <c r="U22" s="22" t="s">
        <v>1775</v>
      </c>
      <c r="V22" s="22" t="s">
        <v>1776</v>
      </c>
      <c r="W22" s="22" t="s">
        <v>1777</v>
      </c>
      <c r="X22" s="22" t="s">
        <v>1778</v>
      </c>
      <c r="Y22" s="32" t="s">
        <v>1779</v>
      </c>
      <c r="Z22" s="22" t="s">
        <v>1780</v>
      </c>
      <c r="AA22" s="22" t="s">
        <v>1781</v>
      </c>
      <c r="AB22" s="22" t="s">
        <v>1782</v>
      </c>
      <c r="AC22" s="22" t="s">
        <v>1783</v>
      </c>
      <c r="AD22" s="22" t="s">
        <v>1784</v>
      </c>
      <c r="AE22" s="22" t="s">
        <v>1785</v>
      </c>
      <c r="AF22" s="22" t="s">
        <v>1786</v>
      </c>
      <c r="AG22" s="32" t="s">
        <v>1787</v>
      </c>
      <c r="AH22" s="22" t="s">
        <v>1788</v>
      </c>
      <c r="AI22" s="22" t="s">
        <v>1789</v>
      </c>
    </row>
    <row r="23" customFormat="false" ht="99.75" hidden="false" customHeight="true" outlineLevel="0" collapsed="false">
      <c r="A23" s="24" t="s">
        <v>1790</v>
      </c>
      <c r="B23" s="22" t="s">
        <v>181</v>
      </c>
      <c r="C23" s="22" t="s">
        <v>1791</v>
      </c>
      <c r="D23" s="22" t="s">
        <v>1792</v>
      </c>
      <c r="E23" s="33" t="s">
        <v>21</v>
      </c>
      <c r="F23" s="22" t="s">
        <v>1793</v>
      </c>
      <c r="G23" s="22" t="s">
        <v>1650</v>
      </c>
      <c r="H23" s="22" t="s">
        <v>692</v>
      </c>
      <c r="I23" s="22" t="s">
        <v>1680</v>
      </c>
      <c r="J23" s="22" t="s">
        <v>1709</v>
      </c>
      <c r="K23" s="22" t="s">
        <v>1794</v>
      </c>
      <c r="L23" s="22" t="s">
        <v>1795</v>
      </c>
      <c r="M23" s="22" t="s">
        <v>415</v>
      </c>
      <c r="N23" s="22"/>
      <c r="O23" s="22" t="s">
        <v>1796</v>
      </c>
      <c r="P23" s="32" t="s">
        <v>1797</v>
      </c>
      <c r="Q23" s="22" t="s">
        <v>1798</v>
      </c>
      <c r="R23" s="22" t="s">
        <v>1799</v>
      </c>
      <c r="S23" s="32" t="s">
        <v>1800</v>
      </c>
      <c r="T23" s="22" t="s">
        <v>1801</v>
      </c>
      <c r="U23" s="22" t="s">
        <v>1802</v>
      </c>
      <c r="V23" s="22" t="s">
        <v>1803</v>
      </c>
      <c r="W23" s="22" t="s">
        <v>1804</v>
      </c>
      <c r="X23" s="22" t="s">
        <v>1805</v>
      </c>
      <c r="Y23" s="32" t="s">
        <v>1260</v>
      </c>
      <c r="Z23" s="22" t="s">
        <v>1806</v>
      </c>
      <c r="AA23" s="22" t="s">
        <v>1807</v>
      </c>
      <c r="AB23" s="22" t="s">
        <v>1808</v>
      </c>
      <c r="AC23" s="22" t="s">
        <v>1809</v>
      </c>
      <c r="AD23" s="22" t="s">
        <v>1810</v>
      </c>
      <c r="AE23" s="22" t="s">
        <v>1811</v>
      </c>
      <c r="AF23" s="22" t="s">
        <v>1812</v>
      </c>
      <c r="AG23" s="32" t="s">
        <v>1813</v>
      </c>
      <c r="AH23" s="22" t="s">
        <v>1814</v>
      </c>
      <c r="AI23" s="22" t="s">
        <v>1815</v>
      </c>
    </row>
    <row r="24" customFormat="false" ht="112.5" hidden="false" customHeight="true" outlineLevel="0" collapsed="false">
      <c r="A24" s="24" t="s">
        <v>1816</v>
      </c>
      <c r="B24" s="22" t="s">
        <v>181</v>
      </c>
      <c r="C24" s="22" t="s">
        <v>1817</v>
      </c>
      <c r="D24" s="22" t="s">
        <v>1818</v>
      </c>
      <c r="E24" s="31" t="s">
        <v>19</v>
      </c>
      <c r="F24" s="22" t="s">
        <v>1819</v>
      </c>
      <c r="G24" s="22" t="s">
        <v>893</v>
      </c>
      <c r="H24" s="22" t="s">
        <v>270</v>
      </c>
      <c r="I24" s="22" t="s">
        <v>1680</v>
      </c>
      <c r="J24" s="22" t="s">
        <v>1820</v>
      </c>
      <c r="K24" s="22" t="s">
        <v>1821</v>
      </c>
      <c r="L24" s="22" t="s">
        <v>1822</v>
      </c>
      <c r="M24" s="22" t="s">
        <v>415</v>
      </c>
      <c r="N24" s="22"/>
      <c r="O24" s="22" t="s">
        <v>1823</v>
      </c>
      <c r="P24" s="32" t="s">
        <v>1824</v>
      </c>
      <c r="Q24" s="22" t="s">
        <v>1825</v>
      </c>
      <c r="R24" s="22" t="s">
        <v>1826</v>
      </c>
      <c r="S24" s="32" t="s">
        <v>1827</v>
      </c>
      <c r="T24" s="22" t="s">
        <v>1828</v>
      </c>
      <c r="U24" s="22" t="s">
        <v>1829</v>
      </c>
      <c r="V24" s="22" t="s">
        <v>1830</v>
      </c>
      <c r="W24" s="22" t="s">
        <v>1831</v>
      </c>
      <c r="X24" s="22" t="s">
        <v>1832</v>
      </c>
      <c r="Y24" s="32" t="s">
        <v>1833</v>
      </c>
      <c r="Z24" s="22" t="s">
        <v>1834</v>
      </c>
      <c r="AA24" s="22" t="s">
        <v>1835</v>
      </c>
      <c r="AB24" s="22" t="s">
        <v>1836</v>
      </c>
      <c r="AC24" s="22" t="s">
        <v>1837</v>
      </c>
      <c r="AD24" s="22" t="s">
        <v>1838</v>
      </c>
      <c r="AE24" s="22" t="s">
        <v>1839</v>
      </c>
      <c r="AF24" s="22" t="s">
        <v>1840</v>
      </c>
      <c r="AG24" s="32" t="s">
        <v>1841</v>
      </c>
      <c r="AH24" s="22" t="s">
        <v>1842</v>
      </c>
      <c r="AI24" s="22" t="s">
        <v>1843</v>
      </c>
    </row>
    <row r="25" customFormat="false" ht="124.5" hidden="false" customHeight="true" outlineLevel="0" collapsed="false">
      <c r="A25" s="24" t="s">
        <v>1844</v>
      </c>
      <c r="B25" s="22" t="s">
        <v>181</v>
      </c>
      <c r="C25" s="22" t="s">
        <v>1845</v>
      </c>
      <c r="D25" s="22" t="s">
        <v>1846</v>
      </c>
      <c r="E25" s="31" t="s">
        <v>19</v>
      </c>
      <c r="F25" s="22" t="s">
        <v>1847</v>
      </c>
      <c r="G25" s="22" t="s">
        <v>1848</v>
      </c>
      <c r="H25" s="22" t="s">
        <v>893</v>
      </c>
      <c r="I25" s="22" t="s">
        <v>692</v>
      </c>
      <c r="J25" s="22" t="s">
        <v>1849</v>
      </c>
      <c r="K25" s="22" t="s">
        <v>1850</v>
      </c>
      <c r="L25" s="22" t="s">
        <v>1851</v>
      </c>
      <c r="M25" s="22" t="s">
        <v>415</v>
      </c>
      <c r="N25" s="22"/>
      <c r="O25" s="22" t="s">
        <v>1852</v>
      </c>
      <c r="P25" s="32" t="s">
        <v>1853</v>
      </c>
      <c r="Q25" s="22" t="s">
        <v>1854</v>
      </c>
      <c r="R25" s="22" t="s">
        <v>1855</v>
      </c>
      <c r="S25" s="32" t="s">
        <v>1856</v>
      </c>
      <c r="T25" s="22" t="s">
        <v>1745</v>
      </c>
      <c r="U25" s="22" t="s">
        <v>1857</v>
      </c>
      <c r="V25" s="22" t="s">
        <v>1858</v>
      </c>
      <c r="W25" s="22" t="s">
        <v>1859</v>
      </c>
      <c r="X25" s="22" t="s">
        <v>1860</v>
      </c>
      <c r="Y25" s="32" t="s">
        <v>1861</v>
      </c>
      <c r="Z25" s="22" t="s">
        <v>1862</v>
      </c>
      <c r="AA25" s="22" t="s">
        <v>1863</v>
      </c>
      <c r="AB25" s="22" t="s">
        <v>1864</v>
      </c>
      <c r="AC25" s="22" t="s">
        <v>1865</v>
      </c>
      <c r="AD25" s="22" t="s">
        <v>1866</v>
      </c>
      <c r="AE25" s="22" t="s">
        <v>1867</v>
      </c>
      <c r="AF25" s="22" t="s">
        <v>1868</v>
      </c>
      <c r="AG25" s="32" t="s">
        <v>1869</v>
      </c>
      <c r="AH25" s="22" t="s">
        <v>1870</v>
      </c>
      <c r="AI25" s="22" t="s">
        <v>1871</v>
      </c>
    </row>
    <row r="26" customFormat="false" ht="87" hidden="false" customHeight="true" outlineLevel="0" collapsed="false">
      <c r="A26" s="24" t="s">
        <v>1872</v>
      </c>
      <c r="B26" s="22" t="s">
        <v>181</v>
      </c>
      <c r="C26" s="22" t="s">
        <v>1873</v>
      </c>
      <c r="D26" s="22" t="s">
        <v>1874</v>
      </c>
      <c r="E26" s="31" t="s">
        <v>19</v>
      </c>
      <c r="F26" s="22" t="s">
        <v>1875</v>
      </c>
      <c r="G26" s="22" t="s">
        <v>1848</v>
      </c>
      <c r="H26" s="22" t="s">
        <v>1307</v>
      </c>
      <c r="I26" s="22" t="s">
        <v>1306</v>
      </c>
      <c r="J26" s="22" t="s">
        <v>838</v>
      </c>
      <c r="K26" s="22" t="s">
        <v>1876</v>
      </c>
      <c r="L26" s="22" t="s">
        <v>1877</v>
      </c>
      <c r="M26" s="22" t="s">
        <v>415</v>
      </c>
      <c r="N26" s="22"/>
      <c r="O26" s="22" t="s">
        <v>1878</v>
      </c>
      <c r="P26" s="32" t="s">
        <v>1879</v>
      </c>
      <c r="Q26" s="22" t="s">
        <v>1880</v>
      </c>
      <c r="R26" s="22" t="s">
        <v>1881</v>
      </c>
      <c r="S26" s="32" t="s">
        <v>1882</v>
      </c>
      <c r="T26" s="22" t="s">
        <v>1883</v>
      </c>
      <c r="U26" s="22" t="s">
        <v>1884</v>
      </c>
      <c r="V26" s="22" t="s">
        <v>1885</v>
      </c>
      <c r="W26" s="22" t="s">
        <v>1886</v>
      </c>
      <c r="X26" s="22" t="s">
        <v>1887</v>
      </c>
      <c r="Y26" s="32" t="s">
        <v>1750</v>
      </c>
      <c r="Z26" s="22" t="s">
        <v>1888</v>
      </c>
      <c r="AA26" s="22" t="s">
        <v>1889</v>
      </c>
      <c r="AB26" s="22" t="s">
        <v>1890</v>
      </c>
      <c r="AC26" s="22" t="s">
        <v>1891</v>
      </c>
      <c r="AD26" s="22" t="s">
        <v>1892</v>
      </c>
      <c r="AE26" s="22" t="s">
        <v>1893</v>
      </c>
      <c r="AF26" s="22" t="s">
        <v>1894</v>
      </c>
      <c r="AG26" s="32" t="s">
        <v>1895</v>
      </c>
      <c r="AH26" s="22" t="s">
        <v>1896</v>
      </c>
      <c r="AI26" s="22" t="s">
        <v>1897</v>
      </c>
    </row>
    <row r="27" customFormat="false" ht="99.75" hidden="false" customHeight="true" outlineLevel="0" collapsed="false">
      <c r="A27" s="24" t="s">
        <v>1898</v>
      </c>
      <c r="B27" s="22" t="s">
        <v>181</v>
      </c>
      <c r="C27" s="22" t="s">
        <v>1899</v>
      </c>
      <c r="D27" s="22" t="s">
        <v>1900</v>
      </c>
      <c r="E27" s="34" t="s">
        <v>17</v>
      </c>
      <c r="F27" s="22" t="s">
        <v>1901</v>
      </c>
      <c r="G27" s="22" t="s">
        <v>1848</v>
      </c>
      <c r="H27" s="22" t="s">
        <v>692</v>
      </c>
      <c r="I27" s="22" t="s">
        <v>523</v>
      </c>
      <c r="J27" s="22" t="s">
        <v>838</v>
      </c>
      <c r="K27" s="22" t="s">
        <v>1902</v>
      </c>
      <c r="L27" s="22" t="s">
        <v>1903</v>
      </c>
      <c r="M27" s="22" t="s">
        <v>415</v>
      </c>
      <c r="N27" s="22"/>
      <c r="O27" s="22" t="s">
        <v>1904</v>
      </c>
      <c r="P27" s="32" t="s">
        <v>1905</v>
      </c>
      <c r="Q27" s="22" t="s">
        <v>1906</v>
      </c>
      <c r="R27" s="22" t="s">
        <v>1907</v>
      </c>
      <c r="S27" s="32" t="s">
        <v>1908</v>
      </c>
      <c r="T27" s="22" t="s">
        <v>1909</v>
      </c>
      <c r="U27" s="22" t="s">
        <v>1910</v>
      </c>
      <c r="V27" s="22" t="s">
        <v>1911</v>
      </c>
      <c r="W27" s="22" t="s">
        <v>1912</v>
      </c>
      <c r="X27" s="22" t="s">
        <v>1913</v>
      </c>
      <c r="Y27" s="32" t="s">
        <v>1914</v>
      </c>
      <c r="Z27" s="22" t="s">
        <v>1915</v>
      </c>
      <c r="AA27" s="22" t="s">
        <v>1916</v>
      </c>
      <c r="AB27" s="22" t="s">
        <v>1917</v>
      </c>
      <c r="AC27" s="22" t="s">
        <v>1918</v>
      </c>
      <c r="AD27" s="22" t="s">
        <v>1919</v>
      </c>
      <c r="AE27" s="22" t="s">
        <v>1920</v>
      </c>
      <c r="AF27" s="22" t="s">
        <v>1921</v>
      </c>
      <c r="AG27" s="32" t="s">
        <v>1922</v>
      </c>
      <c r="AH27" s="22" t="s">
        <v>1923</v>
      </c>
      <c r="AI27" s="22" t="s">
        <v>1924</v>
      </c>
    </row>
    <row r="28" customFormat="false" ht="150" hidden="false" customHeight="true" outlineLevel="0" collapsed="false">
      <c r="A28" s="24" t="s">
        <v>1925</v>
      </c>
      <c r="B28" s="22" t="s">
        <v>181</v>
      </c>
      <c r="C28" s="22" t="s">
        <v>1926</v>
      </c>
      <c r="D28" s="22" t="s">
        <v>1927</v>
      </c>
      <c r="E28" s="31" t="s">
        <v>19</v>
      </c>
      <c r="F28" s="22" t="s">
        <v>1928</v>
      </c>
      <c r="G28" s="22" t="s">
        <v>1848</v>
      </c>
      <c r="H28" s="22" t="s">
        <v>1929</v>
      </c>
      <c r="I28" s="22" t="s">
        <v>1930</v>
      </c>
      <c r="J28" s="22" t="s">
        <v>838</v>
      </c>
      <c r="K28" s="22" t="s">
        <v>1931</v>
      </c>
      <c r="L28" s="22" t="s">
        <v>1932</v>
      </c>
      <c r="M28" s="22" t="s">
        <v>415</v>
      </c>
      <c r="N28" s="22"/>
      <c r="O28" s="22" t="s">
        <v>1933</v>
      </c>
      <c r="P28" s="32" t="s">
        <v>1934</v>
      </c>
      <c r="Q28" s="22" t="s">
        <v>1935</v>
      </c>
      <c r="R28" s="22" t="s">
        <v>1936</v>
      </c>
      <c r="S28" s="32" t="s">
        <v>1937</v>
      </c>
      <c r="T28" s="22" t="s">
        <v>1938</v>
      </c>
      <c r="U28" s="22" t="s">
        <v>1939</v>
      </c>
      <c r="V28" s="22" t="s">
        <v>1940</v>
      </c>
      <c r="W28" s="22" t="s">
        <v>1941</v>
      </c>
      <c r="X28" s="22" t="s">
        <v>1942</v>
      </c>
      <c r="Y28" s="32" t="s">
        <v>1750</v>
      </c>
      <c r="Z28" s="22" t="s">
        <v>1943</v>
      </c>
      <c r="AA28" s="22" t="s">
        <v>1944</v>
      </c>
      <c r="AB28" s="22" t="s">
        <v>1945</v>
      </c>
      <c r="AC28" s="22" t="s">
        <v>1918</v>
      </c>
      <c r="AD28" s="22" t="s">
        <v>1946</v>
      </c>
      <c r="AE28" s="22" t="s">
        <v>1947</v>
      </c>
      <c r="AF28" s="22" t="s">
        <v>1948</v>
      </c>
      <c r="AG28" s="32" t="s">
        <v>1949</v>
      </c>
      <c r="AH28" s="22" t="s">
        <v>1950</v>
      </c>
      <c r="AI28" s="22" t="s">
        <v>1951</v>
      </c>
    </row>
    <row r="29" customFormat="false" ht="99.75" hidden="false" customHeight="true" outlineLevel="0" collapsed="false">
      <c r="A29" s="24" t="s">
        <v>1952</v>
      </c>
      <c r="B29" s="22" t="s">
        <v>181</v>
      </c>
      <c r="C29" s="22" t="s">
        <v>1953</v>
      </c>
      <c r="D29" s="22" t="s">
        <v>1954</v>
      </c>
      <c r="E29" s="31" t="s">
        <v>19</v>
      </c>
      <c r="F29" s="22" t="s">
        <v>1955</v>
      </c>
      <c r="G29" s="22" t="s">
        <v>1848</v>
      </c>
      <c r="H29" s="22" t="s">
        <v>692</v>
      </c>
      <c r="I29" s="22" t="s">
        <v>1306</v>
      </c>
      <c r="J29" s="22" t="s">
        <v>838</v>
      </c>
      <c r="K29" s="22" t="s">
        <v>1956</v>
      </c>
      <c r="L29" s="22" t="s">
        <v>1903</v>
      </c>
      <c r="M29" s="22" t="s">
        <v>415</v>
      </c>
      <c r="N29" s="22"/>
      <c r="O29" s="22" t="s">
        <v>1957</v>
      </c>
      <c r="P29" s="32" t="s">
        <v>1958</v>
      </c>
      <c r="Q29" s="22" t="s">
        <v>1959</v>
      </c>
      <c r="R29" s="22" t="s">
        <v>1960</v>
      </c>
      <c r="S29" s="32" t="s">
        <v>1961</v>
      </c>
      <c r="T29" s="22" t="s">
        <v>1938</v>
      </c>
      <c r="U29" s="22" t="s">
        <v>1962</v>
      </c>
      <c r="V29" s="22" t="s">
        <v>1963</v>
      </c>
      <c r="W29" s="22" t="s">
        <v>1964</v>
      </c>
      <c r="X29" s="22" t="s">
        <v>1965</v>
      </c>
      <c r="Y29" s="32" t="s">
        <v>1966</v>
      </c>
      <c r="Z29" s="22" t="s">
        <v>1967</v>
      </c>
      <c r="AA29" s="22" t="s">
        <v>1968</v>
      </c>
      <c r="AB29" s="22" t="s">
        <v>1969</v>
      </c>
      <c r="AC29" s="22" t="s">
        <v>1970</v>
      </c>
      <c r="AD29" s="22" t="s">
        <v>1971</v>
      </c>
      <c r="AE29" s="22" t="s">
        <v>1972</v>
      </c>
      <c r="AF29" s="22" t="s">
        <v>1973</v>
      </c>
      <c r="AG29" s="32" t="s">
        <v>1974</v>
      </c>
      <c r="AH29" s="22" t="s">
        <v>1975</v>
      </c>
      <c r="AI29" s="22" t="s">
        <v>1976</v>
      </c>
    </row>
    <row r="30" customFormat="false" ht="150" hidden="false" customHeight="true" outlineLevel="0" collapsed="false">
      <c r="A30" s="24" t="s">
        <v>1977</v>
      </c>
      <c r="B30" s="22" t="s">
        <v>181</v>
      </c>
      <c r="C30" s="22" t="s">
        <v>1978</v>
      </c>
      <c r="D30" s="22" t="s">
        <v>1979</v>
      </c>
      <c r="E30" s="31" t="s">
        <v>19</v>
      </c>
      <c r="F30" s="22" t="s">
        <v>1980</v>
      </c>
      <c r="G30" s="22" t="s">
        <v>1929</v>
      </c>
      <c r="H30" s="22" t="s">
        <v>1930</v>
      </c>
      <c r="I30" s="22" t="s">
        <v>637</v>
      </c>
      <c r="J30" s="22" t="s">
        <v>1981</v>
      </c>
      <c r="K30" s="22" t="s">
        <v>1982</v>
      </c>
      <c r="L30" s="22" t="s">
        <v>1983</v>
      </c>
      <c r="M30" s="22" t="s">
        <v>1984</v>
      </c>
      <c r="N30" s="22"/>
      <c r="O30" s="22" t="s">
        <v>1985</v>
      </c>
      <c r="P30" s="32" t="s">
        <v>1986</v>
      </c>
      <c r="Q30" s="22" t="s">
        <v>1987</v>
      </c>
      <c r="R30" s="22" t="s">
        <v>1988</v>
      </c>
      <c r="S30" s="32" t="s">
        <v>1989</v>
      </c>
      <c r="T30" s="22" t="s">
        <v>1990</v>
      </c>
      <c r="U30" s="22" t="s">
        <v>1991</v>
      </c>
      <c r="V30" s="22" t="s">
        <v>1992</v>
      </c>
      <c r="W30" s="22" t="s">
        <v>1993</v>
      </c>
      <c r="X30" s="22" t="s">
        <v>1994</v>
      </c>
      <c r="Y30" s="32" t="s">
        <v>1995</v>
      </c>
      <c r="Z30" s="22" t="s">
        <v>1996</v>
      </c>
      <c r="AA30" s="22" t="s">
        <v>1997</v>
      </c>
      <c r="AB30" s="22" t="s">
        <v>1998</v>
      </c>
      <c r="AC30" s="22" t="s">
        <v>1999</v>
      </c>
      <c r="AD30" s="22" t="s">
        <v>2000</v>
      </c>
      <c r="AE30" s="22" t="s">
        <v>2001</v>
      </c>
      <c r="AF30" s="22" t="s">
        <v>2002</v>
      </c>
      <c r="AG30" s="32" t="s">
        <v>2003</v>
      </c>
      <c r="AH30" s="22" t="s">
        <v>2004</v>
      </c>
      <c r="AI30" s="22" t="s">
        <v>2005</v>
      </c>
    </row>
  </sheetData>
  <autoFilter ref="A5:AI30"/>
  <mergeCells count="2">
    <mergeCell ref="A1:AH1"/>
    <mergeCell ref="A2:AI2"/>
  </mergeCells>
  <dataValidations count="1">
    <dataValidation allowBlank="true" errorStyle="stop" operator="between" showDropDown="false" showErrorMessage="false" showInputMessage="false" sqref="E6:E1030" type="list">
      <formula1>"Verified – official source,Verified – secondary source only,Partially verified,Unverified – needs CA review,Ambiguous / conflicting – needs CA review"</formula1>
      <formula2>0</formula2>
    </dataValidation>
  </dataValidations>
  <hyperlinks>
    <hyperlink ref="AI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I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16"/>
    <col collapsed="false" customWidth="true" hidden="false" outlineLevel="0" max="6" min="6" style="0" width="30"/>
    <col collapsed="false" customWidth="true" hidden="false" outlineLevel="0" max="8" min="7" style="0" width="13"/>
    <col collapsed="false" customWidth="true" hidden="false" outlineLevel="0" max="9" min="9" style="0" width="12"/>
    <col collapsed="false" customWidth="true" hidden="false" outlineLevel="0" max="10" min="10" style="0" width="16"/>
    <col collapsed="false" customWidth="true" hidden="false" outlineLevel="0" max="11" min="11" style="0" width="32"/>
    <col collapsed="false" customWidth="true" hidden="false" outlineLevel="0" max="12" min="12" style="0" width="26"/>
    <col collapsed="false" customWidth="true" hidden="false" outlineLevel="0" max="13" min="13" style="0" width="12"/>
    <col collapsed="false" customWidth="true" hidden="false" outlineLevel="0" max="14" min="14" style="0" width="11"/>
    <col collapsed="false" customWidth="true" hidden="false" outlineLevel="0" max="15" min="15" style="0" width="24"/>
    <col collapsed="false" customWidth="true" hidden="false" outlineLevel="0" max="17" min="16" style="0" width="40"/>
    <col collapsed="false" customWidth="true" hidden="false" outlineLevel="0" max="18" min="18" style="0" width="24"/>
    <col collapsed="false" customWidth="true" hidden="false" outlineLevel="0" max="19" min="19" style="0" width="40"/>
    <col collapsed="false" customWidth="true" hidden="false" outlineLevel="0" max="20" min="20" style="0" width="26"/>
    <col collapsed="false" customWidth="true" hidden="false" outlineLevel="0" max="21" min="21" style="0" width="36"/>
    <col collapsed="false" customWidth="true" hidden="false" outlineLevel="0" max="22" min="22" style="0" width="55"/>
    <col collapsed="false" customWidth="true" hidden="false" outlineLevel="0" max="23" min="23" style="0" width="45"/>
    <col collapsed="false" customWidth="true" hidden="false" outlineLevel="0" max="24" min="24" style="0" width="32"/>
    <col collapsed="false" customWidth="true" hidden="false" outlineLevel="0" max="25" min="25" style="0" width="30"/>
    <col collapsed="false" customWidth="true" hidden="false" outlineLevel="0" max="26" min="26" style="0" width="32"/>
    <col collapsed="false" customWidth="true" hidden="false" outlineLevel="0" max="27" min="27" style="0" width="30"/>
    <col collapsed="false" customWidth="true" hidden="false" outlineLevel="0" max="28" min="28" style="0" width="55"/>
    <col collapsed="false" customWidth="true" hidden="false" outlineLevel="0" max="30" min="29" style="0" width="32"/>
    <col collapsed="false" customWidth="true" hidden="false" outlineLevel="0" max="32" min="31" style="0" width="30"/>
    <col collapsed="false" customWidth="true" hidden="false" outlineLevel="0" max="33" min="33" style="0" width="55"/>
    <col collapsed="false" customWidth="true" hidden="false" outlineLevel="0" max="34" min="34" style="0" width="60"/>
    <col collapsed="false" customWidth="true" hidden="false" outlineLevel="0" max="35" min="35" style="0" width="45"/>
  </cols>
  <sheetData>
    <row r="1" customFormat="false" ht="30" hidden="false" customHeight="true" outlineLevel="0" collapsed="false">
      <c r="A1" s="18" t="s">
        <v>45</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9" t="s">
        <v>29</v>
      </c>
    </row>
    <row r="2" customFormat="false" ht="31.5" hidden="false" customHeight="true" outlineLevel="0" collapsed="false">
      <c r="A2" s="20" t="s">
        <v>2006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row>
    <row r="3" customFormat="false" ht="15" hidden="false" customHeight="false" outlineLevel="0" collapsed="false">
      <c r="A3" s="6" t="s">
        <v>109</v>
      </c>
      <c r="C3" s="6" t="n">
        <f aca="false">COUNTA(A6:A2000)</f>
        <v>8</v>
      </c>
    </row>
    <row r="4" customFormat="false" ht="33.75" hidden="false" customHeight="true" outlineLevel="0" collapsed="false">
      <c r="A4" s="21" t="s">
        <v>110</v>
      </c>
      <c r="B4" s="21" t="s">
        <v>111</v>
      </c>
      <c r="C4" s="21" t="s">
        <v>112</v>
      </c>
      <c r="D4" s="21" t="s">
        <v>113</v>
      </c>
      <c r="E4" s="21" t="s">
        <v>114</v>
      </c>
      <c r="F4" s="21" t="s">
        <v>115</v>
      </c>
      <c r="G4" s="21" t="s">
        <v>116</v>
      </c>
      <c r="H4" s="21" t="s">
        <v>117</v>
      </c>
      <c r="I4" s="21" t="s">
        <v>118</v>
      </c>
      <c r="J4" s="21" t="s">
        <v>119</v>
      </c>
      <c r="K4" s="21" t="s">
        <v>120</v>
      </c>
      <c r="L4" s="21" t="s">
        <v>121</v>
      </c>
      <c r="M4" s="21" t="s">
        <v>122</v>
      </c>
      <c r="N4" s="21" t="s">
        <v>123</v>
      </c>
      <c r="O4" s="21" t="s">
        <v>124</v>
      </c>
      <c r="P4" s="21" t="s">
        <v>125</v>
      </c>
      <c r="Q4" s="21" t="s">
        <v>126</v>
      </c>
      <c r="R4" s="21" t="s">
        <v>127</v>
      </c>
      <c r="S4" s="21" t="s">
        <v>128</v>
      </c>
      <c r="T4" s="21" t="s">
        <v>129</v>
      </c>
      <c r="U4" s="21" t="s">
        <v>130</v>
      </c>
      <c r="V4" s="21" t="s">
        <v>131</v>
      </c>
      <c r="W4" s="21" t="s">
        <v>132</v>
      </c>
      <c r="X4" s="21" t="s">
        <v>133</v>
      </c>
      <c r="Y4" s="21" t="s">
        <v>134</v>
      </c>
      <c r="Z4" s="21" t="s">
        <v>135</v>
      </c>
      <c r="AA4" s="21" t="s">
        <v>136</v>
      </c>
      <c r="AB4" s="21" t="s">
        <v>137</v>
      </c>
      <c r="AC4" s="21" t="s">
        <v>138</v>
      </c>
      <c r="AD4" s="21" t="s">
        <v>139</v>
      </c>
      <c r="AE4" s="21" t="s">
        <v>140</v>
      </c>
      <c r="AF4" s="21" t="s">
        <v>141</v>
      </c>
      <c r="AG4" s="21" t="s">
        <v>142</v>
      </c>
      <c r="AH4" s="21" t="s">
        <v>143</v>
      </c>
      <c r="AI4" s="21" t="s">
        <v>144</v>
      </c>
    </row>
    <row r="5" customFormat="false" ht="15" hidden="false" customHeight="false" outlineLevel="0" collapsed="false">
      <c r="A5" s="30" t="s">
        <v>145</v>
      </c>
      <c r="B5" s="30" t="s">
        <v>146</v>
      </c>
      <c r="C5" s="30" t="s">
        <v>147</v>
      </c>
      <c r="D5" s="30" t="s">
        <v>148</v>
      </c>
      <c r="E5" s="30" t="s">
        <v>149</v>
      </c>
      <c r="F5" s="30" t="s">
        <v>150</v>
      </c>
      <c r="G5" s="30" t="s">
        <v>151</v>
      </c>
      <c r="H5" s="30" t="s">
        <v>152</v>
      </c>
      <c r="I5" s="30" t="s">
        <v>153</v>
      </c>
      <c r="J5" s="30" t="s">
        <v>154</v>
      </c>
      <c r="K5" s="30" t="s">
        <v>155</v>
      </c>
      <c r="L5" s="30" t="s">
        <v>156</v>
      </c>
      <c r="M5" s="30" t="s">
        <v>157</v>
      </c>
      <c r="N5" s="30" t="s">
        <v>158</v>
      </c>
      <c r="O5" s="30" t="s">
        <v>159</v>
      </c>
      <c r="P5" s="30" t="s">
        <v>160</v>
      </c>
      <c r="Q5" s="30" t="s">
        <v>161</v>
      </c>
      <c r="R5" s="30" t="s">
        <v>162</v>
      </c>
      <c r="S5" s="30" t="s">
        <v>163</v>
      </c>
      <c r="T5" s="30" t="s">
        <v>164</v>
      </c>
      <c r="U5" s="30" t="s">
        <v>165</v>
      </c>
      <c r="V5" s="30" t="s">
        <v>166</v>
      </c>
      <c r="W5" s="30" t="s">
        <v>167</v>
      </c>
      <c r="X5" s="30" t="s">
        <v>168</v>
      </c>
      <c r="Y5" s="30" t="s">
        <v>169</v>
      </c>
      <c r="Z5" s="30" t="s">
        <v>170</v>
      </c>
      <c r="AA5" s="30" t="s">
        <v>171</v>
      </c>
      <c r="AB5" s="30" t="s">
        <v>172</v>
      </c>
      <c r="AC5" s="30" t="s">
        <v>173</v>
      </c>
      <c r="AD5" s="30" t="s">
        <v>174</v>
      </c>
      <c r="AE5" s="30" t="s">
        <v>175</v>
      </c>
      <c r="AF5" s="30" t="s">
        <v>176</v>
      </c>
      <c r="AG5" s="30" t="s">
        <v>177</v>
      </c>
      <c r="AH5" s="30" t="s">
        <v>178</v>
      </c>
      <c r="AI5" s="30" t="s">
        <v>179</v>
      </c>
    </row>
    <row r="6" customFormat="false" ht="174.75" hidden="false" customHeight="true" outlineLevel="0" collapsed="false">
      <c r="A6" s="24" t="s">
        <v>2007</v>
      </c>
      <c r="B6" s="22" t="s">
        <v>181</v>
      </c>
      <c r="C6" s="22" t="s">
        <v>2008</v>
      </c>
      <c r="D6" s="22" t="s">
        <v>2009</v>
      </c>
      <c r="E6" s="31" t="s">
        <v>19</v>
      </c>
      <c r="F6" s="22" t="s">
        <v>2010</v>
      </c>
      <c r="G6" s="22" t="s">
        <v>1563</v>
      </c>
      <c r="H6" s="22" t="s">
        <v>2011</v>
      </c>
      <c r="I6" s="22"/>
      <c r="J6" s="22" t="s">
        <v>2012</v>
      </c>
      <c r="K6" s="22" t="s">
        <v>2013</v>
      </c>
      <c r="L6" s="22" t="s">
        <v>2014</v>
      </c>
      <c r="M6" s="22" t="s">
        <v>415</v>
      </c>
      <c r="N6" s="22"/>
      <c r="O6" s="22" t="s">
        <v>2015</v>
      </c>
      <c r="P6" s="32" t="s">
        <v>2016</v>
      </c>
      <c r="Q6" s="22" t="s">
        <v>2017</v>
      </c>
      <c r="R6" s="22" t="s">
        <v>2018</v>
      </c>
      <c r="S6" s="32" t="s">
        <v>2019</v>
      </c>
      <c r="T6" s="22" t="s">
        <v>2020</v>
      </c>
      <c r="U6" s="22" t="s">
        <v>2021</v>
      </c>
      <c r="V6" s="22" t="s">
        <v>2022</v>
      </c>
      <c r="W6" s="22" t="s">
        <v>2023</v>
      </c>
      <c r="X6" s="22" t="s">
        <v>2024</v>
      </c>
      <c r="Y6" s="32" t="s">
        <v>2025</v>
      </c>
      <c r="Z6" s="22" t="s">
        <v>2026</v>
      </c>
      <c r="AA6" s="22" t="s">
        <v>2027</v>
      </c>
      <c r="AB6" s="22" t="s">
        <v>2028</v>
      </c>
      <c r="AC6" s="22" t="s">
        <v>2029</v>
      </c>
      <c r="AD6" s="22" t="s">
        <v>2030</v>
      </c>
      <c r="AE6" s="22" t="s">
        <v>2031</v>
      </c>
      <c r="AF6" s="22" t="s">
        <v>2032</v>
      </c>
      <c r="AG6" s="32" t="s">
        <v>2033</v>
      </c>
      <c r="AH6" s="22" t="s">
        <v>2034</v>
      </c>
      <c r="AI6" s="22" t="s">
        <v>2035</v>
      </c>
    </row>
    <row r="7" customFormat="false" ht="112.5" hidden="false" customHeight="true" outlineLevel="0" collapsed="false">
      <c r="A7" s="24" t="s">
        <v>2036</v>
      </c>
      <c r="B7" s="22" t="s">
        <v>181</v>
      </c>
      <c r="C7" s="22" t="s">
        <v>2037</v>
      </c>
      <c r="D7" s="22" t="s">
        <v>2038</v>
      </c>
      <c r="E7" s="31" t="s">
        <v>19</v>
      </c>
      <c r="F7" s="22" t="s">
        <v>2039</v>
      </c>
      <c r="G7" s="22" t="s">
        <v>2011</v>
      </c>
      <c r="H7" s="22" t="s">
        <v>2040</v>
      </c>
      <c r="I7" s="22" t="s">
        <v>2041</v>
      </c>
      <c r="J7" s="22" t="s">
        <v>2012</v>
      </c>
      <c r="K7" s="22" t="s">
        <v>2042</v>
      </c>
      <c r="L7" s="22" t="s">
        <v>2043</v>
      </c>
      <c r="M7" s="22" t="s">
        <v>415</v>
      </c>
      <c r="N7" s="22"/>
      <c r="O7" s="22" t="s">
        <v>2044</v>
      </c>
      <c r="P7" s="32" t="s">
        <v>2045</v>
      </c>
      <c r="Q7" s="22" t="s">
        <v>2046</v>
      </c>
      <c r="R7" s="22" t="s">
        <v>2047</v>
      </c>
      <c r="S7" s="32" t="s">
        <v>2048</v>
      </c>
      <c r="T7" s="22" t="s">
        <v>2049</v>
      </c>
      <c r="U7" s="22" t="s">
        <v>2050</v>
      </c>
      <c r="V7" s="22" t="s">
        <v>2051</v>
      </c>
      <c r="W7" s="22" t="s">
        <v>2052</v>
      </c>
      <c r="X7" s="22" t="s">
        <v>2053</v>
      </c>
      <c r="Y7" s="32" t="s">
        <v>2054</v>
      </c>
      <c r="Z7" s="22" t="s">
        <v>2055</v>
      </c>
      <c r="AA7" s="22" t="s">
        <v>2056</v>
      </c>
      <c r="AB7" s="22" t="s">
        <v>2057</v>
      </c>
      <c r="AC7" s="22" t="s">
        <v>2058</v>
      </c>
      <c r="AD7" s="22" t="s">
        <v>2059</v>
      </c>
      <c r="AE7" s="22" t="s">
        <v>2060</v>
      </c>
      <c r="AF7" s="22" t="s">
        <v>2061</v>
      </c>
      <c r="AG7" s="32" t="s">
        <v>2062</v>
      </c>
      <c r="AH7" s="22" t="s">
        <v>2063</v>
      </c>
      <c r="AI7" s="22" t="s">
        <v>2064</v>
      </c>
    </row>
    <row r="8" customFormat="false" ht="112.5" hidden="false" customHeight="true" outlineLevel="0" collapsed="false">
      <c r="A8" s="24" t="s">
        <v>2065</v>
      </c>
      <c r="B8" s="22" t="s">
        <v>181</v>
      </c>
      <c r="C8" s="22" t="s">
        <v>2066</v>
      </c>
      <c r="D8" s="22" t="s">
        <v>2067</v>
      </c>
      <c r="E8" s="31" t="s">
        <v>19</v>
      </c>
      <c r="F8" s="22" t="s">
        <v>2068</v>
      </c>
      <c r="G8" s="22" t="s">
        <v>1563</v>
      </c>
      <c r="H8" s="22" t="s">
        <v>2069</v>
      </c>
      <c r="I8" s="22" t="s">
        <v>2070</v>
      </c>
      <c r="J8" s="22" t="s">
        <v>2071</v>
      </c>
      <c r="K8" s="22" t="s">
        <v>2072</v>
      </c>
      <c r="L8" s="22" t="s">
        <v>2073</v>
      </c>
      <c r="M8" s="22" t="s">
        <v>415</v>
      </c>
      <c r="N8" s="22"/>
      <c r="O8" s="22" t="s">
        <v>2074</v>
      </c>
      <c r="P8" s="32" t="s">
        <v>2075</v>
      </c>
      <c r="Q8" s="22" t="s">
        <v>2076</v>
      </c>
      <c r="R8" s="22" t="s">
        <v>2077</v>
      </c>
      <c r="S8" s="32" t="s">
        <v>2078</v>
      </c>
      <c r="T8" s="22" t="s">
        <v>2079</v>
      </c>
      <c r="U8" s="22" t="s">
        <v>2080</v>
      </c>
      <c r="V8" s="22" t="s">
        <v>2081</v>
      </c>
      <c r="W8" s="22" t="s">
        <v>2082</v>
      </c>
      <c r="X8" s="22" t="s">
        <v>2083</v>
      </c>
      <c r="Y8" s="32" t="s">
        <v>2084</v>
      </c>
      <c r="Z8" s="22" t="s">
        <v>2085</v>
      </c>
      <c r="AA8" s="22" t="s">
        <v>2086</v>
      </c>
      <c r="AB8" s="22" t="s">
        <v>2087</v>
      </c>
      <c r="AC8" s="22" t="s">
        <v>2088</v>
      </c>
      <c r="AD8" s="22" t="s">
        <v>2089</v>
      </c>
      <c r="AE8" s="22" t="s">
        <v>2090</v>
      </c>
      <c r="AF8" s="22" t="s">
        <v>2091</v>
      </c>
      <c r="AG8" s="32" t="s">
        <v>2092</v>
      </c>
      <c r="AH8" s="22" t="s">
        <v>2093</v>
      </c>
      <c r="AI8" s="22" t="s">
        <v>2094</v>
      </c>
    </row>
    <row r="9" customFormat="false" ht="87" hidden="false" customHeight="true" outlineLevel="0" collapsed="false">
      <c r="A9" s="24" t="s">
        <v>2095</v>
      </c>
      <c r="B9" s="22" t="s">
        <v>181</v>
      </c>
      <c r="C9" s="22" t="s">
        <v>2096</v>
      </c>
      <c r="D9" s="22" t="s">
        <v>2097</v>
      </c>
      <c r="E9" s="34" t="s">
        <v>17</v>
      </c>
      <c r="F9" s="22" t="s">
        <v>2098</v>
      </c>
      <c r="G9" s="22" t="s">
        <v>1563</v>
      </c>
      <c r="H9" s="22" t="s">
        <v>2099</v>
      </c>
      <c r="I9" s="22" t="s">
        <v>2100</v>
      </c>
      <c r="J9" s="22" t="s">
        <v>2101</v>
      </c>
      <c r="K9" s="22" t="s">
        <v>2102</v>
      </c>
      <c r="L9" s="22" t="s">
        <v>2103</v>
      </c>
      <c r="M9" s="22" t="s">
        <v>415</v>
      </c>
      <c r="N9" s="22"/>
      <c r="O9" s="22" t="s">
        <v>2104</v>
      </c>
      <c r="P9" s="32" t="s">
        <v>2105</v>
      </c>
      <c r="Q9" s="22" t="s">
        <v>2106</v>
      </c>
      <c r="R9" s="22" t="s">
        <v>2107</v>
      </c>
      <c r="S9" s="32" t="s">
        <v>2108</v>
      </c>
      <c r="T9" s="22" t="s">
        <v>2109</v>
      </c>
      <c r="U9" s="22" t="s">
        <v>2110</v>
      </c>
      <c r="V9" s="22" t="s">
        <v>2111</v>
      </c>
      <c r="W9" s="22" t="s">
        <v>2112</v>
      </c>
      <c r="X9" s="22" t="s">
        <v>2113</v>
      </c>
      <c r="Y9" s="32" t="s">
        <v>2114</v>
      </c>
      <c r="Z9" s="22" t="s">
        <v>2115</v>
      </c>
      <c r="AA9" s="22" t="s">
        <v>2116</v>
      </c>
      <c r="AB9" s="22" t="s">
        <v>2117</v>
      </c>
      <c r="AC9" s="22" t="s">
        <v>2118</v>
      </c>
      <c r="AD9" s="22" t="s">
        <v>2119</v>
      </c>
      <c r="AE9" s="22" t="s">
        <v>2120</v>
      </c>
      <c r="AF9" s="22" t="s">
        <v>2121</v>
      </c>
      <c r="AG9" s="32" t="s">
        <v>2122</v>
      </c>
      <c r="AH9" s="22" t="s">
        <v>2123</v>
      </c>
      <c r="AI9" s="22" t="s">
        <v>2124</v>
      </c>
    </row>
    <row r="10" customFormat="false" ht="87" hidden="false" customHeight="true" outlineLevel="0" collapsed="false">
      <c r="A10" s="24" t="s">
        <v>2125</v>
      </c>
      <c r="B10" s="22" t="s">
        <v>181</v>
      </c>
      <c r="C10" s="22" t="s">
        <v>2126</v>
      </c>
      <c r="D10" s="22" t="s">
        <v>2127</v>
      </c>
      <c r="E10" s="34" t="s">
        <v>17</v>
      </c>
      <c r="F10" s="22" t="s">
        <v>2128</v>
      </c>
      <c r="G10" s="22" t="s">
        <v>692</v>
      </c>
      <c r="H10" s="22" t="s">
        <v>1563</v>
      </c>
      <c r="I10" s="22" t="s">
        <v>637</v>
      </c>
      <c r="J10" s="22" t="s">
        <v>2129</v>
      </c>
      <c r="K10" s="22" t="s">
        <v>2130</v>
      </c>
      <c r="L10" s="22" t="s">
        <v>2131</v>
      </c>
      <c r="M10" s="22" t="s">
        <v>415</v>
      </c>
      <c r="N10" s="22"/>
      <c r="O10" s="22" t="s">
        <v>2132</v>
      </c>
      <c r="P10" s="32" t="s">
        <v>2133</v>
      </c>
      <c r="Q10" s="22" t="s">
        <v>2134</v>
      </c>
      <c r="R10" s="22" t="s">
        <v>2135</v>
      </c>
      <c r="S10" s="32" t="s">
        <v>2136</v>
      </c>
      <c r="T10" s="22" t="s">
        <v>2137</v>
      </c>
      <c r="U10" s="22" t="s">
        <v>2138</v>
      </c>
      <c r="V10" s="22" t="s">
        <v>2139</v>
      </c>
      <c r="W10" s="22" t="s">
        <v>2140</v>
      </c>
      <c r="X10" s="22" t="s">
        <v>2141</v>
      </c>
      <c r="Y10" s="32" t="s">
        <v>2142</v>
      </c>
      <c r="Z10" s="22" t="s">
        <v>2143</v>
      </c>
      <c r="AA10" s="22" t="s">
        <v>2144</v>
      </c>
      <c r="AB10" s="22" t="s">
        <v>2145</v>
      </c>
      <c r="AC10" s="22" t="s">
        <v>2146</v>
      </c>
      <c r="AD10" s="22" t="s">
        <v>2147</v>
      </c>
      <c r="AE10" s="22" t="s">
        <v>2148</v>
      </c>
      <c r="AF10" s="22" t="s">
        <v>2149</v>
      </c>
      <c r="AG10" s="32" t="s">
        <v>2150</v>
      </c>
      <c r="AH10" s="22" t="s">
        <v>2151</v>
      </c>
      <c r="AI10" s="22" t="s">
        <v>2152</v>
      </c>
    </row>
    <row r="11" customFormat="false" ht="124.5" hidden="false" customHeight="true" outlineLevel="0" collapsed="false">
      <c r="A11" s="24" t="s">
        <v>2153</v>
      </c>
      <c r="B11" s="22" t="s">
        <v>181</v>
      </c>
      <c r="C11" s="22" t="s">
        <v>2154</v>
      </c>
      <c r="D11" s="22" t="s">
        <v>2155</v>
      </c>
      <c r="E11" s="31" t="s">
        <v>19</v>
      </c>
      <c r="F11" s="22" t="s">
        <v>2156</v>
      </c>
      <c r="G11" s="22" t="s">
        <v>1563</v>
      </c>
      <c r="H11" s="22" t="s">
        <v>2040</v>
      </c>
      <c r="I11" s="22" t="s">
        <v>2070</v>
      </c>
      <c r="J11" s="22" t="s">
        <v>2157</v>
      </c>
      <c r="K11" s="22" t="s">
        <v>2158</v>
      </c>
      <c r="L11" s="22" t="s">
        <v>2159</v>
      </c>
      <c r="M11" s="22" t="s">
        <v>470</v>
      </c>
      <c r="N11" s="22"/>
      <c r="O11" s="22" t="s">
        <v>2160</v>
      </c>
      <c r="P11" s="32" t="s">
        <v>2161</v>
      </c>
      <c r="Q11" s="22" t="s">
        <v>2162</v>
      </c>
      <c r="R11" s="22" t="s">
        <v>2163</v>
      </c>
      <c r="S11" s="32" t="s">
        <v>2164</v>
      </c>
      <c r="T11" s="22" t="s">
        <v>2165</v>
      </c>
      <c r="U11" s="22" t="s">
        <v>2166</v>
      </c>
      <c r="V11" s="22" t="s">
        <v>2167</v>
      </c>
      <c r="W11" s="22" t="s">
        <v>2168</v>
      </c>
      <c r="X11" s="22" t="s">
        <v>2169</v>
      </c>
      <c r="Y11" s="32" t="s">
        <v>2170</v>
      </c>
      <c r="Z11" s="22" t="s">
        <v>2171</v>
      </c>
      <c r="AA11" s="22" t="s">
        <v>2172</v>
      </c>
      <c r="AB11" s="22" t="s">
        <v>2173</v>
      </c>
      <c r="AC11" s="22" t="s">
        <v>2174</v>
      </c>
      <c r="AD11" s="22" t="s">
        <v>2175</v>
      </c>
      <c r="AE11" s="22" t="s">
        <v>2176</v>
      </c>
      <c r="AF11" s="22" t="s">
        <v>2177</v>
      </c>
      <c r="AG11" s="32" t="s">
        <v>2178</v>
      </c>
      <c r="AH11" s="22" t="s">
        <v>2179</v>
      </c>
      <c r="AI11" s="22" t="s">
        <v>2180</v>
      </c>
    </row>
    <row r="12" customFormat="false" ht="99.75" hidden="false" customHeight="true" outlineLevel="0" collapsed="false">
      <c r="A12" s="24" t="s">
        <v>2181</v>
      </c>
      <c r="B12" s="22" t="s">
        <v>181</v>
      </c>
      <c r="C12" s="22" t="s">
        <v>2182</v>
      </c>
      <c r="D12" s="22" t="s">
        <v>2183</v>
      </c>
      <c r="E12" s="34" t="s">
        <v>17</v>
      </c>
      <c r="F12" s="22" t="s">
        <v>2184</v>
      </c>
      <c r="G12" s="22" t="s">
        <v>1563</v>
      </c>
      <c r="H12" s="22" t="s">
        <v>2011</v>
      </c>
      <c r="I12" s="22"/>
      <c r="J12" s="22" t="s">
        <v>2012</v>
      </c>
      <c r="K12" s="22" t="s">
        <v>2185</v>
      </c>
      <c r="L12" s="22" t="s">
        <v>2186</v>
      </c>
      <c r="M12" s="22" t="s">
        <v>2187</v>
      </c>
      <c r="N12" s="22"/>
      <c r="O12" s="22" t="s">
        <v>2188</v>
      </c>
      <c r="P12" s="32" t="s">
        <v>2016</v>
      </c>
      <c r="Q12" s="22" t="s">
        <v>2189</v>
      </c>
      <c r="R12" s="22" t="s">
        <v>2190</v>
      </c>
      <c r="S12" s="32" t="s">
        <v>2191</v>
      </c>
      <c r="T12" s="22" t="s">
        <v>2192</v>
      </c>
      <c r="U12" s="22" t="s">
        <v>2193</v>
      </c>
      <c r="V12" s="22" t="s">
        <v>2194</v>
      </c>
      <c r="W12" s="22" t="s">
        <v>2195</v>
      </c>
      <c r="X12" s="22" t="s">
        <v>2196</v>
      </c>
      <c r="Y12" s="32" t="s">
        <v>2197</v>
      </c>
      <c r="Z12" s="22" t="s">
        <v>2198</v>
      </c>
      <c r="AA12" s="22" t="s">
        <v>2199</v>
      </c>
      <c r="AB12" s="22" t="s">
        <v>2200</v>
      </c>
      <c r="AC12" s="22" t="s">
        <v>2201</v>
      </c>
      <c r="AD12" s="22" t="s">
        <v>2202</v>
      </c>
      <c r="AE12" s="22" t="s">
        <v>2203</v>
      </c>
      <c r="AF12" s="22" t="s">
        <v>2204</v>
      </c>
      <c r="AG12" s="32" t="s">
        <v>2205</v>
      </c>
      <c r="AH12" s="22" t="s">
        <v>2206</v>
      </c>
      <c r="AI12" s="22" t="s">
        <v>2207</v>
      </c>
    </row>
    <row r="13" customFormat="false" ht="112.5" hidden="false" customHeight="true" outlineLevel="0" collapsed="false">
      <c r="A13" s="24" t="s">
        <v>2208</v>
      </c>
      <c r="B13" s="22" t="s">
        <v>181</v>
      </c>
      <c r="C13" s="22" t="s">
        <v>2209</v>
      </c>
      <c r="D13" s="22" t="s">
        <v>2210</v>
      </c>
      <c r="E13" s="31" t="s">
        <v>19</v>
      </c>
      <c r="F13" s="22" t="s">
        <v>2211</v>
      </c>
      <c r="G13" s="22" t="s">
        <v>893</v>
      </c>
      <c r="H13" s="22" t="s">
        <v>1563</v>
      </c>
      <c r="I13" s="22"/>
      <c r="J13" s="22" t="s">
        <v>2212</v>
      </c>
      <c r="K13" s="22" t="s">
        <v>2213</v>
      </c>
      <c r="L13" s="22" t="s">
        <v>2214</v>
      </c>
      <c r="M13" s="22" t="s">
        <v>415</v>
      </c>
      <c r="N13" s="22"/>
      <c r="O13" s="22" t="s">
        <v>2215</v>
      </c>
      <c r="P13" s="32" t="s">
        <v>2216</v>
      </c>
      <c r="Q13" s="22" t="s">
        <v>2217</v>
      </c>
      <c r="R13" s="22" t="s">
        <v>2218</v>
      </c>
      <c r="S13" s="32" t="s">
        <v>2219</v>
      </c>
      <c r="T13" s="22" t="s">
        <v>2220</v>
      </c>
      <c r="U13" s="22" t="s">
        <v>2221</v>
      </c>
      <c r="V13" s="22" t="s">
        <v>2222</v>
      </c>
      <c r="W13" s="22" t="s">
        <v>2223</v>
      </c>
      <c r="X13" s="22" t="s">
        <v>2224</v>
      </c>
      <c r="Y13" s="32" t="s">
        <v>2225</v>
      </c>
      <c r="Z13" s="22" t="s">
        <v>2226</v>
      </c>
      <c r="AA13" s="22" t="s">
        <v>2227</v>
      </c>
      <c r="AB13" s="22" t="s">
        <v>2228</v>
      </c>
      <c r="AC13" s="22" t="s">
        <v>2229</v>
      </c>
      <c r="AD13" s="22" t="s">
        <v>2230</v>
      </c>
      <c r="AE13" s="22" t="s">
        <v>2231</v>
      </c>
      <c r="AF13" s="22" t="s">
        <v>2232</v>
      </c>
      <c r="AG13" s="32" t="s">
        <v>2233</v>
      </c>
      <c r="AH13" s="22" t="s">
        <v>2234</v>
      </c>
      <c r="AI13" s="22" t="s">
        <v>2235</v>
      </c>
    </row>
  </sheetData>
  <autoFilter ref="A5:AI13"/>
  <mergeCells count="2">
    <mergeCell ref="A1:AH1"/>
    <mergeCell ref="A2:AI2"/>
  </mergeCells>
  <dataValidations count="1">
    <dataValidation allowBlank="true" errorStyle="stop" operator="between" showDropDown="false" showErrorMessage="false" showInputMessage="false" sqref="E6:E1013" type="list">
      <formula1>"Verified – official source,Verified – secondary source only,Partially verified,Unverified – needs CA review,Ambiguous / conflicting – needs CA review"</formula1>
      <formula2>0</formula2>
    </dataValidation>
  </dataValidations>
  <hyperlinks>
    <hyperlink ref="AI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I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5" min="5" style="0" width="16"/>
    <col collapsed="false" customWidth="true" hidden="false" outlineLevel="0" max="6" min="6" style="0" width="30"/>
    <col collapsed="false" customWidth="true" hidden="false" outlineLevel="0" max="8" min="7" style="0" width="13"/>
    <col collapsed="false" customWidth="true" hidden="false" outlineLevel="0" max="9" min="9" style="0" width="12"/>
    <col collapsed="false" customWidth="true" hidden="false" outlineLevel="0" max="10" min="10" style="0" width="16"/>
    <col collapsed="false" customWidth="true" hidden="false" outlineLevel="0" max="11" min="11" style="0" width="32"/>
    <col collapsed="false" customWidth="true" hidden="false" outlineLevel="0" max="12" min="12" style="0" width="26"/>
    <col collapsed="false" customWidth="true" hidden="false" outlineLevel="0" max="13" min="13" style="0" width="12"/>
    <col collapsed="false" customWidth="true" hidden="false" outlineLevel="0" max="14" min="14" style="0" width="11"/>
    <col collapsed="false" customWidth="true" hidden="false" outlineLevel="0" max="15" min="15" style="0" width="24"/>
    <col collapsed="false" customWidth="true" hidden="false" outlineLevel="0" max="17" min="16" style="0" width="40"/>
    <col collapsed="false" customWidth="true" hidden="false" outlineLevel="0" max="18" min="18" style="0" width="24"/>
    <col collapsed="false" customWidth="true" hidden="false" outlineLevel="0" max="19" min="19" style="0" width="40"/>
    <col collapsed="false" customWidth="true" hidden="false" outlineLevel="0" max="20" min="20" style="0" width="26"/>
    <col collapsed="false" customWidth="true" hidden="false" outlineLevel="0" max="21" min="21" style="0" width="36"/>
    <col collapsed="false" customWidth="true" hidden="false" outlineLevel="0" max="22" min="22" style="0" width="55"/>
    <col collapsed="false" customWidth="true" hidden="false" outlineLevel="0" max="23" min="23" style="0" width="45"/>
    <col collapsed="false" customWidth="true" hidden="false" outlineLevel="0" max="24" min="24" style="0" width="32"/>
    <col collapsed="false" customWidth="true" hidden="false" outlineLevel="0" max="25" min="25" style="0" width="30"/>
    <col collapsed="false" customWidth="true" hidden="false" outlineLevel="0" max="26" min="26" style="0" width="32"/>
    <col collapsed="false" customWidth="true" hidden="false" outlineLevel="0" max="27" min="27" style="0" width="30"/>
    <col collapsed="false" customWidth="true" hidden="false" outlineLevel="0" max="28" min="28" style="0" width="55"/>
    <col collapsed="false" customWidth="true" hidden="false" outlineLevel="0" max="30" min="29" style="0" width="32"/>
    <col collapsed="false" customWidth="true" hidden="false" outlineLevel="0" max="32" min="31" style="0" width="30"/>
    <col collapsed="false" customWidth="true" hidden="false" outlineLevel="0" max="33" min="33" style="0" width="55"/>
    <col collapsed="false" customWidth="true" hidden="false" outlineLevel="0" max="34" min="34" style="0" width="60"/>
    <col collapsed="false" customWidth="true" hidden="false" outlineLevel="0" max="35" min="35" style="0" width="45"/>
  </cols>
  <sheetData>
    <row r="1" customFormat="false" ht="30" hidden="false" customHeight="true" outlineLevel="0" collapsed="false">
      <c r="A1" s="18" t="s">
        <v>47</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9" t="s">
        <v>29</v>
      </c>
    </row>
    <row r="2" customFormat="false" ht="31.5" hidden="false" customHeight="true" outlineLevel="0" collapsed="false">
      <c r="A2" s="20" t="s">
        <v>2236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row>
    <row r="3" customFormat="false" ht="15" hidden="false" customHeight="false" outlineLevel="0" collapsed="false">
      <c r="A3" s="6" t="s">
        <v>109</v>
      </c>
      <c r="C3" s="6" t="n">
        <f aca="false">COUNTA(A6:A2000)</f>
        <v>17</v>
      </c>
    </row>
    <row r="4" customFormat="false" ht="33.75" hidden="false" customHeight="true" outlineLevel="0" collapsed="false">
      <c r="A4" s="21" t="s">
        <v>110</v>
      </c>
      <c r="B4" s="21" t="s">
        <v>111</v>
      </c>
      <c r="C4" s="21" t="s">
        <v>112</v>
      </c>
      <c r="D4" s="21" t="s">
        <v>113</v>
      </c>
      <c r="E4" s="21" t="s">
        <v>114</v>
      </c>
      <c r="F4" s="21" t="s">
        <v>115</v>
      </c>
      <c r="G4" s="21" t="s">
        <v>116</v>
      </c>
      <c r="H4" s="21" t="s">
        <v>117</v>
      </c>
      <c r="I4" s="21" t="s">
        <v>118</v>
      </c>
      <c r="J4" s="21" t="s">
        <v>119</v>
      </c>
      <c r="K4" s="21" t="s">
        <v>120</v>
      </c>
      <c r="L4" s="21" t="s">
        <v>121</v>
      </c>
      <c r="M4" s="21" t="s">
        <v>122</v>
      </c>
      <c r="N4" s="21" t="s">
        <v>123</v>
      </c>
      <c r="O4" s="21" t="s">
        <v>124</v>
      </c>
      <c r="P4" s="21" t="s">
        <v>125</v>
      </c>
      <c r="Q4" s="21" t="s">
        <v>126</v>
      </c>
      <c r="R4" s="21" t="s">
        <v>127</v>
      </c>
      <c r="S4" s="21" t="s">
        <v>128</v>
      </c>
      <c r="T4" s="21" t="s">
        <v>129</v>
      </c>
      <c r="U4" s="21" t="s">
        <v>130</v>
      </c>
      <c r="V4" s="21" t="s">
        <v>131</v>
      </c>
      <c r="W4" s="21" t="s">
        <v>132</v>
      </c>
      <c r="X4" s="21" t="s">
        <v>133</v>
      </c>
      <c r="Y4" s="21" t="s">
        <v>134</v>
      </c>
      <c r="Z4" s="21" t="s">
        <v>135</v>
      </c>
      <c r="AA4" s="21" t="s">
        <v>136</v>
      </c>
      <c r="AB4" s="21" t="s">
        <v>137</v>
      </c>
      <c r="AC4" s="21" t="s">
        <v>138</v>
      </c>
      <c r="AD4" s="21" t="s">
        <v>139</v>
      </c>
      <c r="AE4" s="21" t="s">
        <v>140</v>
      </c>
      <c r="AF4" s="21" t="s">
        <v>141</v>
      </c>
      <c r="AG4" s="21" t="s">
        <v>142</v>
      </c>
      <c r="AH4" s="21" t="s">
        <v>143</v>
      </c>
      <c r="AI4" s="21" t="s">
        <v>144</v>
      </c>
    </row>
    <row r="5" customFormat="false" ht="15" hidden="false" customHeight="false" outlineLevel="0" collapsed="false">
      <c r="A5" s="30" t="s">
        <v>145</v>
      </c>
      <c r="B5" s="30" t="s">
        <v>146</v>
      </c>
      <c r="C5" s="30" t="s">
        <v>147</v>
      </c>
      <c r="D5" s="30" t="s">
        <v>148</v>
      </c>
      <c r="E5" s="30" t="s">
        <v>149</v>
      </c>
      <c r="F5" s="30" t="s">
        <v>150</v>
      </c>
      <c r="G5" s="30" t="s">
        <v>151</v>
      </c>
      <c r="H5" s="30" t="s">
        <v>152</v>
      </c>
      <c r="I5" s="30" t="s">
        <v>153</v>
      </c>
      <c r="J5" s="30" t="s">
        <v>154</v>
      </c>
      <c r="K5" s="30" t="s">
        <v>155</v>
      </c>
      <c r="L5" s="30" t="s">
        <v>156</v>
      </c>
      <c r="M5" s="30" t="s">
        <v>157</v>
      </c>
      <c r="N5" s="30" t="s">
        <v>158</v>
      </c>
      <c r="O5" s="30" t="s">
        <v>159</v>
      </c>
      <c r="P5" s="30" t="s">
        <v>160</v>
      </c>
      <c r="Q5" s="30" t="s">
        <v>161</v>
      </c>
      <c r="R5" s="30" t="s">
        <v>162</v>
      </c>
      <c r="S5" s="30" t="s">
        <v>163</v>
      </c>
      <c r="T5" s="30" t="s">
        <v>164</v>
      </c>
      <c r="U5" s="30" t="s">
        <v>165</v>
      </c>
      <c r="V5" s="30" t="s">
        <v>166</v>
      </c>
      <c r="W5" s="30" t="s">
        <v>167</v>
      </c>
      <c r="X5" s="30" t="s">
        <v>168</v>
      </c>
      <c r="Y5" s="30" t="s">
        <v>169</v>
      </c>
      <c r="Z5" s="30" t="s">
        <v>170</v>
      </c>
      <c r="AA5" s="30" t="s">
        <v>171</v>
      </c>
      <c r="AB5" s="30" t="s">
        <v>172</v>
      </c>
      <c r="AC5" s="30" t="s">
        <v>173</v>
      </c>
      <c r="AD5" s="30" t="s">
        <v>174</v>
      </c>
      <c r="AE5" s="30" t="s">
        <v>175</v>
      </c>
      <c r="AF5" s="30" t="s">
        <v>176</v>
      </c>
      <c r="AG5" s="30" t="s">
        <v>177</v>
      </c>
      <c r="AH5" s="30" t="s">
        <v>178</v>
      </c>
      <c r="AI5" s="30" t="s">
        <v>179</v>
      </c>
    </row>
    <row r="6" customFormat="false" ht="112.5" hidden="false" customHeight="true" outlineLevel="0" collapsed="false">
      <c r="A6" s="24" t="s">
        <v>2237</v>
      </c>
      <c r="B6" s="22" t="s">
        <v>181</v>
      </c>
      <c r="C6" s="22" t="s">
        <v>2238</v>
      </c>
      <c r="D6" s="22" t="s">
        <v>2239</v>
      </c>
      <c r="E6" s="31" t="s">
        <v>19</v>
      </c>
      <c r="F6" s="22" t="s">
        <v>2240</v>
      </c>
      <c r="G6" s="22" t="s">
        <v>2041</v>
      </c>
      <c r="H6" s="22" t="s">
        <v>637</v>
      </c>
      <c r="I6" s="22"/>
      <c r="J6" s="22" t="s">
        <v>2241</v>
      </c>
      <c r="K6" s="22" t="s">
        <v>2242</v>
      </c>
      <c r="L6" s="22" t="s">
        <v>2243</v>
      </c>
      <c r="M6" s="22" t="s">
        <v>415</v>
      </c>
      <c r="N6" s="22"/>
      <c r="O6" s="22" t="s">
        <v>2244</v>
      </c>
      <c r="P6" s="32" t="s">
        <v>2245</v>
      </c>
      <c r="Q6" s="22" t="s">
        <v>2246</v>
      </c>
      <c r="R6" s="22" t="s">
        <v>2247</v>
      </c>
      <c r="S6" s="32" t="s">
        <v>2248</v>
      </c>
      <c r="T6" s="22" t="s">
        <v>2249</v>
      </c>
      <c r="U6" s="22" t="s">
        <v>2250</v>
      </c>
      <c r="V6" s="22" t="s">
        <v>2251</v>
      </c>
      <c r="W6" s="22" t="s">
        <v>2252</v>
      </c>
      <c r="X6" s="22" t="s">
        <v>2253</v>
      </c>
      <c r="Y6" s="32" t="s">
        <v>2254</v>
      </c>
      <c r="Z6" s="22" t="s">
        <v>2255</v>
      </c>
      <c r="AA6" s="22" t="s">
        <v>2256</v>
      </c>
      <c r="AB6" s="22" t="s">
        <v>2257</v>
      </c>
      <c r="AC6" s="22" t="s">
        <v>2258</v>
      </c>
      <c r="AD6" s="22" t="s">
        <v>2259</v>
      </c>
      <c r="AE6" s="22" t="s">
        <v>2260</v>
      </c>
      <c r="AF6" s="22" t="s">
        <v>2261</v>
      </c>
      <c r="AG6" s="32" t="s">
        <v>2262</v>
      </c>
      <c r="AH6" s="22" t="s">
        <v>2263</v>
      </c>
      <c r="AI6" s="22" t="s">
        <v>2264</v>
      </c>
    </row>
    <row r="7" customFormat="false" ht="112.5" hidden="false" customHeight="true" outlineLevel="0" collapsed="false">
      <c r="A7" s="24" t="s">
        <v>2265</v>
      </c>
      <c r="B7" s="22" t="s">
        <v>181</v>
      </c>
      <c r="C7" s="22" t="s">
        <v>2266</v>
      </c>
      <c r="D7" s="22" t="s">
        <v>2267</v>
      </c>
      <c r="E7" s="33" t="s">
        <v>21</v>
      </c>
      <c r="F7" s="22" t="s">
        <v>2268</v>
      </c>
      <c r="G7" s="22" t="s">
        <v>2041</v>
      </c>
      <c r="H7" s="22" t="s">
        <v>692</v>
      </c>
      <c r="I7" s="22" t="s">
        <v>524</v>
      </c>
      <c r="J7" s="22" t="s">
        <v>2129</v>
      </c>
      <c r="K7" s="22" t="s">
        <v>2269</v>
      </c>
      <c r="L7" s="22" t="s">
        <v>2270</v>
      </c>
      <c r="M7" s="22" t="s">
        <v>415</v>
      </c>
      <c r="N7" s="22"/>
      <c r="O7" s="22" t="s">
        <v>2271</v>
      </c>
      <c r="P7" s="32" t="s">
        <v>2272</v>
      </c>
      <c r="Q7" s="22" t="s">
        <v>2273</v>
      </c>
      <c r="R7" s="22" t="s">
        <v>2274</v>
      </c>
      <c r="S7" s="32" t="s">
        <v>2275</v>
      </c>
      <c r="T7" s="22" t="s">
        <v>2276</v>
      </c>
      <c r="U7" s="22" t="s">
        <v>2277</v>
      </c>
      <c r="V7" s="22" t="s">
        <v>2278</v>
      </c>
      <c r="W7" s="22" t="s">
        <v>2279</v>
      </c>
      <c r="X7" s="22" t="s">
        <v>2280</v>
      </c>
      <c r="Y7" s="32" t="s">
        <v>2281</v>
      </c>
      <c r="Z7" s="22" t="s">
        <v>2282</v>
      </c>
      <c r="AA7" s="22" t="s">
        <v>2283</v>
      </c>
      <c r="AB7" s="22" t="s">
        <v>2284</v>
      </c>
      <c r="AC7" s="22" t="s">
        <v>2285</v>
      </c>
      <c r="AD7" s="22" t="s">
        <v>2286</v>
      </c>
      <c r="AE7" s="22" t="s">
        <v>2287</v>
      </c>
      <c r="AF7" s="22" t="s">
        <v>2288</v>
      </c>
      <c r="AG7" s="32" t="s">
        <v>2289</v>
      </c>
      <c r="AH7" s="22" t="s">
        <v>2290</v>
      </c>
      <c r="AI7" s="22" t="s">
        <v>2291</v>
      </c>
    </row>
    <row r="8" customFormat="false" ht="87" hidden="false" customHeight="true" outlineLevel="0" collapsed="false">
      <c r="A8" s="24" t="s">
        <v>2292</v>
      </c>
      <c r="B8" s="22" t="s">
        <v>181</v>
      </c>
      <c r="C8" s="22" t="s">
        <v>2293</v>
      </c>
      <c r="D8" s="22" t="s">
        <v>2294</v>
      </c>
      <c r="E8" s="31" t="s">
        <v>19</v>
      </c>
      <c r="F8" s="22" t="s">
        <v>2295</v>
      </c>
      <c r="G8" s="22" t="s">
        <v>2041</v>
      </c>
      <c r="H8" s="22" t="s">
        <v>692</v>
      </c>
      <c r="I8" s="22" t="s">
        <v>1650</v>
      </c>
      <c r="J8" s="22" t="s">
        <v>2296</v>
      </c>
      <c r="K8" s="22" t="s">
        <v>2297</v>
      </c>
      <c r="L8" s="22" t="s">
        <v>2298</v>
      </c>
      <c r="M8" s="22" t="s">
        <v>415</v>
      </c>
      <c r="N8" s="22"/>
      <c r="O8" s="22" t="s">
        <v>2299</v>
      </c>
      <c r="P8" s="32" t="s">
        <v>2300</v>
      </c>
      <c r="Q8" s="22" t="s">
        <v>2301</v>
      </c>
      <c r="R8" s="22" t="s">
        <v>2302</v>
      </c>
      <c r="S8" s="32" t="s">
        <v>2303</v>
      </c>
      <c r="T8" s="22" t="s">
        <v>2304</v>
      </c>
      <c r="U8" s="22" t="s">
        <v>2305</v>
      </c>
      <c r="V8" s="22" t="s">
        <v>2306</v>
      </c>
      <c r="W8" s="22" t="s">
        <v>2307</v>
      </c>
      <c r="X8" s="22" t="s">
        <v>2308</v>
      </c>
      <c r="Y8" s="32" t="s">
        <v>2309</v>
      </c>
      <c r="Z8" s="22" t="s">
        <v>2310</v>
      </c>
      <c r="AA8" s="22" t="s">
        <v>2311</v>
      </c>
      <c r="AB8" s="22" t="s">
        <v>2312</v>
      </c>
      <c r="AC8" s="22" t="s">
        <v>2313</v>
      </c>
      <c r="AD8" s="22" t="s">
        <v>2314</v>
      </c>
      <c r="AE8" s="22" t="s">
        <v>2315</v>
      </c>
      <c r="AF8" s="22" t="s">
        <v>2316</v>
      </c>
      <c r="AG8" s="32" t="s">
        <v>2317</v>
      </c>
      <c r="AH8" s="22" t="s">
        <v>2318</v>
      </c>
      <c r="AI8" s="22" t="s">
        <v>2319</v>
      </c>
    </row>
    <row r="9" customFormat="false" ht="99.75" hidden="false" customHeight="true" outlineLevel="0" collapsed="false">
      <c r="A9" s="24" t="s">
        <v>2320</v>
      </c>
      <c r="B9" s="22" t="s">
        <v>181</v>
      </c>
      <c r="C9" s="22" t="s">
        <v>2321</v>
      </c>
      <c r="D9" s="22" t="s">
        <v>2322</v>
      </c>
      <c r="E9" s="31" t="s">
        <v>19</v>
      </c>
      <c r="F9" s="22" t="s">
        <v>2323</v>
      </c>
      <c r="G9" s="22" t="s">
        <v>2041</v>
      </c>
      <c r="H9" s="22" t="s">
        <v>1650</v>
      </c>
      <c r="I9" s="22" t="s">
        <v>692</v>
      </c>
      <c r="J9" s="22" t="s">
        <v>2324</v>
      </c>
      <c r="K9" s="22" t="s">
        <v>2325</v>
      </c>
      <c r="L9" s="22" t="s">
        <v>2326</v>
      </c>
      <c r="M9" s="22" t="s">
        <v>415</v>
      </c>
      <c r="N9" s="22"/>
      <c r="O9" s="22" t="s">
        <v>2327</v>
      </c>
      <c r="P9" s="32" t="s">
        <v>2328</v>
      </c>
      <c r="Q9" s="22" t="s">
        <v>2329</v>
      </c>
      <c r="R9" s="22" t="s">
        <v>2330</v>
      </c>
      <c r="S9" s="32" t="s">
        <v>2331</v>
      </c>
      <c r="T9" s="22" t="s">
        <v>1801</v>
      </c>
      <c r="U9" s="22" t="s">
        <v>2332</v>
      </c>
      <c r="V9" s="22" t="s">
        <v>2333</v>
      </c>
      <c r="W9" s="22" t="s">
        <v>2334</v>
      </c>
      <c r="X9" s="22" t="s">
        <v>2335</v>
      </c>
      <c r="Y9" s="32" t="s">
        <v>2336</v>
      </c>
      <c r="Z9" s="22" t="s">
        <v>2337</v>
      </c>
      <c r="AA9" s="22" t="s">
        <v>2338</v>
      </c>
      <c r="AB9" s="22" t="s">
        <v>2339</v>
      </c>
      <c r="AC9" s="22" t="s">
        <v>2340</v>
      </c>
      <c r="AD9" s="22" t="s">
        <v>2341</v>
      </c>
      <c r="AE9" s="22" t="s">
        <v>2342</v>
      </c>
      <c r="AF9" s="22" t="s">
        <v>2343</v>
      </c>
      <c r="AG9" s="32" t="s">
        <v>2344</v>
      </c>
      <c r="AH9" s="22" t="s">
        <v>2345</v>
      </c>
      <c r="AI9" s="22" t="s">
        <v>2346</v>
      </c>
    </row>
    <row r="10" customFormat="false" ht="99.75" hidden="false" customHeight="true" outlineLevel="0" collapsed="false">
      <c r="A10" s="24" t="s">
        <v>2347</v>
      </c>
      <c r="B10" s="22" t="s">
        <v>181</v>
      </c>
      <c r="C10" s="22" t="s">
        <v>2348</v>
      </c>
      <c r="D10" s="22" t="s">
        <v>2349</v>
      </c>
      <c r="E10" s="31" t="s">
        <v>19</v>
      </c>
      <c r="F10" s="22" t="s">
        <v>2350</v>
      </c>
      <c r="G10" s="22" t="s">
        <v>2041</v>
      </c>
      <c r="H10" s="22" t="s">
        <v>1651</v>
      </c>
      <c r="I10" s="22" t="s">
        <v>692</v>
      </c>
      <c r="J10" s="22" t="s">
        <v>1709</v>
      </c>
      <c r="K10" s="22" t="s">
        <v>2351</v>
      </c>
      <c r="L10" s="22" t="s">
        <v>2352</v>
      </c>
      <c r="M10" s="22" t="s">
        <v>415</v>
      </c>
      <c r="N10" s="22"/>
      <c r="O10" s="22" t="s">
        <v>2353</v>
      </c>
      <c r="P10" s="32" t="s">
        <v>2354</v>
      </c>
      <c r="Q10" s="22" t="s">
        <v>2355</v>
      </c>
      <c r="R10" s="22" t="s">
        <v>2356</v>
      </c>
      <c r="S10" s="32" t="s">
        <v>2357</v>
      </c>
      <c r="T10" s="22" t="s">
        <v>2358</v>
      </c>
      <c r="U10" s="22" t="s">
        <v>2359</v>
      </c>
      <c r="V10" s="22" t="s">
        <v>2360</v>
      </c>
      <c r="W10" s="22" t="s">
        <v>2361</v>
      </c>
      <c r="X10" s="22" t="s">
        <v>2362</v>
      </c>
      <c r="Y10" s="32" t="s">
        <v>2363</v>
      </c>
      <c r="Z10" s="22" t="s">
        <v>2364</v>
      </c>
      <c r="AA10" s="22" t="s">
        <v>2365</v>
      </c>
      <c r="AB10" s="22" t="s">
        <v>2366</v>
      </c>
      <c r="AC10" s="22" t="s">
        <v>2367</v>
      </c>
      <c r="AD10" s="22" t="s">
        <v>2368</v>
      </c>
      <c r="AE10" s="22" t="s">
        <v>2369</v>
      </c>
      <c r="AF10" s="22" t="s">
        <v>2370</v>
      </c>
      <c r="AG10" s="32" t="s">
        <v>2371</v>
      </c>
      <c r="AH10" s="22" t="s">
        <v>2372</v>
      </c>
      <c r="AI10" s="22" t="s">
        <v>2373</v>
      </c>
    </row>
    <row r="11" customFormat="false" ht="87" hidden="false" customHeight="true" outlineLevel="0" collapsed="false">
      <c r="A11" s="24" t="s">
        <v>2374</v>
      </c>
      <c r="B11" s="22" t="s">
        <v>181</v>
      </c>
      <c r="C11" s="22" t="s">
        <v>2375</v>
      </c>
      <c r="D11" s="22" t="s">
        <v>2376</v>
      </c>
      <c r="E11" s="34" t="s">
        <v>17</v>
      </c>
      <c r="F11" s="22" t="s">
        <v>2377</v>
      </c>
      <c r="G11" s="22" t="s">
        <v>893</v>
      </c>
      <c r="H11" s="22" t="s">
        <v>2041</v>
      </c>
      <c r="I11" s="22" t="s">
        <v>637</v>
      </c>
      <c r="J11" s="22" t="s">
        <v>2378</v>
      </c>
      <c r="K11" s="22" t="s">
        <v>2379</v>
      </c>
      <c r="L11" s="22" t="s">
        <v>2380</v>
      </c>
      <c r="M11" s="22" t="s">
        <v>415</v>
      </c>
      <c r="N11" s="22"/>
      <c r="O11" s="22" t="s">
        <v>2381</v>
      </c>
      <c r="P11" s="32" t="s">
        <v>2382</v>
      </c>
      <c r="Q11" s="22" t="s">
        <v>2383</v>
      </c>
      <c r="R11" s="22" t="s">
        <v>2384</v>
      </c>
      <c r="S11" s="32" t="s">
        <v>2385</v>
      </c>
      <c r="T11" s="22" t="s">
        <v>1774</v>
      </c>
      <c r="U11" s="22" t="s">
        <v>2386</v>
      </c>
      <c r="V11" s="22" t="s">
        <v>2387</v>
      </c>
      <c r="W11" s="22" t="s">
        <v>2388</v>
      </c>
      <c r="X11" s="22" t="s">
        <v>2389</v>
      </c>
      <c r="Y11" s="32" t="s">
        <v>763</v>
      </c>
      <c r="Z11" s="22" t="s">
        <v>2390</v>
      </c>
      <c r="AA11" s="22" t="s">
        <v>2391</v>
      </c>
      <c r="AB11" s="22" t="s">
        <v>2392</v>
      </c>
      <c r="AC11" s="22" t="s">
        <v>2393</v>
      </c>
      <c r="AD11" s="22" t="s">
        <v>2394</v>
      </c>
      <c r="AE11" s="22" t="s">
        <v>2395</v>
      </c>
      <c r="AF11" s="22" t="s">
        <v>2396</v>
      </c>
      <c r="AG11" s="32" t="s">
        <v>2397</v>
      </c>
      <c r="AH11" s="22" t="s">
        <v>2398</v>
      </c>
      <c r="AI11" s="22" t="s">
        <v>2399</v>
      </c>
    </row>
    <row r="12" customFormat="false" ht="62.25" hidden="false" customHeight="true" outlineLevel="0" collapsed="false">
      <c r="A12" s="24" t="s">
        <v>2400</v>
      </c>
      <c r="B12" s="22" t="s">
        <v>181</v>
      </c>
      <c r="C12" s="22" t="s">
        <v>2401</v>
      </c>
      <c r="D12" s="22" t="s">
        <v>2402</v>
      </c>
      <c r="E12" s="34" t="s">
        <v>17</v>
      </c>
      <c r="F12" s="22" t="s">
        <v>2403</v>
      </c>
      <c r="G12" s="22" t="s">
        <v>893</v>
      </c>
      <c r="H12" s="22" t="s">
        <v>692</v>
      </c>
      <c r="I12" s="22"/>
      <c r="J12" s="22" t="s">
        <v>2404</v>
      </c>
      <c r="K12" s="22" t="s">
        <v>2405</v>
      </c>
      <c r="L12" s="22" t="s">
        <v>2380</v>
      </c>
      <c r="M12" s="22" t="s">
        <v>415</v>
      </c>
      <c r="N12" s="22"/>
      <c r="O12" s="22" t="s">
        <v>2406</v>
      </c>
      <c r="P12" s="32" t="s">
        <v>2407</v>
      </c>
      <c r="Q12" s="22" t="s">
        <v>2408</v>
      </c>
      <c r="R12" s="22" t="s">
        <v>2409</v>
      </c>
      <c r="S12" s="32" t="s">
        <v>2410</v>
      </c>
      <c r="T12" s="22" t="s">
        <v>2411</v>
      </c>
      <c r="U12" s="22" t="s">
        <v>2412</v>
      </c>
      <c r="V12" s="22" t="s">
        <v>2413</v>
      </c>
      <c r="W12" s="22" t="s">
        <v>2414</v>
      </c>
      <c r="X12" s="22" t="s">
        <v>2415</v>
      </c>
      <c r="Y12" s="32" t="s">
        <v>763</v>
      </c>
      <c r="Z12" s="22" t="s">
        <v>2416</v>
      </c>
      <c r="AA12" s="22" t="s">
        <v>2417</v>
      </c>
      <c r="AB12" s="22" t="s">
        <v>2418</v>
      </c>
      <c r="AC12" s="22" t="s">
        <v>2419</v>
      </c>
      <c r="AD12" s="22" t="s">
        <v>2420</v>
      </c>
      <c r="AE12" s="22" t="s">
        <v>2421</v>
      </c>
      <c r="AF12" s="22" t="s">
        <v>2422</v>
      </c>
      <c r="AG12" s="32" t="s">
        <v>2423</v>
      </c>
      <c r="AH12" s="22" t="s">
        <v>2398</v>
      </c>
      <c r="AI12" s="22" t="s">
        <v>2424</v>
      </c>
    </row>
    <row r="13" customFormat="false" ht="62.25" hidden="false" customHeight="true" outlineLevel="0" collapsed="false">
      <c r="A13" s="24" t="s">
        <v>2425</v>
      </c>
      <c r="B13" s="22" t="s">
        <v>181</v>
      </c>
      <c r="C13" s="22" t="s">
        <v>2426</v>
      </c>
      <c r="D13" s="22" t="s">
        <v>2427</v>
      </c>
      <c r="E13" s="33" t="s">
        <v>21</v>
      </c>
      <c r="F13" s="22" t="s">
        <v>2428</v>
      </c>
      <c r="G13" s="22" t="s">
        <v>893</v>
      </c>
      <c r="H13" s="22" t="s">
        <v>892</v>
      </c>
      <c r="I13" s="22"/>
      <c r="J13" s="22" t="s">
        <v>2429</v>
      </c>
      <c r="K13" s="22" t="s">
        <v>2430</v>
      </c>
      <c r="L13" s="22" t="s">
        <v>2380</v>
      </c>
      <c r="M13" s="22" t="s">
        <v>415</v>
      </c>
      <c r="N13" s="22"/>
      <c r="O13" s="22" t="s">
        <v>2431</v>
      </c>
      <c r="P13" s="32" t="s">
        <v>2432</v>
      </c>
      <c r="Q13" s="22" t="s">
        <v>2433</v>
      </c>
      <c r="R13" s="22" t="s">
        <v>2434</v>
      </c>
      <c r="S13" s="32" t="s">
        <v>2435</v>
      </c>
      <c r="T13" s="22" t="s">
        <v>1774</v>
      </c>
      <c r="U13" s="22" t="s">
        <v>2436</v>
      </c>
      <c r="V13" s="22" t="s">
        <v>2437</v>
      </c>
      <c r="W13" s="22" t="s">
        <v>2438</v>
      </c>
      <c r="X13" s="22" t="s">
        <v>2439</v>
      </c>
      <c r="Y13" s="32" t="s">
        <v>763</v>
      </c>
      <c r="Z13" s="22" t="s">
        <v>2440</v>
      </c>
      <c r="AA13" s="22" t="s">
        <v>2441</v>
      </c>
      <c r="AB13" s="22" t="s">
        <v>2442</v>
      </c>
      <c r="AC13" s="22" t="s">
        <v>2393</v>
      </c>
      <c r="AD13" s="22" t="s">
        <v>2443</v>
      </c>
      <c r="AE13" s="22" t="s">
        <v>2444</v>
      </c>
      <c r="AF13" s="22" t="s">
        <v>2445</v>
      </c>
      <c r="AG13" s="32" t="s">
        <v>2446</v>
      </c>
      <c r="AH13" s="22"/>
      <c r="AI13" s="22" t="s">
        <v>2447</v>
      </c>
    </row>
    <row r="14" customFormat="false" ht="87" hidden="false" customHeight="true" outlineLevel="0" collapsed="false">
      <c r="A14" s="24" t="s">
        <v>2448</v>
      </c>
      <c r="B14" s="22" t="s">
        <v>181</v>
      </c>
      <c r="C14" s="22" t="s">
        <v>2449</v>
      </c>
      <c r="D14" s="22" t="s">
        <v>2450</v>
      </c>
      <c r="E14" s="31" t="s">
        <v>19</v>
      </c>
      <c r="F14" s="22" t="s">
        <v>2451</v>
      </c>
      <c r="G14" s="22" t="s">
        <v>893</v>
      </c>
      <c r="H14" s="22" t="s">
        <v>892</v>
      </c>
      <c r="I14" s="22"/>
      <c r="J14" s="22" t="s">
        <v>2378</v>
      </c>
      <c r="K14" s="22" t="s">
        <v>2452</v>
      </c>
      <c r="L14" s="22" t="s">
        <v>2453</v>
      </c>
      <c r="M14" s="22" t="s">
        <v>415</v>
      </c>
      <c r="N14" s="22"/>
      <c r="O14" s="22" t="s">
        <v>2454</v>
      </c>
      <c r="P14" s="32" t="s">
        <v>2455</v>
      </c>
      <c r="Q14" s="22" t="s">
        <v>2456</v>
      </c>
      <c r="R14" s="22" t="s">
        <v>2457</v>
      </c>
      <c r="S14" s="32" t="s">
        <v>2458</v>
      </c>
      <c r="T14" s="22" t="s">
        <v>2459</v>
      </c>
      <c r="U14" s="22" t="s">
        <v>2460</v>
      </c>
      <c r="V14" s="22" t="s">
        <v>2461</v>
      </c>
      <c r="W14" s="22" t="s">
        <v>2462</v>
      </c>
      <c r="X14" s="22" t="s">
        <v>2463</v>
      </c>
      <c r="Y14" s="32" t="s">
        <v>2464</v>
      </c>
      <c r="Z14" s="22" t="s">
        <v>2465</v>
      </c>
      <c r="AA14" s="22" t="s">
        <v>2466</v>
      </c>
      <c r="AB14" s="22" t="s">
        <v>2467</v>
      </c>
      <c r="AC14" s="22" t="s">
        <v>2468</v>
      </c>
      <c r="AD14" s="22" t="s">
        <v>2469</v>
      </c>
      <c r="AE14" s="22" t="s">
        <v>2470</v>
      </c>
      <c r="AF14" s="22" t="s">
        <v>2471</v>
      </c>
      <c r="AG14" s="32" t="s">
        <v>2472</v>
      </c>
      <c r="AH14" s="22" t="s">
        <v>2398</v>
      </c>
      <c r="AI14" s="22" t="s">
        <v>2473</v>
      </c>
    </row>
    <row r="15" customFormat="false" ht="87" hidden="false" customHeight="true" outlineLevel="0" collapsed="false">
      <c r="A15" s="24" t="s">
        <v>2474</v>
      </c>
      <c r="B15" s="22" t="s">
        <v>181</v>
      </c>
      <c r="C15" s="22" t="s">
        <v>2475</v>
      </c>
      <c r="D15" s="22" t="s">
        <v>2476</v>
      </c>
      <c r="E15" s="31" t="s">
        <v>19</v>
      </c>
      <c r="F15" s="22" t="s">
        <v>2477</v>
      </c>
      <c r="G15" s="22" t="s">
        <v>2478</v>
      </c>
      <c r="H15" s="22" t="s">
        <v>893</v>
      </c>
      <c r="I15" s="22" t="s">
        <v>1929</v>
      </c>
      <c r="J15" s="22" t="s">
        <v>2378</v>
      </c>
      <c r="K15" s="22" t="s">
        <v>2479</v>
      </c>
      <c r="L15" s="22" t="s">
        <v>2480</v>
      </c>
      <c r="M15" s="22" t="s">
        <v>415</v>
      </c>
      <c r="N15" s="22"/>
      <c r="O15" s="22" t="s">
        <v>2481</v>
      </c>
      <c r="P15" s="32" t="s">
        <v>2482</v>
      </c>
      <c r="Q15" s="22" t="s">
        <v>2483</v>
      </c>
      <c r="R15" s="22" t="s">
        <v>2484</v>
      </c>
      <c r="S15" s="32" t="s">
        <v>2485</v>
      </c>
      <c r="T15" s="22" t="s">
        <v>2486</v>
      </c>
      <c r="U15" s="22" t="s">
        <v>2487</v>
      </c>
      <c r="V15" s="22" t="s">
        <v>2488</v>
      </c>
      <c r="W15" s="22" t="s">
        <v>2489</v>
      </c>
      <c r="X15" s="22" t="s">
        <v>2490</v>
      </c>
      <c r="Y15" s="32" t="s">
        <v>2491</v>
      </c>
      <c r="Z15" s="22" t="s">
        <v>2492</v>
      </c>
      <c r="AA15" s="22" t="s">
        <v>2493</v>
      </c>
      <c r="AB15" s="22" t="s">
        <v>2494</v>
      </c>
      <c r="AC15" s="22" t="s">
        <v>2495</v>
      </c>
      <c r="AD15" s="22" t="s">
        <v>2496</v>
      </c>
      <c r="AE15" s="22" t="s">
        <v>2497</v>
      </c>
      <c r="AF15" s="22" t="s">
        <v>2498</v>
      </c>
      <c r="AG15" s="32" t="s">
        <v>2499</v>
      </c>
      <c r="AH15" s="22" t="s">
        <v>2398</v>
      </c>
      <c r="AI15" s="22" t="s">
        <v>2500</v>
      </c>
    </row>
    <row r="16" customFormat="false" ht="112.5" hidden="false" customHeight="true" outlineLevel="0" collapsed="false">
      <c r="A16" s="24" t="s">
        <v>2501</v>
      </c>
      <c r="B16" s="22" t="s">
        <v>181</v>
      </c>
      <c r="C16" s="22" t="s">
        <v>2502</v>
      </c>
      <c r="D16" s="22" t="s">
        <v>2503</v>
      </c>
      <c r="E16" s="33" t="s">
        <v>21</v>
      </c>
      <c r="F16" s="22" t="s">
        <v>2504</v>
      </c>
      <c r="G16" s="22" t="s">
        <v>1336</v>
      </c>
      <c r="H16" s="22" t="s">
        <v>692</v>
      </c>
      <c r="I16" s="22"/>
      <c r="J16" s="22" t="s">
        <v>2505</v>
      </c>
      <c r="K16" s="22" t="s">
        <v>2506</v>
      </c>
      <c r="L16" s="22" t="s">
        <v>2507</v>
      </c>
      <c r="M16" s="22" t="s">
        <v>415</v>
      </c>
      <c r="N16" s="22"/>
      <c r="O16" s="22" t="s">
        <v>2508</v>
      </c>
      <c r="P16" s="32" t="s">
        <v>2509</v>
      </c>
      <c r="Q16" s="22" t="s">
        <v>2510</v>
      </c>
      <c r="R16" s="22" t="s">
        <v>2511</v>
      </c>
      <c r="S16" s="32" t="s">
        <v>2512</v>
      </c>
      <c r="T16" s="22" t="s">
        <v>2513</v>
      </c>
      <c r="U16" s="22" t="s">
        <v>2514</v>
      </c>
      <c r="V16" s="22" t="s">
        <v>2515</v>
      </c>
      <c r="W16" s="22" t="s">
        <v>2516</v>
      </c>
      <c r="X16" s="22" t="s">
        <v>2517</v>
      </c>
      <c r="Y16" s="32" t="s">
        <v>2518</v>
      </c>
      <c r="Z16" s="22" t="s">
        <v>2519</v>
      </c>
      <c r="AA16" s="22" t="s">
        <v>2520</v>
      </c>
      <c r="AB16" s="22" t="s">
        <v>2521</v>
      </c>
      <c r="AC16" s="22" t="s">
        <v>2522</v>
      </c>
      <c r="AD16" s="22" t="s">
        <v>2523</v>
      </c>
      <c r="AE16" s="22" t="s">
        <v>2524</v>
      </c>
      <c r="AF16" s="22" t="s">
        <v>2525</v>
      </c>
      <c r="AG16" s="32" t="s">
        <v>2526</v>
      </c>
      <c r="AH16" s="22"/>
      <c r="AI16" s="22" t="s">
        <v>2527</v>
      </c>
    </row>
    <row r="17" customFormat="false" ht="124.5" hidden="false" customHeight="true" outlineLevel="0" collapsed="false">
      <c r="A17" s="24" t="s">
        <v>2528</v>
      </c>
      <c r="B17" s="22" t="s">
        <v>181</v>
      </c>
      <c r="C17" s="22" t="s">
        <v>2529</v>
      </c>
      <c r="D17" s="22" t="s">
        <v>2530</v>
      </c>
      <c r="E17" s="31" t="s">
        <v>19</v>
      </c>
      <c r="F17" s="22" t="s">
        <v>2531</v>
      </c>
      <c r="G17" s="22" t="s">
        <v>2532</v>
      </c>
      <c r="H17" s="22" t="s">
        <v>692</v>
      </c>
      <c r="I17" s="22" t="s">
        <v>893</v>
      </c>
      <c r="J17" s="22" t="s">
        <v>838</v>
      </c>
      <c r="K17" s="22" t="s">
        <v>2533</v>
      </c>
      <c r="L17" s="22" t="s">
        <v>2534</v>
      </c>
      <c r="M17" s="22" t="s">
        <v>415</v>
      </c>
      <c r="N17" s="22"/>
      <c r="O17" s="22" t="s">
        <v>2535</v>
      </c>
      <c r="P17" s="32" t="s">
        <v>2536</v>
      </c>
      <c r="Q17" s="22" t="s">
        <v>2537</v>
      </c>
      <c r="R17" s="22" t="s">
        <v>2538</v>
      </c>
      <c r="S17" s="32" t="s">
        <v>2539</v>
      </c>
      <c r="T17" s="22" t="s">
        <v>2540</v>
      </c>
      <c r="U17" s="22" t="s">
        <v>2541</v>
      </c>
      <c r="V17" s="22" t="s">
        <v>2542</v>
      </c>
      <c r="W17" s="22" t="s">
        <v>2543</v>
      </c>
      <c r="X17" s="22" t="s">
        <v>2544</v>
      </c>
      <c r="Y17" s="32" t="s">
        <v>2545</v>
      </c>
      <c r="Z17" s="22" t="s">
        <v>2546</v>
      </c>
      <c r="AA17" s="22" t="s">
        <v>2547</v>
      </c>
      <c r="AB17" s="22" t="s">
        <v>2548</v>
      </c>
      <c r="AC17" s="22" t="s">
        <v>2549</v>
      </c>
      <c r="AD17" s="22" t="s">
        <v>2550</v>
      </c>
      <c r="AE17" s="22" t="s">
        <v>2551</v>
      </c>
      <c r="AF17" s="22" t="s">
        <v>2552</v>
      </c>
      <c r="AG17" s="32" t="s">
        <v>2553</v>
      </c>
      <c r="AH17" s="22" t="s">
        <v>2554</v>
      </c>
      <c r="AI17" s="22" t="s">
        <v>2555</v>
      </c>
    </row>
    <row r="18" customFormat="false" ht="112.5" hidden="false" customHeight="true" outlineLevel="0" collapsed="false">
      <c r="A18" s="24" t="s">
        <v>2556</v>
      </c>
      <c r="B18" s="22" t="s">
        <v>181</v>
      </c>
      <c r="C18" s="22" t="s">
        <v>2557</v>
      </c>
      <c r="D18" s="22" t="s">
        <v>2558</v>
      </c>
      <c r="E18" s="31" t="s">
        <v>19</v>
      </c>
      <c r="F18" s="22" t="s">
        <v>2559</v>
      </c>
      <c r="G18" s="22" t="s">
        <v>2560</v>
      </c>
      <c r="H18" s="22" t="s">
        <v>692</v>
      </c>
      <c r="I18" s="22" t="s">
        <v>2561</v>
      </c>
      <c r="J18" s="22" t="s">
        <v>2562</v>
      </c>
      <c r="K18" s="22" t="s">
        <v>2563</v>
      </c>
      <c r="L18" s="22" t="s">
        <v>2564</v>
      </c>
      <c r="M18" s="22" t="s">
        <v>415</v>
      </c>
      <c r="N18" s="22"/>
      <c r="O18" s="22" t="s">
        <v>2565</v>
      </c>
      <c r="P18" s="32" t="s">
        <v>2566</v>
      </c>
      <c r="Q18" s="22" t="s">
        <v>2567</v>
      </c>
      <c r="R18" s="22" t="s">
        <v>2568</v>
      </c>
      <c r="S18" s="32" t="s">
        <v>2569</v>
      </c>
      <c r="T18" s="22" t="s">
        <v>2570</v>
      </c>
      <c r="U18" s="22" t="s">
        <v>2571</v>
      </c>
      <c r="V18" s="22" t="s">
        <v>2572</v>
      </c>
      <c r="W18" s="22" t="s">
        <v>2573</v>
      </c>
      <c r="X18" s="22" t="s">
        <v>2574</v>
      </c>
      <c r="Y18" s="32" t="s">
        <v>2575</v>
      </c>
      <c r="Z18" s="22" t="s">
        <v>2576</v>
      </c>
      <c r="AA18" s="22" t="s">
        <v>2577</v>
      </c>
      <c r="AB18" s="22" t="s">
        <v>2578</v>
      </c>
      <c r="AC18" s="22" t="s">
        <v>2579</v>
      </c>
      <c r="AD18" s="22" t="s">
        <v>2580</v>
      </c>
      <c r="AE18" s="22" t="s">
        <v>2581</v>
      </c>
      <c r="AF18" s="22" t="s">
        <v>2582</v>
      </c>
      <c r="AG18" s="32" t="s">
        <v>2583</v>
      </c>
      <c r="AH18" s="22" t="s">
        <v>2584</v>
      </c>
      <c r="AI18" s="22" t="s">
        <v>2585</v>
      </c>
    </row>
    <row r="19" customFormat="false" ht="162" hidden="false" customHeight="true" outlineLevel="0" collapsed="false">
      <c r="A19" s="24" t="s">
        <v>2586</v>
      </c>
      <c r="B19" s="22" t="s">
        <v>181</v>
      </c>
      <c r="C19" s="22" t="s">
        <v>2587</v>
      </c>
      <c r="D19" s="22" t="s">
        <v>2588</v>
      </c>
      <c r="E19" s="31" t="s">
        <v>19</v>
      </c>
      <c r="F19" s="22" t="s">
        <v>2589</v>
      </c>
      <c r="G19" s="22" t="s">
        <v>1930</v>
      </c>
      <c r="H19" s="22" t="s">
        <v>1929</v>
      </c>
      <c r="I19" s="22" t="s">
        <v>637</v>
      </c>
      <c r="J19" s="22" t="s">
        <v>2590</v>
      </c>
      <c r="K19" s="22" t="s">
        <v>2591</v>
      </c>
      <c r="L19" s="22" t="s">
        <v>2592</v>
      </c>
      <c r="M19" s="22" t="s">
        <v>415</v>
      </c>
      <c r="N19" s="22"/>
      <c r="O19" s="22" t="s">
        <v>2593</v>
      </c>
      <c r="P19" s="32" t="s">
        <v>1986</v>
      </c>
      <c r="Q19" s="22" t="s">
        <v>2594</v>
      </c>
      <c r="R19" s="22" t="s">
        <v>2595</v>
      </c>
      <c r="S19" s="32" t="s">
        <v>2596</v>
      </c>
      <c r="T19" s="22" t="s">
        <v>1938</v>
      </c>
      <c r="U19" s="22" t="s">
        <v>2597</v>
      </c>
      <c r="V19" s="22" t="s">
        <v>2598</v>
      </c>
      <c r="W19" s="22" t="s">
        <v>2599</v>
      </c>
      <c r="X19" s="22" t="s">
        <v>2600</v>
      </c>
      <c r="Y19" s="32" t="s">
        <v>2601</v>
      </c>
      <c r="Z19" s="22" t="s">
        <v>2602</v>
      </c>
      <c r="AA19" s="22" t="s">
        <v>2603</v>
      </c>
      <c r="AB19" s="22" t="s">
        <v>2604</v>
      </c>
      <c r="AC19" s="22" t="s">
        <v>2605</v>
      </c>
      <c r="AD19" s="22" t="s">
        <v>2606</v>
      </c>
      <c r="AE19" s="22" t="s">
        <v>2607</v>
      </c>
      <c r="AF19" s="22" t="s">
        <v>2608</v>
      </c>
      <c r="AG19" s="32" t="s">
        <v>2609</v>
      </c>
      <c r="AH19" s="22" t="s">
        <v>2610</v>
      </c>
      <c r="AI19" s="22" t="s">
        <v>2611</v>
      </c>
    </row>
    <row r="20" customFormat="false" ht="87" hidden="false" customHeight="true" outlineLevel="0" collapsed="false">
      <c r="A20" s="24" t="s">
        <v>2612</v>
      </c>
      <c r="B20" s="22" t="s">
        <v>181</v>
      </c>
      <c r="C20" s="22" t="s">
        <v>2613</v>
      </c>
      <c r="D20" s="22" t="s">
        <v>2614</v>
      </c>
      <c r="E20" s="33" t="s">
        <v>21</v>
      </c>
      <c r="F20" s="22" t="s">
        <v>2615</v>
      </c>
      <c r="G20" s="22" t="s">
        <v>692</v>
      </c>
      <c r="H20" s="22" t="s">
        <v>892</v>
      </c>
      <c r="I20" s="22" t="s">
        <v>1336</v>
      </c>
      <c r="J20" s="22" t="s">
        <v>838</v>
      </c>
      <c r="K20" s="22" t="s">
        <v>2616</v>
      </c>
      <c r="L20" s="22" t="s">
        <v>2617</v>
      </c>
      <c r="M20" s="22" t="s">
        <v>415</v>
      </c>
      <c r="N20" s="22"/>
      <c r="O20" s="22" t="s">
        <v>2618</v>
      </c>
      <c r="P20" s="32" t="s">
        <v>2619</v>
      </c>
      <c r="Q20" s="22" t="s">
        <v>2620</v>
      </c>
      <c r="R20" s="22" t="s">
        <v>2621</v>
      </c>
      <c r="S20" s="32" t="s">
        <v>2622</v>
      </c>
      <c r="T20" s="22" t="s">
        <v>2623</v>
      </c>
      <c r="U20" s="22" t="s">
        <v>2624</v>
      </c>
      <c r="V20" s="22" t="s">
        <v>2625</v>
      </c>
      <c r="W20" s="22" t="s">
        <v>2626</v>
      </c>
      <c r="X20" s="22" t="s">
        <v>2627</v>
      </c>
      <c r="Y20" s="32" t="s">
        <v>2628</v>
      </c>
      <c r="Z20" s="22" t="s">
        <v>2629</v>
      </c>
      <c r="AA20" s="22" t="s">
        <v>2630</v>
      </c>
      <c r="AB20" s="22" t="s">
        <v>2631</v>
      </c>
      <c r="AC20" s="22" t="s">
        <v>2632</v>
      </c>
      <c r="AD20" s="22" t="s">
        <v>2633</v>
      </c>
      <c r="AE20" s="22" t="s">
        <v>2634</v>
      </c>
      <c r="AF20" s="22" t="s">
        <v>2635</v>
      </c>
      <c r="AG20" s="32" t="s">
        <v>2636</v>
      </c>
      <c r="AH20" s="22"/>
      <c r="AI20" s="22" t="s">
        <v>2637</v>
      </c>
    </row>
    <row r="21" customFormat="false" ht="87" hidden="false" customHeight="true" outlineLevel="0" collapsed="false">
      <c r="A21" s="24" t="s">
        <v>2638</v>
      </c>
      <c r="B21" s="22" t="s">
        <v>181</v>
      </c>
      <c r="C21" s="22" t="s">
        <v>2639</v>
      </c>
      <c r="D21" s="22" t="s">
        <v>2640</v>
      </c>
      <c r="E21" s="34" t="s">
        <v>17</v>
      </c>
      <c r="F21" s="22" t="s">
        <v>2641</v>
      </c>
      <c r="G21" s="22" t="s">
        <v>692</v>
      </c>
      <c r="H21" s="22" t="s">
        <v>2041</v>
      </c>
      <c r="I21" s="22"/>
      <c r="J21" s="22" t="s">
        <v>2642</v>
      </c>
      <c r="K21" s="22" t="s">
        <v>2643</v>
      </c>
      <c r="L21" s="22" t="s">
        <v>2644</v>
      </c>
      <c r="M21" s="22" t="s">
        <v>415</v>
      </c>
      <c r="N21" s="22"/>
      <c r="O21" s="22" t="s">
        <v>2645</v>
      </c>
      <c r="P21" s="32" t="s">
        <v>2646</v>
      </c>
      <c r="Q21" s="22" t="s">
        <v>2647</v>
      </c>
      <c r="R21" s="22" t="s">
        <v>2648</v>
      </c>
      <c r="S21" s="32" t="s">
        <v>2649</v>
      </c>
      <c r="T21" s="22" t="s">
        <v>1774</v>
      </c>
      <c r="U21" s="22" t="s">
        <v>2650</v>
      </c>
      <c r="V21" s="22" t="s">
        <v>2651</v>
      </c>
      <c r="W21" s="22" t="s">
        <v>2652</v>
      </c>
      <c r="X21" s="22" t="s">
        <v>2653</v>
      </c>
      <c r="Y21" s="32" t="s">
        <v>2654</v>
      </c>
      <c r="Z21" s="22" t="s">
        <v>2655</v>
      </c>
      <c r="AA21" s="22" t="s">
        <v>2656</v>
      </c>
      <c r="AB21" s="22" t="s">
        <v>2657</v>
      </c>
      <c r="AC21" s="22" t="s">
        <v>2658</v>
      </c>
      <c r="AD21" s="22" t="s">
        <v>2659</v>
      </c>
      <c r="AE21" s="22" t="s">
        <v>2660</v>
      </c>
      <c r="AF21" s="22" t="s">
        <v>2661</v>
      </c>
      <c r="AG21" s="32" t="s">
        <v>2662</v>
      </c>
      <c r="AH21" s="22"/>
      <c r="AI21" s="22" t="s">
        <v>2663</v>
      </c>
    </row>
    <row r="22" customFormat="false" ht="112.5" hidden="false" customHeight="true" outlineLevel="0" collapsed="false">
      <c r="A22" s="24" t="s">
        <v>2664</v>
      </c>
      <c r="B22" s="22" t="s">
        <v>181</v>
      </c>
      <c r="C22" s="22" t="s">
        <v>2665</v>
      </c>
      <c r="D22" s="22" t="s">
        <v>2666</v>
      </c>
      <c r="E22" s="34" t="s">
        <v>17</v>
      </c>
      <c r="F22" s="22" t="s">
        <v>2667</v>
      </c>
      <c r="G22" s="22" t="s">
        <v>523</v>
      </c>
      <c r="H22" s="22" t="s">
        <v>692</v>
      </c>
      <c r="I22" s="22" t="s">
        <v>2668</v>
      </c>
      <c r="J22" s="22" t="s">
        <v>2669</v>
      </c>
      <c r="K22" s="22" t="s">
        <v>2670</v>
      </c>
      <c r="L22" s="22" t="s">
        <v>2380</v>
      </c>
      <c r="M22" s="22" t="s">
        <v>415</v>
      </c>
      <c r="N22" s="22"/>
      <c r="O22" s="22" t="s">
        <v>2671</v>
      </c>
      <c r="P22" s="32" t="s">
        <v>2672</v>
      </c>
      <c r="Q22" s="22" t="s">
        <v>2673</v>
      </c>
      <c r="R22" s="22" t="s">
        <v>2674</v>
      </c>
      <c r="S22" s="32" t="s">
        <v>2675</v>
      </c>
      <c r="T22" s="22" t="s">
        <v>2676</v>
      </c>
      <c r="U22" s="22" t="s">
        <v>2677</v>
      </c>
      <c r="V22" s="22" t="s">
        <v>2678</v>
      </c>
      <c r="W22" s="22" t="s">
        <v>2679</v>
      </c>
      <c r="X22" s="22" t="s">
        <v>2680</v>
      </c>
      <c r="Y22" s="32" t="s">
        <v>2681</v>
      </c>
      <c r="Z22" s="22" t="s">
        <v>2682</v>
      </c>
      <c r="AA22" s="22" t="s">
        <v>2683</v>
      </c>
      <c r="AB22" s="22" t="s">
        <v>2684</v>
      </c>
      <c r="AC22" s="22" t="s">
        <v>2685</v>
      </c>
      <c r="AD22" s="22" t="s">
        <v>2686</v>
      </c>
      <c r="AE22" s="22" t="s">
        <v>2687</v>
      </c>
      <c r="AF22" s="22" t="s">
        <v>2688</v>
      </c>
      <c r="AG22" s="32" t="s">
        <v>2689</v>
      </c>
      <c r="AH22" s="22"/>
      <c r="AI22" s="22" t="s">
        <v>2690</v>
      </c>
    </row>
  </sheetData>
  <autoFilter ref="A5:AI22"/>
  <mergeCells count="2">
    <mergeCell ref="A1:AH1"/>
    <mergeCell ref="A2:AI2"/>
  </mergeCells>
  <dataValidations count="1">
    <dataValidation allowBlank="true" errorStyle="stop" operator="between" showDropDown="false" showErrorMessage="false" showInputMessage="false" sqref="E6:E1022" type="list">
      <formula1>"Verified – official source,Verified – secondary source only,Partially verified,Unverified – needs CA review,Ambiguous / conflicting – needs CA review"</formula1>
      <formula2>0</formula2>
    </dataValidation>
  </dataValidations>
  <hyperlinks>
    <hyperlink ref="AI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E8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14"/>
    <col collapsed="false" customWidth="true" hidden="false" outlineLevel="0" max="4" min="4" style="0" width="34"/>
    <col collapsed="false" customWidth="true" hidden="false" outlineLevel="0" max="5" min="5" style="0" width="90"/>
  </cols>
  <sheetData>
    <row r="1" customFormat="false" ht="30" hidden="false" customHeight="true" outlineLevel="0" collapsed="false">
      <c r="A1" s="18" t="s">
        <v>2691</v>
      </c>
      <c r="B1" s="18"/>
      <c r="C1" s="18"/>
      <c r="D1" s="18"/>
      <c r="E1" s="19" t="s">
        <v>29</v>
      </c>
    </row>
    <row r="2" customFormat="false" ht="31.5" hidden="false" customHeight="true" outlineLevel="0" collapsed="false">
      <c r="A2" s="20" t="s">
        <v>2692</v>
      </c>
      <c r="B2" s="20"/>
      <c r="C2" s="20"/>
      <c r="D2" s="20"/>
      <c r="E2" s="20"/>
    </row>
    <row r="4" customFormat="false" ht="33.75" hidden="false" customHeight="true" outlineLevel="0" collapsed="false">
      <c r="A4" s="21" t="s">
        <v>116</v>
      </c>
      <c r="B4" s="21" t="s">
        <v>117</v>
      </c>
      <c r="C4" s="21" t="s">
        <v>118</v>
      </c>
      <c r="D4" s="21" t="s">
        <v>34</v>
      </c>
      <c r="E4" s="21" t="s">
        <v>2693</v>
      </c>
    </row>
    <row r="5" customFormat="false" ht="15" hidden="false" customHeight="true" outlineLevel="0" collapsed="false">
      <c r="A5" s="22" t="s">
        <v>1765</v>
      </c>
      <c r="B5" s="22" t="s">
        <v>1680</v>
      </c>
      <c r="C5" s="22" t="s">
        <v>1650</v>
      </c>
      <c r="D5" s="22" t="s">
        <v>1761</v>
      </c>
      <c r="E5" s="22" t="s">
        <v>2694</v>
      </c>
    </row>
    <row r="6" customFormat="false" ht="24.75" hidden="false" customHeight="true" outlineLevel="0" collapsed="false">
      <c r="A6" s="22" t="s">
        <v>1651</v>
      </c>
      <c r="B6" s="22" t="s">
        <v>692</v>
      </c>
      <c r="C6" s="22" t="s">
        <v>1680</v>
      </c>
      <c r="D6" s="22" t="s">
        <v>1705</v>
      </c>
      <c r="E6" s="22" t="s">
        <v>2695</v>
      </c>
    </row>
    <row r="7" customFormat="false" ht="15" hidden="false" customHeight="true" outlineLevel="0" collapsed="false">
      <c r="A7" s="22" t="s">
        <v>2041</v>
      </c>
      <c r="B7" s="22" t="s">
        <v>1651</v>
      </c>
      <c r="C7" s="22" t="s">
        <v>692</v>
      </c>
      <c r="D7" s="22" t="s">
        <v>2347</v>
      </c>
      <c r="E7" s="22" t="s">
        <v>2696</v>
      </c>
    </row>
    <row r="8" customFormat="false" ht="24.75" hidden="false" customHeight="true" outlineLevel="0" collapsed="false">
      <c r="A8" s="22" t="s">
        <v>2041</v>
      </c>
      <c r="B8" s="22" t="s">
        <v>637</v>
      </c>
      <c r="C8" s="22"/>
      <c r="D8" s="22" t="s">
        <v>2237</v>
      </c>
      <c r="E8" s="22" t="s">
        <v>2697</v>
      </c>
    </row>
    <row r="9" customFormat="false" ht="15" hidden="false" customHeight="true" outlineLevel="0" collapsed="false">
      <c r="A9" s="22" t="s">
        <v>2041</v>
      </c>
      <c r="B9" s="22" t="s">
        <v>1650</v>
      </c>
      <c r="C9" s="22" t="s">
        <v>692</v>
      </c>
      <c r="D9" s="22" t="s">
        <v>2320</v>
      </c>
      <c r="E9" s="22" t="s">
        <v>2698</v>
      </c>
    </row>
    <row r="10" customFormat="false" ht="15" hidden="false" customHeight="true" outlineLevel="0" collapsed="false">
      <c r="A10" s="22" t="s">
        <v>2041</v>
      </c>
      <c r="B10" s="22" t="s">
        <v>692</v>
      </c>
      <c r="C10" s="22" t="s">
        <v>1650</v>
      </c>
      <c r="D10" s="22" t="s">
        <v>2292</v>
      </c>
      <c r="E10" s="22" t="s">
        <v>2699</v>
      </c>
    </row>
    <row r="11" customFormat="false" ht="15" hidden="false" customHeight="true" outlineLevel="0" collapsed="false">
      <c r="A11" s="22" t="s">
        <v>2041</v>
      </c>
      <c r="B11" s="22" t="s">
        <v>692</v>
      </c>
      <c r="C11" s="22" t="s">
        <v>524</v>
      </c>
      <c r="D11" s="22" t="s">
        <v>2265</v>
      </c>
      <c r="E11" s="22" t="s">
        <v>2700</v>
      </c>
    </row>
    <row r="12" customFormat="false" ht="15" hidden="false" customHeight="true" outlineLevel="0" collapsed="false">
      <c r="A12" s="22" t="s">
        <v>1274</v>
      </c>
      <c r="B12" s="22" t="s">
        <v>185</v>
      </c>
      <c r="C12" s="22" t="s">
        <v>1275</v>
      </c>
      <c r="D12" s="22" t="s">
        <v>1270</v>
      </c>
      <c r="E12" s="22" t="s">
        <v>2701</v>
      </c>
    </row>
    <row r="13" customFormat="false" ht="15" hidden="false" customHeight="true" outlineLevel="0" collapsed="false">
      <c r="A13" s="22" t="s">
        <v>1929</v>
      </c>
      <c r="B13" s="22" t="s">
        <v>1930</v>
      </c>
      <c r="C13" s="22" t="s">
        <v>637</v>
      </c>
      <c r="D13" s="22" t="s">
        <v>1977</v>
      </c>
      <c r="E13" s="22" t="s">
        <v>2702</v>
      </c>
    </row>
    <row r="14" customFormat="false" ht="15" hidden="false" customHeight="true" outlineLevel="0" collapsed="false">
      <c r="A14" s="22" t="s">
        <v>2478</v>
      </c>
      <c r="B14" s="22" t="s">
        <v>893</v>
      </c>
      <c r="C14" s="22" t="s">
        <v>1929</v>
      </c>
      <c r="D14" s="22" t="s">
        <v>2474</v>
      </c>
      <c r="E14" s="22" t="s">
        <v>2703</v>
      </c>
    </row>
    <row r="15" customFormat="false" ht="15" hidden="false" customHeight="true" outlineLevel="0" collapsed="false">
      <c r="A15" s="22" t="s">
        <v>2011</v>
      </c>
      <c r="B15" s="22" t="s">
        <v>2040</v>
      </c>
      <c r="C15" s="22" t="s">
        <v>2041</v>
      </c>
      <c r="D15" s="22" t="s">
        <v>2036</v>
      </c>
      <c r="E15" s="22" t="s">
        <v>2704</v>
      </c>
    </row>
    <row r="16" customFormat="false" ht="15" hidden="false" customHeight="true" outlineLevel="0" collapsed="false">
      <c r="A16" s="22" t="s">
        <v>385</v>
      </c>
      <c r="B16" s="22" t="s">
        <v>186</v>
      </c>
      <c r="C16" s="22" t="s">
        <v>185</v>
      </c>
      <c r="D16" s="22" t="s">
        <v>381</v>
      </c>
      <c r="E16" s="22" t="s">
        <v>2705</v>
      </c>
    </row>
    <row r="17" customFormat="false" ht="15" hidden="false" customHeight="true" outlineLevel="0" collapsed="false">
      <c r="A17" s="22" t="s">
        <v>1534</v>
      </c>
      <c r="B17" s="22" t="s">
        <v>1307</v>
      </c>
      <c r="C17" s="22"/>
      <c r="D17" s="22" t="s">
        <v>1530</v>
      </c>
      <c r="E17" s="22" t="s">
        <v>2706</v>
      </c>
    </row>
    <row r="18" customFormat="false" ht="15" hidden="false" customHeight="true" outlineLevel="0" collapsed="false">
      <c r="A18" s="22" t="s">
        <v>1650</v>
      </c>
      <c r="B18" s="22" t="s">
        <v>692</v>
      </c>
      <c r="C18" s="22" t="s">
        <v>1651</v>
      </c>
      <c r="D18" s="22" t="s">
        <v>1646</v>
      </c>
      <c r="E18" s="22" t="s">
        <v>2707</v>
      </c>
    </row>
    <row r="19" customFormat="false" ht="15" hidden="false" customHeight="true" outlineLevel="0" collapsed="false">
      <c r="A19" s="22" t="s">
        <v>1650</v>
      </c>
      <c r="B19" s="22" t="s">
        <v>692</v>
      </c>
      <c r="C19" s="22" t="s">
        <v>1680</v>
      </c>
      <c r="D19" s="22" t="s">
        <v>1790</v>
      </c>
      <c r="E19" s="22" t="s">
        <v>2708</v>
      </c>
    </row>
    <row r="20" customFormat="false" ht="24.75" hidden="false" customHeight="true" outlineLevel="0" collapsed="false">
      <c r="A20" s="22" t="s">
        <v>1650</v>
      </c>
      <c r="B20" s="22" t="s">
        <v>1306</v>
      </c>
      <c r="C20" s="22" t="s">
        <v>1680</v>
      </c>
      <c r="D20" s="22" t="s">
        <v>1676</v>
      </c>
      <c r="E20" s="22" t="s">
        <v>2709</v>
      </c>
    </row>
    <row r="21" customFormat="false" ht="24.75" hidden="false" customHeight="true" outlineLevel="0" collapsed="false">
      <c r="A21" s="22" t="s">
        <v>1848</v>
      </c>
      <c r="B21" s="22" t="s">
        <v>1929</v>
      </c>
      <c r="C21" s="22" t="s">
        <v>1930</v>
      </c>
      <c r="D21" s="22" t="s">
        <v>1925</v>
      </c>
      <c r="E21" s="22" t="s">
        <v>2710</v>
      </c>
    </row>
    <row r="22" customFormat="false" ht="15" hidden="false" customHeight="true" outlineLevel="0" collapsed="false">
      <c r="A22" s="22" t="s">
        <v>1848</v>
      </c>
      <c r="B22" s="22" t="s">
        <v>692</v>
      </c>
      <c r="C22" s="22" t="s">
        <v>523</v>
      </c>
      <c r="D22" s="22" t="s">
        <v>1898</v>
      </c>
      <c r="E22" s="22" t="s">
        <v>2711</v>
      </c>
    </row>
    <row r="23" customFormat="false" ht="15" hidden="false" customHeight="true" outlineLevel="0" collapsed="false">
      <c r="A23" s="22" t="s">
        <v>1848</v>
      </c>
      <c r="B23" s="22" t="s">
        <v>692</v>
      </c>
      <c r="C23" s="22" t="s">
        <v>1306</v>
      </c>
      <c r="D23" s="22" t="s">
        <v>1952</v>
      </c>
      <c r="E23" s="22" t="s">
        <v>2712</v>
      </c>
    </row>
    <row r="24" customFormat="false" ht="15" hidden="false" customHeight="true" outlineLevel="0" collapsed="false">
      <c r="A24" s="22" t="s">
        <v>1848</v>
      </c>
      <c r="B24" s="22" t="s">
        <v>893</v>
      </c>
      <c r="C24" s="22" t="s">
        <v>692</v>
      </c>
      <c r="D24" s="22" t="s">
        <v>1844</v>
      </c>
      <c r="E24" s="22" t="s">
        <v>2713</v>
      </c>
    </row>
    <row r="25" customFormat="false" ht="15" hidden="false" customHeight="true" outlineLevel="0" collapsed="false">
      <c r="A25" s="22" t="s">
        <v>1848</v>
      </c>
      <c r="B25" s="22" t="s">
        <v>1307</v>
      </c>
      <c r="C25" s="22" t="s">
        <v>1306</v>
      </c>
      <c r="D25" s="22" t="s">
        <v>1872</v>
      </c>
      <c r="E25" s="22" t="s">
        <v>2714</v>
      </c>
    </row>
    <row r="26" customFormat="false" ht="15" hidden="false" customHeight="true" outlineLevel="0" collapsed="false">
      <c r="A26" s="22" t="s">
        <v>2532</v>
      </c>
      <c r="B26" s="22" t="s">
        <v>692</v>
      </c>
      <c r="C26" s="22" t="s">
        <v>893</v>
      </c>
      <c r="D26" s="22" t="s">
        <v>2528</v>
      </c>
      <c r="E26" s="22" t="s">
        <v>2715</v>
      </c>
    </row>
    <row r="27" customFormat="false" ht="15" hidden="false" customHeight="true" outlineLevel="0" collapsed="false">
      <c r="A27" s="22" t="s">
        <v>892</v>
      </c>
      <c r="B27" s="22" t="s">
        <v>808</v>
      </c>
      <c r="C27" s="22" t="s">
        <v>893</v>
      </c>
      <c r="D27" s="22" t="s">
        <v>888</v>
      </c>
      <c r="E27" s="22" t="s">
        <v>2716</v>
      </c>
    </row>
    <row r="28" customFormat="false" ht="15" hidden="false" customHeight="true" outlineLevel="0" collapsed="false">
      <c r="A28" s="22" t="s">
        <v>692</v>
      </c>
      <c r="B28" s="22" t="s">
        <v>2041</v>
      </c>
      <c r="C28" s="22"/>
      <c r="D28" s="22" t="s">
        <v>2638</v>
      </c>
      <c r="E28" s="22" t="s">
        <v>2717</v>
      </c>
    </row>
    <row r="29" customFormat="false" ht="24.75" hidden="false" customHeight="true" outlineLevel="0" collapsed="false">
      <c r="A29" s="22" t="s">
        <v>692</v>
      </c>
      <c r="B29" s="22" t="s">
        <v>892</v>
      </c>
      <c r="C29" s="22" t="s">
        <v>1336</v>
      </c>
      <c r="D29" s="22" t="s">
        <v>2612</v>
      </c>
      <c r="E29" s="22" t="s">
        <v>2718</v>
      </c>
    </row>
    <row r="30" customFormat="false" ht="15" hidden="false" customHeight="true" outlineLevel="0" collapsed="false">
      <c r="A30" s="22" t="s">
        <v>692</v>
      </c>
      <c r="B30" s="22" t="s">
        <v>186</v>
      </c>
      <c r="C30" s="22"/>
      <c r="D30" s="22" t="s">
        <v>1244</v>
      </c>
      <c r="E30" s="22" t="s">
        <v>2719</v>
      </c>
    </row>
    <row r="31" customFormat="false" ht="15" hidden="false" customHeight="true" outlineLevel="0" collapsed="false">
      <c r="A31" s="22" t="s">
        <v>692</v>
      </c>
      <c r="B31" s="22" t="s">
        <v>270</v>
      </c>
      <c r="C31" s="22" t="s">
        <v>523</v>
      </c>
      <c r="D31" s="22" t="s">
        <v>688</v>
      </c>
      <c r="E31" s="22" t="s">
        <v>2720</v>
      </c>
    </row>
    <row r="32" customFormat="false" ht="15" hidden="false" customHeight="true" outlineLevel="0" collapsed="false">
      <c r="A32" s="22" t="s">
        <v>692</v>
      </c>
      <c r="B32" s="22" t="s">
        <v>1563</v>
      </c>
      <c r="C32" s="22" t="s">
        <v>637</v>
      </c>
      <c r="D32" s="22" t="s">
        <v>2125</v>
      </c>
      <c r="E32" s="22" t="s">
        <v>2721</v>
      </c>
    </row>
    <row r="33" customFormat="false" ht="15" hidden="false" customHeight="true" outlineLevel="0" collapsed="false">
      <c r="A33" s="22" t="s">
        <v>692</v>
      </c>
      <c r="B33" s="22" t="s">
        <v>1306</v>
      </c>
      <c r="C33" s="22" t="s">
        <v>1336</v>
      </c>
      <c r="D33" s="22" t="s">
        <v>1332</v>
      </c>
      <c r="E33" s="22" t="s">
        <v>2722</v>
      </c>
    </row>
    <row r="34" customFormat="false" ht="24.75" hidden="false" customHeight="true" outlineLevel="0" collapsed="false">
      <c r="A34" s="22" t="s">
        <v>186</v>
      </c>
      <c r="B34" s="22" t="s">
        <v>270</v>
      </c>
      <c r="C34" s="22" t="s">
        <v>187</v>
      </c>
      <c r="D34" s="22" t="s">
        <v>352</v>
      </c>
      <c r="E34" s="22" t="s">
        <v>2723</v>
      </c>
    </row>
    <row r="35" customFormat="false" ht="24.75" hidden="false" customHeight="true" outlineLevel="0" collapsed="false">
      <c r="A35" s="22" t="s">
        <v>186</v>
      </c>
      <c r="B35" s="22" t="s">
        <v>525</v>
      </c>
      <c r="C35" s="22" t="s">
        <v>523</v>
      </c>
      <c r="D35" s="22" t="s">
        <v>997</v>
      </c>
      <c r="E35" s="22" t="s">
        <v>2724</v>
      </c>
    </row>
    <row r="36" customFormat="false" ht="24.75" hidden="false" customHeight="true" outlineLevel="0" collapsed="false">
      <c r="A36" s="22" t="s">
        <v>186</v>
      </c>
      <c r="B36" s="22" t="s">
        <v>185</v>
      </c>
      <c r="C36" s="22"/>
      <c r="D36" s="22" t="s">
        <v>2725</v>
      </c>
      <c r="E36" s="22" t="s">
        <v>2726</v>
      </c>
    </row>
    <row r="37" customFormat="false" ht="15" hidden="false" customHeight="true" outlineLevel="0" collapsed="false">
      <c r="A37" s="22" t="s">
        <v>610</v>
      </c>
      <c r="B37" s="22" t="s">
        <v>524</v>
      </c>
      <c r="C37" s="22" t="s">
        <v>523</v>
      </c>
      <c r="D37" s="22" t="s">
        <v>607</v>
      </c>
      <c r="E37" s="22" t="s">
        <v>2727</v>
      </c>
    </row>
    <row r="38" customFormat="false" ht="15" hidden="false" customHeight="true" outlineLevel="0" collapsed="false">
      <c r="A38" s="22" t="s">
        <v>524</v>
      </c>
      <c r="B38" s="22" t="s">
        <v>270</v>
      </c>
      <c r="C38" s="22" t="s">
        <v>555</v>
      </c>
      <c r="D38" s="22" t="s">
        <v>551</v>
      </c>
      <c r="E38" s="22" t="s">
        <v>2728</v>
      </c>
    </row>
    <row r="39" customFormat="false" ht="15" hidden="false" customHeight="true" outlineLevel="0" collapsed="false">
      <c r="A39" s="22" t="s">
        <v>524</v>
      </c>
      <c r="B39" s="22" t="s">
        <v>523</v>
      </c>
      <c r="C39" s="22" t="s">
        <v>270</v>
      </c>
      <c r="D39" s="22" t="s">
        <v>1189</v>
      </c>
      <c r="E39" s="22" t="s">
        <v>2729</v>
      </c>
    </row>
    <row r="40" customFormat="false" ht="24.75" hidden="false" customHeight="true" outlineLevel="0" collapsed="false">
      <c r="A40" s="22" t="s">
        <v>270</v>
      </c>
      <c r="B40" s="22" t="s">
        <v>749</v>
      </c>
      <c r="C40" s="22" t="s">
        <v>750</v>
      </c>
      <c r="D40" s="22" t="s">
        <v>745</v>
      </c>
      <c r="E40" s="22" t="s">
        <v>2730</v>
      </c>
    </row>
    <row r="41" customFormat="false" ht="15" hidden="false" customHeight="true" outlineLevel="0" collapsed="false">
      <c r="A41" s="22" t="s">
        <v>270</v>
      </c>
      <c r="B41" s="22" t="s">
        <v>749</v>
      </c>
      <c r="C41" s="22" t="s">
        <v>808</v>
      </c>
      <c r="D41" s="22" t="s">
        <v>804</v>
      </c>
      <c r="E41" s="22" t="s">
        <v>2731</v>
      </c>
    </row>
    <row r="42" customFormat="false" ht="15" hidden="false" customHeight="true" outlineLevel="0" collapsed="false">
      <c r="A42" s="22" t="s">
        <v>270</v>
      </c>
      <c r="B42" s="22" t="s">
        <v>555</v>
      </c>
      <c r="C42" s="22" t="s">
        <v>523</v>
      </c>
      <c r="D42" s="22" t="s">
        <v>662</v>
      </c>
      <c r="E42" s="22" t="s">
        <v>2732</v>
      </c>
    </row>
    <row r="43" customFormat="false" ht="24.75" hidden="false" customHeight="true" outlineLevel="0" collapsed="false">
      <c r="A43" s="22" t="s">
        <v>270</v>
      </c>
      <c r="B43" s="22" t="s">
        <v>778</v>
      </c>
      <c r="C43" s="22" t="s">
        <v>779</v>
      </c>
      <c r="D43" s="22" t="s">
        <v>774</v>
      </c>
      <c r="E43" s="22" t="s">
        <v>2733</v>
      </c>
    </row>
    <row r="44" customFormat="false" ht="24.75" hidden="false" customHeight="true" outlineLevel="0" collapsed="false">
      <c r="A44" s="22" t="s">
        <v>270</v>
      </c>
      <c r="B44" s="22" t="s">
        <v>186</v>
      </c>
      <c r="C44" s="22" t="s">
        <v>808</v>
      </c>
      <c r="D44" s="22" t="s">
        <v>1049</v>
      </c>
      <c r="E44" s="22" t="s">
        <v>2734</v>
      </c>
    </row>
    <row r="45" customFormat="false" ht="15" hidden="false" customHeight="true" outlineLevel="0" collapsed="false">
      <c r="A45" s="22" t="s">
        <v>270</v>
      </c>
      <c r="B45" s="22" t="s">
        <v>720</v>
      </c>
      <c r="C45" s="22"/>
      <c r="D45" s="22" t="s">
        <v>717</v>
      </c>
      <c r="E45" s="22" t="s">
        <v>2735</v>
      </c>
    </row>
    <row r="46" customFormat="false" ht="15" hidden="false" customHeight="true" outlineLevel="0" collapsed="false">
      <c r="A46" s="22" t="s">
        <v>1138</v>
      </c>
      <c r="B46" s="22" t="s">
        <v>692</v>
      </c>
      <c r="C46" s="22" t="s">
        <v>749</v>
      </c>
      <c r="D46" s="22" t="s">
        <v>1134</v>
      </c>
      <c r="E46" s="22" t="s">
        <v>2736</v>
      </c>
    </row>
    <row r="47" customFormat="false" ht="15" hidden="false" customHeight="true" outlineLevel="0" collapsed="false">
      <c r="A47" s="22" t="s">
        <v>1165</v>
      </c>
      <c r="B47" s="22" t="s">
        <v>185</v>
      </c>
      <c r="C47" s="22" t="s">
        <v>749</v>
      </c>
      <c r="D47" s="22" t="s">
        <v>1162</v>
      </c>
      <c r="E47" s="22" t="s">
        <v>2737</v>
      </c>
    </row>
    <row r="48" customFormat="false" ht="15" hidden="false" customHeight="true" outlineLevel="0" collapsed="false">
      <c r="A48" s="22" t="s">
        <v>808</v>
      </c>
      <c r="B48" s="22" t="s">
        <v>186</v>
      </c>
      <c r="C48" s="22" t="s">
        <v>270</v>
      </c>
      <c r="D48" s="22" t="s">
        <v>834</v>
      </c>
      <c r="E48" s="22" t="s">
        <v>2738</v>
      </c>
    </row>
    <row r="49" customFormat="false" ht="15" hidden="false" customHeight="true" outlineLevel="0" collapsed="false">
      <c r="A49" s="22" t="s">
        <v>808</v>
      </c>
      <c r="B49" s="22" t="s">
        <v>524</v>
      </c>
      <c r="C49" s="22" t="s">
        <v>270</v>
      </c>
      <c r="D49" s="22" t="s">
        <v>862</v>
      </c>
      <c r="E49" s="22" t="s">
        <v>2739</v>
      </c>
    </row>
    <row r="50" customFormat="false" ht="15" hidden="false" customHeight="true" outlineLevel="0" collapsed="false">
      <c r="A50" s="22" t="s">
        <v>525</v>
      </c>
      <c r="B50" s="22" t="s">
        <v>523</v>
      </c>
      <c r="C50" s="22" t="s">
        <v>524</v>
      </c>
      <c r="D50" s="22" t="s">
        <v>581</v>
      </c>
      <c r="E50" s="22" t="s">
        <v>2740</v>
      </c>
    </row>
    <row r="51" customFormat="false" ht="24.75" hidden="false" customHeight="true" outlineLevel="0" collapsed="false">
      <c r="A51" s="22" t="s">
        <v>1930</v>
      </c>
      <c r="B51" s="22" t="s">
        <v>1929</v>
      </c>
      <c r="C51" s="22" t="s">
        <v>637</v>
      </c>
      <c r="D51" s="22" t="s">
        <v>2586</v>
      </c>
      <c r="E51" s="22" t="s">
        <v>2741</v>
      </c>
    </row>
    <row r="52" customFormat="false" ht="15" hidden="false" customHeight="true" outlineLevel="0" collapsed="false">
      <c r="A52" s="22" t="s">
        <v>1336</v>
      </c>
      <c r="B52" s="22" t="s">
        <v>692</v>
      </c>
      <c r="C52" s="22"/>
      <c r="D52" s="22" t="s">
        <v>2501</v>
      </c>
      <c r="E52" s="22" t="s">
        <v>2742</v>
      </c>
    </row>
    <row r="53" customFormat="false" ht="37.5" hidden="false" customHeight="true" outlineLevel="0" collapsed="false">
      <c r="A53" s="22" t="s">
        <v>1563</v>
      </c>
      <c r="B53" s="22" t="s">
        <v>2011</v>
      </c>
      <c r="C53" s="22"/>
      <c r="D53" s="22" t="s">
        <v>2743</v>
      </c>
      <c r="E53" s="22" t="s">
        <v>2744</v>
      </c>
    </row>
    <row r="54" customFormat="false" ht="15" hidden="false" customHeight="true" outlineLevel="0" collapsed="false">
      <c r="A54" s="22" t="s">
        <v>1563</v>
      </c>
      <c r="B54" s="22" t="s">
        <v>2040</v>
      </c>
      <c r="C54" s="22" t="s">
        <v>2070</v>
      </c>
      <c r="D54" s="22" t="s">
        <v>2153</v>
      </c>
      <c r="E54" s="22" t="s">
        <v>2745</v>
      </c>
    </row>
    <row r="55" customFormat="false" ht="15" hidden="false" customHeight="true" outlineLevel="0" collapsed="false">
      <c r="A55" s="22" t="s">
        <v>1563</v>
      </c>
      <c r="B55" s="22" t="s">
        <v>2069</v>
      </c>
      <c r="C55" s="22" t="s">
        <v>2070</v>
      </c>
      <c r="D55" s="22" t="s">
        <v>2065</v>
      </c>
      <c r="E55" s="22" t="s">
        <v>2746</v>
      </c>
    </row>
    <row r="56" customFormat="false" ht="15" hidden="false" customHeight="true" outlineLevel="0" collapsed="false">
      <c r="A56" s="22" t="s">
        <v>1563</v>
      </c>
      <c r="B56" s="22" t="s">
        <v>2099</v>
      </c>
      <c r="C56" s="22" t="s">
        <v>2100</v>
      </c>
      <c r="D56" s="22" t="s">
        <v>2095</v>
      </c>
      <c r="E56" s="22" t="s">
        <v>2747</v>
      </c>
    </row>
    <row r="57" customFormat="false" ht="15" hidden="false" customHeight="true" outlineLevel="0" collapsed="false">
      <c r="A57" s="22" t="s">
        <v>1563</v>
      </c>
      <c r="B57" s="22" t="s">
        <v>1564</v>
      </c>
      <c r="C57" s="22" t="s">
        <v>1306</v>
      </c>
      <c r="D57" s="22" t="s">
        <v>1559</v>
      </c>
      <c r="E57" s="22" t="s">
        <v>2748</v>
      </c>
    </row>
    <row r="58" customFormat="false" ht="15" hidden="false" customHeight="true" outlineLevel="0" collapsed="false">
      <c r="A58" s="22" t="s">
        <v>523</v>
      </c>
      <c r="B58" s="22" t="s">
        <v>637</v>
      </c>
      <c r="C58" s="22" t="s">
        <v>270</v>
      </c>
      <c r="D58" s="22" t="s">
        <v>633</v>
      </c>
      <c r="E58" s="22" t="s">
        <v>2749</v>
      </c>
    </row>
    <row r="59" customFormat="false" ht="15" hidden="false" customHeight="true" outlineLevel="0" collapsed="false">
      <c r="A59" s="22" t="s">
        <v>523</v>
      </c>
      <c r="B59" s="22" t="s">
        <v>692</v>
      </c>
      <c r="C59" s="22" t="s">
        <v>2668</v>
      </c>
      <c r="D59" s="22" t="s">
        <v>2664</v>
      </c>
      <c r="E59" s="22" t="s">
        <v>2750</v>
      </c>
    </row>
    <row r="60" customFormat="false" ht="15" hidden="false" customHeight="true" outlineLevel="0" collapsed="false">
      <c r="A60" s="22" t="s">
        <v>523</v>
      </c>
      <c r="B60" s="22" t="s">
        <v>524</v>
      </c>
      <c r="C60" s="22" t="s">
        <v>270</v>
      </c>
      <c r="D60" s="22" t="s">
        <v>1215</v>
      </c>
      <c r="E60" s="22" t="s">
        <v>2751</v>
      </c>
    </row>
    <row r="61" customFormat="false" ht="15" hidden="false" customHeight="true" outlineLevel="0" collapsed="false">
      <c r="A61" s="22" t="s">
        <v>523</v>
      </c>
      <c r="B61" s="22" t="s">
        <v>524</v>
      </c>
      <c r="C61" s="22" t="s">
        <v>525</v>
      </c>
      <c r="D61" s="22" t="s">
        <v>519</v>
      </c>
      <c r="E61" s="22" t="s">
        <v>2752</v>
      </c>
    </row>
    <row r="62" customFormat="false" ht="24.75" hidden="false" customHeight="true" outlineLevel="0" collapsed="false">
      <c r="A62" s="22" t="s">
        <v>523</v>
      </c>
      <c r="B62" s="22" t="s">
        <v>270</v>
      </c>
      <c r="C62" s="22" t="s">
        <v>524</v>
      </c>
      <c r="D62" s="22" t="s">
        <v>1023</v>
      </c>
      <c r="E62" s="22" t="s">
        <v>2753</v>
      </c>
    </row>
    <row r="63" customFormat="false" ht="15" hidden="false" customHeight="true" outlineLevel="0" collapsed="false">
      <c r="A63" s="22" t="s">
        <v>185</v>
      </c>
      <c r="B63" s="22" t="s">
        <v>385</v>
      </c>
      <c r="C63" s="22"/>
      <c r="D63" s="22" t="s">
        <v>410</v>
      </c>
      <c r="E63" s="22" t="s">
        <v>2754</v>
      </c>
    </row>
    <row r="64" customFormat="false" ht="15" hidden="false" customHeight="true" outlineLevel="0" collapsed="false">
      <c r="A64" s="22" t="s">
        <v>185</v>
      </c>
      <c r="B64" s="22" t="s">
        <v>439</v>
      </c>
      <c r="C64" s="22" t="s">
        <v>385</v>
      </c>
      <c r="D64" s="22" t="s">
        <v>435</v>
      </c>
      <c r="E64" s="22" t="s">
        <v>2755</v>
      </c>
    </row>
    <row r="65" customFormat="false" ht="37.5" hidden="false" customHeight="true" outlineLevel="0" collapsed="false">
      <c r="A65" s="22" t="s">
        <v>185</v>
      </c>
      <c r="B65" s="22" t="s">
        <v>186</v>
      </c>
      <c r="C65" s="22"/>
      <c r="D65" s="22" t="s">
        <v>2756</v>
      </c>
      <c r="E65" s="22" t="s">
        <v>2757</v>
      </c>
    </row>
    <row r="66" customFormat="false" ht="24.75" hidden="false" customHeight="true" outlineLevel="0" collapsed="false">
      <c r="A66" s="22" t="s">
        <v>185</v>
      </c>
      <c r="B66" s="22" t="s">
        <v>186</v>
      </c>
      <c r="C66" s="22" t="s">
        <v>187</v>
      </c>
      <c r="D66" s="22" t="s">
        <v>2758</v>
      </c>
      <c r="E66" s="22" t="s">
        <v>2759</v>
      </c>
    </row>
    <row r="67" customFormat="false" ht="49.5" hidden="false" customHeight="true" outlineLevel="0" collapsed="false">
      <c r="A67" s="22" t="s">
        <v>185</v>
      </c>
      <c r="B67" s="22" t="s">
        <v>186</v>
      </c>
      <c r="C67" s="22" t="s">
        <v>270</v>
      </c>
      <c r="D67" s="22" t="s">
        <v>2760</v>
      </c>
      <c r="E67" s="22" t="s">
        <v>2761</v>
      </c>
    </row>
    <row r="68" customFormat="false" ht="15" hidden="false" customHeight="true" outlineLevel="0" collapsed="false">
      <c r="A68" s="22" t="s">
        <v>185</v>
      </c>
      <c r="B68" s="22" t="s">
        <v>186</v>
      </c>
      <c r="C68" s="22" t="s">
        <v>523</v>
      </c>
      <c r="D68" s="22" t="s">
        <v>1106</v>
      </c>
      <c r="E68" s="22" t="s">
        <v>2762</v>
      </c>
    </row>
    <row r="69" customFormat="false" ht="24.75" hidden="false" customHeight="true" outlineLevel="0" collapsed="false">
      <c r="A69" s="22" t="s">
        <v>185</v>
      </c>
      <c r="B69" s="22" t="s">
        <v>185</v>
      </c>
      <c r="C69" s="22"/>
      <c r="D69" s="22" t="s">
        <v>1077</v>
      </c>
      <c r="E69" s="22" t="s">
        <v>2763</v>
      </c>
    </row>
    <row r="70" customFormat="false" ht="15" hidden="false" customHeight="true" outlineLevel="0" collapsed="false">
      <c r="A70" s="22" t="s">
        <v>185</v>
      </c>
      <c r="B70" s="22" t="s">
        <v>1622</v>
      </c>
      <c r="C70" s="22" t="s">
        <v>1365</v>
      </c>
      <c r="D70" s="22" t="s">
        <v>1618</v>
      </c>
      <c r="E70" s="22" t="s">
        <v>2764</v>
      </c>
    </row>
    <row r="71" customFormat="false" ht="15" hidden="false" customHeight="true" outlineLevel="0" collapsed="false">
      <c r="A71" s="22" t="s">
        <v>2560</v>
      </c>
      <c r="B71" s="22" t="s">
        <v>692</v>
      </c>
      <c r="C71" s="22" t="s">
        <v>2561</v>
      </c>
      <c r="D71" s="22" t="s">
        <v>2556</v>
      </c>
      <c r="E71" s="22" t="s">
        <v>2765</v>
      </c>
    </row>
    <row r="72" customFormat="false" ht="15" hidden="false" customHeight="true" outlineLevel="0" collapsed="false">
      <c r="A72" s="22" t="s">
        <v>893</v>
      </c>
      <c r="B72" s="22" t="s">
        <v>2041</v>
      </c>
      <c r="C72" s="22" t="s">
        <v>637</v>
      </c>
      <c r="D72" s="22" t="s">
        <v>2374</v>
      </c>
      <c r="E72" s="22" t="s">
        <v>2766</v>
      </c>
    </row>
    <row r="73" customFormat="false" ht="24.75" hidden="false" customHeight="true" outlineLevel="0" collapsed="false">
      <c r="A73" s="22" t="s">
        <v>893</v>
      </c>
      <c r="B73" s="22" t="s">
        <v>892</v>
      </c>
      <c r="C73" s="22"/>
      <c r="D73" s="22" t="s">
        <v>2767</v>
      </c>
      <c r="E73" s="22" t="s">
        <v>2768</v>
      </c>
    </row>
    <row r="74" customFormat="false" ht="15" hidden="false" customHeight="true" outlineLevel="0" collapsed="false">
      <c r="A74" s="22" t="s">
        <v>893</v>
      </c>
      <c r="B74" s="22" t="s">
        <v>692</v>
      </c>
      <c r="C74" s="22"/>
      <c r="D74" s="22" t="s">
        <v>2400</v>
      </c>
      <c r="E74" s="22" t="s">
        <v>2769</v>
      </c>
    </row>
    <row r="75" customFormat="false" ht="15" hidden="false" customHeight="true" outlineLevel="0" collapsed="false">
      <c r="A75" s="22" t="s">
        <v>893</v>
      </c>
      <c r="B75" s="22" t="s">
        <v>270</v>
      </c>
      <c r="C75" s="22" t="s">
        <v>692</v>
      </c>
      <c r="D75" s="22" t="s">
        <v>943</v>
      </c>
      <c r="E75" s="22" t="s">
        <v>2770</v>
      </c>
    </row>
    <row r="76" customFormat="false" ht="15" hidden="false" customHeight="true" outlineLevel="0" collapsed="false">
      <c r="A76" s="22" t="s">
        <v>893</v>
      </c>
      <c r="B76" s="22" t="s">
        <v>270</v>
      </c>
      <c r="C76" s="22" t="s">
        <v>1680</v>
      </c>
      <c r="D76" s="22" t="s">
        <v>1816</v>
      </c>
      <c r="E76" s="22" t="s">
        <v>2771</v>
      </c>
    </row>
    <row r="77" customFormat="false" ht="24.75" hidden="false" customHeight="true" outlineLevel="0" collapsed="false">
      <c r="A77" s="22" t="s">
        <v>893</v>
      </c>
      <c r="B77" s="22" t="s">
        <v>808</v>
      </c>
      <c r="C77" s="22" t="s">
        <v>692</v>
      </c>
      <c r="D77" s="22" t="s">
        <v>918</v>
      </c>
      <c r="E77" s="22" t="s">
        <v>2772</v>
      </c>
    </row>
    <row r="78" customFormat="false" ht="15" hidden="false" customHeight="true" outlineLevel="0" collapsed="false">
      <c r="A78" s="22" t="s">
        <v>893</v>
      </c>
      <c r="B78" s="22" t="s">
        <v>1563</v>
      </c>
      <c r="C78" s="22"/>
      <c r="D78" s="22" t="s">
        <v>2208</v>
      </c>
      <c r="E78" s="22" t="s">
        <v>2773</v>
      </c>
    </row>
    <row r="79" customFormat="false" ht="15" hidden="false" customHeight="true" outlineLevel="0" collapsed="false">
      <c r="A79" s="22" t="s">
        <v>1306</v>
      </c>
      <c r="B79" s="22" t="s">
        <v>1307</v>
      </c>
      <c r="C79" s="22"/>
      <c r="D79" s="22" t="s">
        <v>1302</v>
      </c>
      <c r="E79" s="22" t="s">
        <v>2774</v>
      </c>
    </row>
    <row r="80" customFormat="false" ht="15" hidden="false" customHeight="true" outlineLevel="0" collapsed="false">
      <c r="A80" s="22" t="s">
        <v>1564</v>
      </c>
      <c r="B80" s="22" t="s">
        <v>1593</v>
      </c>
      <c r="C80" s="22" t="s">
        <v>1563</v>
      </c>
      <c r="D80" s="22" t="s">
        <v>1589</v>
      </c>
      <c r="E80" s="22" t="s">
        <v>2775</v>
      </c>
    </row>
    <row r="81" customFormat="false" ht="24.75" hidden="false" customHeight="true" outlineLevel="0" collapsed="false">
      <c r="A81" s="22" t="s">
        <v>1307</v>
      </c>
      <c r="B81" s="22" t="s">
        <v>692</v>
      </c>
      <c r="C81" s="22" t="s">
        <v>1306</v>
      </c>
      <c r="D81" s="22" t="s">
        <v>1418</v>
      </c>
      <c r="E81" s="22" t="s">
        <v>2776</v>
      </c>
    </row>
    <row r="82" customFormat="false" ht="24.75" hidden="false" customHeight="true" outlineLevel="0" collapsed="false">
      <c r="A82" s="22" t="s">
        <v>1307</v>
      </c>
      <c r="B82" s="22" t="s">
        <v>1336</v>
      </c>
      <c r="C82" s="22"/>
      <c r="D82" s="22" t="s">
        <v>1445</v>
      </c>
      <c r="E82" s="22" t="s">
        <v>2777</v>
      </c>
    </row>
    <row r="83" customFormat="false" ht="37.5" hidden="false" customHeight="true" outlineLevel="0" collapsed="false">
      <c r="A83" s="22" t="s">
        <v>1307</v>
      </c>
      <c r="B83" s="22" t="s">
        <v>1365</v>
      </c>
      <c r="C83" s="22" t="s">
        <v>1306</v>
      </c>
      <c r="D83" s="22" t="s">
        <v>2778</v>
      </c>
      <c r="E83" s="22" t="s">
        <v>2779</v>
      </c>
    </row>
    <row r="84" customFormat="false" ht="15" hidden="false" customHeight="true" outlineLevel="0" collapsed="false">
      <c r="A84" s="22" t="s">
        <v>1307</v>
      </c>
      <c r="B84" s="22" t="s">
        <v>1365</v>
      </c>
      <c r="C84" s="22" t="s">
        <v>1477</v>
      </c>
      <c r="D84" s="22" t="s">
        <v>1473</v>
      </c>
      <c r="E84" s="22" t="s">
        <v>2780</v>
      </c>
    </row>
    <row r="85" customFormat="false" ht="15" hidden="false" customHeight="true" outlineLevel="0" collapsed="false">
      <c r="A85" s="22" t="s">
        <v>1737</v>
      </c>
      <c r="B85" s="22" t="s">
        <v>1680</v>
      </c>
      <c r="C85" s="22"/>
      <c r="D85" s="22" t="s">
        <v>1733</v>
      </c>
      <c r="E85" s="22" t="s">
        <v>2781</v>
      </c>
    </row>
    <row r="86" customFormat="false" ht="15" hidden="false" customHeight="true" outlineLevel="0" collapsed="false">
      <c r="A86" s="22" t="s">
        <v>1477</v>
      </c>
      <c r="B86" s="22" t="s">
        <v>1307</v>
      </c>
      <c r="C86" s="22" t="s">
        <v>1365</v>
      </c>
      <c r="D86" s="22" t="s">
        <v>1502</v>
      </c>
      <c r="E86" s="22" t="s">
        <v>2782</v>
      </c>
    </row>
  </sheetData>
  <autoFilter ref="A4:E86"/>
  <mergeCells count="2">
    <mergeCell ref="A1:D1"/>
    <mergeCell ref="A2:E2"/>
  </mergeCells>
  <hyperlinks>
    <hyperlink ref="E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O6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2"/>
    <col collapsed="false" customWidth="true" hidden="false" outlineLevel="0" max="4" min="4" style="0" width="30"/>
    <col collapsed="false" customWidth="true" hidden="false" outlineLevel="0" max="6" min="5" style="0" width="14"/>
    <col collapsed="false" customWidth="true" hidden="false" outlineLevel="0" max="7" min="7" style="0" width="24"/>
    <col collapsed="false" customWidth="true" hidden="false" outlineLevel="0" max="8" min="8" style="0" width="30"/>
    <col collapsed="false" customWidth="true" hidden="false" outlineLevel="0" max="9" min="9" style="0" width="22"/>
    <col collapsed="false" customWidth="true" hidden="false" outlineLevel="0" max="10" min="10" style="0" width="40"/>
    <col collapsed="false" customWidth="true" hidden="false" outlineLevel="0" max="11" min="11" style="0" width="8"/>
    <col collapsed="false" customWidth="true" hidden="false" outlineLevel="0" max="12" min="12" style="0" width="30"/>
    <col collapsed="false" customWidth="true" hidden="false" outlineLevel="0" max="13" min="13" style="0" width="18"/>
    <col collapsed="false" customWidth="true" hidden="false" outlineLevel="0" max="14" min="14" style="0" width="45"/>
    <col collapsed="false" customWidth="true" hidden="false" outlineLevel="0" max="15" min="15" style="0" width="60"/>
  </cols>
  <sheetData>
    <row r="1" customFormat="false" ht="30" hidden="false" customHeight="true" outlineLevel="0" collapsed="false">
      <c r="A1" s="18" t="s">
        <v>2783</v>
      </c>
      <c r="B1" s="18"/>
      <c r="C1" s="18"/>
      <c r="D1" s="18"/>
      <c r="E1" s="18"/>
      <c r="F1" s="18"/>
      <c r="G1" s="18"/>
      <c r="H1" s="18"/>
      <c r="I1" s="18"/>
      <c r="J1" s="18"/>
      <c r="K1" s="18"/>
      <c r="L1" s="18"/>
      <c r="M1" s="18"/>
      <c r="N1" s="18"/>
      <c r="O1" s="19" t="s">
        <v>29</v>
      </c>
    </row>
    <row r="2" customFormat="false" ht="31.5" hidden="false" customHeight="true" outlineLevel="0" collapsed="false">
      <c r="A2" s="20" t="s">
        <v>2784</v>
      </c>
      <c r="B2" s="20"/>
      <c r="C2" s="20"/>
      <c r="D2" s="20"/>
      <c r="E2" s="20"/>
      <c r="F2" s="20"/>
      <c r="G2" s="20"/>
      <c r="H2" s="20"/>
      <c r="I2" s="20"/>
      <c r="J2" s="20"/>
      <c r="K2" s="20"/>
      <c r="L2" s="20"/>
      <c r="M2" s="20"/>
      <c r="N2" s="20"/>
      <c r="O2" s="20"/>
    </row>
    <row r="4" customFormat="false" ht="33.75" hidden="false" customHeight="true" outlineLevel="0" collapsed="false">
      <c r="A4" s="21" t="s">
        <v>2785</v>
      </c>
      <c r="B4" s="21" t="s">
        <v>2786</v>
      </c>
      <c r="C4" s="21" t="s">
        <v>2787</v>
      </c>
      <c r="D4" s="21" t="s">
        <v>2788</v>
      </c>
      <c r="E4" s="21" t="s">
        <v>2789</v>
      </c>
      <c r="F4" s="21" t="s">
        <v>2790</v>
      </c>
      <c r="G4" s="21" t="s">
        <v>2791</v>
      </c>
      <c r="H4" s="21" t="s">
        <v>2792</v>
      </c>
      <c r="I4" s="21" t="s">
        <v>2793</v>
      </c>
      <c r="J4" s="21" t="s">
        <v>2794</v>
      </c>
      <c r="K4" s="21" t="s">
        <v>2795</v>
      </c>
      <c r="L4" s="21" t="s">
        <v>2796</v>
      </c>
      <c r="M4" s="21" t="s">
        <v>114</v>
      </c>
      <c r="N4" s="21" t="s">
        <v>2797</v>
      </c>
      <c r="O4" s="21" t="s">
        <v>2798</v>
      </c>
    </row>
    <row r="5" customFormat="false" ht="237" hidden="false" customHeight="true" outlineLevel="0" collapsed="false">
      <c r="A5" s="36" t="s">
        <v>186</v>
      </c>
      <c r="B5" s="22" t="s">
        <v>2799</v>
      </c>
      <c r="C5" s="22" t="s">
        <v>2800</v>
      </c>
      <c r="D5" s="22" t="s">
        <v>2801</v>
      </c>
      <c r="E5" s="22"/>
      <c r="F5" s="22" t="s">
        <v>2802</v>
      </c>
      <c r="G5" s="22" t="s">
        <v>2803</v>
      </c>
      <c r="H5" s="22" t="s">
        <v>2804</v>
      </c>
      <c r="I5" s="22" t="s">
        <v>2805</v>
      </c>
      <c r="J5" s="22" t="s">
        <v>2806</v>
      </c>
      <c r="K5" s="22" t="n">
        <v>125</v>
      </c>
      <c r="L5" s="22" t="s">
        <v>2807</v>
      </c>
      <c r="M5" s="31" t="s">
        <v>19</v>
      </c>
      <c r="N5" s="22" t="s">
        <v>2808</v>
      </c>
      <c r="O5" s="22" t="s">
        <v>2809</v>
      </c>
    </row>
    <row r="6" customFormat="false" ht="75" hidden="false" customHeight="true" outlineLevel="0" collapsed="false">
      <c r="A6" s="36" t="s">
        <v>187</v>
      </c>
      <c r="B6" s="22" t="s">
        <v>2810</v>
      </c>
      <c r="C6" s="22" t="s">
        <v>2811</v>
      </c>
      <c r="D6" s="22" t="s">
        <v>2812</v>
      </c>
      <c r="E6" s="22"/>
      <c r="F6" s="22" t="s">
        <v>2813</v>
      </c>
      <c r="G6" s="22" t="s">
        <v>2814</v>
      </c>
      <c r="H6" s="22" t="s">
        <v>2815</v>
      </c>
      <c r="I6" s="22" t="s">
        <v>2816</v>
      </c>
      <c r="J6" s="22" t="s">
        <v>2817</v>
      </c>
      <c r="K6" s="22" t="n">
        <v>17</v>
      </c>
      <c r="L6" s="22" t="s">
        <v>2818</v>
      </c>
      <c r="M6" s="31" t="s">
        <v>19</v>
      </c>
      <c r="N6" s="22" t="s">
        <v>2819</v>
      </c>
      <c r="O6" s="22" t="s">
        <v>2820</v>
      </c>
    </row>
    <row r="7" customFormat="false" ht="162" hidden="false" customHeight="true" outlineLevel="0" collapsed="false">
      <c r="A7" s="36" t="s">
        <v>2821</v>
      </c>
      <c r="B7" s="22" t="s">
        <v>2822</v>
      </c>
      <c r="C7" s="22" t="s">
        <v>2811</v>
      </c>
      <c r="D7" s="22" t="s">
        <v>2823</v>
      </c>
      <c r="E7" s="22"/>
      <c r="F7" s="22" t="s">
        <v>2824</v>
      </c>
      <c r="G7" s="22" t="s">
        <v>2825</v>
      </c>
      <c r="H7" s="22" t="s">
        <v>2826</v>
      </c>
      <c r="I7" s="22" t="s">
        <v>2827</v>
      </c>
      <c r="J7" s="22" t="s">
        <v>2828</v>
      </c>
      <c r="K7" s="22" t="n">
        <v>53</v>
      </c>
      <c r="L7" s="22"/>
      <c r="M7" s="31" t="s">
        <v>19</v>
      </c>
      <c r="N7" s="22" t="s">
        <v>2829</v>
      </c>
      <c r="O7" s="22" t="s">
        <v>2830</v>
      </c>
    </row>
    <row r="8" customFormat="false" ht="199.5" hidden="false" customHeight="true" outlineLevel="0" collapsed="false">
      <c r="A8" s="36" t="s">
        <v>270</v>
      </c>
      <c r="B8" s="22" t="s">
        <v>2831</v>
      </c>
      <c r="C8" s="22" t="s">
        <v>2811</v>
      </c>
      <c r="D8" s="22" t="s">
        <v>2832</v>
      </c>
      <c r="E8" s="22"/>
      <c r="F8" s="22" t="s">
        <v>2833</v>
      </c>
      <c r="G8" s="22" t="s">
        <v>2834</v>
      </c>
      <c r="H8" s="22" t="s">
        <v>2835</v>
      </c>
      <c r="I8" s="22" t="s">
        <v>2836</v>
      </c>
      <c r="J8" s="22" t="s">
        <v>2837</v>
      </c>
      <c r="K8" s="22" t="n">
        <v>56</v>
      </c>
      <c r="L8" s="22" t="s">
        <v>2838</v>
      </c>
      <c r="M8" s="31" t="s">
        <v>19</v>
      </c>
      <c r="N8" s="22" t="s">
        <v>2839</v>
      </c>
      <c r="O8" s="22" t="s">
        <v>2840</v>
      </c>
    </row>
    <row r="9" customFormat="false" ht="99.75" hidden="false" customHeight="true" outlineLevel="0" collapsed="false">
      <c r="A9" s="36" t="s">
        <v>610</v>
      </c>
      <c r="B9" s="22" t="s">
        <v>2841</v>
      </c>
      <c r="C9" s="22" t="s">
        <v>2842</v>
      </c>
      <c r="D9" s="22" t="s">
        <v>2843</v>
      </c>
      <c r="E9" s="22"/>
      <c r="F9" s="22" t="s">
        <v>2844</v>
      </c>
      <c r="G9" s="22" t="s">
        <v>2845</v>
      </c>
      <c r="H9" s="22" t="s">
        <v>2846</v>
      </c>
      <c r="I9" s="22" t="s">
        <v>2847</v>
      </c>
      <c r="J9" s="22" t="s">
        <v>2848</v>
      </c>
      <c r="K9" s="22" t="n">
        <v>55</v>
      </c>
      <c r="L9" s="22" t="s">
        <v>607</v>
      </c>
      <c r="M9" s="34" t="s">
        <v>17</v>
      </c>
      <c r="N9" s="22" t="s">
        <v>2849</v>
      </c>
      <c r="O9" s="22" t="s">
        <v>2850</v>
      </c>
    </row>
    <row r="10" customFormat="false" ht="137.25" hidden="false" customHeight="true" outlineLevel="0" collapsed="false">
      <c r="A10" s="36" t="s">
        <v>524</v>
      </c>
      <c r="B10" s="22" t="s">
        <v>2851</v>
      </c>
      <c r="C10" s="22" t="s">
        <v>2852</v>
      </c>
      <c r="D10" s="22" t="s">
        <v>2853</v>
      </c>
      <c r="E10" s="22"/>
      <c r="F10" s="22" t="s">
        <v>2854</v>
      </c>
      <c r="G10" s="22" t="s">
        <v>2855</v>
      </c>
      <c r="H10" s="22" t="s">
        <v>2856</v>
      </c>
      <c r="I10" s="22" t="s">
        <v>2857</v>
      </c>
      <c r="J10" s="22" t="s">
        <v>2858</v>
      </c>
      <c r="K10" s="22" t="n">
        <v>62</v>
      </c>
      <c r="L10" s="22" t="s">
        <v>2859</v>
      </c>
      <c r="M10" s="34" t="s">
        <v>17</v>
      </c>
      <c r="N10" s="22" t="s">
        <v>2860</v>
      </c>
      <c r="O10" s="22" t="s">
        <v>2861</v>
      </c>
    </row>
    <row r="11" customFormat="false" ht="87" hidden="false" customHeight="true" outlineLevel="0" collapsed="false">
      <c r="A11" s="36" t="s">
        <v>525</v>
      </c>
      <c r="B11" s="22" t="s">
        <v>2862</v>
      </c>
      <c r="C11" s="22" t="s">
        <v>2863</v>
      </c>
      <c r="D11" s="22" t="s">
        <v>2864</v>
      </c>
      <c r="E11" s="22"/>
      <c r="F11" s="22" t="s">
        <v>2865</v>
      </c>
      <c r="G11" s="22" t="s">
        <v>2866</v>
      </c>
      <c r="H11" s="22" t="s">
        <v>2867</v>
      </c>
      <c r="I11" s="22" t="s">
        <v>2868</v>
      </c>
      <c r="J11" s="22" t="s">
        <v>2869</v>
      </c>
      <c r="K11" s="22" t="n">
        <v>24</v>
      </c>
      <c r="L11" s="22" t="s">
        <v>2870</v>
      </c>
      <c r="M11" s="31" t="s">
        <v>19</v>
      </c>
      <c r="N11" s="22" t="s">
        <v>2871</v>
      </c>
      <c r="O11" s="22" t="s">
        <v>2872</v>
      </c>
    </row>
    <row r="12" customFormat="false" ht="124.5" hidden="false" customHeight="true" outlineLevel="0" collapsed="false">
      <c r="A12" s="36" t="s">
        <v>808</v>
      </c>
      <c r="B12" s="22" t="s">
        <v>2873</v>
      </c>
      <c r="C12" s="22" t="s">
        <v>2811</v>
      </c>
      <c r="D12" s="22" t="s">
        <v>2874</v>
      </c>
      <c r="E12" s="22"/>
      <c r="F12" s="22" t="s">
        <v>2875</v>
      </c>
      <c r="G12" s="22" t="s">
        <v>2876</v>
      </c>
      <c r="H12" s="22" t="s">
        <v>2877</v>
      </c>
      <c r="I12" s="22" t="s">
        <v>2878</v>
      </c>
      <c r="J12" s="22" t="s">
        <v>2879</v>
      </c>
      <c r="K12" s="22" t="n">
        <v>99</v>
      </c>
      <c r="L12" s="22" t="s">
        <v>2880</v>
      </c>
      <c r="M12" s="31" t="s">
        <v>19</v>
      </c>
      <c r="N12" s="22" t="s">
        <v>2881</v>
      </c>
      <c r="O12" s="22" t="s">
        <v>2882</v>
      </c>
    </row>
    <row r="13" customFormat="false" ht="112.5" hidden="false" customHeight="true" outlineLevel="0" collapsed="false">
      <c r="A13" s="36" t="s">
        <v>2883</v>
      </c>
      <c r="B13" s="22" t="s">
        <v>2884</v>
      </c>
      <c r="C13" s="22" t="s">
        <v>2811</v>
      </c>
      <c r="D13" s="22" t="s">
        <v>2885</v>
      </c>
      <c r="E13" s="22"/>
      <c r="F13" s="22" t="s">
        <v>2875</v>
      </c>
      <c r="G13" s="22" t="s">
        <v>2886</v>
      </c>
      <c r="H13" s="22" t="s">
        <v>2887</v>
      </c>
      <c r="I13" s="22" t="s">
        <v>2888</v>
      </c>
      <c r="J13" s="22" t="s">
        <v>2889</v>
      </c>
      <c r="K13" s="22" t="n">
        <v>80</v>
      </c>
      <c r="L13" s="22"/>
      <c r="M13" s="34" t="s">
        <v>17</v>
      </c>
      <c r="N13" s="22" t="s">
        <v>2890</v>
      </c>
      <c r="O13" s="22" t="s">
        <v>2891</v>
      </c>
    </row>
    <row r="14" customFormat="false" ht="62.25" hidden="false" customHeight="true" outlineLevel="0" collapsed="false">
      <c r="A14" s="36" t="s">
        <v>1275</v>
      </c>
      <c r="B14" s="22" t="s">
        <v>2892</v>
      </c>
      <c r="C14" s="22" t="s">
        <v>2811</v>
      </c>
      <c r="D14" s="22" t="s">
        <v>2893</v>
      </c>
      <c r="E14" s="22"/>
      <c r="F14" s="22" t="s">
        <v>2875</v>
      </c>
      <c r="G14" s="22" t="s">
        <v>2894</v>
      </c>
      <c r="H14" s="22" t="s">
        <v>2895</v>
      </c>
      <c r="I14" s="22" t="s">
        <v>2896</v>
      </c>
      <c r="J14" s="22" t="s">
        <v>2897</v>
      </c>
      <c r="K14" s="22" t="n">
        <v>38</v>
      </c>
      <c r="L14" s="22" t="s">
        <v>1270</v>
      </c>
      <c r="M14" s="34" t="s">
        <v>17</v>
      </c>
      <c r="N14" s="22" t="s">
        <v>2898</v>
      </c>
      <c r="O14" s="22" t="s">
        <v>2899</v>
      </c>
    </row>
    <row r="15" customFormat="false" ht="49.5" hidden="false" customHeight="true" outlineLevel="0" collapsed="false">
      <c r="A15" s="36" t="s">
        <v>1274</v>
      </c>
      <c r="B15" s="22" t="s">
        <v>2900</v>
      </c>
      <c r="C15" s="22" t="s">
        <v>2811</v>
      </c>
      <c r="D15" s="22" t="s">
        <v>2901</v>
      </c>
      <c r="E15" s="22"/>
      <c r="F15" s="22" t="s">
        <v>2902</v>
      </c>
      <c r="G15" s="22" t="s">
        <v>2903</v>
      </c>
      <c r="H15" s="22" t="s">
        <v>2904</v>
      </c>
      <c r="I15" s="22" t="s">
        <v>2905</v>
      </c>
      <c r="J15" s="22" t="s">
        <v>2906</v>
      </c>
      <c r="K15" s="22" t="n">
        <v>15</v>
      </c>
      <c r="L15" s="22" t="s">
        <v>1270</v>
      </c>
      <c r="M15" s="34" t="s">
        <v>17</v>
      </c>
      <c r="N15" s="22" t="s">
        <v>2907</v>
      </c>
      <c r="O15" s="22" t="s">
        <v>2908</v>
      </c>
    </row>
    <row r="16" customFormat="false" ht="99.75" hidden="false" customHeight="true" outlineLevel="0" collapsed="false">
      <c r="A16" s="36" t="s">
        <v>1138</v>
      </c>
      <c r="B16" s="22" t="s">
        <v>2909</v>
      </c>
      <c r="C16" s="22" t="s">
        <v>2910</v>
      </c>
      <c r="D16" s="22" t="s">
        <v>2911</v>
      </c>
      <c r="E16" s="22" t="s">
        <v>2912</v>
      </c>
      <c r="F16" s="22" t="s">
        <v>2913</v>
      </c>
      <c r="G16" s="22" t="s">
        <v>2914</v>
      </c>
      <c r="H16" s="22" t="s">
        <v>2915</v>
      </c>
      <c r="I16" s="22" t="s">
        <v>2916</v>
      </c>
      <c r="J16" s="22" t="s">
        <v>2917</v>
      </c>
      <c r="K16" s="22" t="n">
        <v>18</v>
      </c>
      <c r="L16" s="22" t="s">
        <v>1134</v>
      </c>
      <c r="M16" s="34" t="s">
        <v>17</v>
      </c>
      <c r="N16" s="22" t="s">
        <v>2918</v>
      </c>
      <c r="O16" s="22" t="s">
        <v>2919</v>
      </c>
    </row>
    <row r="17" customFormat="false" ht="49.5" hidden="false" customHeight="true" outlineLevel="0" collapsed="false">
      <c r="A17" s="36" t="s">
        <v>1165</v>
      </c>
      <c r="B17" s="22" t="s">
        <v>2920</v>
      </c>
      <c r="C17" s="22" t="s">
        <v>2921</v>
      </c>
      <c r="D17" s="22" t="s">
        <v>2922</v>
      </c>
      <c r="E17" s="22"/>
      <c r="F17" s="22" t="s">
        <v>2923</v>
      </c>
      <c r="G17" s="22" t="s">
        <v>2894</v>
      </c>
      <c r="H17" s="22" t="s">
        <v>2924</v>
      </c>
      <c r="I17" s="22" t="s">
        <v>2916</v>
      </c>
      <c r="J17" s="22" t="s">
        <v>2925</v>
      </c>
      <c r="K17" s="22" t="n">
        <v>17</v>
      </c>
      <c r="L17" s="22" t="s">
        <v>1162</v>
      </c>
      <c r="M17" s="34" t="s">
        <v>17</v>
      </c>
      <c r="N17" s="22" t="s">
        <v>2926</v>
      </c>
      <c r="O17" s="22" t="s">
        <v>2927</v>
      </c>
    </row>
    <row r="18" customFormat="false" ht="162" hidden="false" customHeight="true" outlineLevel="0" collapsed="false">
      <c r="A18" s="36" t="s">
        <v>385</v>
      </c>
      <c r="B18" s="22" t="s">
        <v>2928</v>
      </c>
      <c r="C18" s="22" t="s">
        <v>2929</v>
      </c>
      <c r="D18" s="22" t="s">
        <v>2930</v>
      </c>
      <c r="E18" s="22"/>
      <c r="F18" s="22" t="s">
        <v>2931</v>
      </c>
      <c r="G18" s="22" t="s">
        <v>2932</v>
      </c>
      <c r="H18" s="22" t="s">
        <v>2933</v>
      </c>
      <c r="I18" s="22" t="s">
        <v>2934</v>
      </c>
      <c r="J18" s="22" t="s">
        <v>2935</v>
      </c>
      <c r="K18" s="22" t="n">
        <v>69</v>
      </c>
      <c r="L18" s="22" t="s">
        <v>2936</v>
      </c>
      <c r="M18" s="35" t="s">
        <v>15</v>
      </c>
      <c r="N18" s="22" t="s">
        <v>2937</v>
      </c>
      <c r="O18" s="22" t="s">
        <v>2938</v>
      </c>
    </row>
    <row r="19" customFormat="false" ht="150" hidden="false" customHeight="true" outlineLevel="0" collapsed="false">
      <c r="A19" s="36" t="s">
        <v>439</v>
      </c>
      <c r="B19" s="22" t="s">
        <v>2939</v>
      </c>
      <c r="C19" s="22" t="s">
        <v>2940</v>
      </c>
      <c r="D19" s="22" t="s">
        <v>2941</v>
      </c>
      <c r="E19" s="22"/>
      <c r="F19" s="22" t="s">
        <v>2942</v>
      </c>
      <c r="G19" s="22" t="s">
        <v>2943</v>
      </c>
      <c r="H19" s="22" t="s">
        <v>2944</v>
      </c>
      <c r="I19" s="22" t="s">
        <v>2945</v>
      </c>
      <c r="J19" s="22" t="s">
        <v>2946</v>
      </c>
      <c r="K19" s="22" t="n">
        <v>47</v>
      </c>
      <c r="L19" s="22" t="s">
        <v>435</v>
      </c>
      <c r="M19" s="31" t="s">
        <v>19</v>
      </c>
      <c r="N19" s="22" t="s">
        <v>2947</v>
      </c>
      <c r="O19" s="22" t="s">
        <v>2948</v>
      </c>
    </row>
    <row r="20" customFormat="false" ht="87" hidden="false" customHeight="true" outlineLevel="0" collapsed="false">
      <c r="A20" s="36" t="s">
        <v>749</v>
      </c>
      <c r="B20" s="22" t="s">
        <v>2949</v>
      </c>
      <c r="C20" s="22" t="s">
        <v>2811</v>
      </c>
      <c r="D20" s="22" t="s">
        <v>2950</v>
      </c>
      <c r="E20" s="22"/>
      <c r="F20" s="22" t="s">
        <v>2951</v>
      </c>
      <c r="G20" s="22" t="s">
        <v>2952</v>
      </c>
      <c r="H20" s="22" t="s">
        <v>2953</v>
      </c>
      <c r="I20" s="22" t="s">
        <v>2954</v>
      </c>
      <c r="J20" s="22" t="s">
        <v>2955</v>
      </c>
      <c r="K20" s="22" t="n">
        <v>24</v>
      </c>
      <c r="L20" s="22" t="s">
        <v>2956</v>
      </c>
      <c r="M20" s="31" t="s">
        <v>19</v>
      </c>
      <c r="N20" s="22" t="s">
        <v>2957</v>
      </c>
      <c r="O20" s="22" t="s">
        <v>2958</v>
      </c>
    </row>
    <row r="21" customFormat="false" ht="62.25" hidden="false" customHeight="true" outlineLevel="0" collapsed="false">
      <c r="A21" s="36" t="s">
        <v>750</v>
      </c>
      <c r="B21" s="22" t="s">
        <v>2959</v>
      </c>
      <c r="C21" s="22" t="s">
        <v>2811</v>
      </c>
      <c r="D21" s="22" t="s">
        <v>2960</v>
      </c>
      <c r="E21" s="22"/>
      <c r="F21" s="22" t="s">
        <v>2961</v>
      </c>
      <c r="G21" s="22" t="s">
        <v>2962</v>
      </c>
      <c r="H21" s="22" t="s">
        <v>2963</v>
      </c>
      <c r="I21" s="22" t="s">
        <v>2954</v>
      </c>
      <c r="J21" s="22" t="s">
        <v>2964</v>
      </c>
      <c r="K21" s="22" t="n">
        <v>20</v>
      </c>
      <c r="L21" s="22" t="s">
        <v>745</v>
      </c>
      <c r="M21" s="31" t="s">
        <v>19</v>
      </c>
      <c r="N21" s="22" t="s">
        <v>2965</v>
      </c>
      <c r="O21" s="22" t="s">
        <v>2966</v>
      </c>
    </row>
    <row r="22" customFormat="false" ht="49.5" hidden="false" customHeight="true" outlineLevel="0" collapsed="false">
      <c r="A22" s="36" t="s">
        <v>778</v>
      </c>
      <c r="B22" s="22" t="s">
        <v>2967</v>
      </c>
      <c r="C22" s="22" t="s">
        <v>2811</v>
      </c>
      <c r="D22" s="22" t="s">
        <v>2968</v>
      </c>
      <c r="E22" s="22"/>
      <c r="F22" s="22" t="s">
        <v>2961</v>
      </c>
      <c r="G22" s="22" t="s">
        <v>2969</v>
      </c>
      <c r="H22" s="22" t="s">
        <v>2970</v>
      </c>
      <c r="I22" s="22" t="s">
        <v>2954</v>
      </c>
      <c r="J22" s="22" t="s">
        <v>2971</v>
      </c>
      <c r="K22" s="22" t="n">
        <v>23</v>
      </c>
      <c r="L22" s="22" t="s">
        <v>774</v>
      </c>
      <c r="M22" s="31" t="s">
        <v>19</v>
      </c>
      <c r="N22" s="22" t="s">
        <v>2972</v>
      </c>
      <c r="O22" s="22" t="s">
        <v>2973</v>
      </c>
    </row>
    <row r="23" customFormat="false" ht="112.5" hidden="false" customHeight="true" outlineLevel="0" collapsed="false">
      <c r="A23" s="36" t="s">
        <v>555</v>
      </c>
      <c r="B23" s="22" t="s">
        <v>2974</v>
      </c>
      <c r="C23" s="22" t="s">
        <v>2811</v>
      </c>
      <c r="D23" s="22" t="s">
        <v>2975</v>
      </c>
      <c r="E23" s="22"/>
      <c r="F23" s="22" t="s">
        <v>2976</v>
      </c>
      <c r="G23" s="22" t="s">
        <v>2977</v>
      </c>
      <c r="H23" s="22" t="s">
        <v>2978</v>
      </c>
      <c r="I23" s="22" t="s">
        <v>2979</v>
      </c>
      <c r="J23" s="22" t="s">
        <v>2980</v>
      </c>
      <c r="K23" s="22" t="n">
        <v>9</v>
      </c>
      <c r="L23" s="22" t="s">
        <v>2981</v>
      </c>
      <c r="M23" s="31" t="s">
        <v>19</v>
      </c>
      <c r="N23" s="22" t="s">
        <v>2982</v>
      </c>
      <c r="O23" s="22" t="s">
        <v>2983</v>
      </c>
    </row>
    <row r="24" customFormat="false" ht="62.25" hidden="false" customHeight="true" outlineLevel="0" collapsed="false">
      <c r="A24" s="36" t="s">
        <v>779</v>
      </c>
      <c r="B24" s="22" t="s">
        <v>2984</v>
      </c>
      <c r="C24" s="22" t="s">
        <v>2811</v>
      </c>
      <c r="D24" s="22" t="s">
        <v>2985</v>
      </c>
      <c r="E24" s="22"/>
      <c r="F24" s="22" t="s">
        <v>2986</v>
      </c>
      <c r="G24" s="22" t="s">
        <v>2987</v>
      </c>
      <c r="H24" s="22" t="s">
        <v>2988</v>
      </c>
      <c r="I24" s="22" t="s">
        <v>2989</v>
      </c>
      <c r="J24" s="22" t="s">
        <v>2990</v>
      </c>
      <c r="K24" s="22" t="n">
        <v>23</v>
      </c>
      <c r="L24" s="22" t="s">
        <v>774</v>
      </c>
      <c r="M24" s="31" t="s">
        <v>19</v>
      </c>
      <c r="N24" s="22" t="s">
        <v>2991</v>
      </c>
      <c r="O24" s="22" t="s">
        <v>2992</v>
      </c>
    </row>
    <row r="25" customFormat="false" ht="199.5" hidden="false" customHeight="true" outlineLevel="0" collapsed="false">
      <c r="A25" s="36" t="s">
        <v>1650</v>
      </c>
      <c r="B25" s="22" t="s">
        <v>2993</v>
      </c>
      <c r="C25" s="22" t="s">
        <v>2994</v>
      </c>
      <c r="D25" s="22" t="s">
        <v>2995</v>
      </c>
      <c r="E25" s="22" t="s">
        <v>2996</v>
      </c>
      <c r="F25" s="22" t="s">
        <v>2997</v>
      </c>
      <c r="G25" s="22" t="s">
        <v>2998</v>
      </c>
      <c r="H25" s="22" t="s">
        <v>2999</v>
      </c>
      <c r="I25" s="22" t="s">
        <v>3000</v>
      </c>
      <c r="J25" s="22" t="s">
        <v>3001</v>
      </c>
      <c r="K25" s="22" t="n">
        <v>37</v>
      </c>
      <c r="L25" s="22" t="s">
        <v>3002</v>
      </c>
      <c r="M25" s="31" t="s">
        <v>19</v>
      </c>
      <c r="N25" s="22" t="s">
        <v>3003</v>
      </c>
      <c r="O25" s="22" t="s">
        <v>3004</v>
      </c>
    </row>
    <row r="26" customFormat="false" ht="174.75" hidden="false" customHeight="true" outlineLevel="0" collapsed="false">
      <c r="A26" s="36" t="s">
        <v>1651</v>
      </c>
      <c r="B26" s="22" t="s">
        <v>3005</v>
      </c>
      <c r="C26" s="22" t="s">
        <v>3006</v>
      </c>
      <c r="D26" s="22" t="s">
        <v>3007</v>
      </c>
      <c r="E26" s="22" t="s">
        <v>3008</v>
      </c>
      <c r="F26" s="22" t="s">
        <v>3009</v>
      </c>
      <c r="G26" s="22" t="s">
        <v>3010</v>
      </c>
      <c r="H26" s="22" t="s">
        <v>3011</v>
      </c>
      <c r="I26" s="22" t="s">
        <v>3012</v>
      </c>
      <c r="J26" s="22" t="s">
        <v>3013</v>
      </c>
      <c r="K26" s="22" t="n">
        <v>25</v>
      </c>
      <c r="L26" s="22" t="s">
        <v>3014</v>
      </c>
      <c r="M26" s="31" t="s">
        <v>19</v>
      </c>
      <c r="N26" s="22" t="s">
        <v>3015</v>
      </c>
      <c r="O26" s="22" t="s">
        <v>3016</v>
      </c>
    </row>
    <row r="27" customFormat="false" ht="124.5" hidden="false" customHeight="true" outlineLevel="0" collapsed="false">
      <c r="A27" s="36" t="s">
        <v>1737</v>
      </c>
      <c r="B27" s="22" t="s">
        <v>3017</v>
      </c>
      <c r="C27" s="22" t="s">
        <v>3018</v>
      </c>
      <c r="D27" s="22" t="s">
        <v>3019</v>
      </c>
      <c r="E27" s="22"/>
      <c r="F27" s="22" t="s">
        <v>3020</v>
      </c>
      <c r="G27" s="22" t="s">
        <v>3021</v>
      </c>
      <c r="H27" s="22" t="s">
        <v>3022</v>
      </c>
      <c r="I27" s="22" t="s">
        <v>3023</v>
      </c>
      <c r="J27" s="22" t="s">
        <v>3024</v>
      </c>
      <c r="K27" s="22" t="n">
        <v>6</v>
      </c>
      <c r="L27" s="22" t="s">
        <v>1733</v>
      </c>
      <c r="M27" s="35" t="s">
        <v>15</v>
      </c>
      <c r="N27" s="22" t="s">
        <v>3025</v>
      </c>
      <c r="O27" s="22" t="s">
        <v>3026</v>
      </c>
    </row>
    <row r="28" customFormat="false" ht="174.75" hidden="false" customHeight="true" outlineLevel="0" collapsed="false">
      <c r="A28" s="36" t="s">
        <v>1680</v>
      </c>
      <c r="B28" s="22" t="s">
        <v>3027</v>
      </c>
      <c r="C28" s="22" t="s">
        <v>3028</v>
      </c>
      <c r="D28" s="22" t="s">
        <v>3029</v>
      </c>
      <c r="E28" s="22" t="s">
        <v>3030</v>
      </c>
      <c r="F28" s="22" t="s">
        <v>3031</v>
      </c>
      <c r="G28" s="22" t="s">
        <v>3032</v>
      </c>
      <c r="H28" s="22" t="s">
        <v>3033</v>
      </c>
      <c r="I28" s="22" t="s">
        <v>3034</v>
      </c>
      <c r="J28" s="22" t="s">
        <v>3035</v>
      </c>
      <c r="K28" s="22" t="n">
        <v>49</v>
      </c>
      <c r="L28" s="22" t="s">
        <v>3036</v>
      </c>
      <c r="M28" s="31" t="s">
        <v>19</v>
      </c>
      <c r="N28" s="22" t="s">
        <v>3037</v>
      </c>
      <c r="O28" s="22" t="s">
        <v>3038</v>
      </c>
    </row>
    <row r="29" customFormat="false" ht="112.5" hidden="false" customHeight="true" outlineLevel="0" collapsed="false">
      <c r="A29" s="36" t="s">
        <v>3039</v>
      </c>
      <c r="B29" s="22" t="s">
        <v>3040</v>
      </c>
      <c r="C29" s="22" t="s">
        <v>3041</v>
      </c>
      <c r="D29" s="22" t="s">
        <v>3042</v>
      </c>
      <c r="E29" s="22" t="s">
        <v>3043</v>
      </c>
      <c r="F29" s="22" t="s">
        <v>3044</v>
      </c>
      <c r="G29" s="22" t="s">
        <v>3045</v>
      </c>
      <c r="H29" s="22" t="s">
        <v>3046</v>
      </c>
      <c r="I29" s="22" t="s">
        <v>3047</v>
      </c>
      <c r="J29" s="22" t="s">
        <v>3048</v>
      </c>
      <c r="K29" s="22" t="n">
        <v>18</v>
      </c>
      <c r="L29" s="22"/>
      <c r="M29" s="31" t="s">
        <v>19</v>
      </c>
      <c r="N29" s="22" t="s">
        <v>3049</v>
      </c>
      <c r="O29" s="22" t="s">
        <v>3050</v>
      </c>
    </row>
    <row r="30" customFormat="false" ht="112.5" hidden="false" customHeight="true" outlineLevel="0" collapsed="false">
      <c r="A30" s="36" t="s">
        <v>1534</v>
      </c>
      <c r="B30" s="22" t="s">
        <v>3051</v>
      </c>
      <c r="C30" s="22" t="s">
        <v>3052</v>
      </c>
      <c r="D30" s="22" t="s">
        <v>3053</v>
      </c>
      <c r="E30" s="22" t="s">
        <v>3054</v>
      </c>
      <c r="F30" s="22" t="s">
        <v>3055</v>
      </c>
      <c r="G30" s="22" t="s">
        <v>3056</v>
      </c>
      <c r="H30" s="22" t="s">
        <v>3057</v>
      </c>
      <c r="I30" s="22" t="s">
        <v>3058</v>
      </c>
      <c r="J30" s="22" t="s">
        <v>3059</v>
      </c>
      <c r="K30" s="22" t="n">
        <v>19</v>
      </c>
      <c r="L30" s="22" t="s">
        <v>1530</v>
      </c>
      <c r="M30" s="31" t="s">
        <v>19</v>
      </c>
      <c r="N30" s="22" t="s">
        <v>3060</v>
      </c>
      <c r="O30" s="22" t="s">
        <v>3061</v>
      </c>
    </row>
    <row r="31" customFormat="false" ht="287.25" hidden="false" customHeight="true" outlineLevel="0" collapsed="false">
      <c r="A31" s="36" t="s">
        <v>1564</v>
      </c>
      <c r="B31" s="22" t="s">
        <v>3062</v>
      </c>
      <c r="C31" s="22" t="s">
        <v>3063</v>
      </c>
      <c r="D31" s="22" t="s">
        <v>3064</v>
      </c>
      <c r="E31" s="22" t="s">
        <v>3065</v>
      </c>
      <c r="F31" s="22" t="s">
        <v>3066</v>
      </c>
      <c r="G31" s="22" t="s">
        <v>3067</v>
      </c>
      <c r="H31" s="22" t="s">
        <v>3068</v>
      </c>
      <c r="I31" s="22" t="s">
        <v>3069</v>
      </c>
      <c r="J31" s="22" t="s">
        <v>3070</v>
      </c>
      <c r="K31" s="22" t="n">
        <v>78</v>
      </c>
      <c r="L31" s="22" t="s">
        <v>3071</v>
      </c>
      <c r="M31" s="31" t="s">
        <v>19</v>
      </c>
      <c r="N31" s="22" t="s">
        <v>3072</v>
      </c>
      <c r="O31" s="22" t="s">
        <v>3073</v>
      </c>
    </row>
    <row r="32" customFormat="false" ht="274.5" hidden="false" customHeight="true" outlineLevel="0" collapsed="false">
      <c r="A32" s="36" t="s">
        <v>1307</v>
      </c>
      <c r="B32" s="22" t="s">
        <v>3074</v>
      </c>
      <c r="C32" s="22" t="s">
        <v>3063</v>
      </c>
      <c r="D32" s="22" t="s">
        <v>3075</v>
      </c>
      <c r="E32" s="22" t="s">
        <v>3076</v>
      </c>
      <c r="F32" s="22" t="s">
        <v>3066</v>
      </c>
      <c r="G32" s="22" t="s">
        <v>3067</v>
      </c>
      <c r="H32" s="22" t="s">
        <v>3068</v>
      </c>
      <c r="I32" s="22" t="s">
        <v>3069</v>
      </c>
      <c r="J32" s="22" t="s">
        <v>3077</v>
      </c>
      <c r="K32" s="22" t="n">
        <v>49</v>
      </c>
      <c r="L32" s="22" t="s">
        <v>3078</v>
      </c>
      <c r="M32" s="31" t="s">
        <v>19</v>
      </c>
      <c r="N32" s="22" t="s">
        <v>3079</v>
      </c>
      <c r="O32" s="22" t="s">
        <v>3080</v>
      </c>
    </row>
    <row r="33" customFormat="false" ht="287.25" hidden="false" customHeight="true" outlineLevel="0" collapsed="false">
      <c r="A33" s="36" t="s">
        <v>3081</v>
      </c>
      <c r="B33" s="22" t="s">
        <v>3082</v>
      </c>
      <c r="C33" s="22" t="s">
        <v>3063</v>
      </c>
      <c r="D33" s="22" t="s">
        <v>3083</v>
      </c>
      <c r="E33" s="22" t="s">
        <v>3084</v>
      </c>
      <c r="F33" s="22" t="s">
        <v>3066</v>
      </c>
      <c r="G33" s="22" t="s">
        <v>3067</v>
      </c>
      <c r="H33" s="22" t="s">
        <v>3068</v>
      </c>
      <c r="I33" s="22" t="s">
        <v>3069</v>
      </c>
      <c r="J33" s="22" t="s">
        <v>3085</v>
      </c>
      <c r="K33" s="22" t="n">
        <v>56</v>
      </c>
      <c r="L33" s="22"/>
      <c r="M33" s="31" t="s">
        <v>19</v>
      </c>
      <c r="N33" s="22" t="s">
        <v>3086</v>
      </c>
      <c r="O33" s="22" t="s">
        <v>3087</v>
      </c>
    </row>
    <row r="34" customFormat="false" ht="249.75" hidden="false" customHeight="true" outlineLevel="0" collapsed="false">
      <c r="A34" s="36" t="s">
        <v>1622</v>
      </c>
      <c r="B34" s="22" t="s">
        <v>3088</v>
      </c>
      <c r="C34" s="22" t="s">
        <v>3063</v>
      </c>
      <c r="D34" s="22" t="s">
        <v>3089</v>
      </c>
      <c r="E34" s="22" t="s">
        <v>3090</v>
      </c>
      <c r="F34" s="22" t="s">
        <v>3066</v>
      </c>
      <c r="G34" s="22" t="s">
        <v>3067</v>
      </c>
      <c r="H34" s="22" t="s">
        <v>3068</v>
      </c>
      <c r="I34" s="22" t="s">
        <v>3091</v>
      </c>
      <c r="J34" s="22" t="s">
        <v>3092</v>
      </c>
      <c r="K34" s="22" t="n">
        <v>56</v>
      </c>
      <c r="L34" s="22" t="s">
        <v>1618</v>
      </c>
      <c r="M34" s="31" t="s">
        <v>19</v>
      </c>
      <c r="N34" s="22" t="s">
        <v>3093</v>
      </c>
      <c r="O34" s="22" t="s">
        <v>3094</v>
      </c>
    </row>
    <row r="35" customFormat="false" ht="162" hidden="false" customHeight="true" outlineLevel="0" collapsed="false">
      <c r="A35" s="36" t="s">
        <v>1365</v>
      </c>
      <c r="B35" s="22" t="s">
        <v>3095</v>
      </c>
      <c r="C35" s="22" t="s">
        <v>3096</v>
      </c>
      <c r="D35" s="22" t="s">
        <v>3097</v>
      </c>
      <c r="E35" s="22" t="s">
        <v>3098</v>
      </c>
      <c r="F35" s="22" t="s">
        <v>3099</v>
      </c>
      <c r="G35" s="22" t="s">
        <v>3100</v>
      </c>
      <c r="H35" s="22" t="s">
        <v>3101</v>
      </c>
      <c r="I35" s="22" t="s">
        <v>3102</v>
      </c>
      <c r="J35" s="22" t="s">
        <v>3103</v>
      </c>
      <c r="K35" s="22" t="n">
        <v>22</v>
      </c>
      <c r="L35" s="22" t="s">
        <v>3104</v>
      </c>
      <c r="M35" s="31" t="s">
        <v>19</v>
      </c>
      <c r="N35" s="22" t="s">
        <v>3105</v>
      </c>
      <c r="O35" s="22" t="s">
        <v>3106</v>
      </c>
    </row>
    <row r="36" customFormat="false" ht="150" hidden="false" customHeight="true" outlineLevel="0" collapsed="false">
      <c r="A36" s="36" t="s">
        <v>1477</v>
      </c>
      <c r="B36" s="22" t="s">
        <v>3107</v>
      </c>
      <c r="C36" s="22" t="s">
        <v>3108</v>
      </c>
      <c r="D36" s="22" t="s">
        <v>3109</v>
      </c>
      <c r="E36" s="22"/>
      <c r="F36" s="22" t="s">
        <v>3110</v>
      </c>
      <c r="G36" s="22" t="s">
        <v>3111</v>
      </c>
      <c r="H36" s="22" t="s">
        <v>3112</v>
      </c>
      <c r="I36" s="22"/>
      <c r="J36" s="22" t="s">
        <v>3113</v>
      </c>
      <c r="K36" s="22" t="n">
        <v>24</v>
      </c>
      <c r="L36" s="22" t="s">
        <v>3114</v>
      </c>
      <c r="M36" s="31" t="s">
        <v>19</v>
      </c>
      <c r="N36" s="22" t="s">
        <v>3115</v>
      </c>
      <c r="O36" s="22" t="s">
        <v>3116</v>
      </c>
    </row>
    <row r="37" customFormat="false" ht="87" hidden="false" customHeight="true" outlineLevel="0" collapsed="false">
      <c r="A37" s="36" t="s">
        <v>1306</v>
      </c>
      <c r="B37" s="22" t="s">
        <v>3117</v>
      </c>
      <c r="C37" s="22" t="s">
        <v>3118</v>
      </c>
      <c r="D37" s="22" t="s">
        <v>3119</v>
      </c>
      <c r="E37" s="22"/>
      <c r="F37" s="22" t="s">
        <v>3120</v>
      </c>
      <c r="G37" s="22" t="s">
        <v>3121</v>
      </c>
      <c r="H37" s="22" t="s">
        <v>3122</v>
      </c>
      <c r="I37" s="22"/>
      <c r="J37" s="22" t="s">
        <v>3123</v>
      </c>
      <c r="K37" s="22" t="n">
        <v>20</v>
      </c>
      <c r="L37" s="22" t="s">
        <v>3124</v>
      </c>
      <c r="M37" s="33" t="s">
        <v>21</v>
      </c>
      <c r="N37" s="22" t="s">
        <v>3125</v>
      </c>
      <c r="O37" s="22" t="s">
        <v>3126</v>
      </c>
    </row>
    <row r="38" customFormat="false" ht="150" hidden="false" customHeight="true" outlineLevel="0" collapsed="false">
      <c r="A38" s="36" t="s">
        <v>1848</v>
      </c>
      <c r="B38" s="22" t="s">
        <v>3127</v>
      </c>
      <c r="C38" s="22" t="s">
        <v>3128</v>
      </c>
      <c r="D38" s="22" t="s">
        <v>3129</v>
      </c>
      <c r="E38" s="22" t="s">
        <v>3130</v>
      </c>
      <c r="F38" s="22" t="s">
        <v>3031</v>
      </c>
      <c r="G38" s="22" t="s">
        <v>3131</v>
      </c>
      <c r="H38" s="22" t="s">
        <v>3132</v>
      </c>
      <c r="I38" s="22" t="s">
        <v>3133</v>
      </c>
      <c r="J38" s="22" t="s">
        <v>3134</v>
      </c>
      <c r="K38" s="22" t="n">
        <v>39</v>
      </c>
      <c r="L38" s="22" t="s">
        <v>3135</v>
      </c>
      <c r="M38" s="31" t="s">
        <v>19</v>
      </c>
      <c r="N38" s="22" t="s">
        <v>3136</v>
      </c>
      <c r="O38" s="22" t="s">
        <v>3137</v>
      </c>
    </row>
    <row r="39" customFormat="false" ht="162" hidden="false" customHeight="true" outlineLevel="0" collapsed="false">
      <c r="A39" s="36" t="s">
        <v>1765</v>
      </c>
      <c r="B39" s="22" t="s">
        <v>3138</v>
      </c>
      <c r="C39" s="22" t="s">
        <v>3139</v>
      </c>
      <c r="D39" s="22" t="s">
        <v>3140</v>
      </c>
      <c r="E39" s="22"/>
      <c r="F39" s="22" t="s">
        <v>3141</v>
      </c>
      <c r="G39" s="22" t="s">
        <v>3142</v>
      </c>
      <c r="H39" s="22" t="s">
        <v>3143</v>
      </c>
      <c r="I39" s="22" t="s">
        <v>3144</v>
      </c>
      <c r="J39" s="22" t="s">
        <v>3145</v>
      </c>
      <c r="K39" s="22" t="n">
        <v>16</v>
      </c>
      <c r="L39" s="22" t="s">
        <v>1761</v>
      </c>
      <c r="M39" s="31" t="s">
        <v>19</v>
      </c>
      <c r="N39" s="22" t="s">
        <v>3146</v>
      </c>
      <c r="O39" s="22" t="s">
        <v>3147</v>
      </c>
    </row>
    <row r="40" customFormat="false" ht="62.25" hidden="false" customHeight="true" outlineLevel="0" collapsed="false">
      <c r="A40" s="36" t="s">
        <v>1563</v>
      </c>
      <c r="B40" s="22" t="s">
        <v>3148</v>
      </c>
      <c r="C40" s="22" t="s">
        <v>3149</v>
      </c>
      <c r="D40" s="22" t="s">
        <v>3150</v>
      </c>
      <c r="E40" s="22"/>
      <c r="F40" s="22" t="s">
        <v>3151</v>
      </c>
      <c r="G40" s="22" t="s">
        <v>3152</v>
      </c>
      <c r="H40" s="22" t="s">
        <v>3153</v>
      </c>
      <c r="I40" s="22"/>
      <c r="J40" s="22" t="s">
        <v>3154</v>
      </c>
      <c r="K40" s="22" t="n">
        <v>41</v>
      </c>
      <c r="L40" s="22" t="s">
        <v>3155</v>
      </c>
      <c r="M40" s="33" t="s">
        <v>21</v>
      </c>
      <c r="N40" s="22" t="s">
        <v>3156</v>
      </c>
      <c r="O40" s="22" t="s">
        <v>3157</v>
      </c>
    </row>
    <row r="41" customFormat="false" ht="124.5" hidden="false" customHeight="true" outlineLevel="0" collapsed="false">
      <c r="A41" s="36" t="s">
        <v>2011</v>
      </c>
      <c r="B41" s="22" t="s">
        <v>3158</v>
      </c>
      <c r="C41" s="22" t="s">
        <v>3159</v>
      </c>
      <c r="D41" s="22" t="s">
        <v>3160</v>
      </c>
      <c r="E41" s="22"/>
      <c r="F41" s="22" t="s">
        <v>3161</v>
      </c>
      <c r="G41" s="22" t="s">
        <v>3162</v>
      </c>
      <c r="H41" s="22" t="s">
        <v>3163</v>
      </c>
      <c r="I41" s="22" t="s">
        <v>3164</v>
      </c>
      <c r="J41" s="22" t="s">
        <v>3165</v>
      </c>
      <c r="K41" s="22" t="n">
        <v>25</v>
      </c>
      <c r="L41" s="22" t="s">
        <v>3166</v>
      </c>
      <c r="M41" s="31" t="s">
        <v>19</v>
      </c>
      <c r="N41" s="22" t="s">
        <v>3167</v>
      </c>
      <c r="O41" s="22" t="s">
        <v>3168</v>
      </c>
    </row>
    <row r="42" customFormat="false" ht="112.5" hidden="false" customHeight="true" outlineLevel="0" collapsed="false">
      <c r="A42" s="36" t="s">
        <v>2040</v>
      </c>
      <c r="B42" s="22" t="s">
        <v>3169</v>
      </c>
      <c r="C42" s="22" t="s">
        <v>3170</v>
      </c>
      <c r="D42" s="22" t="s">
        <v>3171</v>
      </c>
      <c r="E42" s="22"/>
      <c r="F42" s="22" t="s">
        <v>3151</v>
      </c>
      <c r="G42" s="22" t="s">
        <v>3172</v>
      </c>
      <c r="H42" s="22" t="s">
        <v>3173</v>
      </c>
      <c r="I42" s="22" t="s">
        <v>3174</v>
      </c>
      <c r="J42" s="22" t="s">
        <v>3175</v>
      </c>
      <c r="K42" s="22" t="n">
        <v>23</v>
      </c>
      <c r="L42" s="22" t="s">
        <v>3176</v>
      </c>
      <c r="M42" s="31" t="s">
        <v>19</v>
      </c>
      <c r="N42" s="22" t="s">
        <v>3177</v>
      </c>
      <c r="O42" s="22" t="s">
        <v>3178</v>
      </c>
    </row>
    <row r="43" customFormat="false" ht="150" hidden="false" customHeight="true" outlineLevel="0" collapsed="false">
      <c r="A43" s="36" t="s">
        <v>2069</v>
      </c>
      <c r="B43" s="22" t="s">
        <v>3179</v>
      </c>
      <c r="C43" s="22" t="s">
        <v>3180</v>
      </c>
      <c r="D43" s="22" t="s">
        <v>3181</v>
      </c>
      <c r="E43" s="22"/>
      <c r="F43" s="22" t="s">
        <v>3182</v>
      </c>
      <c r="G43" s="22" t="s">
        <v>3183</v>
      </c>
      <c r="H43" s="22" t="s">
        <v>3184</v>
      </c>
      <c r="I43" s="22" t="s">
        <v>3185</v>
      </c>
      <c r="J43" s="22" t="s">
        <v>3186</v>
      </c>
      <c r="K43" s="22" t="n">
        <v>12</v>
      </c>
      <c r="L43" s="22" t="s">
        <v>2065</v>
      </c>
      <c r="M43" s="34" t="s">
        <v>17</v>
      </c>
      <c r="N43" s="22" t="s">
        <v>3187</v>
      </c>
      <c r="O43" s="22" t="s">
        <v>3188</v>
      </c>
    </row>
    <row r="44" customFormat="false" ht="49.5" hidden="false" customHeight="true" outlineLevel="0" collapsed="false">
      <c r="A44" s="36" t="s">
        <v>2070</v>
      </c>
      <c r="B44" s="22" t="s">
        <v>3189</v>
      </c>
      <c r="C44" s="22" t="s">
        <v>3190</v>
      </c>
      <c r="D44" s="22" t="s">
        <v>3191</v>
      </c>
      <c r="E44" s="22"/>
      <c r="F44" s="22" t="s">
        <v>3151</v>
      </c>
      <c r="G44" s="22" t="s">
        <v>3192</v>
      </c>
      <c r="H44" s="22" t="s">
        <v>3193</v>
      </c>
      <c r="I44" s="22" t="s">
        <v>3174</v>
      </c>
      <c r="J44" s="22" t="s">
        <v>3194</v>
      </c>
      <c r="K44" s="22" t="n">
        <v>8</v>
      </c>
      <c r="L44" s="22" t="s">
        <v>3195</v>
      </c>
      <c r="M44" s="33" t="s">
        <v>21</v>
      </c>
      <c r="N44" s="22" t="s">
        <v>3196</v>
      </c>
      <c r="O44" s="22" t="s">
        <v>3197</v>
      </c>
    </row>
    <row r="45" customFormat="false" ht="75" hidden="false" customHeight="true" outlineLevel="0" collapsed="false">
      <c r="A45" s="36" t="s">
        <v>2099</v>
      </c>
      <c r="B45" s="22" t="s">
        <v>3198</v>
      </c>
      <c r="C45" s="22" t="s">
        <v>3199</v>
      </c>
      <c r="D45" s="22" t="s">
        <v>3200</v>
      </c>
      <c r="E45" s="22" t="s">
        <v>3201</v>
      </c>
      <c r="F45" s="22" t="s">
        <v>3202</v>
      </c>
      <c r="G45" s="22" t="s">
        <v>3203</v>
      </c>
      <c r="H45" s="22" t="s">
        <v>3204</v>
      </c>
      <c r="I45" s="22" t="s">
        <v>3205</v>
      </c>
      <c r="J45" s="22" t="s">
        <v>3206</v>
      </c>
      <c r="K45" s="22" t="n">
        <v>13</v>
      </c>
      <c r="L45" s="22" t="s">
        <v>2095</v>
      </c>
      <c r="M45" s="33" t="s">
        <v>21</v>
      </c>
      <c r="N45" s="22" t="s">
        <v>3207</v>
      </c>
      <c r="O45" s="22" t="s">
        <v>3208</v>
      </c>
    </row>
    <row r="46" customFormat="false" ht="24.75" hidden="false" customHeight="true" outlineLevel="0" collapsed="false">
      <c r="A46" s="36" t="s">
        <v>2100</v>
      </c>
      <c r="B46" s="22" t="s">
        <v>3209</v>
      </c>
      <c r="C46" s="22" t="s">
        <v>3210</v>
      </c>
      <c r="D46" s="22" t="s">
        <v>3211</v>
      </c>
      <c r="E46" s="22"/>
      <c r="F46" s="22" t="s">
        <v>3212</v>
      </c>
      <c r="G46" s="22" t="s">
        <v>3192</v>
      </c>
      <c r="H46" s="22" t="s">
        <v>3213</v>
      </c>
      <c r="I46" s="22" t="s">
        <v>3214</v>
      </c>
      <c r="J46" s="22" t="s">
        <v>3215</v>
      </c>
      <c r="K46" s="22" t="n">
        <v>11</v>
      </c>
      <c r="L46" s="22" t="s">
        <v>2095</v>
      </c>
      <c r="M46" s="33" t="s">
        <v>21</v>
      </c>
      <c r="N46" s="22" t="s">
        <v>3216</v>
      </c>
      <c r="O46" s="22" t="s">
        <v>3217</v>
      </c>
    </row>
    <row r="47" customFormat="false" ht="75" hidden="false" customHeight="true" outlineLevel="0" collapsed="false">
      <c r="A47" s="36" t="s">
        <v>1593</v>
      </c>
      <c r="B47" s="22" t="s">
        <v>3218</v>
      </c>
      <c r="C47" s="22" t="s">
        <v>3219</v>
      </c>
      <c r="D47" s="22" t="s">
        <v>3220</v>
      </c>
      <c r="E47" s="22" t="s">
        <v>3221</v>
      </c>
      <c r="F47" s="22" t="s">
        <v>3044</v>
      </c>
      <c r="G47" s="22" t="s">
        <v>3222</v>
      </c>
      <c r="H47" s="22" t="s">
        <v>3223</v>
      </c>
      <c r="I47" s="22" t="s">
        <v>3224</v>
      </c>
      <c r="J47" s="22" t="s">
        <v>3225</v>
      </c>
      <c r="K47" s="22" t="n">
        <v>29</v>
      </c>
      <c r="L47" s="22" t="s">
        <v>1589</v>
      </c>
      <c r="M47" s="31" t="s">
        <v>19</v>
      </c>
      <c r="N47" s="22" t="s">
        <v>3226</v>
      </c>
      <c r="O47" s="22" t="s">
        <v>3227</v>
      </c>
    </row>
    <row r="48" customFormat="false" ht="137.25" hidden="false" customHeight="true" outlineLevel="0" collapsed="false">
      <c r="A48" s="36" t="s">
        <v>185</v>
      </c>
      <c r="B48" s="22" t="s">
        <v>3228</v>
      </c>
      <c r="C48" s="22" t="s">
        <v>3229</v>
      </c>
      <c r="D48" s="22" t="s">
        <v>3230</v>
      </c>
      <c r="E48" s="22"/>
      <c r="F48" s="22" t="s">
        <v>3151</v>
      </c>
      <c r="G48" s="22" t="s">
        <v>3231</v>
      </c>
      <c r="H48" s="22" t="s">
        <v>3232</v>
      </c>
      <c r="I48" s="22"/>
      <c r="J48" s="22" t="s">
        <v>3233</v>
      </c>
      <c r="K48" s="22" t="n">
        <v>33</v>
      </c>
      <c r="L48" s="22" t="s">
        <v>3234</v>
      </c>
      <c r="M48" s="33" t="s">
        <v>21</v>
      </c>
      <c r="N48" s="22" t="s">
        <v>3235</v>
      </c>
      <c r="O48" s="22" t="s">
        <v>3236</v>
      </c>
    </row>
    <row r="49" customFormat="false" ht="137.25" hidden="false" customHeight="true" outlineLevel="0" collapsed="false">
      <c r="A49" s="36" t="s">
        <v>523</v>
      </c>
      <c r="B49" s="22" t="s">
        <v>3237</v>
      </c>
      <c r="C49" s="22" t="s">
        <v>3229</v>
      </c>
      <c r="D49" s="22" t="s">
        <v>3238</v>
      </c>
      <c r="E49" s="22"/>
      <c r="F49" s="22" t="s">
        <v>3151</v>
      </c>
      <c r="G49" s="22" t="s">
        <v>3231</v>
      </c>
      <c r="H49" s="22" t="s">
        <v>3239</v>
      </c>
      <c r="I49" s="22"/>
      <c r="J49" s="22" t="s">
        <v>3240</v>
      </c>
      <c r="K49" s="22" t="n">
        <v>36</v>
      </c>
      <c r="L49" s="22" t="s">
        <v>3241</v>
      </c>
      <c r="M49" s="33" t="s">
        <v>21</v>
      </c>
      <c r="N49" s="22" t="s">
        <v>3235</v>
      </c>
      <c r="O49" s="22" t="s">
        <v>3236</v>
      </c>
    </row>
    <row r="50" customFormat="false" ht="137.25" hidden="false" customHeight="true" outlineLevel="0" collapsed="false">
      <c r="A50" s="36" t="s">
        <v>692</v>
      </c>
      <c r="B50" s="22" t="s">
        <v>3242</v>
      </c>
      <c r="C50" s="22" t="s">
        <v>3229</v>
      </c>
      <c r="D50" s="22" t="s">
        <v>3243</v>
      </c>
      <c r="E50" s="22"/>
      <c r="F50" s="22" t="s">
        <v>3244</v>
      </c>
      <c r="G50" s="22" t="s">
        <v>3231</v>
      </c>
      <c r="H50" s="22" t="s">
        <v>3245</v>
      </c>
      <c r="I50" s="22"/>
      <c r="J50" s="22" t="s">
        <v>3246</v>
      </c>
      <c r="K50" s="22" t="n">
        <v>18</v>
      </c>
      <c r="L50" s="22" t="s">
        <v>3247</v>
      </c>
      <c r="M50" s="33" t="s">
        <v>21</v>
      </c>
      <c r="N50" s="22" t="s">
        <v>3235</v>
      </c>
      <c r="O50" s="22" t="s">
        <v>3236</v>
      </c>
    </row>
    <row r="51" customFormat="false" ht="137.25" hidden="false" customHeight="true" outlineLevel="0" collapsed="false">
      <c r="A51" s="36" t="s">
        <v>893</v>
      </c>
      <c r="B51" s="22" t="s">
        <v>3248</v>
      </c>
      <c r="C51" s="22" t="s">
        <v>3229</v>
      </c>
      <c r="D51" s="22" t="s">
        <v>3249</v>
      </c>
      <c r="E51" s="22"/>
      <c r="F51" s="22" t="s">
        <v>3250</v>
      </c>
      <c r="G51" s="22" t="s">
        <v>3231</v>
      </c>
      <c r="H51" s="22" t="s">
        <v>3251</v>
      </c>
      <c r="I51" s="22"/>
      <c r="J51" s="22" t="s">
        <v>3252</v>
      </c>
      <c r="K51" s="22" t="n">
        <v>10</v>
      </c>
      <c r="L51" s="22" t="s">
        <v>3253</v>
      </c>
      <c r="M51" s="33" t="s">
        <v>21</v>
      </c>
      <c r="N51" s="22" t="s">
        <v>3235</v>
      </c>
      <c r="O51" s="22" t="s">
        <v>3236</v>
      </c>
    </row>
    <row r="52" customFormat="false" ht="162" hidden="false" customHeight="true" outlineLevel="0" collapsed="false">
      <c r="A52" s="36" t="s">
        <v>637</v>
      </c>
      <c r="B52" s="22" t="s">
        <v>3254</v>
      </c>
      <c r="C52" s="22" t="s">
        <v>3229</v>
      </c>
      <c r="D52" s="22" t="s">
        <v>3249</v>
      </c>
      <c r="E52" s="22"/>
      <c r="F52" s="22" t="s">
        <v>3151</v>
      </c>
      <c r="G52" s="22" t="s">
        <v>3231</v>
      </c>
      <c r="H52" s="22" t="s">
        <v>3255</v>
      </c>
      <c r="I52" s="22"/>
      <c r="J52" s="22" t="s">
        <v>3256</v>
      </c>
      <c r="K52" s="22" t="n">
        <v>13</v>
      </c>
      <c r="L52" s="22" t="s">
        <v>3257</v>
      </c>
      <c r="M52" s="33" t="s">
        <v>21</v>
      </c>
      <c r="N52" s="22" t="s">
        <v>3235</v>
      </c>
      <c r="O52" s="22" t="s">
        <v>3258</v>
      </c>
    </row>
    <row r="53" customFormat="false" ht="87" hidden="false" customHeight="true" outlineLevel="0" collapsed="false">
      <c r="A53" s="36" t="s">
        <v>2041</v>
      </c>
      <c r="B53" s="22" t="s">
        <v>3259</v>
      </c>
      <c r="C53" s="22" t="s">
        <v>3260</v>
      </c>
      <c r="D53" s="22" t="s">
        <v>3261</v>
      </c>
      <c r="E53" s="22"/>
      <c r="F53" s="22" t="s">
        <v>3262</v>
      </c>
      <c r="G53" s="22" t="s">
        <v>3263</v>
      </c>
      <c r="H53" s="22" t="s">
        <v>3264</v>
      </c>
      <c r="I53" s="22"/>
      <c r="J53" s="22" t="s">
        <v>3265</v>
      </c>
      <c r="K53" s="22" t="n">
        <v>16</v>
      </c>
      <c r="L53" s="22" t="s">
        <v>3266</v>
      </c>
      <c r="M53" s="33" t="s">
        <v>21</v>
      </c>
      <c r="N53" s="22" t="s">
        <v>3267</v>
      </c>
      <c r="O53" s="22" t="s">
        <v>3268</v>
      </c>
    </row>
    <row r="54" customFormat="false" ht="87" hidden="false" customHeight="true" outlineLevel="0" collapsed="false">
      <c r="A54" s="36" t="s">
        <v>2532</v>
      </c>
      <c r="B54" s="22" t="s">
        <v>3269</v>
      </c>
      <c r="C54" s="22" t="s">
        <v>3229</v>
      </c>
      <c r="D54" s="22" t="s">
        <v>3270</v>
      </c>
      <c r="E54" s="22"/>
      <c r="F54" s="22" t="s">
        <v>3271</v>
      </c>
      <c r="G54" s="22" t="s">
        <v>3231</v>
      </c>
      <c r="H54" s="22" t="s">
        <v>3272</v>
      </c>
      <c r="I54" s="22"/>
      <c r="J54" s="22" t="s">
        <v>3273</v>
      </c>
      <c r="K54" s="22" t="n">
        <v>21</v>
      </c>
      <c r="L54" s="22" t="s">
        <v>2528</v>
      </c>
      <c r="M54" s="33" t="s">
        <v>21</v>
      </c>
      <c r="N54" s="22" t="s">
        <v>3235</v>
      </c>
      <c r="O54" s="22" t="s">
        <v>3274</v>
      </c>
    </row>
    <row r="55" customFormat="false" ht="137.25" hidden="false" customHeight="true" outlineLevel="0" collapsed="false">
      <c r="A55" s="36" t="s">
        <v>2560</v>
      </c>
      <c r="B55" s="22" t="s">
        <v>3275</v>
      </c>
      <c r="C55" s="22" t="s">
        <v>3229</v>
      </c>
      <c r="D55" s="22" t="s">
        <v>3276</v>
      </c>
      <c r="E55" s="22"/>
      <c r="F55" s="22" t="s">
        <v>3250</v>
      </c>
      <c r="G55" s="22" t="s">
        <v>3231</v>
      </c>
      <c r="H55" s="22" t="s">
        <v>3277</v>
      </c>
      <c r="I55" s="22"/>
      <c r="J55" s="22" t="s">
        <v>3278</v>
      </c>
      <c r="K55" s="22" t="n">
        <v>18</v>
      </c>
      <c r="L55" s="22" t="s">
        <v>2556</v>
      </c>
      <c r="M55" s="33" t="s">
        <v>21</v>
      </c>
      <c r="N55" s="22" t="s">
        <v>3235</v>
      </c>
      <c r="O55" s="22" t="s">
        <v>3236</v>
      </c>
    </row>
    <row r="56" customFormat="false" ht="87" hidden="false" customHeight="true" outlineLevel="0" collapsed="false">
      <c r="A56" s="36" t="s">
        <v>2561</v>
      </c>
      <c r="B56" s="22" t="s">
        <v>3279</v>
      </c>
      <c r="C56" s="22" t="s">
        <v>3229</v>
      </c>
      <c r="D56" s="22" t="s">
        <v>3280</v>
      </c>
      <c r="E56" s="22"/>
      <c r="F56" s="22" t="s">
        <v>3281</v>
      </c>
      <c r="G56" s="22" t="s">
        <v>3231</v>
      </c>
      <c r="H56" s="22" t="s">
        <v>3282</v>
      </c>
      <c r="I56" s="22"/>
      <c r="J56" s="22" t="s">
        <v>3283</v>
      </c>
      <c r="K56" s="22" t="n">
        <v>14</v>
      </c>
      <c r="L56" s="22" t="s">
        <v>2556</v>
      </c>
      <c r="M56" s="33" t="s">
        <v>21</v>
      </c>
      <c r="N56" s="22" t="s">
        <v>3235</v>
      </c>
      <c r="O56" s="22" t="s">
        <v>3284</v>
      </c>
    </row>
    <row r="57" customFormat="false" ht="87" hidden="false" customHeight="true" outlineLevel="0" collapsed="false">
      <c r="A57" s="36" t="s">
        <v>2478</v>
      </c>
      <c r="B57" s="22" t="s">
        <v>3285</v>
      </c>
      <c r="C57" s="22" t="s">
        <v>3229</v>
      </c>
      <c r="D57" s="22" t="s">
        <v>3286</v>
      </c>
      <c r="E57" s="22"/>
      <c r="F57" s="22" t="s">
        <v>3287</v>
      </c>
      <c r="G57" s="22" t="s">
        <v>3231</v>
      </c>
      <c r="H57" s="22" t="s">
        <v>3288</v>
      </c>
      <c r="I57" s="22"/>
      <c r="J57" s="22" t="s">
        <v>3289</v>
      </c>
      <c r="K57" s="22" t="n">
        <v>16</v>
      </c>
      <c r="L57" s="22" t="s">
        <v>2474</v>
      </c>
      <c r="M57" s="33" t="s">
        <v>21</v>
      </c>
      <c r="N57" s="22" t="s">
        <v>3235</v>
      </c>
      <c r="O57" s="22" t="s">
        <v>3290</v>
      </c>
    </row>
    <row r="58" customFormat="false" ht="112.5" hidden="false" customHeight="true" outlineLevel="0" collapsed="false">
      <c r="A58" s="36" t="s">
        <v>1929</v>
      </c>
      <c r="B58" s="22" t="s">
        <v>3291</v>
      </c>
      <c r="C58" s="22" t="s">
        <v>3229</v>
      </c>
      <c r="D58" s="22" t="s">
        <v>3292</v>
      </c>
      <c r="E58" s="22"/>
      <c r="F58" s="22" t="s">
        <v>3293</v>
      </c>
      <c r="G58" s="22" t="s">
        <v>3231</v>
      </c>
      <c r="H58" s="22" t="s">
        <v>3294</v>
      </c>
      <c r="I58" s="22"/>
      <c r="J58" s="22" t="s">
        <v>3295</v>
      </c>
      <c r="K58" s="22" t="n">
        <v>17</v>
      </c>
      <c r="L58" s="22" t="s">
        <v>3296</v>
      </c>
      <c r="M58" s="33" t="s">
        <v>21</v>
      </c>
      <c r="N58" s="22" t="s">
        <v>3235</v>
      </c>
      <c r="O58" s="22" t="s">
        <v>3297</v>
      </c>
    </row>
    <row r="59" customFormat="false" ht="87" hidden="false" customHeight="true" outlineLevel="0" collapsed="false">
      <c r="A59" s="36" t="s">
        <v>1930</v>
      </c>
      <c r="B59" s="22" t="s">
        <v>3298</v>
      </c>
      <c r="C59" s="22" t="s">
        <v>3229</v>
      </c>
      <c r="D59" s="22" t="s">
        <v>3299</v>
      </c>
      <c r="E59" s="22"/>
      <c r="F59" s="22" t="s">
        <v>3300</v>
      </c>
      <c r="G59" s="22" t="s">
        <v>3231</v>
      </c>
      <c r="H59" s="22" t="s">
        <v>3301</v>
      </c>
      <c r="I59" s="22"/>
      <c r="J59" s="22" t="s">
        <v>3302</v>
      </c>
      <c r="K59" s="22" t="n">
        <v>11</v>
      </c>
      <c r="L59" s="22" t="s">
        <v>3303</v>
      </c>
      <c r="M59" s="33" t="s">
        <v>21</v>
      </c>
      <c r="N59" s="22" t="s">
        <v>3235</v>
      </c>
      <c r="O59" s="22" t="s">
        <v>3304</v>
      </c>
    </row>
    <row r="60" customFormat="false" ht="137.25" hidden="false" customHeight="true" outlineLevel="0" collapsed="false">
      <c r="A60" s="36" t="s">
        <v>1336</v>
      </c>
      <c r="B60" s="22" t="s">
        <v>3305</v>
      </c>
      <c r="C60" s="22" t="s">
        <v>3229</v>
      </c>
      <c r="D60" s="22" t="s">
        <v>3249</v>
      </c>
      <c r="E60" s="22"/>
      <c r="F60" s="22" t="s">
        <v>3306</v>
      </c>
      <c r="G60" s="22" t="s">
        <v>3231</v>
      </c>
      <c r="H60" s="22" t="s">
        <v>3307</v>
      </c>
      <c r="I60" s="22"/>
      <c r="J60" s="22" t="s">
        <v>3308</v>
      </c>
      <c r="K60" s="22" t="n">
        <v>22</v>
      </c>
      <c r="L60" s="22" t="s">
        <v>3309</v>
      </c>
      <c r="M60" s="33" t="s">
        <v>21</v>
      </c>
      <c r="N60" s="22" t="s">
        <v>3235</v>
      </c>
      <c r="O60" s="22" t="s">
        <v>3236</v>
      </c>
    </row>
    <row r="61" customFormat="false" ht="87" hidden="false" customHeight="true" outlineLevel="0" collapsed="false">
      <c r="A61" s="36" t="s">
        <v>892</v>
      </c>
      <c r="B61" s="22" t="s">
        <v>3310</v>
      </c>
      <c r="C61" s="22" t="s">
        <v>3229</v>
      </c>
      <c r="D61" s="22" t="s">
        <v>3311</v>
      </c>
      <c r="E61" s="22"/>
      <c r="F61" s="22" t="s">
        <v>3312</v>
      </c>
      <c r="G61" s="22" t="s">
        <v>3231</v>
      </c>
      <c r="H61" s="22" t="s">
        <v>3313</v>
      </c>
      <c r="I61" s="22"/>
      <c r="J61" s="22" t="s">
        <v>3314</v>
      </c>
      <c r="K61" s="22" t="n">
        <v>13</v>
      </c>
      <c r="L61" s="22" t="s">
        <v>3315</v>
      </c>
      <c r="M61" s="33" t="s">
        <v>21</v>
      </c>
      <c r="N61" s="22" t="s">
        <v>3235</v>
      </c>
      <c r="O61" s="22" t="s">
        <v>3316</v>
      </c>
    </row>
    <row r="62" customFormat="false" ht="75" hidden="false" customHeight="true" outlineLevel="0" collapsed="false">
      <c r="A62" s="36" t="s">
        <v>2668</v>
      </c>
      <c r="B62" s="22" t="s">
        <v>3317</v>
      </c>
      <c r="C62" s="22" t="s">
        <v>3318</v>
      </c>
      <c r="D62" s="22" t="s">
        <v>3319</v>
      </c>
      <c r="E62" s="22"/>
      <c r="F62" s="22" t="s">
        <v>3320</v>
      </c>
      <c r="G62" s="22" t="s">
        <v>3321</v>
      </c>
      <c r="H62" s="22" t="s">
        <v>3322</v>
      </c>
      <c r="I62" s="22"/>
      <c r="J62" s="22" t="s">
        <v>3323</v>
      </c>
      <c r="K62" s="22" t="n">
        <v>26</v>
      </c>
      <c r="L62" s="22" t="s">
        <v>2664</v>
      </c>
      <c r="M62" s="33" t="s">
        <v>21</v>
      </c>
      <c r="N62" s="22" t="s">
        <v>3324</v>
      </c>
      <c r="O62" s="22" t="s">
        <v>3325</v>
      </c>
    </row>
    <row r="63" customFormat="false" ht="75" hidden="false" customHeight="true" outlineLevel="0" collapsed="false">
      <c r="A63" s="36" t="s">
        <v>720</v>
      </c>
      <c r="B63" s="22" t="s">
        <v>3326</v>
      </c>
      <c r="C63" s="22" t="s">
        <v>3327</v>
      </c>
      <c r="D63" s="22" t="s">
        <v>3328</v>
      </c>
      <c r="E63" s="22"/>
      <c r="F63" s="22"/>
      <c r="G63" s="22"/>
      <c r="H63" s="22"/>
      <c r="I63" s="22"/>
      <c r="J63" s="22"/>
      <c r="K63" s="22" t="n">
        <v>7</v>
      </c>
      <c r="L63" s="22" t="s">
        <v>717</v>
      </c>
      <c r="M63" s="33" t="s">
        <v>21</v>
      </c>
      <c r="N63" s="22" t="s">
        <v>3329</v>
      </c>
      <c r="O63" s="22"/>
    </row>
    <row r="64" customFormat="false" ht="75" hidden="false" customHeight="true" outlineLevel="0" collapsed="false">
      <c r="A64" s="36" t="s">
        <v>3330</v>
      </c>
      <c r="B64" s="22" t="s">
        <v>3331</v>
      </c>
      <c r="C64" s="22" t="s">
        <v>3332</v>
      </c>
      <c r="D64" s="22" t="s">
        <v>3328</v>
      </c>
      <c r="E64" s="22"/>
      <c r="F64" s="22"/>
      <c r="G64" s="22"/>
      <c r="H64" s="22"/>
      <c r="I64" s="22"/>
      <c r="J64" s="22"/>
      <c r="K64" s="22" t="n">
        <v>9</v>
      </c>
      <c r="L64" s="22"/>
      <c r="M64" s="33" t="s">
        <v>21</v>
      </c>
      <c r="N64" s="22" t="s">
        <v>3333</v>
      </c>
      <c r="O64" s="22"/>
    </row>
    <row r="65" customFormat="false" ht="49.5" hidden="false" customHeight="true" outlineLevel="0" collapsed="false">
      <c r="A65" s="36" t="s">
        <v>3334</v>
      </c>
      <c r="B65" s="22" t="s">
        <v>3335</v>
      </c>
      <c r="C65" s="22" t="s">
        <v>3336</v>
      </c>
      <c r="D65" s="22" t="s">
        <v>3328</v>
      </c>
      <c r="E65" s="22"/>
      <c r="F65" s="22"/>
      <c r="G65" s="22"/>
      <c r="H65" s="22"/>
      <c r="I65" s="22"/>
      <c r="J65" s="22"/>
      <c r="K65" s="22" t="n">
        <v>8</v>
      </c>
      <c r="L65" s="22"/>
      <c r="M65" s="33" t="s">
        <v>21</v>
      </c>
      <c r="N65" s="22" t="s">
        <v>3337</v>
      </c>
      <c r="O65" s="22"/>
    </row>
    <row r="66" customFormat="false" ht="49.5" hidden="false" customHeight="true" outlineLevel="0" collapsed="false">
      <c r="A66" s="36" t="s">
        <v>3338</v>
      </c>
      <c r="B66" s="22" t="s">
        <v>3339</v>
      </c>
      <c r="C66" s="22" t="s">
        <v>3340</v>
      </c>
      <c r="D66" s="22" t="s">
        <v>3328</v>
      </c>
      <c r="E66" s="22"/>
      <c r="F66" s="22"/>
      <c r="G66" s="22"/>
      <c r="H66" s="22"/>
      <c r="I66" s="22"/>
      <c r="J66" s="22"/>
      <c r="K66" s="22" t="n">
        <v>10</v>
      </c>
      <c r="L66" s="22"/>
      <c r="M66" s="33" t="s">
        <v>21</v>
      </c>
      <c r="N66" s="22" t="s">
        <v>3341</v>
      </c>
      <c r="O66" s="22"/>
    </row>
    <row r="67" customFormat="false" ht="49.5" hidden="false" customHeight="true" outlineLevel="0" collapsed="false">
      <c r="A67" s="36" t="s">
        <v>3342</v>
      </c>
      <c r="B67" s="22" t="s">
        <v>3343</v>
      </c>
      <c r="C67" s="22" t="s">
        <v>3344</v>
      </c>
      <c r="D67" s="22" t="s">
        <v>3328</v>
      </c>
      <c r="E67" s="22"/>
      <c r="F67" s="22"/>
      <c r="G67" s="22"/>
      <c r="H67" s="22"/>
      <c r="I67" s="22"/>
      <c r="J67" s="22"/>
      <c r="K67" s="22" t="n">
        <v>11</v>
      </c>
      <c r="L67" s="22"/>
      <c r="M67" s="33" t="s">
        <v>21</v>
      </c>
      <c r="N67" s="22" t="s">
        <v>3345</v>
      </c>
      <c r="O67" s="22"/>
    </row>
  </sheetData>
  <autoFilter ref="A4:O67"/>
  <mergeCells count="2">
    <mergeCell ref="A1:N1"/>
    <mergeCell ref="A2:O2"/>
  </mergeCells>
  <hyperlinks>
    <hyperlink ref="O1" r:id="rId1" location="'Contents'!A1" display="← Contents"/>
    <hyperlink ref="A5" r:id="rId2" location="'Document%20Fields'!A5" display="GSTR1"/>
    <hyperlink ref="A6" r:id="rId3" location="'Document%20Fields'!A5" display="GSTR1A"/>
    <hyperlink ref="A7" r:id="rId4" location="'Document%20Fields'!A5" display="IFF"/>
    <hyperlink ref="A8" r:id="rId5" location="'Document%20Fields'!A5" display="GSTR3B"/>
    <hyperlink ref="A9" r:id="rId6" location="'Document%20Fields'!A5" display="GSTR2A"/>
    <hyperlink ref="A10" r:id="rId7" location="'Document%20Fields'!A5" display="GSTR2B"/>
    <hyperlink ref="A11" r:id="rId8" location="'Document%20Fields'!A5" display="IMS"/>
    <hyperlink ref="A12" r:id="rId9" location="'Document%20Fields'!A5" display="GSTR9"/>
    <hyperlink ref="A13" r:id="rId10" location="'Document%20Fields'!A5" display="GSTR9C"/>
    <hyperlink ref="A14" r:id="rId11" location="'Document%20Fields'!A5" display="GSTR4"/>
    <hyperlink ref="A15" r:id="rId12" location="'Document%20Fields'!A5" display="CMP08"/>
    <hyperlink ref="A16" r:id="rId13" location="'Document%20Fields'!A5" display="GSTR7"/>
    <hyperlink ref="A17" r:id="rId14" location="'Document%20Fields'!A5" display="GSTR8"/>
    <hyperlink ref="A18" r:id="rId15" location="'Document%20Fields'!A5" display="EINV"/>
    <hyperlink ref="A19" r:id="rId16" location="'Document%20Fields'!A5" display="EWB"/>
    <hyperlink ref="A20" r:id="rId17" location="'Document%20Fields'!A5" display="ECL"/>
    <hyperlink ref="A21" r:id="rId18" location="'Document%20Fields'!A5" display="ECRL"/>
    <hyperlink ref="A22" r:id="rId19" location="'Document%20Fields'!A5" display="ELL"/>
    <hyperlink ref="A23" r:id="rId20" location="'Document%20Fields'!A5" display="ECRRS"/>
    <hyperlink ref="A24" r:id="rId21" location="'Document%20Fields'!A5" display="DRC03"/>
    <hyperlink ref="A25" r:id="rId22" location="'Document%20Fields'!A5" display="F26AS"/>
    <hyperlink ref="A26" r:id="rId23" location="'Document%20Fields'!A5" display="AIS"/>
    <hyperlink ref="A27" r:id="rId24" location="'Document%20Fields'!A5" display="TIS"/>
    <hyperlink ref="A28" r:id="rId25" location="'Document%20Fields'!A5" display="ITR"/>
    <hyperlink ref="A29" r:id="rId26" location="'Document%20Fields'!A5" display="F16"/>
    <hyperlink ref="A30" r:id="rId27" location="'Document%20Fields'!A5" display="F16A"/>
    <hyperlink ref="A31" r:id="rId28" location="'Document%20Fields'!A5" display="TDS_RET_24Q"/>
    <hyperlink ref="A32" r:id="rId29" location="'Document%20Fields'!A5" display="TDS_RET_26Q"/>
    <hyperlink ref="A33" r:id="rId30" location="'Document%20Fields'!A5" display="TDS_RET_27Q"/>
    <hyperlink ref="A34" r:id="rId31" location="'Document%20Fields'!A5" display="TCS_RET_27EQ"/>
    <hyperlink ref="A35" r:id="rId32" location="'Document%20Fields'!A5" display="TDS_CHALLAN"/>
    <hyperlink ref="A36" r:id="rId33" location="'Document%20Fields'!A5" display="TRACES_JUST"/>
    <hyperlink ref="A37" r:id="rId34" location="'Document%20Fields'!A5" display="TDS_LEDGER"/>
    <hyperlink ref="A38" r:id="rId35" location="'Document%20Fields'!A5" display="F3CD"/>
    <hyperlink ref="A39" r:id="rId36" location="'Document%20Fields'!A5" display="ADV_TAX_CHALLAN"/>
    <hyperlink ref="A40" r:id="rId37" location="'Document%20Fields'!A5" display="PAYROLL_REG"/>
    <hyperlink ref="A41" r:id="rId38" location="'Document%20Fields'!A5" display="ECR"/>
    <hyperlink ref="A42" r:id="rId39" location="'Document%20Fields'!A5" display="EPF_CHALLAN"/>
    <hyperlink ref="A43" r:id="rId40" location="'Document%20Fields'!A5" display="ESIC_RET"/>
    <hyperlink ref="A44" r:id="rId41" location="'Document%20Fields'!A5" display="ESIC_CHALLAN"/>
    <hyperlink ref="A45" r:id="rId42" location="'Document%20Fields'!A5" display="PT_RET"/>
    <hyperlink ref="A46" r:id="rId43" location="'Document%20Fields'!A5" display="PT_CHALLAN"/>
    <hyperlink ref="A47" r:id="rId44" location="'Document%20Fields'!A5" display="F16_PARTB"/>
    <hyperlink ref="A48" r:id="rId45" location="'Document%20Fields'!A5" display="SALES_REG"/>
    <hyperlink ref="A49" r:id="rId46" location="'Document%20Fields'!A5" display="PURCH_REG"/>
    <hyperlink ref="A50" r:id="rId47" location="'Document%20Fields'!A5" display="GL"/>
    <hyperlink ref="A51" r:id="rId48" location="'Document%20Fields'!A5" display="TB"/>
    <hyperlink ref="A52" r:id="rId49" location="'Document%20Fields'!A5" display="BANK_BOOK"/>
    <hyperlink ref="A53" r:id="rId50" location="'Document%20Fields'!A5" display="BANK_STMT"/>
    <hyperlink ref="A54" r:id="rId51" location="'Document%20Fields'!A5" display="FAR"/>
    <hyperlink ref="A55" r:id="rId52" location="'Document%20Fields'!A5" display="STOCK_REG"/>
    <hyperlink ref="A56" r:id="rId53" location="'Document%20Fields'!A5" display="STOCK_STMT_BANK"/>
    <hyperlink ref="A57" r:id="rId54" location="'Document%20Fields'!A5" display="DEBTORS_AGEING"/>
    <hyperlink ref="A58" r:id="rId55" location="'Document%20Fields'!A5" display="CREDITORS_AGEING"/>
    <hyperlink ref="A59" r:id="rId56" location="'Document%20Fields'!A5" display="MSME_VENDOR_MASTER"/>
    <hyperlink ref="A60" r:id="rId57" location="'Document%20Fields'!A5" display="PARTY_MASTER"/>
    <hyperlink ref="A61" r:id="rId58" location="'Document%20Fields'!A5" display="FS"/>
    <hyperlink ref="A62" r:id="rId59" location="'Document%20Fields'!A5" display="CLIENT_INVOICE"/>
    <hyperlink ref="A63" r:id="rId60" location="'Document%20Fields'!A5" display="RCM_STMT"/>
    <hyperlink ref="A64" r:id="rId61" location="'Document%20Fields'!A5" display="RATE_MASTER"/>
    <hyperlink ref="A65" r:id="rId62" location="'Document%20Fields'!A5" display="RCM_MASTER"/>
    <hyperlink ref="A66" r:id="rId63" location="'Document%20Fields'!A5" display="ISD_REG"/>
    <hyperlink ref="A67" r:id="rId64" location="'Document%20Fields'!A5" display="B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I210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34"/>
    <col collapsed="false" customWidth="true" hidden="false" outlineLevel="0" max="5" min="5" style="0" width="12"/>
    <col collapsed="false" customWidth="true" hidden="false" outlineLevel="0" max="6" min="6" style="0" width="9"/>
    <col collapsed="false" customWidth="true" hidden="false" outlineLevel="0" max="7" min="7" style="0" width="34"/>
    <col collapsed="false" customWidth="true" hidden="false" outlineLevel="0" max="8" min="8" style="0" width="50"/>
    <col collapsed="false" customWidth="true" hidden="false" outlineLevel="0" max="9" min="9" style="0" width="18"/>
  </cols>
  <sheetData>
    <row r="1" customFormat="false" ht="30" hidden="false" customHeight="true" outlineLevel="0" collapsed="false">
      <c r="A1" s="18" t="s">
        <v>3346</v>
      </c>
      <c r="B1" s="18"/>
      <c r="C1" s="18"/>
      <c r="D1" s="18"/>
      <c r="E1" s="18"/>
      <c r="F1" s="18"/>
      <c r="G1" s="18"/>
      <c r="H1" s="18"/>
      <c r="I1" s="19" t="s">
        <v>29</v>
      </c>
    </row>
    <row r="2" customFormat="false" ht="31.5" hidden="false" customHeight="true" outlineLevel="0" collapsed="false">
      <c r="A2" s="20" t="s">
        <v>3347</v>
      </c>
      <c r="B2" s="20"/>
      <c r="C2" s="20"/>
      <c r="D2" s="20"/>
      <c r="E2" s="20"/>
      <c r="F2" s="20"/>
      <c r="G2" s="20"/>
      <c r="H2" s="20"/>
      <c r="I2" s="20"/>
    </row>
    <row r="4" customFormat="false" ht="33.75" hidden="false" customHeight="true" outlineLevel="0" collapsed="false">
      <c r="A4" s="21" t="s">
        <v>2785</v>
      </c>
      <c r="B4" s="21" t="s">
        <v>3348</v>
      </c>
      <c r="C4" s="21" t="s">
        <v>3349</v>
      </c>
      <c r="D4" s="21" t="s">
        <v>3350</v>
      </c>
      <c r="E4" s="21" t="s">
        <v>3351</v>
      </c>
      <c r="F4" s="21" t="s">
        <v>3352</v>
      </c>
      <c r="G4" s="21" t="s">
        <v>3353</v>
      </c>
      <c r="H4" s="21" t="s">
        <v>3354</v>
      </c>
      <c r="I4" s="21" t="s">
        <v>3355</v>
      </c>
    </row>
    <row r="5" customFormat="false" ht="62.25" hidden="false" customHeight="true" outlineLevel="0" collapsed="false">
      <c r="A5" s="24" t="s">
        <v>186</v>
      </c>
      <c r="B5" s="32" t="s">
        <v>3356</v>
      </c>
      <c r="C5" s="22" t="s">
        <v>3357</v>
      </c>
      <c r="D5" s="32" t="s">
        <v>3358</v>
      </c>
      <c r="E5" s="22" t="s">
        <v>3359</v>
      </c>
      <c r="F5" s="22" t="s">
        <v>3360</v>
      </c>
      <c r="G5" s="32" t="s">
        <v>3361</v>
      </c>
      <c r="H5" s="22" t="s">
        <v>3362</v>
      </c>
      <c r="I5" s="22" t="s">
        <v>3363</v>
      </c>
    </row>
    <row r="6" customFormat="false" ht="24.75" hidden="false" customHeight="true" outlineLevel="0" collapsed="false">
      <c r="A6" s="24" t="s">
        <v>186</v>
      </c>
      <c r="B6" s="32" t="s">
        <v>3364</v>
      </c>
      <c r="C6" s="22" t="s">
        <v>3365</v>
      </c>
      <c r="D6" s="32" t="s">
        <v>3366</v>
      </c>
      <c r="E6" s="22" t="s">
        <v>3359</v>
      </c>
      <c r="F6" s="22" t="s">
        <v>3360</v>
      </c>
      <c r="G6" s="32" t="s">
        <v>3367</v>
      </c>
      <c r="H6" s="22" t="s">
        <v>3368</v>
      </c>
      <c r="I6" s="22" t="s">
        <v>3363</v>
      </c>
    </row>
    <row r="7" customFormat="false" ht="37.5" hidden="false" customHeight="true" outlineLevel="0" collapsed="false">
      <c r="A7" s="24" t="s">
        <v>186</v>
      </c>
      <c r="B7" s="32" t="s">
        <v>3369</v>
      </c>
      <c r="C7" s="22" t="s">
        <v>3370</v>
      </c>
      <c r="D7" s="32" t="s">
        <v>3371</v>
      </c>
      <c r="E7" s="22" t="s">
        <v>3359</v>
      </c>
      <c r="F7" s="22" t="s">
        <v>3360</v>
      </c>
      <c r="G7" s="32" t="s">
        <v>3372</v>
      </c>
      <c r="H7" s="22" t="s">
        <v>3373</v>
      </c>
      <c r="I7" s="22" t="s">
        <v>3363</v>
      </c>
    </row>
    <row r="8" customFormat="false" ht="15" hidden="false" customHeight="true" outlineLevel="0" collapsed="false">
      <c r="A8" s="24" t="s">
        <v>186</v>
      </c>
      <c r="B8" s="32" t="s">
        <v>3374</v>
      </c>
      <c r="C8" s="22" t="s">
        <v>3375</v>
      </c>
      <c r="D8" s="32" t="s">
        <v>3376</v>
      </c>
      <c r="E8" s="22" t="s">
        <v>3377</v>
      </c>
      <c r="F8" s="22" t="s">
        <v>3378</v>
      </c>
      <c r="G8" s="32" t="s">
        <v>3379</v>
      </c>
      <c r="H8" s="22" t="s">
        <v>3380</v>
      </c>
      <c r="I8" s="22" t="s">
        <v>3363</v>
      </c>
    </row>
    <row r="9" customFormat="false" ht="24.75" hidden="false" customHeight="true" outlineLevel="0" collapsed="false">
      <c r="A9" s="24" t="s">
        <v>186</v>
      </c>
      <c r="B9" s="32" t="s">
        <v>3381</v>
      </c>
      <c r="C9" s="22" t="s">
        <v>3382</v>
      </c>
      <c r="D9" s="32" t="s">
        <v>3383</v>
      </c>
      <c r="E9" s="22" t="s">
        <v>3359</v>
      </c>
      <c r="F9" s="22" t="s">
        <v>3360</v>
      </c>
      <c r="G9" s="32" t="s">
        <v>3384</v>
      </c>
      <c r="H9" s="22" t="s">
        <v>3385</v>
      </c>
      <c r="I9" s="22" t="s">
        <v>3363</v>
      </c>
    </row>
    <row r="10" customFormat="false" ht="24.75" hidden="false" customHeight="true" outlineLevel="0" collapsed="false">
      <c r="A10" s="24" t="s">
        <v>186</v>
      </c>
      <c r="B10" s="32" t="s">
        <v>3386</v>
      </c>
      <c r="C10" s="22" t="s">
        <v>3387</v>
      </c>
      <c r="D10" s="32" t="s">
        <v>3388</v>
      </c>
      <c r="E10" s="22" t="s">
        <v>3389</v>
      </c>
      <c r="F10" s="22" t="s">
        <v>3360</v>
      </c>
      <c r="G10" s="32" t="s">
        <v>3390</v>
      </c>
      <c r="H10" s="22" t="s">
        <v>3387</v>
      </c>
      <c r="I10" s="22" t="s">
        <v>3363</v>
      </c>
    </row>
    <row r="11" customFormat="false" ht="15" hidden="false" customHeight="true" outlineLevel="0" collapsed="false">
      <c r="A11" s="24" t="s">
        <v>186</v>
      </c>
      <c r="B11" s="32" t="s">
        <v>3391</v>
      </c>
      <c r="C11" s="22" t="s">
        <v>3392</v>
      </c>
      <c r="D11" s="32" t="s">
        <v>3393</v>
      </c>
      <c r="E11" s="22" t="s">
        <v>3394</v>
      </c>
      <c r="F11" s="22" t="s">
        <v>3360</v>
      </c>
      <c r="G11" s="32" t="s">
        <v>3395</v>
      </c>
      <c r="H11" s="22" t="s">
        <v>3396</v>
      </c>
      <c r="I11" s="22" t="s">
        <v>3363</v>
      </c>
    </row>
    <row r="12" customFormat="false" ht="37.5" hidden="false" customHeight="true" outlineLevel="0" collapsed="false">
      <c r="A12" s="24" t="s">
        <v>186</v>
      </c>
      <c r="B12" s="32" t="s">
        <v>3397</v>
      </c>
      <c r="C12" s="22" t="s">
        <v>3398</v>
      </c>
      <c r="D12" s="32" t="s">
        <v>3399</v>
      </c>
      <c r="E12" s="22" t="s">
        <v>3359</v>
      </c>
      <c r="F12" s="22" t="s">
        <v>3360</v>
      </c>
      <c r="G12" s="32" t="s">
        <v>3400</v>
      </c>
      <c r="H12" s="22" t="s">
        <v>3401</v>
      </c>
      <c r="I12" s="22" t="s">
        <v>3363</v>
      </c>
    </row>
    <row r="13" customFormat="false" ht="15" hidden="false" customHeight="true" outlineLevel="0" collapsed="false">
      <c r="A13" s="24" t="s">
        <v>186</v>
      </c>
      <c r="B13" s="32" t="s">
        <v>3402</v>
      </c>
      <c r="C13" s="22" t="s">
        <v>3403</v>
      </c>
      <c r="D13" s="32" t="s">
        <v>3404</v>
      </c>
      <c r="E13" s="22" t="s">
        <v>3377</v>
      </c>
      <c r="F13" s="22" t="s">
        <v>3360</v>
      </c>
      <c r="G13" s="32" t="s">
        <v>3379</v>
      </c>
      <c r="H13" s="22" t="s">
        <v>3405</v>
      </c>
      <c r="I13" s="22" t="s">
        <v>3363</v>
      </c>
    </row>
    <row r="14" customFormat="false" ht="37.5" hidden="false" customHeight="true" outlineLevel="0" collapsed="false">
      <c r="A14" s="24" t="s">
        <v>186</v>
      </c>
      <c r="B14" s="32" t="s">
        <v>3406</v>
      </c>
      <c r="C14" s="22" t="s">
        <v>3407</v>
      </c>
      <c r="D14" s="32" t="s">
        <v>3408</v>
      </c>
      <c r="E14" s="22" t="s">
        <v>3377</v>
      </c>
      <c r="F14" s="22" t="s">
        <v>3360</v>
      </c>
      <c r="G14" s="32" t="s">
        <v>3409</v>
      </c>
      <c r="H14" s="22" t="s">
        <v>3410</v>
      </c>
      <c r="I14" s="22" t="s">
        <v>3363</v>
      </c>
    </row>
    <row r="15" customFormat="false" ht="37.5" hidden="false" customHeight="true" outlineLevel="0" collapsed="false">
      <c r="A15" s="24" t="s">
        <v>186</v>
      </c>
      <c r="B15" s="32" t="s">
        <v>3411</v>
      </c>
      <c r="C15" s="22" t="s">
        <v>3412</v>
      </c>
      <c r="D15" s="32" t="s">
        <v>3413</v>
      </c>
      <c r="E15" s="22" t="s">
        <v>3359</v>
      </c>
      <c r="F15" s="22" t="s">
        <v>3378</v>
      </c>
      <c r="G15" s="32" t="s">
        <v>3372</v>
      </c>
      <c r="H15" s="22" t="s">
        <v>3414</v>
      </c>
      <c r="I15" s="22" t="s">
        <v>3363</v>
      </c>
    </row>
    <row r="16" customFormat="false" ht="15" hidden="false" customHeight="true" outlineLevel="0" collapsed="false">
      <c r="A16" s="24" t="s">
        <v>186</v>
      </c>
      <c r="B16" s="32" t="s">
        <v>3415</v>
      </c>
      <c r="C16" s="22" t="s">
        <v>3416</v>
      </c>
      <c r="D16" s="32" t="s">
        <v>3417</v>
      </c>
      <c r="E16" s="22" t="s">
        <v>3394</v>
      </c>
      <c r="F16" s="22" t="s">
        <v>3378</v>
      </c>
      <c r="G16" s="32" t="s">
        <v>3418</v>
      </c>
      <c r="H16" s="22" t="s">
        <v>3419</v>
      </c>
      <c r="I16" s="22" t="s">
        <v>3363</v>
      </c>
    </row>
    <row r="17" customFormat="false" ht="15" hidden="false" customHeight="true" outlineLevel="0" collapsed="false">
      <c r="A17" s="24" t="s">
        <v>186</v>
      </c>
      <c r="B17" s="32" t="s">
        <v>3420</v>
      </c>
      <c r="C17" s="22" t="s">
        <v>3421</v>
      </c>
      <c r="D17" s="32" t="s">
        <v>3422</v>
      </c>
      <c r="E17" s="22" t="s">
        <v>3359</v>
      </c>
      <c r="F17" s="22" t="s">
        <v>3378</v>
      </c>
      <c r="G17" s="32" t="s">
        <v>3423</v>
      </c>
      <c r="H17" s="22" t="s">
        <v>3424</v>
      </c>
      <c r="I17" s="22" t="s">
        <v>3363</v>
      </c>
    </row>
    <row r="18" customFormat="false" ht="24.75" hidden="false" customHeight="true" outlineLevel="0" collapsed="false">
      <c r="A18" s="24" t="s">
        <v>186</v>
      </c>
      <c r="B18" s="32" t="s">
        <v>3425</v>
      </c>
      <c r="C18" s="22" t="s">
        <v>3426</v>
      </c>
      <c r="D18" s="32" t="s">
        <v>3427</v>
      </c>
      <c r="E18" s="22" t="s">
        <v>3389</v>
      </c>
      <c r="F18" s="22" t="s">
        <v>3378</v>
      </c>
      <c r="G18" s="32" t="s">
        <v>3390</v>
      </c>
      <c r="H18" s="22" t="s">
        <v>3428</v>
      </c>
      <c r="I18" s="22" t="s">
        <v>3363</v>
      </c>
    </row>
    <row r="19" customFormat="false" ht="15" hidden="false" customHeight="true" outlineLevel="0" collapsed="false">
      <c r="A19" s="24" t="s">
        <v>186</v>
      </c>
      <c r="B19" s="32" t="s">
        <v>3429</v>
      </c>
      <c r="C19" s="22" t="s">
        <v>3430</v>
      </c>
      <c r="D19" s="32" t="s">
        <v>3431</v>
      </c>
      <c r="E19" s="22" t="s">
        <v>3377</v>
      </c>
      <c r="F19" s="22" t="s">
        <v>3378</v>
      </c>
      <c r="G19" s="32" t="s">
        <v>3432</v>
      </c>
      <c r="H19" s="22" t="s">
        <v>3433</v>
      </c>
      <c r="I19" s="22" t="s">
        <v>3363</v>
      </c>
    </row>
    <row r="20" customFormat="false" ht="15" hidden="false" customHeight="true" outlineLevel="0" collapsed="false">
      <c r="A20" s="24" t="s">
        <v>186</v>
      </c>
      <c r="B20" s="32" t="s">
        <v>3434</v>
      </c>
      <c r="C20" s="22" t="s">
        <v>3435</v>
      </c>
      <c r="D20" s="32" t="s">
        <v>3436</v>
      </c>
      <c r="E20" s="22" t="s">
        <v>3437</v>
      </c>
      <c r="F20" s="22" t="s">
        <v>3360</v>
      </c>
      <c r="G20" s="32" t="s">
        <v>3438</v>
      </c>
      <c r="H20" s="22" t="s">
        <v>3439</v>
      </c>
      <c r="I20" s="22" t="s">
        <v>3363</v>
      </c>
    </row>
    <row r="21" customFormat="false" ht="37.5" hidden="false" customHeight="true" outlineLevel="0" collapsed="false">
      <c r="A21" s="24" t="s">
        <v>186</v>
      </c>
      <c r="B21" s="32" t="s">
        <v>3440</v>
      </c>
      <c r="C21" s="22" t="s">
        <v>3441</v>
      </c>
      <c r="D21" s="32" t="s">
        <v>3442</v>
      </c>
      <c r="E21" s="22" t="s">
        <v>3394</v>
      </c>
      <c r="F21" s="22" t="s">
        <v>3360</v>
      </c>
      <c r="G21" s="32" t="s">
        <v>3443</v>
      </c>
      <c r="H21" s="22" t="s">
        <v>3444</v>
      </c>
      <c r="I21" s="22" t="s">
        <v>3363</v>
      </c>
    </row>
    <row r="22" customFormat="false" ht="15" hidden="false" customHeight="true" outlineLevel="0" collapsed="false">
      <c r="A22" s="24" t="s">
        <v>186</v>
      </c>
      <c r="B22" s="32" t="s">
        <v>3445</v>
      </c>
      <c r="C22" s="22" t="s">
        <v>3446</v>
      </c>
      <c r="D22" s="32" t="s">
        <v>3447</v>
      </c>
      <c r="E22" s="22" t="s">
        <v>3394</v>
      </c>
      <c r="F22" s="22" t="s">
        <v>3360</v>
      </c>
      <c r="G22" s="32" t="s">
        <v>3395</v>
      </c>
      <c r="H22" s="22" t="s">
        <v>3448</v>
      </c>
      <c r="I22" s="22" t="s">
        <v>3363</v>
      </c>
    </row>
    <row r="23" customFormat="false" ht="37.5" hidden="false" customHeight="true" outlineLevel="0" collapsed="false">
      <c r="A23" s="24" t="s">
        <v>186</v>
      </c>
      <c r="B23" s="32" t="s">
        <v>3449</v>
      </c>
      <c r="C23" s="22" t="s">
        <v>3450</v>
      </c>
      <c r="D23" s="32" t="s">
        <v>3451</v>
      </c>
      <c r="E23" s="22" t="s">
        <v>3394</v>
      </c>
      <c r="F23" s="22" t="s">
        <v>3378</v>
      </c>
      <c r="G23" s="32" t="s">
        <v>3452</v>
      </c>
      <c r="H23" s="22" t="s">
        <v>3453</v>
      </c>
      <c r="I23" s="22" t="s">
        <v>3363</v>
      </c>
    </row>
    <row r="24" customFormat="false" ht="24.75" hidden="false" customHeight="true" outlineLevel="0" collapsed="false">
      <c r="A24" s="24" t="s">
        <v>186</v>
      </c>
      <c r="B24" s="32" t="s">
        <v>3454</v>
      </c>
      <c r="C24" s="22" t="s">
        <v>3455</v>
      </c>
      <c r="D24" s="32" t="s">
        <v>3456</v>
      </c>
      <c r="E24" s="22" t="s">
        <v>3394</v>
      </c>
      <c r="F24" s="22" t="s">
        <v>3378</v>
      </c>
      <c r="G24" s="32" t="s">
        <v>3457</v>
      </c>
      <c r="H24" s="22" t="s">
        <v>3458</v>
      </c>
      <c r="I24" s="22" t="s">
        <v>3363</v>
      </c>
    </row>
    <row r="25" customFormat="false" ht="15" hidden="false" customHeight="true" outlineLevel="0" collapsed="false">
      <c r="A25" s="24" t="s">
        <v>186</v>
      </c>
      <c r="B25" s="32" t="s">
        <v>3459</v>
      </c>
      <c r="C25" s="22" t="s">
        <v>3460</v>
      </c>
      <c r="D25" s="32" t="s">
        <v>3461</v>
      </c>
      <c r="E25" s="22" t="s">
        <v>3394</v>
      </c>
      <c r="F25" s="22" t="s">
        <v>3378</v>
      </c>
      <c r="G25" s="32" t="s">
        <v>3395</v>
      </c>
      <c r="H25" s="22" t="s">
        <v>3462</v>
      </c>
      <c r="I25" s="22" t="s">
        <v>3363</v>
      </c>
    </row>
    <row r="26" customFormat="false" ht="15" hidden="false" customHeight="true" outlineLevel="0" collapsed="false">
      <c r="A26" s="24" t="s">
        <v>186</v>
      </c>
      <c r="B26" s="32" t="s">
        <v>3463</v>
      </c>
      <c r="C26" s="22" t="s">
        <v>3464</v>
      </c>
      <c r="D26" s="32" t="s">
        <v>3465</v>
      </c>
      <c r="E26" s="22" t="s">
        <v>3394</v>
      </c>
      <c r="F26" s="22" t="s">
        <v>3378</v>
      </c>
      <c r="G26" s="32" t="s">
        <v>3395</v>
      </c>
      <c r="H26" s="22" t="s">
        <v>3466</v>
      </c>
      <c r="I26" s="22" t="s">
        <v>3363</v>
      </c>
    </row>
    <row r="27" customFormat="false" ht="24.75" hidden="false" customHeight="true" outlineLevel="0" collapsed="false">
      <c r="A27" s="24" t="s">
        <v>186</v>
      </c>
      <c r="B27" s="32" t="s">
        <v>3467</v>
      </c>
      <c r="C27" s="22" t="s">
        <v>3468</v>
      </c>
      <c r="D27" s="32" t="s">
        <v>3469</v>
      </c>
      <c r="E27" s="22" t="s">
        <v>3377</v>
      </c>
      <c r="F27" s="22" t="s">
        <v>3378</v>
      </c>
      <c r="G27" s="32" t="s">
        <v>3470</v>
      </c>
      <c r="H27" s="22" t="s">
        <v>3471</v>
      </c>
      <c r="I27" s="22" t="s">
        <v>3363</v>
      </c>
    </row>
    <row r="28" customFormat="false" ht="37.5" hidden="false" customHeight="true" outlineLevel="0" collapsed="false">
      <c r="A28" s="24" t="s">
        <v>186</v>
      </c>
      <c r="B28" s="32" t="s">
        <v>3472</v>
      </c>
      <c r="C28" s="22" t="s">
        <v>3398</v>
      </c>
      <c r="D28" s="32" t="s">
        <v>3473</v>
      </c>
      <c r="E28" s="22" t="s">
        <v>3359</v>
      </c>
      <c r="F28" s="22" t="s">
        <v>3360</v>
      </c>
      <c r="G28" s="32" t="s">
        <v>3400</v>
      </c>
      <c r="H28" s="22" t="s">
        <v>3474</v>
      </c>
      <c r="I28" s="22" t="s">
        <v>3363</v>
      </c>
    </row>
    <row r="29" customFormat="false" ht="15" hidden="false" customHeight="true" outlineLevel="0" collapsed="false">
      <c r="A29" s="24" t="s">
        <v>186</v>
      </c>
      <c r="B29" s="32" t="s">
        <v>3475</v>
      </c>
      <c r="C29" s="22" t="s">
        <v>3382</v>
      </c>
      <c r="D29" s="32" t="s">
        <v>3476</v>
      </c>
      <c r="E29" s="22" t="s">
        <v>3359</v>
      </c>
      <c r="F29" s="22" t="s">
        <v>3360</v>
      </c>
      <c r="G29" s="32" t="s">
        <v>3477</v>
      </c>
      <c r="H29" s="22" t="s">
        <v>3478</v>
      </c>
      <c r="I29" s="22" t="s">
        <v>3363</v>
      </c>
    </row>
    <row r="30" customFormat="false" ht="24.75" hidden="false" customHeight="true" outlineLevel="0" collapsed="false">
      <c r="A30" s="24" t="s">
        <v>186</v>
      </c>
      <c r="B30" s="32" t="s">
        <v>3479</v>
      </c>
      <c r="C30" s="22" t="s">
        <v>3387</v>
      </c>
      <c r="D30" s="32" t="s">
        <v>3480</v>
      </c>
      <c r="E30" s="22" t="s">
        <v>3389</v>
      </c>
      <c r="F30" s="22" t="s">
        <v>3360</v>
      </c>
      <c r="G30" s="32" t="s">
        <v>3390</v>
      </c>
      <c r="H30" s="22" t="s">
        <v>3387</v>
      </c>
      <c r="I30" s="22" t="s">
        <v>3363</v>
      </c>
    </row>
    <row r="31" customFormat="false" ht="15" hidden="false" customHeight="true" outlineLevel="0" collapsed="false">
      <c r="A31" s="24" t="s">
        <v>186</v>
      </c>
      <c r="B31" s="32" t="s">
        <v>3481</v>
      </c>
      <c r="C31" s="22" t="s">
        <v>3392</v>
      </c>
      <c r="D31" s="32" t="s">
        <v>3482</v>
      </c>
      <c r="E31" s="22" t="s">
        <v>3394</v>
      </c>
      <c r="F31" s="22" t="s">
        <v>3360</v>
      </c>
      <c r="G31" s="32" t="s">
        <v>3483</v>
      </c>
      <c r="H31" s="22" t="s">
        <v>3484</v>
      </c>
      <c r="I31" s="22" t="s">
        <v>3363</v>
      </c>
    </row>
    <row r="32" customFormat="false" ht="37.5" hidden="false" customHeight="true" outlineLevel="0" collapsed="false">
      <c r="A32" s="24" t="s">
        <v>186</v>
      </c>
      <c r="B32" s="32" t="s">
        <v>3485</v>
      </c>
      <c r="C32" s="22" t="s">
        <v>3441</v>
      </c>
      <c r="D32" s="32" t="s">
        <v>3486</v>
      </c>
      <c r="E32" s="22" t="s">
        <v>3394</v>
      </c>
      <c r="F32" s="22" t="s">
        <v>3360</v>
      </c>
      <c r="G32" s="32" t="s">
        <v>3443</v>
      </c>
      <c r="H32" s="22" t="s">
        <v>3441</v>
      </c>
      <c r="I32" s="22" t="s">
        <v>3363</v>
      </c>
    </row>
    <row r="33" customFormat="false" ht="15" hidden="false" customHeight="true" outlineLevel="0" collapsed="false">
      <c r="A33" s="24" t="s">
        <v>186</v>
      </c>
      <c r="B33" s="32" t="s">
        <v>3487</v>
      </c>
      <c r="C33" s="22" t="s">
        <v>3446</v>
      </c>
      <c r="D33" s="32" t="s">
        <v>3488</v>
      </c>
      <c r="E33" s="22" t="s">
        <v>3394</v>
      </c>
      <c r="F33" s="22" t="s">
        <v>3360</v>
      </c>
      <c r="G33" s="32" t="s">
        <v>3395</v>
      </c>
      <c r="H33" s="22" t="s">
        <v>3489</v>
      </c>
      <c r="I33" s="22" t="s">
        <v>3363</v>
      </c>
    </row>
    <row r="34" customFormat="false" ht="15" hidden="false" customHeight="true" outlineLevel="0" collapsed="false">
      <c r="A34" s="24" t="s">
        <v>186</v>
      </c>
      <c r="B34" s="32" t="s">
        <v>3490</v>
      </c>
      <c r="C34" s="22" t="s">
        <v>3450</v>
      </c>
      <c r="D34" s="32" t="s">
        <v>3491</v>
      </c>
      <c r="E34" s="22" t="s">
        <v>3394</v>
      </c>
      <c r="F34" s="22" t="s">
        <v>3360</v>
      </c>
      <c r="G34" s="32" t="s">
        <v>3395</v>
      </c>
      <c r="H34" s="22" t="s">
        <v>3492</v>
      </c>
      <c r="I34" s="22" t="s">
        <v>3363</v>
      </c>
    </row>
    <row r="35" customFormat="false" ht="15" hidden="false" customHeight="true" outlineLevel="0" collapsed="false">
      <c r="A35" s="24" t="s">
        <v>186</v>
      </c>
      <c r="B35" s="32" t="s">
        <v>3493</v>
      </c>
      <c r="C35" s="22" t="s">
        <v>3464</v>
      </c>
      <c r="D35" s="32" t="s">
        <v>3494</v>
      </c>
      <c r="E35" s="22" t="s">
        <v>3394</v>
      </c>
      <c r="F35" s="22" t="s">
        <v>3378</v>
      </c>
      <c r="G35" s="32" t="s">
        <v>3395</v>
      </c>
      <c r="H35" s="22" t="s">
        <v>3495</v>
      </c>
      <c r="I35" s="22" t="s">
        <v>3363</v>
      </c>
    </row>
    <row r="36" customFormat="false" ht="24.75" hidden="false" customHeight="true" outlineLevel="0" collapsed="false">
      <c r="A36" s="24" t="s">
        <v>186</v>
      </c>
      <c r="B36" s="32" t="s">
        <v>3496</v>
      </c>
      <c r="C36" s="22" t="s">
        <v>3497</v>
      </c>
      <c r="D36" s="32" t="s">
        <v>3498</v>
      </c>
      <c r="E36" s="22" t="s">
        <v>3377</v>
      </c>
      <c r="F36" s="22" t="s">
        <v>3360</v>
      </c>
      <c r="G36" s="32" t="s">
        <v>3499</v>
      </c>
      <c r="H36" s="22" t="s">
        <v>3500</v>
      </c>
      <c r="I36" s="22" t="s">
        <v>3363</v>
      </c>
    </row>
    <row r="37" customFormat="false" ht="37.5" hidden="false" customHeight="true" outlineLevel="0" collapsed="false">
      <c r="A37" s="24" t="s">
        <v>186</v>
      </c>
      <c r="B37" s="32" t="s">
        <v>3501</v>
      </c>
      <c r="C37" s="22" t="s">
        <v>3398</v>
      </c>
      <c r="D37" s="32" t="s">
        <v>3502</v>
      </c>
      <c r="E37" s="22" t="s">
        <v>3359</v>
      </c>
      <c r="F37" s="22" t="s">
        <v>3360</v>
      </c>
      <c r="G37" s="32" t="s">
        <v>3400</v>
      </c>
      <c r="H37" s="22" t="s">
        <v>3503</v>
      </c>
      <c r="I37" s="22" t="s">
        <v>3363</v>
      </c>
    </row>
    <row r="38" customFormat="false" ht="15" hidden="false" customHeight="true" outlineLevel="0" collapsed="false">
      <c r="A38" s="24" t="s">
        <v>186</v>
      </c>
      <c r="B38" s="32" t="s">
        <v>3504</v>
      </c>
      <c r="C38" s="22" t="s">
        <v>3505</v>
      </c>
      <c r="D38" s="32" t="s">
        <v>3506</v>
      </c>
      <c r="E38" s="22" t="s">
        <v>3377</v>
      </c>
      <c r="F38" s="22" t="s">
        <v>3378</v>
      </c>
      <c r="G38" s="32" t="s">
        <v>3507</v>
      </c>
      <c r="H38" s="22" t="s">
        <v>3508</v>
      </c>
      <c r="I38" s="22" t="s">
        <v>3363</v>
      </c>
    </row>
    <row r="39" customFormat="false" ht="37.5" hidden="false" customHeight="true" outlineLevel="0" collapsed="false">
      <c r="A39" s="24" t="s">
        <v>186</v>
      </c>
      <c r="B39" s="32" t="s">
        <v>3509</v>
      </c>
      <c r="C39" s="22" t="s">
        <v>3441</v>
      </c>
      <c r="D39" s="32" t="s">
        <v>3510</v>
      </c>
      <c r="E39" s="22" t="s">
        <v>3394</v>
      </c>
      <c r="F39" s="22" t="s">
        <v>3360</v>
      </c>
      <c r="G39" s="32" t="s">
        <v>3443</v>
      </c>
      <c r="H39" s="22" t="s">
        <v>3511</v>
      </c>
      <c r="I39" s="22" t="s">
        <v>3363</v>
      </c>
    </row>
    <row r="40" customFormat="false" ht="24.75" hidden="false" customHeight="true" outlineLevel="0" collapsed="false">
      <c r="A40" s="24" t="s">
        <v>186</v>
      </c>
      <c r="B40" s="32" t="s">
        <v>3512</v>
      </c>
      <c r="C40" s="22" t="s">
        <v>3446</v>
      </c>
      <c r="D40" s="32" t="s">
        <v>3513</v>
      </c>
      <c r="E40" s="22" t="s">
        <v>3394</v>
      </c>
      <c r="F40" s="22" t="s">
        <v>3360</v>
      </c>
      <c r="G40" s="32" t="s">
        <v>3514</v>
      </c>
      <c r="H40" s="22" t="s">
        <v>3515</v>
      </c>
      <c r="I40" s="22" t="s">
        <v>3363</v>
      </c>
    </row>
    <row r="41" customFormat="false" ht="15" hidden="false" customHeight="true" outlineLevel="0" collapsed="false">
      <c r="A41" s="24" t="s">
        <v>186</v>
      </c>
      <c r="B41" s="32" t="s">
        <v>3516</v>
      </c>
      <c r="C41" s="22" t="s">
        <v>3450</v>
      </c>
      <c r="D41" s="32" t="s">
        <v>3517</v>
      </c>
      <c r="E41" s="22" t="s">
        <v>3394</v>
      </c>
      <c r="F41" s="22" t="s">
        <v>3378</v>
      </c>
      <c r="G41" s="32" t="s">
        <v>3395</v>
      </c>
      <c r="H41" s="22" t="s">
        <v>3453</v>
      </c>
      <c r="I41" s="22" t="s">
        <v>3363</v>
      </c>
    </row>
    <row r="42" customFormat="false" ht="15" hidden="false" customHeight="true" outlineLevel="0" collapsed="false">
      <c r="A42" s="24" t="s">
        <v>186</v>
      </c>
      <c r="B42" s="32" t="s">
        <v>3518</v>
      </c>
      <c r="C42" s="22" t="s">
        <v>3455</v>
      </c>
      <c r="D42" s="32" t="s">
        <v>3519</v>
      </c>
      <c r="E42" s="22" t="s">
        <v>3394</v>
      </c>
      <c r="F42" s="22" t="s">
        <v>3378</v>
      </c>
      <c r="G42" s="32" t="s">
        <v>3395</v>
      </c>
      <c r="H42" s="22" t="s">
        <v>3458</v>
      </c>
      <c r="I42" s="22" t="s">
        <v>3363</v>
      </c>
    </row>
    <row r="43" customFormat="false" ht="15" hidden="false" customHeight="true" outlineLevel="0" collapsed="false">
      <c r="A43" s="24" t="s">
        <v>186</v>
      </c>
      <c r="B43" s="32" t="s">
        <v>3520</v>
      </c>
      <c r="C43" s="22" t="s">
        <v>3460</v>
      </c>
      <c r="D43" s="32" t="s">
        <v>3521</v>
      </c>
      <c r="E43" s="22" t="s">
        <v>3394</v>
      </c>
      <c r="F43" s="22" t="s">
        <v>3378</v>
      </c>
      <c r="G43" s="32" t="s">
        <v>3395</v>
      </c>
      <c r="H43" s="22" t="s">
        <v>3522</v>
      </c>
      <c r="I43" s="22" t="s">
        <v>3363</v>
      </c>
    </row>
    <row r="44" customFormat="false" ht="15" hidden="false" customHeight="true" outlineLevel="0" collapsed="false">
      <c r="A44" s="24" t="s">
        <v>186</v>
      </c>
      <c r="B44" s="32" t="s">
        <v>3523</v>
      </c>
      <c r="C44" s="22" t="s">
        <v>3464</v>
      </c>
      <c r="D44" s="32" t="s">
        <v>3524</v>
      </c>
      <c r="E44" s="22" t="s">
        <v>3394</v>
      </c>
      <c r="F44" s="22" t="s">
        <v>3378</v>
      </c>
      <c r="G44" s="32" t="s">
        <v>3395</v>
      </c>
      <c r="H44" s="22" t="s">
        <v>3495</v>
      </c>
      <c r="I44" s="22" t="s">
        <v>3363</v>
      </c>
    </row>
    <row r="45" customFormat="false" ht="15" hidden="false" customHeight="true" outlineLevel="0" collapsed="false">
      <c r="A45" s="24" t="s">
        <v>186</v>
      </c>
      <c r="B45" s="32" t="s">
        <v>3525</v>
      </c>
      <c r="C45" s="22" t="s">
        <v>3526</v>
      </c>
      <c r="D45" s="32" t="s">
        <v>3527</v>
      </c>
      <c r="E45" s="22" t="s">
        <v>3377</v>
      </c>
      <c r="F45" s="22" t="s">
        <v>3360</v>
      </c>
      <c r="G45" s="32" t="s">
        <v>3528</v>
      </c>
      <c r="H45" s="22" t="s">
        <v>3529</v>
      </c>
      <c r="I45" s="22" t="s">
        <v>3363</v>
      </c>
    </row>
    <row r="46" customFormat="false" ht="15" hidden="false" customHeight="true" outlineLevel="0" collapsed="false">
      <c r="A46" s="24" t="s">
        <v>186</v>
      </c>
      <c r="B46" s="32" t="s">
        <v>3530</v>
      </c>
      <c r="C46" s="22" t="s">
        <v>3382</v>
      </c>
      <c r="D46" s="32" t="s">
        <v>3531</v>
      </c>
      <c r="E46" s="22" t="s">
        <v>3359</v>
      </c>
      <c r="F46" s="22" t="s">
        <v>3360</v>
      </c>
      <c r="G46" s="32" t="s">
        <v>3477</v>
      </c>
      <c r="H46" s="22" t="s">
        <v>3532</v>
      </c>
      <c r="I46" s="22" t="s">
        <v>3363</v>
      </c>
    </row>
    <row r="47" customFormat="false" ht="24.75" hidden="false" customHeight="true" outlineLevel="0" collapsed="false">
      <c r="A47" s="24" t="s">
        <v>186</v>
      </c>
      <c r="B47" s="32" t="s">
        <v>3533</v>
      </c>
      <c r="C47" s="22" t="s">
        <v>3387</v>
      </c>
      <c r="D47" s="32" t="s">
        <v>3534</v>
      </c>
      <c r="E47" s="22" t="s">
        <v>3389</v>
      </c>
      <c r="F47" s="22" t="s">
        <v>3360</v>
      </c>
      <c r="G47" s="32" t="s">
        <v>3390</v>
      </c>
      <c r="H47" s="22" t="s">
        <v>3535</v>
      </c>
      <c r="I47" s="22" t="s">
        <v>3363</v>
      </c>
    </row>
    <row r="48" customFormat="false" ht="15" hidden="false" customHeight="true" outlineLevel="0" collapsed="false">
      <c r="A48" s="24" t="s">
        <v>186</v>
      </c>
      <c r="B48" s="32" t="s">
        <v>3536</v>
      </c>
      <c r="C48" s="22" t="s">
        <v>3392</v>
      </c>
      <c r="D48" s="32" t="s">
        <v>3537</v>
      </c>
      <c r="E48" s="22" t="s">
        <v>3394</v>
      </c>
      <c r="F48" s="22" t="s">
        <v>3360</v>
      </c>
      <c r="G48" s="32" t="s">
        <v>3395</v>
      </c>
      <c r="H48" s="22" t="s">
        <v>3484</v>
      </c>
      <c r="I48" s="22" t="s">
        <v>3363</v>
      </c>
    </row>
    <row r="49" customFormat="false" ht="15" hidden="false" customHeight="true" outlineLevel="0" collapsed="false">
      <c r="A49" s="24" t="s">
        <v>186</v>
      </c>
      <c r="B49" s="32" t="s">
        <v>3538</v>
      </c>
      <c r="C49" s="22" t="s">
        <v>3539</v>
      </c>
      <c r="D49" s="32" t="s">
        <v>3540</v>
      </c>
      <c r="E49" s="22" t="s">
        <v>3359</v>
      </c>
      <c r="F49" s="22" t="s">
        <v>3378</v>
      </c>
      <c r="G49" s="32" t="s">
        <v>3541</v>
      </c>
      <c r="H49" s="22" t="s">
        <v>3542</v>
      </c>
      <c r="I49" s="22" t="s">
        <v>3363</v>
      </c>
    </row>
    <row r="50" customFormat="false" ht="15" hidden="false" customHeight="true" outlineLevel="0" collapsed="false">
      <c r="A50" s="24" t="s">
        <v>186</v>
      </c>
      <c r="B50" s="32" t="s">
        <v>3543</v>
      </c>
      <c r="C50" s="22" t="s">
        <v>3544</v>
      </c>
      <c r="D50" s="32" t="s">
        <v>3545</v>
      </c>
      <c r="E50" s="22" t="s">
        <v>3359</v>
      </c>
      <c r="F50" s="22" t="s">
        <v>3378</v>
      </c>
      <c r="G50" s="32" t="s">
        <v>3546</v>
      </c>
      <c r="H50" s="22" t="s">
        <v>3547</v>
      </c>
      <c r="I50" s="22" t="s">
        <v>3363</v>
      </c>
    </row>
    <row r="51" customFormat="false" ht="24.75" hidden="false" customHeight="true" outlineLevel="0" collapsed="false">
      <c r="A51" s="24" t="s">
        <v>186</v>
      </c>
      <c r="B51" s="32" t="s">
        <v>3548</v>
      </c>
      <c r="C51" s="22" t="s">
        <v>3549</v>
      </c>
      <c r="D51" s="32" t="s">
        <v>3550</v>
      </c>
      <c r="E51" s="22" t="s">
        <v>3389</v>
      </c>
      <c r="F51" s="22" t="s">
        <v>3378</v>
      </c>
      <c r="G51" s="32" t="s">
        <v>3390</v>
      </c>
      <c r="H51" s="22" t="s">
        <v>3551</v>
      </c>
      <c r="I51" s="22" t="s">
        <v>3363</v>
      </c>
    </row>
    <row r="52" customFormat="false" ht="37.5" hidden="false" customHeight="true" outlineLevel="0" collapsed="false">
      <c r="A52" s="24" t="s">
        <v>186</v>
      </c>
      <c r="B52" s="32" t="s">
        <v>3552</v>
      </c>
      <c r="C52" s="22" t="s">
        <v>3441</v>
      </c>
      <c r="D52" s="32" t="s">
        <v>3553</v>
      </c>
      <c r="E52" s="22" t="s">
        <v>3394</v>
      </c>
      <c r="F52" s="22" t="s">
        <v>3360</v>
      </c>
      <c r="G52" s="32" t="s">
        <v>3443</v>
      </c>
      <c r="H52" s="22" t="s">
        <v>3441</v>
      </c>
      <c r="I52" s="22" t="s">
        <v>3363</v>
      </c>
    </row>
    <row r="53" customFormat="false" ht="15" hidden="false" customHeight="true" outlineLevel="0" collapsed="false">
      <c r="A53" s="24" t="s">
        <v>186</v>
      </c>
      <c r="B53" s="32" t="s">
        <v>3554</v>
      </c>
      <c r="C53" s="22" t="s">
        <v>3446</v>
      </c>
      <c r="D53" s="32" t="s">
        <v>3555</v>
      </c>
      <c r="E53" s="22" t="s">
        <v>3394</v>
      </c>
      <c r="F53" s="22" t="s">
        <v>3360</v>
      </c>
      <c r="G53" s="32" t="s">
        <v>3395</v>
      </c>
      <c r="H53" s="22" t="s">
        <v>3489</v>
      </c>
      <c r="I53" s="22" t="s">
        <v>3363</v>
      </c>
    </row>
    <row r="54" customFormat="false" ht="15" hidden="false" customHeight="true" outlineLevel="0" collapsed="false">
      <c r="A54" s="24" t="s">
        <v>186</v>
      </c>
      <c r="B54" s="32" t="s">
        <v>3556</v>
      </c>
      <c r="C54" s="22" t="s">
        <v>3450</v>
      </c>
      <c r="D54" s="32" t="s">
        <v>3557</v>
      </c>
      <c r="E54" s="22" t="s">
        <v>3394</v>
      </c>
      <c r="F54" s="22" t="s">
        <v>3378</v>
      </c>
      <c r="G54" s="32" t="s">
        <v>3558</v>
      </c>
      <c r="H54" s="22" t="s">
        <v>3453</v>
      </c>
      <c r="I54" s="22" t="s">
        <v>3363</v>
      </c>
    </row>
    <row r="55" customFormat="false" ht="15" hidden="false" customHeight="true" outlineLevel="0" collapsed="false">
      <c r="A55" s="24" t="s">
        <v>186</v>
      </c>
      <c r="B55" s="32" t="s">
        <v>3559</v>
      </c>
      <c r="C55" s="22" t="s">
        <v>3464</v>
      </c>
      <c r="D55" s="32" t="s">
        <v>3560</v>
      </c>
      <c r="E55" s="22" t="s">
        <v>3394</v>
      </c>
      <c r="F55" s="22" t="s">
        <v>3378</v>
      </c>
      <c r="G55" s="32" t="s">
        <v>3395</v>
      </c>
      <c r="H55" s="22" t="s">
        <v>3495</v>
      </c>
      <c r="I55" s="22" t="s">
        <v>3363</v>
      </c>
    </row>
    <row r="56" customFormat="false" ht="15" hidden="false" customHeight="true" outlineLevel="0" collapsed="false">
      <c r="A56" s="24" t="s">
        <v>186</v>
      </c>
      <c r="B56" s="32" t="s">
        <v>3561</v>
      </c>
      <c r="C56" s="22" t="s">
        <v>3354</v>
      </c>
      <c r="D56" s="32" t="s">
        <v>3562</v>
      </c>
      <c r="E56" s="22" t="s">
        <v>3377</v>
      </c>
      <c r="F56" s="22" t="s">
        <v>3360</v>
      </c>
      <c r="G56" s="32" t="s">
        <v>3563</v>
      </c>
      <c r="H56" s="22" t="s">
        <v>3564</v>
      </c>
      <c r="I56" s="22" t="s">
        <v>3363</v>
      </c>
    </row>
    <row r="57" customFormat="false" ht="15" hidden="false" customHeight="true" outlineLevel="0" collapsed="false">
      <c r="A57" s="24" t="s">
        <v>186</v>
      </c>
      <c r="B57" s="32" t="s">
        <v>3565</v>
      </c>
      <c r="C57" s="22" t="s">
        <v>3566</v>
      </c>
      <c r="D57" s="32" t="s">
        <v>3567</v>
      </c>
      <c r="E57" s="22" t="s">
        <v>3394</v>
      </c>
      <c r="F57" s="22" t="s">
        <v>3360</v>
      </c>
      <c r="G57" s="32" t="s">
        <v>3395</v>
      </c>
      <c r="H57" s="22" t="s">
        <v>3568</v>
      </c>
      <c r="I57" s="22" t="s">
        <v>3363</v>
      </c>
    </row>
    <row r="58" customFormat="false" ht="24.75" hidden="false" customHeight="true" outlineLevel="0" collapsed="false">
      <c r="A58" s="24" t="s">
        <v>186</v>
      </c>
      <c r="B58" s="32" t="s">
        <v>3569</v>
      </c>
      <c r="C58" s="22" t="s">
        <v>3570</v>
      </c>
      <c r="D58" s="32" t="s">
        <v>3571</v>
      </c>
      <c r="E58" s="22" t="s">
        <v>3394</v>
      </c>
      <c r="F58" s="22" t="s">
        <v>3360</v>
      </c>
      <c r="G58" s="32" t="s">
        <v>3395</v>
      </c>
      <c r="H58" s="22" t="s">
        <v>3572</v>
      </c>
      <c r="I58" s="22" t="s">
        <v>3363</v>
      </c>
    </row>
    <row r="59" customFormat="false" ht="15" hidden="false" customHeight="true" outlineLevel="0" collapsed="false">
      <c r="A59" s="24" t="s">
        <v>186</v>
      </c>
      <c r="B59" s="32" t="s">
        <v>3573</v>
      </c>
      <c r="C59" s="22" t="s">
        <v>3574</v>
      </c>
      <c r="D59" s="32" t="s">
        <v>3575</v>
      </c>
      <c r="E59" s="22" t="s">
        <v>3394</v>
      </c>
      <c r="F59" s="22" t="s">
        <v>3360</v>
      </c>
      <c r="G59" s="32" t="s">
        <v>3395</v>
      </c>
      <c r="H59" s="22" t="s">
        <v>3576</v>
      </c>
      <c r="I59" s="22" t="s">
        <v>3363</v>
      </c>
    </row>
    <row r="60" customFormat="false" ht="37.5" hidden="false" customHeight="true" outlineLevel="0" collapsed="false">
      <c r="A60" s="24" t="s">
        <v>186</v>
      </c>
      <c r="B60" s="32" t="s">
        <v>3577</v>
      </c>
      <c r="C60" s="22" t="s">
        <v>3370</v>
      </c>
      <c r="D60" s="32" t="s">
        <v>3578</v>
      </c>
      <c r="E60" s="22" t="s">
        <v>3359</v>
      </c>
      <c r="F60" s="22" t="s">
        <v>3360</v>
      </c>
      <c r="G60" s="32" t="s">
        <v>3372</v>
      </c>
      <c r="H60" s="22" t="s">
        <v>3579</v>
      </c>
      <c r="I60" s="22" t="s">
        <v>3363</v>
      </c>
    </row>
    <row r="61" customFormat="false" ht="15" hidden="false" customHeight="true" outlineLevel="0" collapsed="false">
      <c r="A61" s="24" t="s">
        <v>186</v>
      </c>
      <c r="B61" s="32" t="s">
        <v>3580</v>
      </c>
      <c r="C61" s="22" t="s">
        <v>3581</v>
      </c>
      <c r="D61" s="32" t="s">
        <v>3582</v>
      </c>
      <c r="E61" s="22" t="s">
        <v>3377</v>
      </c>
      <c r="F61" s="22" t="s">
        <v>3360</v>
      </c>
      <c r="G61" s="32" t="s">
        <v>3583</v>
      </c>
      <c r="H61" s="22" t="s">
        <v>3584</v>
      </c>
      <c r="I61" s="22" t="s">
        <v>3363</v>
      </c>
    </row>
    <row r="62" customFormat="false" ht="15" hidden="false" customHeight="true" outlineLevel="0" collapsed="false">
      <c r="A62" s="24" t="s">
        <v>186</v>
      </c>
      <c r="B62" s="32" t="s">
        <v>3585</v>
      </c>
      <c r="C62" s="22" t="s">
        <v>3586</v>
      </c>
      <c r="D62" s="32" t="s">
        <v>3587</v>
      </c>
      <c r="E62" s="22" t="s">
        <v>3359</v>
      </c>
      <c r="F62" s="22" t="s">
        <v>3360</v>
      </c>
      <c r="G62" s="32" t="s">
        <v>3477</v>
      </c>
      <c r="H62" s="22" t="s">
        <v>3588</v>
      </c>
      <c r="I62" s="22" t="s">
        <v>3363</v>
      </c>
    </row>
    <row r="63" customFormat="false" ht="24.75" hidden="false" customHeight="true" outlineLevel="0" collapsed="false">
      <c r="A63" s="24" t="s">
        <v>186</v>
      </c>
      <c r="B63" s="32" t="s">
        <v>3589</v>
      </c>
      <c r="C63" s="22" t="s">
        <v>3590</v>
      </c>
      <c r="D63" s="32" t="s">
        <v>3591</v>
      </c>
      <c r="E63" s="22" t="s">
        <v>3389</v>
      </c>
      <c r="F63" s="22" t="s">
        <v>3360</v>
      </c>
      <c r="G63" s="32" t="s">
        <v>3390</v>
      </c>
      <c r="H63" s="22" t="s">
        <v>3592</v>
      </c>
      <c r="I63" s="22" t="s">
        <v>3363</v>
      </c>
    </row>
    <row r="64" customFormat="false" ht="24.75" hidden="false" customHeight="true" outlineLevel="0" collapsed="false">
      <c r="A64" s="24" t="s">
        <v>186</v>
      </c>
      <c r="B64" s="32" t="s">
        <v>3593</v>
      </c>
      <c r="C64" s="22" t="s">
        <v>3594</v>
      </c>
      <c r="D64" s="32" t="s">
        <v>3595</v>
      </c>
      <c r="E64" s="22" t="s">
        <v>3394</v>
      </c>
      <c r="F64" s="22" t="s">
        <v>3360</v>
      </c>
      <c r="G64" s="32" t="s">
        <v>3596</v>
      </c>
      <c r="H64" s="22" t="s">
        <v>3597</v>
      </c>
      <c r="I64" s="22" t="s">
        <v>3363</v>
      </c>
    </row>
    <row r="65" customFormat="false" ht="37.5" hidden="false" customHeight="true" outlineLevel="0" collapsed="false">
      <c r="A65" s="24" t="s">
        <v>186</v>
      </c>
      <c r="B65" s="32" t="s">
        <v>3598</v>
      </c>
      <c r="C65" s="22" t="s">
        <v>3398</v>
      </c>
      <c r="D65" s="32" t="s">
        <v>3599</v>
      </c>
      <c r="E65" s="22" t="s">
        <v>3359</v>
      </c>
      <c r="F65" s="22" t="s">
        <v>3360</v>
      </c>
      <c r="G65" s="32" t="s">
        <v>3400</v>
      </c>
      <c r="H65" s="22" t="s">
        <v>3600</v>
      </c>
      <c r="I65" s="22" t="s">
        <v>3363</v>
      </c>
    </row>
    <row r="66" customFormat="false" ht="15" hidden="false" customHeight="true" outlineLevel="0" collapsed="false">
      <c r="A66" s="24" t="s">
        <v>186</v>
      </c>
      <c r="B66" s="32" t="s">
        <v>3601</v>
      </c>
      <c r="C66" s="22" t="s">
        <v>3403</v>
      </c>
      <c r="D66" s="32" t="s">
        <v>3602</v>
      </c>
      <c r="E66" s="22" t="s">
        <v>3377</v>
      </c>
      <c r="F66" s="22" t="s">
        <v>3360</v>
      </c>
      <c r="G66" s="32" t="s">
        <v>3379</v>
      </c>
      <c r="H66" s="22" t="s">
        <v>3603</v>
      </c>
      <c r="I66" s="22" t="s">
        <v>3363</v>
      </c>
    </row>
    <row r="67" customFormat="false" ht="15" hidden="false" customHeight="true" outlineLevel="0" collapsed="false">
      <c r="A67" s="24" t="s">
        <v>186</v>
      </c>
      <c r="B67" s="32" t="s">
        <v>3604</v>
      </c>
      <c r="C67" s="22" t="s">
        <v>3605</v>
      </c>
      <c r="D67" s="32" t="s">
        <v>3606</v>
      </c>
      <c r="E67" s="22" t="s">
        <v>3377</v>
      </c>
      <c r="F67" s="22" t="s">
        <v>3360</v>
      </c>
      <c r="G67" s="32" t="s">
        <v>3607</v>
      </c>
      <c r="H67" s="22" t="s">
        <v>3608</v>
      </c>
      <c r="I67" s="22" t="s">
        <v>3363</v>
      </c>
    </row>
    <row r="68" customFormat="false" ht="37.5" hidden="false" customHeight="true" outlineLevel="0" collapsed="false">
      <c r="A68" s="24" t="s">
        <v>186</v>
      </c>
      <c r="B68" s="32" t="s">
        <v>3609</v>
      </c>
      <c r="C68" s="22" t="s">
        <v>3441</v>
      </c>
      <c r="D68" s="32" t="s">
        <v>3610</v>
      </c>
      <c r="E68" s="22" t="s">
        <v>3394</v>
      </c>
      <c r="F68" s="22" t="s">
        <v>3360</v>
      </c>
      <c r="G68" s="32" t="s">
        <v>3443</v>
      </c>
      <c r="H68" s="22" t="s">
        <v>3441</v>
      </c>
      <c r="I68" s="22" t="s">
        <v>3363</v>
      </c>
    </row>
    <row r="69" customFormat="false" ht="15" hidden="false" customHeight="true" outlineLevel="0" collapsed="false">
      <c r="A69" s="24" t="s">
        <v>186</v>
      </c>
      <c r="B69" s="32" t="s">
        <v>3611</v>
      </c>
      <c r="C69" s="22" t="s">
        <v>3446</v>
      </c>
      <c r="D69" s="32" t="s">
        <v>3612</v>
      </c>
      <c r="E69" s="22" t="s">
        <v>3394</v>
      </c>
      <c r="F69" s="22" t="s">
        <v>3360</v>
      </c>
      <c r="G69" s="32" t="s">
        <v>3395</v>
      </c>
      <c r="H69" s="22" t="s">
        <v>3489</v>
      </c>
      <c r="I69" s="22" t="s">
        <v>3363</v>
      </c>
    </row>
    <row r="70" customFormat="false" ht="15" hidden="false" customHeight="true" outlineLevel="0" collapsed="false">
      <c r="A70" s="24" t="s">
        <v>186</v>
      </c>
      <c r="B70" s="32" t="s">
        <v>3613</v>
      </c>
      <c r="C70" s="22" t="s">
        <v>3450</v>
      </c>
      <c r="D70" s="32" t="s">
        <v>3614</v>
      </c>
      <c r="E70" s="22" t="s">
        <v>3394</v>
      </c>
      <c r="F70" s="22" t="s">
        <v>3378</v>
      </c>
      <c r="G70" s="32" t="s">
        <v>3395</v>
      </c>
      <c r="H70" s="22" t="s">
        <v>3453</v>
      </c>
      <c r="I70" s="22" t="s">
        <v>3363</v>
      </c>
    </row>
    <row r="71" customFormat="false" ht="15" hidden="false" customHeight="true" outlineLevel="0" collapsed="false">
      <c r="A71" s="24" t="s">
        <v>186</v>
      </c>
      <c r="B71" s="32" t="s">
        <v>3615</v>
      </c>
      <c r="C71" s="22" t="s">
        <v>3455</v>
      </c>
      <c r="D71" s="32" t="s">
        <v>3616</v>
      </c>
      <c r="E71" s="22" t="s">
        <v>3394</v>
      </c>
      <c r="F71" s="22" t="s">
        <v>3378</v>
      </c>
      <c r="G71" s="32" t="s">
        <v>3395</v>
      </c>
      <c r="H71" s="22" t="s">
        <v>3458</v>
      </c>
      <c r="I71" s="22" t="s">
        <v>3363</v>
      </c>
    </row>
    <row r="72" customFormat="false" ht="15" hidden="false" customHeight="true" outlineLevel="0" collapsed="false">
      <c r="A72" s="24" t="s">
        <v>186</v>
      </c>
      <c r="B72" s="32" t="s">
        <v>3617</v>
      </c>
      <c r="C72" s="22" t="s">
        <v>3460</v>
      </c>
      <c r="D72" s="32" t="s">
        <v>3618</v>
      </c>
      <c r="E72" s="22" t="s">
        <v>3394</v>
      </c>
      <c r="F72" s="22" t="s">
        <v>3378</v>
      </c>
      <c r="G72" s="32" t="s">
        <v>3395</v>
      </c>
      <c r="H72" s="22" t="s">
        <v>3522</v>
      </c>
      <c r="I72" s="22" t="s">
        <v>3363</v>
      </c>
    </row>
    <row r="73" customFormat="false" ht="15" hidden="false" customHeight="true" outlineLevel="0" collapsed="false">
      <c r="A73" s="24" t="s">
        <v>186</v>
      </c>
      <c r="B73" s="32" t="s">
        <v>3619</v>
      </c>
      <c r="C73" s="22" t="s">
        <v>3464</v>
      </c>
      <c r="D73" s="32" t="s">
        <v>3620</v>
      </c>
      <c r="E73" s="22" t="s">
        <v>3394</v>
      </c>
      <c r="F73" s="22" t="s">
        <v>3378</v>
      </c>
      <c r="G73" s="32" t="s">
        <v>3395</v>
      </c>
      <c r="H73" s="22" t="s">
        <v>3495</v>
      </c>
      <c r="I73" s="22" t="s">
        <v>3363</v>
      </c>
    </row>
    <row r="74" customFormat="false" ht="15" hidden="false" customHeight="true" outlineLevel="0" collapsed="false">
      <c r="A74" s="24" t="s">
        <v>186</v>
      </c>
      <c r="B74" s="32" t="s">
        <v>3621</v>
      </c>
      <c r="C74" s="22" t="s">
        <v>3622</v>
      </c>
      <c r="D74" s="32" t="s">
        <v>3623</v>
      </c>
      <c r="E74" s="22" t="s">
        <v>3377</v>
      </c>
      <c r="F74" s="22" t="s">
        <v>3360</v>
      </c>
      <c r="G74" s="32" t="s">
        <v>3624</v>
      </c>
      <c r="H74" s="22" t="s">
        <v>3625</v>
      </c>
      <c r="I74" s="22" t="s">
        <v>3363</v>
      </c>
    </row>
    <row r="75" customFormat="false" ht="15" hidden="false" customHeight="true" outlineLevel="0" collapsed="false">
      <c r="A75" s="24" t="s">
        <v>186</v>
      </c>
      <c r="B75" s="32" t="s">
        <v>3626</v>
      </c>
      <c r="C75" s="22" t="s">
        <v>3581</v>
      </c>
      <c r="D75" s="32" t="s">
        <v>3627</v>
      </c>
      <c r="E75" s="22" t="s">
        <v>3377</v>
      </c>
      <c r="F75" s="22" t="s">
        <v>3360</v>
      </c>
      <c r="G75" s="32" t="s">
        <v>3628</v>
      </c>
      <c r="H75" s="22" t="s">
        <v>3629</v>
      </c>
      <c r="I75" s="22" t="s">
        <v>3363</v>
      </c>
    </row>
    <row r="76" customFormat="false" ht="15" hidden="false" customHeight="true" outlineLevel="0" collapsed="false">
      <c r="A76" s="24" t="s">
        <v>186</v>
      </c>
      <c r="B76" s="32" t="s">
        <v>3630</v>
      </c>
      <c r="C76" s="22" t="s">
        <v>3586</v>
      </c>
      <c r="D76" s="32" t="s">
        <v>3631</v>
      </c>
      <c r="E76" s="22" t="s">
        <v>3359</v>
      </c>
      <c r="F76" s="22" t="s">
        <v>3360</v>
      </c>
      <c r="G76" s="32" t="s">
        <v>3477</v>
      </c>
      <c r="H76" s="22" t="s">
        <v>3632</v>
      </c>
      <c r="I76" s="22" t="s">
        <v>3363</v>
      </c>
    </row>
    <row r="77" customFormat="false" ht="24.75" hidden="false" customHeight="true" outlineLevel="0" collapsed="false">
      <c r="A77" s="24" t="s">
        <v>186</v>
      </c>
      <c r="B77" s="32" t="s">
        <v>3633</v>
      </c>
      <c r="C77" s="22" t="s">
        <v>3590</v>
      </c>
      <c r="D77" s="32" t="s">
        <v>3634</v>
      </c>
      <c r="E77" s="22" t="s">
        <v>3389</v>
      </c>
      <c r="F77" s="22" t="s">
        <v>3360</v>
      </c>
      <c r="G77" s="32" t="s">
        <v>3390</v>
      </c>
      <c r="H77" s="22" t="s">
        <v>3635</v>
      </c>
      <c r="I77" s="22" t="s">
        <v>3363</v>
      </c>
    </row>
    <row r="78" customFormat="false" ht="15" hidden="false" customHeight="true" outlineLevel="0" collapsed="false">
      <c r="A78" s="24" t="s">
        <v>186</v>
      </c>
      <c r="B78" s="32" t="s">
        <v>3636</v>
      </c>
      <c r="C78" s="22" t="s">
        <v>3594</v>
      </c>
      <c r="D78" s="32" t="s">
        <v>3637</v>
      </c>
      <c r="E78" s="22" t="s">
        <v>3394</v>
      </c>
      <c r="F78" s="22" t="s">
        <v>3360</v>
      </c>
      <c r="G78" s="32" t="s">
        <v>3395</v>
      </c>
      <c r="H78" s="22" t="s">
        <v>3597</v>
      </c>
      <c r="I78" s="22" t="s">
        <v>3363</v>
      </c>
    </row>
    <row r="79" customFormat="false" ht="37.5" hidden="false" customHeight="true" outlineLevel="0" collapsed="false">
      <c r="A79" s="24" t="s">
        <v>186</v>
      </c>
      <c r="B79" s="32" t="s">
        <v>3638</v>
      </c>
      <c r="C79" s="22" t="s">
        <v>3398</v>
      </c>
      <c r="D79" s="32" t="s">
        <v>3639</v>
      </c>
      <c r="E79" s="22" t="s">
        <v>3359</v>
      </c>
      <c r="F79" s="22" t="s">
        <v>3378</v>
      </c>
      <c r="G79" s="32" t="s">
        <v>3400</v>
      </c>
      <c r="H79" s="22" t="s">
        <v>3640</v>
      </c>
      <c r="I79" s="22" t="s">
        <v>3363</v>
      </c>
    </row>
    <row r="80" customFormat="false" ht="15" hidden="false" customHeight="true" outlineLevel="0" collapsed="false">
      <c r="A80" s="24" t="s">
        <v>186</v>
      </c>
      <c r="B80" s="32" t="s">
        <v>3641</v>
      </c>
      <c r="C80" s="22" t="s">
        <v>3446</v>
      </c>
      <c r="D80" s="32" t="s">
        <v>3642</v>
      </c>
      <c r="E80" s="22" t="s">
        <v>3394</v>
      </c>
      <c r="F80" s="22" t="s">
        <v>3360</v>
      </c>
      <c r="G80" s="32" t="s">
        <v>3395</v>
      </c>
      <c r="H80" s="22" t="s">
        <v>3643</v>
      </c>
      <c r="I80" s="22" t="s">
        <v>3363</v>
      </c>
    </row>
    <row r="81" customFormat="false" ht="24.75" hidden="false" customHeight="true" outlineLevel="0" collapsed="false">
      <c r="A81" s="24" t="s">
        <v>186</v>
      </c>
      <c r="B81" s="32" t="s">
        <v>3644</v>
      </c>
      <c r="C81" s="22" t="s">
        <v>3645</v>
      </c>
      <c r="D81" s="32" t="s">
        <v>3646</v>
      </c>
      <c r="E81" s="22" t="s">
        <v>3359</v>
      </c>
      <c r="F81" s="22" t="s">
        <v>3360</v>
      </c>
      <c r="G81" s="32" t="s">
        <v>3477</v>
      </c>
      <c r="H81" s="22" t="s">
        <v>3647</v>
      </c>
      <c r="I81" s="22" t="s">
        <v>3363</v>
      </c>
    </row>
    <row r="82" customFormat="false" ht="24.75" hidden="false" customHeight="true" outlineLevel="0" collapsed="false">
      <c r="A82" s="24" t="s">
        <v>186</v>
      </c>
      <c r="B82" s="32" t="s">
        <v>3648</v>
      </c>
      <c r="C82" s="22" t="s">
        <v>3649</v>
      </c>
      <c r="D82" s="32" t="s">
        <v>3650</v>
      </c>
      <c r="E82" s="22" t="s">
        <v>3389</v>
      </c>
      <c r="F82" s="22" t="s">
        <v>3360</v>
      </c>
      <c r="G82" s="32" t="s">
        <v>3390</v>
      </c>
      <c r="H82" s="22" t="s">
        <v>3651</v>
      </c>
      <c r="I82" s="22" t="s">
        <v>3363</v>
      </c>
    </row>
    <row r="83" customFormat="false" ht="15" hidden="false" customHeight="true" outlineLevel="0" collapsed="false">
      <c r="A83" s="24" t="s">
        <v>186</v>
      </c>
      <c r="B83" s="32" t="s">
        <v>3652</v>
      </c>
      <c r="C83" s="22" t="s">
        <v>3653</v>
      </c>
      <c r="D83" s="32" t="s">
        <v>3654</v>
      </c>
      <c r="E83" s="22" t="s">
        <v>3359</v>
      </c>
      <c r="F83" s="22" t="s">
        <v>3360</v>
      </c>
      <c r="G83" s="32" t="s">
        <v>3477</v>
      </c>
      <c r="H83" s="22" t="s">
        <v>3655</v>
      </c>
      <c r="I83" s="22" t="s">
        <v>3363</v>
      </c>
    </row>
    <row r="84" customFormat="false" ht="24.75" hidden="false" customHeight="true" outlineLevel="0" collapsed="false">
      <c r="A84" s="24" t="s">
        <v>186</v>
      </c>
      <c r="B84" s="32" t="s">
        <v>3656</v>
      </c>
      <c r="C84" s="22" t="s">
        <v>3657</v>
      </c>
      <c r="D84" s="32" t="s">
        <v>3658</v>
      </c>
      <c r="E84" s="22" t="s">
        <v>3389</v>
      </c>
      <c r="F84" s="22" t="s">
        <v>3360</v>
      </c>
      <c r="G84" s="32" t="s">
        <v>3390</v>
      </c>
      <c r="H84" s="22" t="s">
        <v>3659</v>
      </c>
      <c r="I84" s="22" t="s">
        <v>3363</v>
      </c>
    </row>
    <row r="85" customFormat="false" ht="24.75" hidden="false" customHeight="true" outlineLevel="0" collapsed="false">
      <c r="A85" s="24" t="s">
        <v>186</v>
      </c>
      <c r="B85" s="32" t="s">
        <v>3660</v>
      </c>
      <c r="C85" s="22" t="s">
        <v>3661</v>
      </c>
      <c r="D85" s="32" t="s">
        <v>3662</v>
      </c>
      <c r="E85" s="22" t="s">
        <v>3359</v>
      </c>
      <c r="F85" s="22" t="s">
        <v>3360</v>
      </c>
      <c r="G85" s="32" t="s">
        <v>3663</v>
      </c>
      <c r="H85" s="22" t="s">
        <v>3664</v>
      </c>
      <c r="I85" s="22" t="s">
        <v>3363</v>
      </c>
    </row>
    <row r="86" customFormat="false" ht="37.5" hidden="false" customHeight="true" outlineLevel="0" collapsed="false">
      <c r="A86" s="24" t="s">
        <v>186</v>
      </c>
      <c r="B86" s="32" t="s">
        <v>3665</v>
      </c>
      <c r="C86" s="22" t="s">
        <v>3398</v>
      </c>
      <c r="D86" s="32" t="s">
        <v>3666</v>
      </c>
      <c r="E86" s="22" t="s">
        <v>3359</v>
      </c>
      <c r="F86" s="22" t="s">
        <v>3360</v>
      </c>
      <c r="G86" s="32" t="s">
        <v>3400</v>
      </c>
      <c r="H86" s="22" t="s">
        <v>3667</v>
      </c>
      <c r="I86" s="22" t="s">
        <v>3363</v>
      </c>
    </row>
    <row r="87" customFormat="false" ht="15" hidden="false" customHeight="true" outlineLevel="0" collapsed="false">
      <c r="A87" s="24" t="s">
        <v>186</v>
      </c>
      <c r="B87" s="32" t="s">
        <v>3668</v>
      </c>
      <c r="C87" s="22" t="s">
        <v>3505</v>
      </c>
      <c r="D87" s="32" t="s">
        <v>3669</v>
      </c>
      <c r="E87" s="22" t="s">
        <v>3377</v>
      </c>
      <c r="F87" s="22" t="s">
        <v>3378</v>
      </c>
      <c r="G87" s="32" t="s">
        <v>3507</v>
      </c>
      <c r="H87" s="22" t="s">
        <v>3670</v>
      </c>
      <c r="I87" s="22" t="s">
        <v>3363</v>
      </c>
    </row>
    <row r="88" customFormat="false" ht="37.5" hidden="false" customHeight="true" outlineLevel="0" collapsed="false">
      <c r="A88" s="24" t="s">
        <v>186</v>
      </c>
      <c r="B88" s="32" t="s">
        <v>3671</v>
      </c>
      <c r="C88" s="22" t="s">
        <v>3441</v>
      </c>
      <c r="D88" s="32" t="s">
        <v>3672</v>
      </c>
      <c r="E88" s="22" t="s">
        <v>3394</v>
      </c>
      <c r="F88" s="22" t="s">
        <v>3360</v>
      </c>
      <c r="G88" s="32" t="s">
        <v>3443</v>
      </c>
      <c r="H88" s="22" t="s">
        <v>3441</v>
      </c>
      <c r="I88" s="22" t="s">
        <v>3363</v>
      </c>
    </row>
    <row r="89" customFormat="false" ht="15" hidden="false" customHeight="true" outlineLevel="0" collapsed="false">
      <c r="A89" s="24" t="s">
        <v>186</v>
      </c>
      <c r="B89" s="32" t="s">
        <v>3673</v>
      </c>
      <c r="C89" s="22" t="s">
        <v>3674</v>
      </c>
      <c r="D89" s="32" t="s">
        <v>3675</v>
      </c>
      <c r="E89" s="22" t="s">
        <v>3394</v>
      </c>
      <c r="F89" s="22" t="s">
        <v>3360</v>
      </c>
      <c r="G89" s="32" t="s">
        <v>3395</v>
      </c>
      <c r="H89" s="22" t="s">
        <v>3676</v>
      </c>
      <c r="I89" s="22" t="s">
        <v>3363</v>
      </c>
    </row>
    <row r="90" customFormat="false" ht="15" hidden="false" customHeight="true" outlineLevel="0" collapsed="false">
      <c r="A90" s="24" t="s">
        <v>186</v>
      </c>
      <c r="B90" s="32" t="s">
        <v>3677</v>
      </c>
      <c r="C90" s="22" t="s">
        <v>3678</v>
      </c>
      <c r="D90" s="32" t="s">
        <v>3679</v>
      </c>
      <c r="E90" s="22" t="s">
        <v>3394</v>
      </c>
      <c r="F90" s="22" t="s">
        <v>3378</v>
      </c>
      <c r="G90" s="32" t="s">
        <v>3395</v>
      </c>
      <c r="H90" s="22" t="s">
        <v>3680</v>
      </c>
      <c r="I90" s="22" t="s">
        <v>3363</v>
      </c>
    </row>
    <row r="91" customFormat="false" ht="37.5" hidden="false" customHeight="true" outlineLevel="0" collapsed="false">
      <c r="A91" s="24" t="s">
        <v>186</v>
      </c>
      <c r="B91" s="32" t="s">
        <v>3681</v>
      </c>
      <c r="C91" s="22" t="s">
        <v>3398</v>
      </c>
      <c r="D91" s="32" t="s">
        <v>3682</v>
      </c>
      <c r="E91" s="22" t="s">
        <v>3359</v>
      </c>
      <c r="F91" s="22" t="s">
        <v>3360</v>
      </c>
      <c r="G91" s="32" t="s">
        <v>3400</v>
      </c>
      <c r="H91" s="22" t="s">
        <v>3683</v>
      </c>
      <c r="I91" s="22" t="s">
        <v>3363</v>
      </c>
    </row>
    <row r="92" customFormat="false" ht="15" hidden="false" customHeight="true" outlineLevel="0" collapsed="false">
      <c r="A92" s="24" t="s">
        <v>186</v>
      </c>
      <c r="B92" s="32" t="s">
        <v>3684</v>
      </c>
      <c r="C92" s="22" t="s">
        <v>3685</v>
      </c>
      <c r="D92" s="32" t="s">
        <v>3686</v>
      </c>
      <c r="E92" s="22" t="s">
        <v>3394</v>
      </c>
      <c r="F92" s="22" t="s">
        <v>3360</v>
      </c>
      <c r="G92" s="32" t="s">
        <v>3395</v>
      </c>
      <c r="H92" s="22" t="s">
        <v>3687</v>
      </c>
      <c r="I92" s="22" t="s">
        <v>3363</v>
      </c>
    </row>
    <row r="93" customFormat="false" ht="24.75" hidden="false" customHeight="true" outlineLevel="0" collapsed="false">
      <c r="A93" s="24" t="s">
        <v>186</v>
      </c>
      <c r="B93" s="32" t="s">
        <v>3688</v>
      </c>
      <c r="C93" s="22" t="s">
        <v>3689</v>
      </c>
      <c r="D93" s="32" t="s">
        <v>3690</v>
      </c>
      <c r="E93" s="22" t="s">
        <v>3377</v>
      </c>
      <c r="F93" s="22" t="s">
        <v>3360</v>
      </c>
      <c r="G93" s="32" t="s">
        <v>3691</v>
      </c>
      <c r="H93" s="22" t="s">
        <v>3692</v>
      </c>
      <c r="I93" s="22" t="s">
        <v>3363</v>
      </c>
    </row>
    <row r="94" customFormat="false" ht="15" hidden="false" customHeight="true" outlineLevel="0" collapsed="false">
      <c r="A94" s="24" t="s">
        <v>186</v>
      </c>
      <c r="B94" s="32" t="s">
        <v>3693</v>
      </c>
      <c r="C94" s="22" t="s">
        <v>3694</v>
      </c>
      <c r="D94" s="32" t="s">
        <v>3695</v>
      </c>
      <c r="E94" s="22" t="s">
        <v>3437</v>
      </c>
      <c r="F94" s="22" t="s">
        <v>3360</v>
      </c>
      <c r="G94" s="32" t="s">
        <v>3438</v>
      </c>
      <c r="H94" s="22" t="s">
        <v>3696</v>
      </c>
      <c r="I94" s="22" t="s">
        <v>3363</v>
      </c>
    </row>
    <row r="95" customFormat="false" ht="37.5" hidden="false" customHeight="true" outlineLevel="0" collapsed="false">
      <c r="A95" s="24" t="s">
        <v>186</v>
      </c>
      <c r="B95" s="32" t="s">
        <v>3697</v>
      </c>
      <c r="C95" s="22" t="s">
        <v>3698</v>
      </c>
      <c r="D95" s="32" t="s">
        <v>3699</v>
      </c>
      <c r="E95" s="22" t="s">
        <v>3359</v>
      </c>
      <c r="F95" s="22" t="s">
        <v>3360</v>
      </c>
      <c r="G95" s="32" t="s">
        <v>3700</v>
      </c>
      <c r="H95" s="22" t="s">
        <v>3701</v>
      </c>
      <c r="I95" s="22" t="s">
        <v>3363</v>
      </c>
    </row>
    <row r="96" customFormat="false" ht="24.75" hidden="false" customHeight="true" outlineLevel="0" collapsed="false">
      <c r="A96" s="24" t="s">
        <v>186</v>
      </c>
      <c r="B96" s="32" t="s">
        <v>3702</v>
      </c>
      <c r="C96" s="22" t="s">
        <v>3354</v>
      </c>
      <c r="D96" s="32" t="s">
        <v>3703</v>
      </c>
      <c r="E96" s="22" t="s">
        <v>3359</v>
      </c>
      <c r="F96" s="22" t="s">
        <v>3378</v>
      </c>
      <c r="G96" s="32" t="s">
        <v>3704</v>
      </c>
      <c r="H96" s="22" t="s">
        <v>3354</v>
      </c>
      <c r="I96" s="22" t="s">
        <v>3363</v>
      </c>
    </row>
    <row r="97" customFormat="false" ht="24.75" hidden="false" customHeight="true" outlineLevel="0" collapsed="false">
      <c r="A97" s="24" t="s">
        <v>186</v>
      </c>
      <c r="B97" s="32" t="s">
        <v>3705</v>
      </c>
      <c r="C97" s="22" t="s">
        <v>3706</v>
      </c>
      <c r="D97" s="32" t="s">
        <v>3707</v>
      </c>
      <c r="E97" s="22" t="s">
        <v>3377</v>
      </c>
      <c r="F97" s="22" t="s">
        <v>3360</v>
      </c>
      <c r="G97" s="32" t="s">
        <v>3708</v>
      </c>
      <c r="H97" s="22" t="s">
        <v>3709</v>
      </c>
      <c r="I97" s="22" t="s">
        <v>3363</v>
      </c>
    </row>
    <row r="98" customFormat="false" ht="15" hidden="false" customHeight="true" outlineLevel="0" collapsed="false">
      <c r="A98" s="24" t="s">
        <v>186</v>
      </c>
      <c r="B98" s="32" t="s">
        <v>3710</v>
      </c>
      <c r="C98" s="22" t="s">
        <v>3711</v>
      </c>
      <c r="D98" s="32" t="s">
        <v>3712</v>
      </c>
      <c r="E98" s="22" t="s">
        <v>3394</v>
      </c>
      <c r="F98" s="22" t="s">
        <v>3360</v>
      </c>
      <c r="G98" s="32" t="s">
        <v>3713</v>
      </c>
      <c r="H98" s="22" t="s">
        <v>3714</v>
      </c>
      <c r="I98" s="22" t="s">
        <v>3363</v>
      </c>
    </row>
    <row r="99" customFormat="false" ht="37.5" hidden="false" customHeight="true" outlineLevel="0" collapsed="false">
      <c r="A99" s="24" t="s">
        <v>186</v>
      </c>
      <c r="B99" s="32" t="s">
        <v>3715</v>
      </c>
      <c r="C99" s="22" t="s">
        <v>3441</v>
      </c>
      <c r="D99" s="32" t="s">
        <v>3716</v>
      </c>
      <c r="E99" s="22" t="s">
        <v>3394</v>
      </c>
      <c r="F99" s="22" t="s">
        <v>3360</v>
      </c>
      <c r="G99" s="32" t="s">
        <v>3443</v>
      </c>
      <c r="H99" s="22" t="s">
        <v>3717</v>
      </c>
      <c r="I99" s="22" t="s">
        <v>3363</v>
      </c>
    </row>
    <row r="100" customFormat="false" ht="24.75" hidden="false" customHeight="true" outlineLevel="0" collapsed="false">
      <c r="A100" s="24" t="s">
        <v>186</v>
      </c>
      <c r="B100" s="32" t="s">
        <v>3718</v>
      </c>
      <c r="C100" s="22" t="s">
        <v>3719</v>
      </c>
      <c r="D100" s="32" t="s">
        <v>3720</v>
      </c>
      <c r="E100" s="22" t="s">
        <v>3394</v>
      </c>
      <c r="F100" s="22" t="s">
        <v>3378</v>
      </c>
      <c r="G100" s="32" t="s">
        <v>3395</v>
      </c>
      <c r="H100" s="22" t="s">
        <v>3721</v>
      </c>
      <c r="I100" s="22" t="s">
        <v>3363</v>
      </c>
    </row>
    <row r="101" customFormat="false" ht="37.5" hidden="false" customHeight="true" outlineLevel="0" collapsed="false">
      <c r="A101" s="24" t="s">
        <v>186</v>
      </c>
      <c r="B101" s="32" t="s">
        <v>3722</v>
      </c>
      <c r="C101" s="22" t="s">
        <v>3446</v>
      </c>
      <c r="D101" s="32" t="s">
        <v>3723</v>
      </c>
      <c r="E101" s="22" t="s">
        <v>3394</v>
      </c>
      <c r="F101" s="22" t="s">
        <v>3360</v>
      </c>
      <c r="G101" s="32" t="s">
        <v>3395</v>
      </c>
      <c r="H101" s="22" t="s">
        <v>3724</v>
      </c>
      <c r="I101" s="22" t="s">
        <v>3363</v>
      </c>
    </row>
    <row r="102" customFormat="false" ht="15" hidden="false" customHeight="true" outlineLevel="0" collapsed="false">
      <c r="A102" s="24" t="s">
        <v>186</v>
      </c>
      <c r="B102" s="32" t="s">
        <v>3725</v>
      </c>
      <c r="C102" s="22" t="s">
        <v>3450</v>
      </c>
      <c r="D102" s="32" t="s">
        <v>3726</v>
      </c>
      <c r="E102" s="22" t="s">
        <v>3394</v>
      </c>
      <c r="F102" s="22" t="s">
        <v>3378</v>
      </c>
      <c r="G102" s="32" t="s">
        <v>3395</v>
      </c>
      <c r="H102" s="22" t="s">
        <v>3453</v>
      </c>
      <c r="I102" s="22" t="s">
        <v>3363</v>
      </c>
    </row>
    <row r="103" customFormat="false" ht="15" hidden="false" customHeight="true" outlineLevel="0" collapsed="false">
      <c r="A103" s="24" t="s">
        <v>186</v>
      </c>
      <c r="B103" s="32" t="s">
        <v>3727</v>
      </c>
      <c r="C103" s="22" t="s">
        <v>3455</v>
      </c>
      <c r="D103" s="32" t="s">
        <v>3728</v>
      </c>
      <c r="E103" s="22" t="s">
        <v>3394</v>
      </c>
      <c r="F103" s="22" t="s">
        <v>3378</v>
      </c>
      <c r="G103" s="32" t="s">
        <v>3395</v>
      </c>
      <c r="H103" s="22" t="s">
        <v>3458</v>
      </c>
      <c r="I103" s="22" t="s">
        <v>3363</v>
      </c>
    </row>
    <row r="104" customFormat="false" ht="15" hidden="false" customHeight="true" outlineLevel="0" collapsed="false">
      <c r="A104" s="24" t="s">
        <v>186</v>
      </c>
      <c r="B104" s="32" t="s">
        <v>3729</v>
      </c>
      <c r="C104" s="22" t="s">
        <v>3460</v>
      </c>
      <c r="D104" s="32" t="s">
        <v>3730</v>
      </c>
      <c r="E104" s="22" t="s">
        <v>3394</v>
      </c>
      <c r="F104" s="22" t="s">
        <v>3378</v>
      </c>
      <c r="G104" s="32" t="s">
        <v>3395</v>
      </c>
      <c r="H104" s="22" t="s">
        <v>3522</v>
      </c>
      <c r="I104" s="22" t="s">
        <v>3363</v>
      </c>
    </row>
    <row r="105" customFormat="false" ht="15" hidden="false" customHeight="true" outlineLevel="0" collapsed="false">
      <c r="A105" s="24" t="s">
        <v>186</v>
      </c>
      <c r="B105" s="32" t="s">
        <v>3731</v>
      </c>
      <c r="C105" s="22" t="s">
        <v>3464</v>
      </c>
      <c r="D105" s="32" t="s">
        <v>3732</v>
      </c>
      <c r="E105" s="22" t="s">
        <v>3394</v>
      </c>
      <c r="F105" s="22" t="s">
        <v>3378</v>
      </c>
      <c r="G105" s="32" t="s">
        <v>3395</v>
      </c>
      <c r="H105" s="22" t="s">
        <v>3495</v>
      </c>
      <c r="I105" s="22" t="s">
        <v>3363</v>
      </c>
    </row>
    <row r="106" customFormat="false" ht="124.5" hidden="false" customHeight="true" outlineLevel="0" collapsed="false">
      <c r="A106" s="24" t="s">
        <v>186</v>
      </c>
      <c r="B106" s="32" t="s">
        <v>3733</v>
      </c>
      <c r="C106" s="22" t="s">
        <v>3734</v>
      </c>
      <c r="D106" s="32" t="s">
        <v>3735</v>
      </c>
      <c r="E106" s="22" t="s">
        <v>3377</v>
      </c>
      <c r="F106" s="22" t="s">
        <v>3360</v>
      </c>
      <c r="G106" s="32" t="s">
        <v>3736</v>
      </c>
      <c r="H106" s="22" t="s">
        <v>3737</v>
      </c>
      <c r="I106" s="22" t="s">
        <v>3363</v>
      </c>
    </row>
    <row r="107" customFormat="false" ht="15" hidden="false" customHeight="true" outlineLevel="0" collapsed="false">
      <c r="A107" s="24" t="s">
        <v>186</v>
      </c>
      <c r="B107" s="32" t="s">
        <v>3738</v>
      </c>
      <c r="C107" s="22" t="s">
        <v>3739</v>
      </c>
      <c r="D107" s="32" t="s">
        <v>3740</v>
      </c>
      <c r="E107" s="22" t="s">
        <v>3359</v>
      </c>
      <c r="F107" s="22" t="s">
        <v>3360</v>
      </c>
      <c r="G107" s="32" t="s">
        <v>3477</v>
      </c>
      <c r="H107" s="22" t="s">
        <v>3741</v>
      </c>
      <c r="I107" s="22" t="s">
        <v>3363</v>
      </c>
    </row>
    <row r="108" customFormat="false" ht="15" hidden="false" customHeight="true" outlineLevel="0" collapsed="false">
      <c r="A108" s="24" t="s">
        <v>186</v>
      </c>
      <c r="B108" s="32" t="s">
        <v>3742</v>
      </c>
      <c r="C108" s="22" t="s">
        <v>3743</v>
      </c>
      <c r="D108" s="32" t="s">
        <v>3744</v>
      </c>
      <c r="E108" s="22" t="s">
        <v>3359</v>
      </c>
      <c r="F108" s="22" t="s">
        <v>3360</v>
      </c>
      <c r="G108" s="32" t="s">
        <v>3477</v>
      </c>
      <c r="H108" s="22" t="s">
        <v>3745</v>
      </c>
      <c r="I108" s="22" t="s">
        <v>3363</v>
      </c>
    </row>
    <row r="109" customFormat="false" ht="15" hidden="false" customHeight="true" outlineLevel="0" collapsed="false">
      <c r="A109" s="24" t="s">
        <v>186</v>
      </c>
      <c r="B109" s="32" t="s">
        <v>3746</v>
      </c>
      <c r="C109" s="22" t="s">
        <v>3747</v>
      </c>
      <c r="D109" s="32" t="s">
        <v>3748</v>
      </c>
      <c r="E109" s="22" t="s">
        <v>3437</v>
      </c>
      <c r="F109" s="22" t="s">
        <v>3360</v>
      </c>
      <c r="G109" s="32" t="s">
        <v>3749</v>
      </c>
      <c r="H109" s="22" t="s">
        <v>3750</v>
      </c>
      <c r="I109" s="22" t="s">
        <v>3363</v>
      </c>
    </row>
    <row r="110" customFormat="false" ht="15" hidden="false" customHeight="true" outlineLevel="0" collapsed="false">
      <c r="A110" s="24" t="s">
        <v>186</v>
      </c>
      <c r="B110" s="32" t="s">
        <v>3751</v>
      </c>
      <c r="C110" s="22" t="s">
        <v>3752</v>
      </c>
      <c r="D110" s="32" t="s">
        <v>3753</v>
      </c>
      <c r="E110" s="22" t="s">
        <v>3437</v>
      </c>
      <c r="F110" s="22" t="s">
        <v>3360</v>
      </c>
      <c r="G110" s="32" t="s">
        <v>3754</v>
      </c>
      <c r="H110" s="22" t="s">
        <v>3755</v>
      </c>
      <c r="I110" s="22" t="s">
        <v>3363</v>
      </c>
    </row>
    <row r="111" customFormat="false" ht="15" hidden="false" customHeight="true" outlineLevel="0" collapsed="false">
      <c r="A111" s="24" t="s">
        <v>186</v>
      </c>
      <c r="B111" s="32" t="s">
        <v>3756</v>
      </c>
      <c r="C111" s="22" t="s">
        <v>3757</v>
      </c>
      <c r="D111" s="32" t="s">
        <v>3758</v>
      </c>
      <c r="E111" s="22" t="s">
        <v>3437</v>
      </c>
      <c r="F111" s="22" t="s">
        <v>3360</v>
      </c>
      <c r="G111" s="32" t="s">
        <v>3759</v>
      </c>
      <c r="H111" s="22" t="s">
        <v>3760</v>
      </c>
      <c r="I111" s="22" t="s">
        <v>3363</v>
      </c>
    </row>
    <row r="112" customFormat="false" ht="37.5" hidden="false" customHeight="true" outlineLevel="0" collapsed="false">
      <c r="A112" s="24" t="s">
        <v>186</v>
      </c>
      <c r="B112" s="32" t="s">
        <v>3761</v>
      </c>
      <c r="C112" s="22" t="s">
        <v>3762</v>
      </c>
      <c r="D112" s="32" t="s">
        <v>3763</v>
      </c>
      <c r="E112" s="22" t="s">
        <v>3377</v>
      </c>
      <c r="F112" s="22" t="s">
        <v>3360</v>
      </c>
      <c r="G112" s="32" t="s">
        <v>3764</v>
      </c>
      <c r="H112" s="22" t="s">
        <v>3765</v>
      </c>
      <c r="I112" s="22" t="s">
        <v>3363</v>
      </c>
    </row>
    <row r="113" customFormat="false" ht="37.5" hidden="false" customHeight="true" outlineLevel="0" collapsed="false">
      <c r="A113" s="24" t="s">
        <v>186</v>
      </c>
      <c r="B113" s="32" t="s">
        <v>3766</v>
      </c>
      <c r="C113" s="22" t="s">
        <v>3767</v>
      </c>
      <c r="D113" s="32" t="s">
        <v>3768</v>
      </c>
      <c r="E113" s="22" t="s">
        <v>3359</v>
      </c>
      <c r="F113" s="22" t="s">
        <v>3360</v>
      </c>
      <c r="G113" s="32" t="s">
        <v>3372</v>
      </c>
      <c r="H113" s="22" t="s">
        <v>3769</v>
      </c>
      <c r="I113" s="22" t="s">
        <v>3363</v>
      </c>
    </row>
    <row r="114" customFormat="false" ht="15" hidden="false" customHeight="true" outlineLevel="0" collapsed="false">
      <c r="A114" s="24" t="s">
        <v>186</v>
      </c>
      <c r="B114" s="32" t="s">
        <v>3770</v>
      </c>
      <c r="C114" s="22" t="s">
        <v>3771</v>
      </c>
      <c r="D114" s="32" t="s">
        <v>3772</v>
      </c>
      <c r="E114" s="22" t="s">
        <v>3394</v>
      </c>
      <c r="F114" s="22" t="s">
        <v>3360</v>
      </c>
      <c r="G114" s="32" t="s">
        <v>3773</v>
      </c>
      <c r="H114" s="22" t="s">
        <v>3774</v>
      </c>
      <c r="I114" s="22" t="s">
        <v>3363</v>
      </c>
    </row>
    <row r="115" customFormat="false" ht="15" hidden="false" customHeight="true" outlineLevel="0" collapsed="false">
      <c r="A115" s="24" t="s">
        <v>186</v>
      </c>
      <c r="B115" s="32" t="s">
        <v>3775</v>
      </c>
      <c r="C115" s="22" t="s">
        <v>3776</v>
      </c>
      <c r="D115" s="32" t="s">
        <v>3777</v>
      </c>
      <c r="E115" s="22" t="s">
        <v>3394</v>
      </c>
      <c r="F115" s="22" t="s">
        <v>3378</v>
      </c>
      <c r="G115" s="32" t="s">
        <v>3713</v>
      </c>
      <c r="H115" s="22" t="s">
        <v>3778</v>
      </c>
      <c r="I115" s="22" t="s">
        <v>3363</v>
      </c>
    </row>
    <row r="116" customFormat="false" ht="15" hidden="false" customHeight="true" outlineLevel="0" collapsed="false">
      <c r="A116" s="24" t="s">
        <v>186</v>
      </c>
      <c r="B116" s="32" t="s">
        <v>3779</v>
      </c>
      <c r="C116" s="22" t="s">
        <v>3780</v>
      </c>
      <c r="D116" s="32" t="s">
        <v>3781</v>
      </c>
      <c r="E116" s="22" t="s">
        <v>3394</v>
      </c>
      <c r="F116" s="22" t="s">
        <v>3378</v>
      </c>
      <c r="G116" s="32" t="s">
        <v>3713</v>
      </c>
      <c r="H116" s="22" t="s">
        <v>3458</v>
      </c>
      <c r="I116" s="22" t="s">
        <v>3363</v>
      </c>
    </row>
    <row r="117" customFormat="false" ht="15" hidden="false" customHeight="true" outlineLevel="0" collapsed="false">
      <c r="A117" s="24" t="s">
        <v>186</v>
      </c>
      <c r="B117" s="32" t="s">
        <v>3782</v>
      </c>
      <c r="C117" s="22" t="s">
        <v>3783</v>
      </c>
      <c r="D117" s="32" t="s">
        <v>3784</v>
      </c>
      <c r="E117" s="22" t="s">
        <v>3394</v>
      </c>
      <c r="F117" s="22" t="s">
        <v>3378</v>
      </c>
      <c r="G117" s="32" t="s">
        <v>3713</v>
      </c>
      <c r="H117" s="22" t="s">
        <v>3522</v>
      </c>
      <c r="I117" s="22" t="s">
        <v>3363</v>
      </c>
    </row>
    <row r="118" customFormat="false" ht="15" hidden="false" customHeight="true" outlineLevel="0" collapsed="false">
      <c r="A118" s="24" t="s">
        <v>186</v>
      </c>
      <c r="B118" s="32" t="s">
        <v>3785</v>
      </c>
      <c r="C118" s="22" t="s">
        <v>3495</v>
      </c>
      <c r="D118" s="32" t="s">
        <v>3786</v>
      </c>
      <c r="E118" s="22" t="s">
        <v>3394</v>
      </c>
      <c r="F118" s="22" t="s">
        <v>3378</v>
      </c>
      <c r="G118" s="32" t="s">
        <v>3713</v>
      </c>
      <c r="H118" s="22" t="s">
        <v>3495</v>
      </c>
      <c r="I118" s="22" t="s">
        <v>3363</v>
      </c>
    </row>
    <row r="119" customFormat="false" ht="37.5" hidden="false" customHeight="true" outlineLevel="0" collapsed="false">
      <c r="A119" s="24" t="s">
        <v>186</v>
      </c>
      <c r="B119" s="32" t="s">
        <v>3787</v>
      </c>
      <c r="C119" s="22" t="s">
        <v>3788</v>
      </c>
      <c r="D119" s="32" t="s">
        <v>3789</v>
      </c>
      <c r="E119" s="22" t="s">
        <v>3377</v>
      </c>
      <c r="F119" s="22" t="s">
        <v>3360</v>
      </c>
      <c r="G119" s="32" t="s">
        <v>3790</v>
      </c>
      <c r="H119" s="22" t="s">
        <v>3791</v>
      </c>
      <c r="I119" s="22" t="s">
        <v>3363</v>
      </c>
    </row>
    <row r="120" customFormat="false" ht="37.5" hidden="false" customHeight="true" outlineLevel="0" collapsed="false">
      <c r="A120" s="24" t="s">
        <v>186</v>
      </c>
      <c r="B120" s="32" t="s">
        <v>3792</v>
      </c>
      <c r="C120" s="22" t="s">
        <v>3357</v>
      </c>
      <c r="D120" s="32" t="s">
        <v>3793</v>
      </c>
      <c r="E120" s="22" t="s">
        <v>3359</v>
      </c>
      <c r="F120" s="22" t="s">
        <v>3378</v>
      </c>
      <c r="G120" s="32" t="s">
        <v>3372</v>
      </c>
      <c r="H120" s="22" t="s">
        <v>3794</v>
      </c>
      <c r="I120" s="22" t="s">
        <v>3363</v>
      </c>
    </row>
    <row r="121" customFormat="false" ht="37.5" hidden="false" customHeight="true" outlineLevel="0" collapsed="false">
      <c r="A121" s="24" t="s">
        <v>186</v>
      </c>
      <c r="B121" s="32" t="s">
        <v>3795</v>
      </c>
      <c r="C121" s="22" t="s">
        <v>3796</v>
      </c>
      <c r="D121" s="32" t="s">
        <v>3797</v>
      </c>
      <c r="E121" s="22" t="s">
        <v>3359</v>
      </c>
      <c r="F121" s="22" t="s">
        <v>3378</v>
      </c>
      <c r="G121" s="32" t="s">
        <v>3372</v>
      </c>
      <c r="H121" s="22" t="s">
        <v>3798</v>
      </c>
      <c r="I121" s="22" t="s">
        <v>3363</v>
      </c>
    </row>
    <row r="122" customFormat="false" ht="24.75" hidden="false" customHeight="true" outlineLevel="0" collapsed="false">
      <c r="A122" s="24" t="s">
        <v>186</v>
      </c>
      <c r="B122" s="32" t="s">
        <v>3799</v>
      </c>
      <c r="C122" s="22" t="s">
        <v>3800</v>
      </c>
      <c r="D122" s="32" t="s">
        <v>3797</v>
      </c>
      <c r="E122" s="22" t="s">
        <v>3359</v>
      </c>
      <c r="F122" s="22" t="s">
        <v>3378</v>
      </c>
      <c r="G122" s="32" t="s">
        <v>3477</v>
      </c>
      <c r="H122" s="22" t="s">
        <v>3800</v>
      </c>
      <c r="I122" s="22" t="s">
        <v>3363</v>
      </c>
    </row>
    <row r="123" customFormat="false" ht="24.75" hidden="false" customHeight="true" outlineLevel="0" collapsed="false">
      <c r="A123" s="24" t="s">
        <v>186</v>
      </c>
      <c r="B123" s="32" t="s">
        <v>3801</v>
      </c>
      <c r="C123" s="22" t="s">
        <v>3802</v>
      </c>
      <c r="D123" s="32" t="s">
        <v>3797</v>
      </c>
      <c r="E123" s="22" t="s">
        <v>3389</v>
      </c>
      <c r="F123" s="22" t="s">
        <v>3378</v>
      </c>
      <c r="G123" s="32" t="s">
        <v>3390</v>
      </c>
      <c r="H123" s="22" t="s">
        <v>3802</v>
      </c>
      <c r="I123" s="22" t="s">
        <v>3363</v>
      </c>
    </row>
    <row r="124" customFormat="false" ht="15" hidden="false" customHeight="true" outlineLevel="0" collapsed="false">
      <c r="A124" s="24" t="s">
        <v>186</v>
      </c>
      <c r="B124" s="32" t="s">
        <v>3803</v>
      </c>
      <c r="C124" s="22" t="s">
        <v>3804</v>
      </c>
      <c r="D124" s="32" t="s">
        <v>3805</v>
      </c>
      <c r="E124" s="22" t="s">
        <v>3359</v>
      </c>
      <c r="F124" s="22" t="s">
        <v>3378</v>
      </c>
      <c r="G124" s="32" t="s">
        <v>3806</v>
      </c>
      <c r="H124" s="22" t="s">
        <v>3807</v>
      </c>
      <c r="I124" s="22" t="s">
        <v>3363</v>
      </c>
    </row>
    <row r="125" customFormat="false" ht="15" hidden="false" customHeight="true" outlineLevel="0" collapsed="false">
      <c r="A125" s="24" t="s">
        <v>186</v>
      </c>
      <c r="B125" s="32" t="s">
        <v>3808</v>
      </c>
      <c r="C125" s="22" t="s">
        <v>3809</v>
      </c>
      <c r="D125" s="32" t="s">
        <v>3810</v>
      </c>
      <c r="E125" s="22" t="s">
        <v>3437</v>
      </c>
      <c r="F125" s="22" t="s">
        <v>3378</v>
      </c>
      <c r="G125" s="32" t="s">
        <v>3749</v>
      </c>
      <c r="H125" s="22" t="s">
        <v>3811</v>
      </c>
      <c r="I125" s="22" t="s">
        <v>3363</v>
      </c>
    </row>
    <row r="126" customFormat="false" ht="15" hidden="false" customHeight="true" outlineLevel="0" collapsed="false">
      <c r="A126" s="24" t="s">
        <v>186</v>
      </c>
      <c r="B126" s="32" t="s">
        <v>3812</v>
      </c>
      <c r="C126" s="22" t="s">
        <v>3813</v>
      </c>
      <c r="D126" s="32" t="s">
        <v>3814</v>
      </c>
      <c r="E126" s="22" t="s">
        <v>3394</v>
      </c>
      <c r="F126" s="22" t="s">
        <v>3378</v>
      </c>
      <c r="G126" s="32" t="s">
        <v>3395</v>
      </c>
      <c r="H126" s="22" t="s">
        <v>3813</v>
      </c>
      <c r="I126" s="22" t="s">
        <v>3363</v>
      </c>
    </row>
    <row r="127" customFormat="false" ht="24.75" hidden="false" customHeight="true" outlineLevel="0" collapsed="false">
      <c r="A127" s="24" t="s">
        <v>186</v>
      </c>
      <c r="B127" s="32" t="s">
        <v>3815</v>
      </c>
      <c r="C127" s="22" t="s">
        <v>3816</v>
      </c>
      <c r="D127" s="32" t="s">
        <v>3817</v>
      </c>
      <c r="E127" s="22" t="s">
        <v>3394</v>
      </c>
      <c r="F127" s="22" t="s">
        <v>3378</v>
      </c>
      <c r="G127" s="32" t="s">
        <v>3395</v>
      </c>
      <c r="H127" s="22" t="s">
        <v>3818</v>
      </c>
      <c r="I127" s="22" t="s">
        <v>3363</v>
      </c>
    </row>
    <row r="128" customFormat="false" ht="24.75" hidden="false" customHeight="true" outlineLevel="0" collapsed="false">
      <c r="A128" s="24" t="s">
        <v>186</v>
      </c>
      <c r="B128" s="32" t="s">
        <v>3819</v>
      </c>
      <c r="C128" s="22" t="s">
        <v>3820</v>
      </c>
      <c r="D128" s="32" t="s">
        <v>3821</v>
      </c>
      <c r="E128" s="22" t="s">
        <v>3359</v>
      </c>
      <c r="F128" s="22" t="s">
        <v>3378</v>
      </c>
      <c r="G128" s="32" t="s">
        <v>3822</v>
      </c>
      <c r="H128" s="22" t="s">
        <v>3823</v>
      </c>
      <c r="I128" s="22" t="s">
        <v>3363</v>
      </c>
    </row>
    <row r="129" customFormat="false" ht="24.75" hidden="false" customHeight="true" outlineLevel="0" collapsed="false">
      <c r="A129" s="24" t="s">
        <v>186</v>
      </c>
      <c r="B129" s="32" t="s">
        <v>3824</v>
      </c>
      <c r="C129" s="22" t="s">
        <v>3825</v>
      </c>
      <c r="D129" s="32" t="s">
        <v>3826</v>
      </c>
      <c r="E129" s="22" t="s">
        <v>3389</v>
      </c>
      <c r="F129" s="22" t="s">
        <v>3378</v>
      </c>
      <c r="G129" s="32" t="s">
        <v>3390</v>
      </c>
      <c r="H129" s="22" t="s">
        <v>3827</v>
      </c>
      <c r="I129" s="22" t="s">
        <v>3363</v>
      </c>
    </row>
    <row r="130" customFormat="false" ht="62.25" hidden="false" customHeight="true" outlineLevel="0" collapsed="false">
      <c r="A130" s="24" t="s">
        <v>187</v>
      </c>
      <c r="B130" s="32" t="s">
        <v>3356</v>
      </c>
      <c r="C130" s="22" t="s">
        <v>3828</v>
      </c>
      <c r="D130" s="32" t="s">
        <v>3358</v>
      </c>
      <c r="E130" s="22" t="s">
        <v>3359</v>
      </c>
      <c r="F130" s="22" t="s">
        <v>3360</v>
      </c>
      <c r="G130" s="32" t="s">
        <v>3361</v>
      </c>
      <c r="H130" s="22" t="s">
        <v>3829</v>
      </c>
      <c r="I130" s="22" t="s">
        <v>3363</v>
      </c>
    </row>
    <row r="131" customFormat="false" ht="15" hidden="false" customHeight="true" outlineLevel="0" collapsed="false">
      <c r="A131" s="24" t="s">
        <v>187</v>
      </c>
      <c r="B131" s="32" t="s">
        <v>3364</v>
      </c>
      <c r="C131" s="22" t="s">
        <v>3365</v>
      </c>
      <c r="D131" s="32" t="s">
        <v>3366</v>
      </c>
      <c r="E131" s="22" t="s">
        <v>3359</v>
      </c>
      <c r="F131" s="22" t="s">
        <v>3360</v>
      </c>
      <c r="G131" s="32" t="s">
        <v>3367</v>
      </c>
      <c r="H131" s="22" t="s">
        <v>3830</v>
      </c>
      <c r="I131" s="22" t="s">
        <v>3363</v>
      </c>
    </row>
    <row r="132" customFormat="false" ht="49.5" hidden="false" customHeight="true" outlineLevel="0" collapsed="false">
      <c r="A132" s="24" t="s">
        <v>187</v>
      </c>
      <c r="B132" s="32" t="s">
        <v>3831</v>
      </c>
      <c r="C132" s="22" t="s">
        <v>3832</v>
      </c>
      <c r="D132" s="32" t="s">
        <v>3833</v>
      </c>
      <c r="E132" s="22" t="s">
        <v>3377</v>
      </c>
      <c r="F132" s="22" t="s">
        <v>3360</v>
      </c>
      <c r="G132" s="32" t="s">
        <v>3834</v>
      </c>
      <c r="H132" s="22" t="s">
        <v>3835</v>
      </c>
      <c r="I132" s="22" t="s">
        <v>3363</v>
      </c>
    </row>
    <row r="133" customFormat="false" ht="15" hidden="false" customHeight="true" outlineLevel="0" collapsed="false">
      <c r="A133" s="24" t="s">
        <v>187</v>
      </c>
      <c r="B133" s="32" t="s">
        <v>3836</v>
      </c>
      <c r="C133" s="22" t="s">
        <v>3837</v>
      </c>
      <c r="D133" s="32" t="s">
        <v>3838</v>
      </c>
      <c r="E133" s="22" t="s">
        <v>3359</v>
      </c>
      <c r="F133" s="22" t="s">
        <v>3360</v>
      </c>
      <c r="G133" s="32" t="s">
        <v>3477</v>
      </c>
      <c r="H133" s="22" t="s">
        <v>3839</v>
      </c>
      <c r="I133" s="22" t="s">
        <v>3363</v>
      </c>
    </row>
    <row r="134" customFormat="false" ht="24.75" hidden="false" customHeight="true" outlineLevel="0" collapsed="false">
      <c r="A134" s="24" t="s">
        <v>187</v>
      </c>
      <c r="B134" s="32" t="s">
        <v>3840</v>
      </c>
      <c r="C134" s="22" t="s">
        <v>3841</v>
      </c>
      <c r="D134" s="32" t="s">
        <v>3842</v>
      </c>
      <c r="E134" s="22" t="s">
        <v>3389</v>
      </c>
      <c r="F134" s="22" t="s">
        <v>3360</v>
      </c>
      <c r="G134" s="32" t="s">
        <v>3390</v>
      </c>
      <c r="H134" s="22" t="s">
        <v>3802</v>
      </c>
      <c r="I134" s="22" t="s">
        <v>3363</v>
      </c>
    </row>
    <row r="135" customFormat="false" ht="15" hidden="false" customHeight="true" outlineLevel="0" collapsed="false">
      <c r="A135" s="24" t="s">
        <v>187</v>
      </c>
      <c r="B135" s="32" t="s">
        <v>3843</v>
      </c>
      <c r="C135" s="22" t="s">
        <v>3844</v>
      </c>
      <c r="D135" s="32" t="s">
        <v>3845</v>
      </c>
      <c r="E135" s="22" t="s">
        <v>3359</v>
      </c>
      <c r="F135" s="22" t="s">
        <v>3378</v>
      </c>
      <c r="G135" s="32" t="s">
        <v>3477</v>
      </c>
      <c r="H135" s="22" t="s">
        <v>3846</v>
      </c>
      <c r="I135" s="22" t="s">
        <v>3363</v>
      </c>
    </row>
    <row r="136" customFormat="false" ht="37.5" hidden="false" customHeight="true" outlineLevel="0" collapsed="false">
      <c r="A136" s="24" t="s">
        <v>187</v>
      </c>
      <c r="B136" s="32" t="s">
        <v>3847</v>
      </c>
      <c r="C136" s="22" t="s">
        <v>3370</v>
      </c>
      <c r="D136" s="32" t="s">
        <v>3848</v>
      </c>
      <c r="E136" s="22" t="s">
        <v>3359</v>
      </c>
      <c r="F136" s="22" t="s">
        <v>3378</v>
      </c>
      <c r="G136" s="32" t="s">
        <v>3372</v>
      </c>
      <c r="H136" s="22" t="s">
        <v>3849</v>
      </c>
      <c r="I136" s="22" t="s">
        <v>3363</v>
      </c>
    </row>
    <row r="137" customFormat="false" ht="15" hidden="false" customHeight="true" outlineLevel="0" collapsed="false">
      <c r="A137" s="24" t="s">
        <v>187</v>
      </c>
      <c r="B137" s="32" t="s">
        <v>3850</v>
      </c>
      <c r="C137" s="22" t="s">
        <v>3392</v>
      </c>
      <c r="D137" s="32" t="s">
        <v>3851</v>
      </c>
      <c r="E137" s="22" t="s">
        <v>3394</v>
      </c>
      <c r="F137" s="22" t="s">
        <v>3360</v>
      </c>
      <c r="G137" s="32" t="s">
        <v>3395</v>
      </c>
      <c r="H137" s="22" t="s">
        <v>3852</v>
      </c>
      <c r="I137" s="22" t="s">
        <v>3363</v>
      </c>
    </row>
    <row r="138" customFormat="false" ht="37.5" hidden="false" customHeight="true" outlineLevel="0" collapsed="false">
      <c r="A138" s="24" t="s">
        <v>187</v>
      </c>
      <c r="B138" s="32" t="s">
        <v>3853</v>
      </c>
      <c r="C138" s="22" t="s">
        <v>3398</v>
      </c>
      <c r="D138" s="32" t="s">
        <v>3854</v>
      </c>
      <c r="E138" s="22" t="s">
        <v>3359</v>
      </c>
      <c r="F138" s="22" t="s">
        <v>3360</v>
      </c>
      <c r="G138" s="32" t="s">
        <v>3400</v>
      </c>
      <c r="H138" s="22" t="s">
        <v>3600</v>
      </c>
      <c r="I138" s="22" t="s">
        <v>3363</v>
      </c>
    </row>
    <row r="139" customFormat="false" ht="37.5" hidden="false" customHeight="true" outlineLevel="0" collapsed="false">
      <c r="A139" s="24" t="s">
        <v>187</v>
      </c>
      <c r="B139" s="32" t="s">
        <v>3855</v>
      </c>
      <c r="C139" s="22" t="s">
        <v>3441</v>
      </c>
      <c r="D139" s="32" t="s">
        <v>3856</v>
      </c>
      <c r="E139" s="22" t="s">
        <v>3394</v>
      </c>
      <c r="F139" s="22" t="s">
        <v>3360</v>
      </c>
      <c r="G139" s="32" t="s">
        <v>3443</v>
      </c>
      <c r="H139" s="22" t="s">
        <v>3441</v>
      </c>
      <c r="I139" s="22" t="s">
        <v>3363</v>
      </c>
    </row>
    <row r="140" customFormat="false" ht="15" hidden="false" customHeight="true" outlineLevel="0" collapsed="false">
      <c r="A140" s="24" t="s">
        <v>187</v>
      </c>
      <c r="B140" s="32" t="s">
        <v>3857</v>
      </c>
      <c r="C140" s="22" t="s">
        <v>3446</v>
      </c>
      <c r="D140" s="32" t="s">
        <v>3858</v>
      </c>
      <c r="E140" s="22" t="s">
        <v>3394</v>
      </c>
      <c r="F140" s="22" t="s">
        <v>3360</v>
      </c>
      <c r="G140" s="32" t="s">
        <v>3395</v>
      </c>
      <c r="H140" s="22" t="s">
        <v>3489</v>
      </c>
      <c r="I140" s="22" t="s">
        <v>3363</v>
      </c>
    </row>
    <row r="141" customFormat="false" ht="15" hidden="false" customHeight="true" outlineLevel="0" collapsed="false">
      <c r="A141" s="24" t="s">
        <v>187</v>
      </c>
      <c r="B141" s="32" t="s">
        <v>3859</v>
      </c>
      <c r="C141" s="22" t="s">
        <v>3678</v>
      </c>
      <c r="D141" s="32" t="s">
        <v>3860</v>
      </c>
      <c r="E141" s="22" t="s">
        <v>3394</v>
      </c>
      <c r="F141" s="22" t="s">
        <v>3378</v>
      </c>
      <c r="G141" s="32" t="s">
        <v>3395</v>
      </c>
      <c r="H141" s="22" t="s">
        <v>3453</v>
      </c>
      <c r="I141" s="22" t="s">
        <v>3363</v>
      </c>
    </row>
    <row r="142" customFormat="false" ht="15" hidden="false" customHeight="true" outlineLevel="0" collapsed="false">
      <c r="A142" s="24" t="s">
        <v>187</v>
      </c>
      <c r="B142" s="32" t="s">
        <v>3861</v>
      </c>
      <c r="C142" s="22" t="s">
        <v>3862</v>
      </c>
      <c r="D142" s="32" t="s">
        <v>3863</v>
      </c>
      <c r="E142" s="22" t="s">
        <v>3394</v>
      </c>
      <c r="F142" s="22" t="s">
        <v>3378</v>
      </c>
      <c r="G142" s="32" t="s">
        <v>3395</v>
      </c>
      <c r="H142" s="22" t="s">
        <v>3458</v>
      </c>
      <c r="I142" s="22" t="s">
        <v>3363</v>
      </c>
    </row>
    <row r="143" customFormat="false" ht="15" hidden="false" customHeight="true" outlineLevel="0" collapsed="false">
      <c r="A143" s="24" t="s">
        <v>187</v>
      </c>
      <c r="B143" s="32" t="s">
        <v>3864</v>
      </c>
      <c r="C143" s="22" t="s">
        <v>3865</v>
      </c>
      <c r="D143" s="32" t="s">
        <v>3866</v>
      </c>
      <c r="E143" s="22" t="s">
        <v>3394</v>
      </c>
      <c r="F143" s="22" t="s">
        <v>3378</v>
      </c>
      <c r="G143" s="32" t="s">
        <v>3395</v>
      </c>
      <c r="H143" s="22" t="s">
        <v>3522</v>
      </c>
      <c r="I143" s="22" t="s">
        <v>3363</v>
      </c>
    </row>
    <row r="144" customFormat="false" ht="15" hidden="false" customHeight="true" outlineLevel="0" collapsed="false">
      <c r="A144" s="24" t="s">
        <v>187</v>
      </c>
      <c r="B144" s="32" t="s">
        <v>3867</v>
      </c>
      <c r="C144" s="22" t="s">
        <v>3495</v>
      </c>
      <c r="D144" s="32" t="s">
        <v>3868</v>
      </c>
      <c r="E144" s="22" t="s">
        <v>3394</v>
      </c>
      <c r="F144" s="22" t="s">
        <v>3378</v>
      </c>
      <c r="G144" s="32" t="s">
        <v>3395</v>
      </c>
      <c r="H144" s="22" t="s">
        <v>3495</v>
      </c>
      <c r="I144" s="22" t="s">
        <v>3363</v>
      </c>
    </row>
    <row r="145" customFormat="false" ht="15" hidden="false" customHeight="true" outlineLevel="0" collapsed="false">
      <c r="A145" s="24" t="s">
        <v>187</v>
      </c>
      <c r="B145" s="32" t="s">
        <v>3819</v>
      </c>
      <c r="C145" s="22" t="s">
        <v>3820</v>
      </c>
      <c r="D145" s="32" t="s">
        <v>3869</v>
      </c>
      <c r="E145" s="22" t="s">
        <v>3359</v>
      </c>
      <c r="F145" s="22" t="s">
        <v>3378</v>
      </c>
      <c r="G145" s="32"/>
      <c r="H145" s="22" t="s">
        <v>3870</v>
      </c>
      <c r="I145" s="22" t="s">
        <v>3363</v>
      </c>
    </row>
    <row r="146" customFormat="false" ht="24.75" hidden="false" customHeight="true" outlineLevel="0" collapsed="false">
      <c r="A146" s="24" t="s">
        <v>187</v>
      </c>
      <c r="B146" s="32" t="s">
        <v>3824</v>
      </c>
      <c r="C146" s="22" t="s">
        <v>3825</v>
      </c>
      <c r="D146" s="32" t="s">
        <v>3869</v>
      </c>
      <c r="E146" s="22" t="s">
        <v>3389</v>
      </c>
      <c r="F146" s="22" t="s">
        <v>3378</v>
      </c>
      <c r="G146" s="32" t="s">
        <v>3390</v>
      </c>
      <c r="H146" s="22" t="s">
        <v>3871</v>
      </c>
      <c r="I146" s="22" t="s">
        <v>3363</v>
      </c>
    </row>
    <row r="147" customFormat="false" ht="62.25" hidden="false" customHeight="true" outlineLevel="0" collapsed="false">
      <c r="A147" s="24" t="s">
        <v>2821</v>
      </c>
      <c r="B147" s="32" t="s">
        <v>3356</v>
      </c>
      <c r="C147" s="22" t="s">
        <v>3357</v>
      </c>
      <c r="D147" s="32" t="s">
        <v>3358</v>
      </c>
      <c r="E147" s="22" t="s">
        <v>3359</v>
      </c>
      <c r="F147" s="22" t="s">
        <v>3360</v>
      </c>
      <c r="G147" s="32" t="s">
        <v>3361</v>
      </c>
      <c r="H147" s="22" t="s">
        <v>3362</v>
      </c>
      <c r="I147" s="22" t="s">
        <v>3363</v>
      </c>
    </row>
    <row r="148" customFormat="false" ht="24.75" hidden="false" customHeight="true" outlineLevel="0" collapsed="false">
      <c r="A148" s="24" t="s">
        <v>2821</v>
      </c>
      <c r="B148" s="32" t="s">
        <v>3364</v>
      </c>
      <c r="C148" s="22" t="s">
        <v>3365</v>
      </c>
      <c r="D148" s="32" t="s">
        <v>3366</v>
      </c>
      <c r="E148" s="22" t="s">
        <v>3359</v>
      </c>
      <c r="F148" s="22" t="s">
        <v>3360</v>
      </c>
      <c r="G148" s="32" t="s">
        <v>3367</v>
      </c>
      <c r="H148" s="22" t="s">
        <v>3368</v>
      </c>
      <c r="I148" s="22" t="s">
        <v>3363</v>
      </c>
    </row>
    <row r="149" customFormat="false" ht="37.5" hidden="false" customHeight="true" outlineLevel="0" collapsed="false">
      <c r="A149" s="24" t="s">
        <v>2821</v>
      </c>
      <c r="B149" s="32" t="s">
        <v>3369</v>
      </c>
      <c r="C149" s="22" t="s">
        <v>3370</v>
      </c>
      <c r="D149" s="32" t="s">
        <v>3371</v>
      </c>
      <c r="E149" s="22" t="s">
        <v>3359</v>
      </c>
      <c r="F149" s="22" t="s">
        <v>3360</v>
      </c>
      <c r="G149" s="32" t="s">
        <v>3372</v>
      </c>
      <c r="H149" s="22" t="s">
        <v>3373</v>
      </c>
      <c r="I149" s="22" t="s">
        <v>3363</v>
      </c>
    </row>
    <row r="150" customFormat="false" ht="15" hidden="false" customHeight="true" outlineLevel="0" collapsed="false">
      <c r="A150" s="24" t="s">
        <v>2821</v>
      </c>
      <c r="B150" s="32" t="s">
        <v>3374</v>
      </c>
      <c r="C150" s="22" t="s">
        <v>3375</v>
      </c>
      <c r="D150" s="32" t="s">
        <v>3376</v>
      </c>
      <c r="E150" s="22" t="s">
        <v>3377</v>
      </c>
      <c r="F150" s="22" t="s">
        <v>3378</v>
      </c>
      <c r="G150" s="32" t="s">
        <v>3379</v>
      </c>
      <c r="H150" s="22" t="s">
        <v>3380</v>
      </c>
      <c r="I150" s="22" t="s">
        <v>3363</v>
      </c>
    </row>
    <row r="151" customFormat="false" ht="24.75" hidden="false" customHeight="true" outlineLevel="0" collapsed="false">
      <c r="A151" s="24" t="s">
        <v>2821</v>
      </c>
      <c r="B151" s="32" t="s">
        <v>3381</v>
      </c>
      <c r="C151" s="22" t="s">
        <v>3382</v>
      </c>
      <c r="D151" s="32" t="s">
        <v>3383</v>
      </c>
      <c r="E151" s="22" t="s">
        <v>3359</v>
      </c>
      <c r="F151" s="22" t="s">
        <v>3360</v>
      </c>
      <c r="G151" s="32" t="s">
        <v>3384</v>
      </c>
      <c r="H151" s="22" t="s">
        <v>3385</v>
      </c>
      <c r="I151" s="22" t="s">
        <v>3363</v>
      </c>
    </row>
    <row r="152" customFormat="false" ht="24.75" hidden="false" customHeight="true" outlineLevel="0" collapsed="false">
      <c r="A152" s="24" t="s">
        <v>2821</v>
      </c>
      <c r="B152" s="32" t="s">
        <v>3386</v>
      </c>
      <c r="C152" s="22" t="s">
        <v>3387</v>
      </c>
      <c r="D152" s="32" t="s">
        <v>3388</v>
      </c>
      <c r="E152" s="22" t="s">
        <v>3389</v>
      </c>
      <c r="F152" s="22" t="s">
        <v>3360</v>
      </c>
      <c r="G152" s="32" t="s">
        <v>3390</v>
      </c>
      <c r="H152" s="22" t="s">
        <v>3387</v>
      </c>
      <c r="I152" s="22" t="s">
        <v>3363</v>
      </c>
    </row>
    <row r="153" customFormat="false" ht="15" hidden="false" customHeight="true" outlineLevel="0" collapsed="false">
      <c r="A153" s="24" t="s">
        <v>2821</v>
      </c>
      <c r="B153" s="32" t="s">
        <v>3391</v>
      </c>
      <c r="C153" s="22" t="s">
        <v>3392</v>
      </c>
      <c r="D153" s="32" t="s">
        <v>3393</v>
      </c>
      <c r="E153" s="22" t="s">
        <v>3394</v>
      </c>
      <c r="F153" s="22" t="s">
        <v>3360</v>
      </c>
      <c r="G153" s="32" t="s">
        <v>3395</v>
      </c>
      <c r="H153" s="22" t="s">
        <v>3396</v>
      </c>
      <c r="I153" s="22" t="s">
        <v>3363</v>
      </c>
    </row>
    <row r="154" customFormat="false" ht="37.5" hidden="false" customHeight="true" outlineLevel="0" collapsed="false">
      <c r="A154" s="24" t="s">
        <v>2821</v>
      </c>
      <c r="B154" s="32" t="s">
        <v>3397</v>
      </c>
      <c r="C154" s="22" t="s">
        <v>3398</v>
      </c>
      <c r="D154" s="32" t="s">
        <v>3399</v>
      </c>
      <c r="E154" s="22" t="s">
        <v>3359</v>
      </c>
      <c r="F154" s="22" t="s">
        <v>3360</v>
      </c>
      <c r="G154" s="32" t="s">
        <v>3400</v>
      </c>
      <c r="H154" s="22" t="s">
        <v>3401</v>
      </c>
      <c r="I154" s="22" t="s">
        <v>3363</v>
      </c>
    </row>
    <row r="155" customFormat="false" ht="15" hidden="false" customHeight="true" outlineLevel="0" collapsed="false">
      <c r="A155" s="24" t="s">
        <v>2821</v>
      </c>
      <c r="B155" s="32" t="s">
        <v>3402</v>
      </c>
      <c r="C155" s="22" t="s">
        <v>3403</v>
      </c>
      <c r="D155" s="32" t="s">
        <v>3404</v>
      </c>
      <c r="E155" s="22" t="s">
        <v>3377</v>
      </c>
      <c r="F155" s="22" t="s">
        <v>3360</v>
      </c>
      <c r="G155" s="32" t="s">
        <v>3379</v>
      </c>
      <c r="H155" s="22" t="s">
        <v>3405</v>
      </c>
      <c r="I155" s="22" t="s">
        <v>3363</v>
      </c>
    </row>
    <row r="156" customFormat="false" ht="37.5" hidden="false" customHeight="true" outlineLevel="0" collapsed="false">
      <c r="A156" s="24" t="s">
        <v>2821</v>
      </c>
      <c r="B156" s="32" t="s">
        <v>3406</v>
      </c>
      <c r="C156" s="22" t="s">
        <v>3407</v>
      </c>
      <c r="D156" s="32" t="s">
        <v>3408</v>
      </c>
      <c r="E156" s="22" t="s">
        <v>3377</v>
      </c>
      <c r="F156" s="22" t="s">
        <v>3360</v>
      </c>
      <c r="G156" s="32" t="s">
        <v>3409</v>
      </c>
      <c r="H156" s="22" t="s">
        <v>3410</v>
      </c>
      <c r="I156" s="22" t="s">
        <v>3363</v>
      </c>
    </row>
    <row r="157" customFormat="false" ht="37.5" hidden="false" customHeight="true" outlineLevel="0" collapsed="false">
      <c r="A157" s="24" t="s">
        <v>2821</v>
      </c>
      <c r="B157" s="32" t="s">
        <v>3411</v>
      </c>
      <c r="C157" s="22" t="s">
        <v>3412</v>
      </c>
      <c r="D157" s="32" t="s">
        <v>3413</v>
      </c>
      <c r="E157" s="22" t="s">
        <v>3359</v>
      </c>
      <c r="F157" s="22" t="s">
        <v>3378</v>
      </c>
      <c r="G157" s="32" t="s">
        <v>3372</v>
      </c>
      <c r="H157" s="22" t="s">
        <v>3414</v>
      </c>
      <c r="I157" s="22" t="s">
        <v>3363</v>
      </c>
    </row>
    <row r="158" customFormat="false" ht="15" hidden="false" customHeight="true" outlineLevel="0" collapsed="false">
      <c r="A158" s="24" t="s">
        <v>2821</v>
      </c>
      <c r="B158" s="32" t="s">
        <v>3415</v>
      </c>
      <c r="C158" s="22" t="s">
        <v>3416</v>
      </c>
      <c r="D158" s="32" t="s">
        <v>3417</v>
      </c>
      <c r="E158" s="22" t="s">
        <v>3394</v>
      </c>
      <c r="F158" s="22" t="s">
        <v>3378</v>
      </c>
      <c r="G158" s="32" t="s">
        <v>3418</v>
      </c>
      <c r="H158" s="22" t="s">
        <v>3419</v>
      </c>
      <c r="I158" s="22" t="s">
        <v>3363</v>
      </c>
    </row>
    <row r="159" customFormat="false" ht="15" hidden="false" customHeight="true" outlineLevel="0" collapsed="false">
      <c r="A159" s="24" t="s">
        <v>2821</v>
      </c>
      <c r="B159" s="32" t="s">
        <v>3420</v>
      </c>
      <c r="C159" s="22" t="s">
        <v>3421</v>
      </c>
      <c r="D159" s="32" t="s">
        <v>3422</v>
      </c>
      <c r="E159" s="22" t="s">
        <v>3359</v>
      </c>
      <c r="F159" s="22" t="s">
        <v>3378</v>
      </c>
      <c r="G159" s="32" t="s">
        <v>3423</v>
      </c>
      <c r="H159" s="22" t="s">
        <v>3424</v>
      </c>
      <c r="I159" s="22" t="s">
        <v>3363</v>
      </c>
    </row>
    <row r="160" customFormat="false" ht="24.75" hidden="false" customHeight="true" outlineLevel="0" collapsed="false">
      <c r="A160" s="24" t="s">
        <v>2821</v>
      </c>
      <c r="B160" s="32" t="s">
        <v>3425</v>
      </c>
      <c r="C160" s="22" t="s">
        <v>3426</v>
      </c>
      <c r="D160" s="32" t="s">
        <v>3427</v>
      </c>
      <c r="E160" s="22" t="s">
        <v>3389</v>
      </c>
      <c r="F160" s="22" t="s">
        <v>3378</v>
      </c>
      <c r="G160" s="32" t="s">
        <v>3390</v>
      </c>
      <c r="H160" s="22" t="s">
        <v>3428</v>
      </c>
      <c r="I160" s="22" t="s">
        <v>3363</v>
      </c>
    </row>
    <row r="161" customFormat="false" ht="15" hidden="false" customHeight="true" outlineLevel="0" collapsed="false">
      <c r="A161" s="24" t="s">
        <v>2821</v>
      </c>
      <c r="B161" s="32" t="s">
        <v>3429</v>
      </c>
      <c r="C161" s="22" t="s">
        <v>3430</v>
      </c>
      <c r="D161" s="32" t="s">
        <v>3431</v>
      </c>
      <c r="E161" s="22" t="s">
        <v>3377</v>
      </c>
      <c r="F161" s="22" t="s">
        <v>3378</v>
      </c>
      <c r="G161" s="32" t="s">
        <v>3432</v>
      </c>
      <c r="H161" s="22" t="s">
        <v>3433</v>
      </c>
      <c r="I161" s="22" t="s">
        <v>3363</v>
      </c>
    </row>
    <row r="162" customFormat="false" ht="15" hidden="false" customHeight="true" outlineLevel="0" collapsed="false">
      <c r="A162" s="24" t="s">
        <v>2821</v>
      </c>
      <c r="B162" s="32" t="s">
        <v>3434</v>
      </c>
      <c r="C162" s="22" t="s">
        <v>3435</v>
      </c>
      <c r="D162" s="32" t="s">
        <v>3436</v>
      </c>
      <c r="E162" s="22" t="s">
        <v>3437</v>
      </c>
      <c r="F162" s="22" t="s">
        <v>3360</v>
      </c>
      <c r="G162" s="32" t="s">
        <v>3438</v>
      </c>
      <c r="H162" s="22" t="s">
        <v>3439</v>
      </c>
      <c r="I162" s="22" t="s">
        <v>3363</v>
      </c>
    </row>
    <row r="163" customFormat="false" ht="37.5" hidden="false" customHeight="true" outlineLevel="0" collapsed="false">
      <c r="A163" s="24" t="s">
        <v>2821</v>
      </c>
      <c r="B163" s="32" t="s">
        <v>3440</v>
      </c>
      <c r="C163" s="22" t="s">
        <v>3441</v>
      </c>
      <c r="D163" s="32" t="s">
        <v>3442</v>
      </c>
      <c r="E163" s="22" t="s">
        <v>3394</v>
      </c>
      <c r="F163" s="22" t="s">
        <v>3360</v>
      </c>
      <c r="G163" s="32" t="s">
        <v>3443</v>
      </c>
      <c r="H163" s="22" t="s">
        <v>3444</v>
      </c>
      <c r="I163" s="22" t="s">
        <v>3363</v>
      </c>
    </row>
    <row r="164" customFormat="false" ht="15" hidden="false" customHeight="true" outlineLevel="0" collapsed="false">
      <c r="A164" s="24" t="s">
        <v>2821</v>
      </c>
      <c r="B164" s="32" t="s">
        <v>3445</v>
      </c>
      <c r="C164" s="22" t="s">
        <v>3446</v>
      </c>
      <c r="D164" s="32" t="s">
        <v>3447</v>
      </c>
      <c r="E164" s="22" t="s">
        <v>3394</v>
      </c>
      <c r="F164" s="22" t="s">
        <v>3360</v>
      </c>
      <c r="G164" s="32" t="s">
        <v>3395</v>
      </c>
      <c r="H164" s="22" t="s">
        <v>3448</v>
      </c>
      <c r="I164" s="22" t="s">
        <v>3363</v>
      </c>
    </row>
    <row r="165" customFormat="false" ht="37.5" hidden="false" customHeight="true" outlineLevel="0" collapsed="false">
      <c r="A165" s="24" t="s">
        <v>2821</v>
      </c>
      <c r="B165" s="32" t="s">
        <v>3449</v>
      </c>
      <c r="C165" s="22" t="s">
        <v>3450</v>
      </c>
      <c r="D165" s="32" t="s">
        <v>3451</v>
      </c>
      <c r="E165" s="22" t="s">
        <v>3394</v>
      </c>
      <c r="F165" s="22" t="s">
        <v>3378</v>
      </c>
      <c r="G165" s="32" t="s">
        <v>3452</v>
      </c>
      <c r="H165" s="22" t="s">
        <v>3453</v>
      </c>
      <c r="I165" s="22" t="s">
        <v>3363</v>
      </c>
    </row>
    <row r="166" customFormat="false" ht="24.75" hidden="false" customHeight="true" outlineLevel="0" collapsed="false">
      <c r="A166" s="24" t="s">
        <v>2821</v>
      </c>
      <c r="B166" s="32" t="s">
        <v>3454</v>
      </c>
      <c r="C166" s="22" t="s">
        <v>3455</v>
      </c>
      <c r="D166" s="32" t="s">
        <v>3456</v>
      </c>
      <c r="E166" s="22" t="s">
        <v>3394</v>
      </c>
      <c r="F166" s="22" t="s">
        <v>3378</v>
      </c>
      <c r="G166" s="32" t="s">
        <v>3457</v>
      </c>
      <c r="H166" s="22" t="s">
        <v>3458</v>
      </c>
      <c r="I166" s="22" t="s">
        <v>3363</v>
      </c>
    </row>
    <row r="167" customFormat="false" ht="15" hidden="false" customHeight="true" outlineLevel="0" collapsed="false">
      <c r="A167" s="24" t="s">
        <v>2821</v>
      </c>
      <c r="B167" s="32" t="s">
        <v>3459</v>
      </c>
      <c r="C167" s="22" t="s">
        <v>3460</v>
      </c>
      <c r="D167" s="32" t="s">
        <v>3461</v>
      </c>
      <c r="E167" s="22" t="s">
        <v>3394</v>
      </c>
      <c r="F167" s="22" t="s">
        <v>3378</v>
      </c>
      <c r="G167" s="32" t="s">
        <v>3395</v>
      </c>
      <c r="H167" s="22" t="s">
        <v>3462</v>
      </c>
      <c r="I167" s="22" t="s">
        <v>3363</v>
      </c>
    </row>
    <row r="168" customFormat="false" ht="15" hidden="false" customHeight="true" outlineLevel="0" collapsed="false">
      <c r="A168" s="24" t="s">
        <v>2821</v>
      </c>
      <c r="B168" s="32" t="s">
        <v>3463</v>
      </c>
      <c r="C168" s="22" t="s">
        <v>3464</v>
      </c>
      <c r="D168" s="32" t="s">
        <v>3465</v>
      </c>
      <c r="E168" s="22" t="s">
        <v>3394</v>
      </c>
      <c r="F168" s="22" t="s">
        <v>3378</v>
      </c>
      <c r="G168" s="32" t="s">
        <v>3395</v>
      </c>
      <c r="H168" s="22" t="s">
        <v>3466</v>
      </c>
      <c r="I168" s="22" t="s">
        <v>3363</v>
      </c>
    </row>
    <row r="169" customFormat="false" ht="24.75" hidden="false" customHeight="true" outlineLevel="0" collapsed="false">
      <c r="A169" s="24" t="s">
        <v>2821</v>
      </c>
      <c r="B169" s="32" t="s">
        <v>3467</v>
      </c>
      <c r="C169" s="22" t="s">
        <v>3468</v>
      </c>
      <c r="D169" s="32" t="s">
        <v>3469</v>
      </c>
      <c r="E169" s="22" t="s">
        <v>3377</v>
      </c>
      <c r="F169" s="22" t="s">
        <v>3378</v>
      </c>
      <c r="G169" s="32" t="s">
        <v>3470</v>
      </c>
      <c r="H169" s="22" t="s">
        <v>3471</v>
      </c>
      <c r="I169" s="22" t="s">
        <v>3363</v>
      </c>
    </row>
    <row r="170" customFormat="false" ht="37.5" hidden="false" customHeight="true" outlineLevel="0" collapsed="false">
      <c r="A170" s="24" t="s">
        <v>2821</v>
      </c>
      <c r="B170" s="32" t="s">
        <v>3577</v>
      </c>
      <c r="C170" s="22" t="s">
        <v>3370</v>
      </c>
      <c r="D170" s="32" t="s">
        <v>3578</v>
      </c>
      <c r="E170" s="22" t="s">
        <v>3359</v>
      </c>
      <c r="F170" s="22" t="s">
        <v>3360</v>
      </c>
      <c r="G170" s="32" t="s">
        <v>3372</v>
      </c>
      <c r="H170" s="22" t="s">
        <v>3579</v>
      </c>
      <c r="I170" s="22" t="s">
        <v>3363</v>
      </c>
    </row>
    <row r="171" customFormat="false" ht="15" hidden="false" customHeight="true" outlineLevel="0" collapsed="false">
      <c r="A171" s="24" t="s">
        <v>2821</v>
      </c>
      <c r="B171" s="32" t="s">
        <v>3580</v>
      </c>
      <c r="C171" s="22" t="s">
        <v>3581</v>
      </c>
      <c r="D171" s="32" t="s">
        <v>3582</v>
      </c>
      <c r="E171" s="22" t="s">
        <v>3377</v>
      </c>
      <c r="F171" s="22" t="s">
        <v>3360</v>
      </c>
      <c r="G171" s="32" t="s">
        <v>3583</v>
      </c>
      <c r="H171" s="22" t="s">
        <v>3584</v>
      </c>
      <c r="I171" s="22" t="s">
        <v>3363</v>
      </c>
    </row>
    <row r="172" customFormat="false" ht="15" hidden="false" customHeight="true" outlineLevel="0" collapsed="false">
      <c r="A172" s="24" t="s">
        <v>2821</v>
      </c>
      <c r="B172" s="32" t="s">
        <v>3585</v>
      </c>
      <c r="C172" s="22" t="s">
        <v>3586</v>
      </c>
      <c r="D172" s="32" t="s">
        <v>3587</v>
      </c>
      <c r="E172" s="22" t="s">
        <v>3359</v>
      </c>
      <c r="F172" s="22" t="s">
        <v>3360</v>
      </c>
      <c r="G172" s="32" t="s">
        <v>3477</v>
      </c>
      <c r="H172" s="22" t="s">
        <v>3588</v>
      </c>
      <c r="I172" s="22" t="s">
        <v>3363</v>
      </c>
    </row>
    <row r="173" customFormat="false" ht="24.75" hidden="false" customHeight="true" outlineLevel="0" collapsed="false">
      <c r="A173" s="24" t="s">
        <v>2821</v>
      </c>
      <c r="B173" s="32" t="s">
        <v>3589</v>
      </c>
      <c r="C173" s="22" t="s">
        <v>3590</v>
      </c>
      <c r="D173" s="32" t="s">
        <v>3591</v>
      </c>
      <c r="E173" s="22" t="s">
        <v>3389</v>
      </c>
      <c r="F173" s="22" t="s">
        <v>3360</v>
      </c>
      <c r="G173" s="32" t="s">
        <v>3390</v>
      </c>
      <c r="H173" s="22" t="s">
        <v>3592</v>
      </c>
      <c r="I173" s="22" t="s">
        <v>3363</v>
      </c>
    </row>
    <row r="174" customFormat="false" ht="24.75" hidden="false" customHeight="true" outlineLevel="0" collapsed="false">
      <c r="A174" s="24" t="s">
        <v>2821</v>
      </c>
      <c r="B174" s="32" t="s">
        <v>3593</v>
      </c>
      <c r="C174" s="22" t="s">
        <v>3594</v>
      </c>
      <c r="D174" s="32" t="s">
        <v>3595</v>
      </c>
      <c r="E174" s="22" t="s">
        <v>3394</v>
      </c>
      <c r="F174" s="22" t="s">
        <v>3360</v>
      </c>
      <c r="G174" s="32" t="s">
        <v>3596</v>
      </c>
      <c r="H174" s="22" t="s">
        <v>3597</v>
      </c>
      <c r="I174" s="22" t="s">
        <v>3363</v>
      </c>
    </row>
    <row r="175" customFormat="false" ht="37.5" hidden="false" customHeight="true" outlineLevel="0" collapsed="false">
      <c r="A175" s="24" t="s">
        <v>2821</v>
      </c>
      <c r="B175" s="32" t="s">
        <v>3598</v>
      </c>
      <c r="C175" s="22" t="s">
        <v>3398</v>
      </c>
      <c r="D175" s="32" t="s">
        <v>3599</v>
      </c>
      <c r="E175" s="22" t="s">
        <v>3359</v>
      </c>
      <c r="F175" s="22" t="s">
        <v>3360</v>
      </c>
      <c r="G175" s="32" t="s">
        <v>3400</v>
      </c>
      <c r="H175" s="22" t="s">
        <v>3600</v>
      </c>
      <c r="I175" s="22" t="s">
        <v>3363</v>
      </c>
    </row>
    <row r="176" customFormat="false" ht="15" hidden="false" customHeight="true" outlineLevel="0" collapsed="false">
      <c r="A176" s="24" t="s">
        <v>2821</v>
      </c>
      <c r="B176" s="32" t="s">
        <v>3601</v>
      </c>
      <c r="C176" s="22" t="s">
        <v>3403</v>
      </c>
      <c r="D176" s="32" t="s">
        <v>3602</v>
      </c>
      <c r="E176" s="22" t="s">
        <v>3377</v>
      </c>
      <c r="F176" s="22" t="s">
        <v>3360</v>
      </c>
      <c r="G176" s="32" t="s">
        <v>3379</v>
      </c>
      <c r="H176" s="22" t="s">
        <v>3603</v>
      </c>
      <c r="I176" s="22" t="s">
        <v>3363</v>
      </c>
    </row>
    <row r="177" customFormat="false" ht="15" hidden="false" customHeight="true" outlineLevel="0" collapsed="false">
      <c r="A177" s="24" t="s">
        <v>2821</v>
      </c>
      <c r="B177" s="32" t="s">
        <v>3604</v>
      </c>
      <c r="C177" s="22" t="s">
        <v>3605</v>
      </c>
      <c r="D177" s="32" t="s">
        <v>3606</v>
      </c>
      <c r="E177" s="22" t="s">
        <v>3377</v>
      </c>
      <c r="F177" s="22" t="s">
        <v>3360</v>
      </c>
      <c r="G177" s="32" t="s">
        <v>3607</v>
      </c>
      <c r="H177" s="22" t="s">
        <v>3608</v>
      </c>
      <c r="I177" s="22" t="s">
        <v>3363</v>
      </c>
    </row>
    <row r="178" customFormat="false" ht="37.5" hidden="false" customHeight="true" outlineLevel="0" collapsed="false">
      <c r="A178" s="24" t="s">
        <v>2821</v>
      </c>
      <c r="B178" s="32" t="s">
        <v>3609</v>
      </c>
      <c r="C178" s="22" t="s">
        <v>3441</v>
      </c>
      <c r="D178" s="32" t="s">
        <v>3610</v>
      </c>
      <c r="E178" s="22" t="s">
        <v>3394</v>
      </c>
      <c r="F178" s="22" t="s">
        <v>3360</v>
      </c>
      <c r="G178" s="32" t="s">
        <v>3443</v>
      </c>
      <c r="H178" s="22" t="s">
        <v>3441</v>
      </c>
      <c r="I178" s="22" t="s">
        <v>3363</v>
      </c>
    </row>
    <row r="179" customFormat="false" ht="15" hidden="false" customHeight="true" outlineLevel="0" collapsed="false">
      <c r="A179" s="24" t="s">
        <v>2821</v>
      </c>
      <c r="B179" s="32" t="s">
        <v>3611</v>
      </c>
      <c r="C179" s="22" t="s">
        <v>3446</v>
      </c>
      <c r="D179" s="32" t="s">
        <v>3612</v>
      </c>
      <c r="E179" s="22" t="s">
        <v>3394</v>
      </c>
      <c r="F179" s="22" t="s">
        <v>3360</v>
      </c>
      <c r="G179" s="32" t="s">
        <v>3395</v>
      </c>
      <c r="H179" s="22" t="s">
        <v>3489</v>
      </c>
      <c r="I179" s="22" t="s">
        <v>3363</v>
      </c>
    </row>
    <row r="180" customFormat="false" ht="15" hidden="false" customHeight="true" outlineLevel="0" collapsed="false">
      <c r="A180" s="24" t="s">
        <v>2821</v>
      </c>
      <c r="B180" s="32" t="s">
        <v>3613</v>
      </c>
      <c r="C180" s="22" t="s">
        <v>3450</v>
      </c>
      <c r="D180" s="32" t="s">
        <v>3614</v>
      </c>
      <c r="E180" s="22" t="s">
        <v>3394</v>
      </c>
      <c r="F180" s="22" t="s">
        <v>3378</v>
      </c>
      <c r="G180" s="32" t="s">
        <v>3395</v>
      </c>
      <c r="H180" s="22" t="s">
        <v>3453</v>
      </c>
      <c r="I180" s="22" t="s">
        <v>3363</v>
      </c>
    </row>
    <row r="181" customFormat="false" ht="15" hidden="false" customHeight="true" outlineLevel="0" collapsed="false">
      <c r="A181" s="24" t="s">
        <v>2821</v>
      </c>
      <c r="B181" s="32" t="s">
        <v>3615</v>
      </c>
      <c r="C181" s="22" t="s">
        <v>3455</v>
      </c>
      <c r="D181" s="32" t="s">
        <v>3616</v>
      </c>
      <c r="E181" s="22" t="s">
        <v>3394</v>
      </c>
      <c r="F181" s="22" t="s">
        <v>3378</v>
      </c>
      <c r="G181" s="32" t="s">
        <v>3395</v>
      </c>
      <c r="H181" s="22" t="s">
        <v>3458</v>
      </c>
      <c r="I181" s="22" t="s">
        <v>3363</v>
      </c>
    </row>
    <row r="182" customFormat="false" ht="15" hidden="false" customHeight="true" outlineLevel="0" collapsed="false">
      <c r="A182" s="24" t="s">
        <v>2821</v>
      </c>
      <c r="B182" s="32" t="s">
        <v>3617</v>
      </c>
      <c r="C182" s="22" t="s">
        <v>3460</v>
      </c>
      <c r="D182" s="32" t="s">
        <v>3618</v>
      </c>
      <c r="E182" s="22" t="s">
        <v>3394</v>
      </c>
      <c r="F182" s="22" t="s">
        <v>3378</v>
      </c>
      <c r="G182" s="32" t="s">
        <v>3395</v>
      </c>
      <c r="H182" s="22" t="s">
        <v>3522</v>
      </c>
      <c r="I182" s="22" t="s">
        <v>3363</v>
      </c>
    </row>
    <row r="183" customFormat="false" ht="15" hidden="false" customHeight="true" outlineLevel="0" collapsed="false">
      <c r="A183" s="24" t="s">
        <v>2821</v>
      </c>
      <c r="B183" s="32" t="s">
        <v>3619</v>
      </c>
      <c r="C183" s="22" t="s">
        <v>3464</v>
      </c>
      <c r="D183" s="32" t="s">
        <v>3620</v>
      </c>
      <c r="E183" s="22" t="s">
        <v>3394</v>
      </c>
      <c r="F183" s="22" t="s">
        <v>3378</v>
      </c>
      <c r="G183" s="32" t="s">
        <v>3395</v>
      </c>
      <c r="H183" s="22" t="s">
        <v>3495</v>
      </c>
      <c r="I183" s="22" t="s">
        <v>3363</v>
      </c>
    </row>
    <row r="184" customFormat="false" ht="24.75" hidden="false" customHeight="true" outlineLevel="0" collapsed="false">
      <c r="A184" s="24" t="s">
        <v>2821</v>
      </c>
      <c r="B184" s="32" t="s">
        <v>3644</v>
      </c>
      <c r="C184" s="22" t="s">
        <v>3645</v>
      </c>
      <c r="D184" s="32" t="s">
        <v>3646</v>
      </c>
      <c r="E184" s="22" t="s">
        <v>3359</v>
      </c>
      <c r="F184" s="22" t="s">
        <v>3360</v>
      </c>
      <c r="G184" s="32" t="s">
        <v>3477</v>
      </c>
      <c r="H184" s="22" t="s">
        <v>3647</v>
      </c>
      <c r="I184" s="22" t="s">
        <v>3363</v>
      </c>
    </row>
    <row r="185" customFormat="false" ht="24.75" hidden="false" customHeight="true" outlineLevel="0" collapsed="false">
      <c r="A185" s="24" t="s">
        <v>2821</v>
      </c>
      <c r="B185" s="32" t="s">
        <v>3648</v>
      </c>
      <c r="C185" s="22" t="s">
        <v>3649</v>
      </c>
      <c r="D185" s="32" t="s">
        <v>3650</v>
      </c>
      <c r="E185" s="22" t="s">
        <v>3389</v>
      </c>
      <c r="F185" s="22" t="s">
        <v>3360</v>
      </c>
      <c r="G185" s="32" t="s">
        <v>3390</v>
      </c>
      <c r="H185" s="22" t="s">
        <v>3651</v>
      </c>
      <c r="I185" s="22" t="s">
        <v>3363</v>
      </c>
    </row>
    <row r="186" customFormat="false" ht="15" hidden="false" customHeight="true" outlineLevel="0" collapsed="false">
      <c r="A186" s="24" t="s">
        <v>2821</v>
      </c>
      <c r="B186" s="32" t="s">
        <v>3652</v>
      </c>
      <c r="C186" s="22" t="s">
        <v>3653</v>
      </c>
      <c r="D186" s="32" t="s">
        <v>3654</v>
      </c>
      <c r="E186" s="22" t="s">
        <v>3359</v>
      </c>
      <c r="F186" s="22" t="s">
        <v>3360</v>
      </c>
      <c r="G186" s="32" t="s">
        <v>3477</v>
      </c>
      <c r="H186" s="22" t="s">
        <v>3655</v>
      </c>
      <c r="I186" s="22" t="s">
        <v>3363</v>
      </c>
    </row>
    <row r="187" customFormat="false" ht="24.75" hidden="false" customHeight="true" outlineLevel="0" collapsed="false">
      <c r="A187" s="24" t="s">
        <v>2821</v>
      </c>
      <c r="B187" s="32" t="s">
        <v>3656</v>
      </c>
      <c r="C187" s="22" t="s">
        <v>3657</v>
      </c>
      <c r="D187" s="32" t="s">
        <v>3658</v>
      </c>
      <c r="E187" s="22" t="s">
        <v>3389</v>
      </c>
      <c r="F187" s="22" t="s">
        <v>3360</v>
      </c>
      <c r="G187" s="32" t="s">
        <v>3390</v>
      </c>
      <c r="H187" s="22" t="s">
        <v>3659</v>
      </c>
      <c r="I187" s="22" t="s">
        <v>3363</v>
      </c>
    </row>
    <row r="188" customFormat="false" ht="37.5" hidden="false" customHeight="true" outlineLevel="0" collapsed="false">
      <c r="A188" s="24" t="s">
        <v>2821</v>
      </c>
      <c r="B188" s="32" t="s">
        <v>3761</v>
      </c>
      <c r="C188" s="22" t="s">
        <v>3762</v>
      </c>
      <c r="D188" s="32" t="s">
        <v>3763</v>
      </c>
      <c r="E188" s="22" t="s">
        <v>3377</v>
      </c>
      <c r="F188" s="22" t="s">
        <v>3360</v>
      </c>
      <c r="G188" s="32" t="s">
        <v>3764</v>
      </c>
      <c r="H188" s="22" t="s">
        <v>3765</v>
      </c>
      <c r="I188" s="22" t="s">
        <v>3363</v>
      </c>
    </row>
    <row r="189" customFormat="false" ht="37.5" hidden="false" customHeight="true" outlineLevel="0" collapsed="false">
      <c r="A189" s="24" t="s">
        <v>2821</v>
      </c>
      <c r="B189" s="32" t="s">
        <v>3766</v>
      </c>
      <c r="C189" s="22" t="s">
        <v>3767</v>
      </c>
      <c r="D189" s="32" t="s">
        <v>3768</v>
      </c>
      <c r="E189" s="22" t="s">
        <v>3359</v>
      </c>
      <c r="F189" s="22" t="s">
        <v>3360</v>
      </c>
      <c r="G189" s="32" t="s">
        <v>3372</v>
      </c>
      <c r="H189" s="22" t="s">
        <v>3769</v>
      </c>
      <c r="I189" s="22" t="s">
        <v>3363</v>
      </c>
    </row>
    <row r="190" customFormat="false" ht="15" hidden="false" customHeight="true" outlineLevel="0" collapsed="false">
      <c r="A190" s="24" t="s">
        <v>2821</v>
      </c>
      <c r="B190" s="32" t="s">
        <v>3770</v>
      </c>
      <c r="C190" s="22" t="s">
        <v>3771</v>
      </c>
      <c r="D190" s="32" t="s">
        <v>3772</v>
      </c>
      <c r="E190" s="22" t="s">
        <v>3394</v>
      </c>
      <c r="F190" s="22" t="s">
        <v>3360</v>
      </c>
      <c r="G190" s="32" t="s">
        <v>3773</v>
      </c>
      <c r="H190" s="22" t="s">
        <v>3774</v>
      </c>
      <c r="I190" s="22" t="s">
        <v>3363</v>
      </c>
    </row>
    <row r="191" customFormat="false" ht="15" hidden="false" customHeight="true" outlineLevel="0" collapsed="false">
      <c r="A191" s="24" t="s">
        <v>2821</v>
      </c>
      <c r="B191" s="32" t="s">
        <v>3775</v>
      </c>
      <c r="C191" s="22" t="s">
        <v>3776</v>
      </c>
      <c r="D191" s="32" t="s">
        <v>3777</v>
      </c>
      <c r="E191" s="22" t="s">
        <v>3394</v>
      </c>
      <c r="F191" s="22" t="s">
        <v>3378</v>
      </c>
      <c r="G191" s="32" t="s">
        <v>3713</v>
      </c>
      <c r="H191" s="22" t="s">
        <v>3778</v>
      </c>
      <c r="I191" s="22" t="s">
        <v>3363</v>
      </c>
    </row>
    <row r="192" customFormat="false" ht="15" hidden="false" customHeight="true" outlineLevel="0" collapsed="false">
      <c r="A192" s="24" t="s">
        <v>2821</v>
      </c>
      <c r="B192" s="32" t="s">
        <v>3779</v>
      </c>
      <c r="C192" s="22" t="s">
        <v>3780</v>
      </c>
      <c r="D192" s="32" t="s">
        <v>3781</v>
      </c>
      <c r="E192" s="22" t="s">
        <v>3394</v>
      </c>
      <c r="F192" s="22" t="s">
        <v>3378</v>
      </c>
      <c r="G192" s="32" t="s">
        <v>3713</v>
      </c>
      <c r="H192" s="22" t="s">
        <v>3458</v>
      </c>
      <c r="I192" s="22" t="s">
        <v>3363</v>
      </c>
    </row>
    <row r="193" customFormat="false" ht="15" hidden="false" customHeight="true" outlineLevel="0" collapsed="false">
      <c r="A193" s="24" t="s">
        <v>2821</v>
      </c>
      <c r="B193" s="32" t="s">
        <v>3782</v>
      </c>
      <c r="C193" s="22" t="s">
        <v>3783</v>
      </c>
      <c r="D193" s="32" t="s">
        <v>3784</v>
      </c>
      <c r="E193" s="22" t="s">
        <v>3394</v>
      </c>
      <c r="F193" s="22" t="s">
        <v>3378</v>
      </c>
      <c r="G193" s="32" t="s">
        <v>3713</v>
      </c>
      <c r="H193" s="22" t="s">
        <v>3522</v>
      </c>
      <c r="I193" s="22" t="s">
        <v>3363</v>
      </c>
    </row>
    <row r="194" customFormat="false" ht="15" hidden="false" customHeight="true" outlineLevel="0" collapsed="false">
      <c r="A194" s="24" t="s">
        <v>2821</v>
      </c>
      <c r="B194" s="32" t="s">
        <v>3785</v>
      </c>
      <c r="C194" s="22" t="s">
        <v>3495</v>
      </c>
      <c r="D194" s="32" t="s">
        <v>3786</v>
      </c>
      <c r="E194" s="22" t="s">
        <v>3394</v>
      </c>
      <c r="F194" s="22" t="s">
        <v>3378</v>
      </c>
      <c r="G194" s="32" t="s">
        <v>3713</v>
      </c>
      <c r="H194" s="22" t="s">
        <v>3495</v>
      </c>
      <c r="I194" s="22" t="s">
        <v>3363</v>
      </c>
    </row>
    <row r="195" customFormat="false" ht="37.5" hidden="false" customHeight="true" outlineLevel="0" collapsed="false">
      <c r="A195" s="24" t="s">
        <v>2821</v>
      </c>
      <c r="B195" s="32" t="s">
        <v>3787</v>
      </c>
      <c r="C195" s="22" t="s">
        <v>3788</v>
      </c>
      <c r="D195" s="32" t="s">
        <v>3789</v>
      </c>
      <c r="E195" s="22" t="s">
        <v>3377</v>
      </c>
      <c r="F195" s="22" t="s">
        <v>3360</v>
      </c>
      <c r="G195" s="32" t="s">
        <v>3790</v>
      </c>
      <c r="H195" s="22" t="s">
        <v>3791</v>
      </c>
      <c r="I195" s="22" t="s">
        <v>3363</v>
      </c>
    </row>
    <row r="196" customFormat="false" ht="37.5" hidden="false" customHeight="true" outlineLevel="0" collapsed="false">
      <c r="A196" s="24" t="s">
        <v>2821</v>
      </c>
      <c r="B196" s="32" t="s">
        <v>3792</v>
      </c>
      <c r="C196" s="22" t="s">
        <v>3357</v>
      </c>
      <c r="D196" s="32" t="s">
        <v>3793</v>
      </c>
      <c r="E196" s="22" t="s">
        <v>3359</v>
      </c>
      <c r="F196" s="22" t="s">
        <v>3378</v>
      </c>
      <c r="G196" s="32" t="s">
        <v>3372</v>
      </c>
      <c r="H196" s="22" t="s">
        <v>3794</v>
      </c>
      <c r="I196" s="22" t="s">
        <v>3363</v>
      </c>
    </row>
    <row r="197" customFormat="false" ht="37.5" hidden="false" customHeight="true" outlineLevel="0" collapsed="false">
      <c r="A197" s="24" t="s">
        <v>2821</v>
      </c>
      <c r="B197" s="32" t="s">
        <v>3795</v>
      </c>
      <c r="C197" s="22" t="s">
        <v>3796</v>
      </c>
      <c r="D197" s="32" t="s">
        <v>3797</v>
      </c>
      <c r="E197" s="22" t="s">
        <v>3359</v>
      </c>
      <c r="F197" s="22" t="s">
        <v>3378</v>
      </c>
      <c r="G197" s="32" t="s">
        <v>3372</v>
      </c>
      <c r="H197" s="22" t="s">
        <v>3798</v>
      </c>
      <c r="I197" s="22" t="s">
        <v>3363</v>
      </c>
    </row>
    <row r="198" customFormat="false" ht="24.75" hidden="false" customHeight="true" outlineLevel="0" collapsed="false">
      <c r="A198" s="24" t="s">
        <v>2821</v>
      </c>
      <c r="B198" s="32" t="s">
        <v>3799</v>
      </c>
      <c r="C198" s="22" t="s">
        <v>3800</v>
      </c>
      <c r="D198" s="32" t="s">
        <v>3797</v>
      </c>
      <c r="E198" s="22" t="s">
        <v>3359</v>
      </c>
      <c r="F198" s="22" t="s">
        <v>3378</v>
      </c>
      <c r="G198" s="32" t="s">
        <v>3477</v>
      </c>
      <c r="H198" s="22" t="s">
        <v>3800</v>
      </c>
      <c r="I198" s="22" t="s">
        <v>3363</v>
      </c>
    </row>
    <row r="199" customFormat="false" ht="24.75" hidden="false" customHeight="true" outlineLevel="0" collapsed="false">
      <c r="A199" s="24" t="s">
        <v>2821</v>
      </c>
      <c r="B199" s="32" t="s">
        <v>3801</v>
      </c>
      <c r="C199" s="22" t="s">
        <v>3802</v>
      </c>
      <c r="D199" s="32" t="s">
        <v>3797</v>
      </c>
      <c r="E199" s="22" t="s">
        <v>3389</v>
      </c>
      <c r="F199" s="22" t="s">
        <v>3378</v>
      </c>
      <c r="G199" s="32" t="s">
        <v>3390</v>
      </c>
      <c r="H199" s="22" t="s">
        <v>3802</v>
      </c>
      <c r="I199" s="22" t="s">
        <v>3363</v>
      </c>
    </row>
    <row r="200" customFormat="false" ht="62.25" hidden="false" customHeight="true" outlineLevel="0" collapsed="false">
      <c r="A200" s="24" t="s">
        <v>270</v>
      </c>
      <c r="B200" s="32" t="s">
        <v>3356</v>
      </c>
      <c r="C200" s="22" t="s">
        <v>3828</v>
      </c>
      <c r="D200" s="32" t="s">
        <v>3356</v>
      </c>
      <c r="E200" s="22" t="s">
        <v>3359</v>
      </c>
      <c r="F200" s="22" t="s">
        <v>3360</v>
      </c>
      <c r="G200" s="32" t="s">
        <v>3361</v>
      </c>
      <c r="H200" s="22" t="s">
        <v>3872</v>
      </c>
      <c r="I200" s="22" t="s">
        <v>3363</v>
      </c>
    </row>
    <row r="201" customFormat="false" ht="15" hidden="false" customHeight="true" outlineLevel="0" collapsed="false">
      <c r="A201" s="24" t="s">
        <v>270</v>
      </c>
      <c r="B201" s="32" t="s">
        <v>3364</v>
      </c>
      <c r="C201" s="22" t="s">
        <v>3873</v>
      </c>
      <c r="D201" s="32" t="s">
        <v>3874</v>
      </c>
      <c r="E201" s="22" t="s">
        <v>3359</v>
      </c>
      <c r="F201" s="22" t="s">
        <v>3360</v>
      </c>
      <c r="G201" s="32" t="s">
        <v>3367</v>
      </c>
      <c r="H201" s="22" t="s">
        <v>3875</v>
      </c>
      <c r="I201" s="22" t="s">
        <v>3363</v>
      </c>
    </row>
    <row r="202" customFormat="false" ht="37.5" hidden="false" customHeight="true" outlineLevel="0" collapsed="false">
      <c r="A202" s="24" t="s">
        <v>270</v>
      </c>
      <c r="B202" s="32" t="s">
        <v>3876</v>
      </c>
      <c r="C202" s="22" t="s">
        <v>3877</v>
      </c>
      <c r="D202" s="32" t="s">
        <v>3878</v>
      </c>
      <c r="E202" s="22" t="s">
        <v>3394</v>
      </c>
      <c r="F202" s="22" t="s">
        <v>3360</v>
      </c>
      <c r="G202" s="32" t="s">
        <v>3395</v>
      </c>
      <c r="H202" s="22" t="s">
        <v>3879</v>
      </c>
      <c r="I202" s="22" t="s">
        <v>3363</v>
      </c>
    </row>
    <row r="203" customFormat="false" ht="37.5" hidden="false" customHeight="true" outlineLevel="0" collapsed="false">
      <c r="A203" s="24" t="s">
        <v>270</v>
      </c>
      <c r="B203" s="32" t="s">
        <v>3880</v>
      </c>
      <c r="C203" s="22" t="s">
        <v>3881</v>
      </c>
      <c r="D203" s="32" t="s">
        <v>3882</v>
      </c>
      <c r="E203" s="22" t="s">
        <v>3394</v>
      </c>
      <c r="F203" s="22" t="s">
        <v>3360</v>
      </c>
      <c r="G203" s="32" t="s">
        <v>3395</v>
      </c>
      <c r="H203" s="22" t="s">
        <v>3879</v>
      </c>
      <c r="I203" s="22" t="s">
        <v>3363</v>
      </c>
    </row>
    <row r="204" customFormat="false" ht="37.5" hidden="false" customHeight="true" outlineLevel="0" collapsed="false">
      <c r="A204" s="24" t="s">
        <v>270</v>
      </c>
      <c r="B204" s="32" t="s">
        <v>3883</v>
      </c>
      <c r="C204" s="22" t="s">
        <v>3884</v>
      </c>
      <c r="D204" s="32" t="s">
        <v>3885</v>
      </c>
      <c r="E204" s="22" t="s">
        <v>3394</v>
      </c>
      <c r="F204" s="22" t="s">
        <v>3360</v>
      </c>
      <c r="G204" s="32" t="s">
        <v>3395</v>
      </c>
      <c r="H204" s="22" t="s">
        <v>3879</v>
      </c>
      <c r="I204" s="22" t="s">
        <v>3363</v>
      </c>
    </row>
    <row r="205" customFormat="false" ht="37.5" hidden="false" customHeight="true" outlineLevel="0" collapsed="false">
      <c r="A205" s="24" t="s">
        <v>270</v>
      </c>
      <c r="B205" s="32" t="s">
        <v>3886</v>
      </c>
      <c r="C205" s="22" t="s">
        <v>3887</v>
      </c>
      <c r="D205" s="32" t="s">
        <v>3888</v>
      </c>
      <c r="E205" s="22" t="s">
        <v>3394</v>
      </c>
      <c r="F205" s="22" t="s">
        <v>3360</v>
      </c>
      <c r="G205" s="32" t="s">
        <v>3395</v>
      </c>
      <c r="H205" s="22" t="s">
        <v>3879</v>
      </c>
      <c r="I205" s="22" t="s">
        <v>3363</v>
      </c>
    </row>
    <row r="206" customFormat="false" ht="37.5" hidden="false" customHeight="true" outlineLevel="0" collapsed="false">
      <c r="A206" s="24" t="s">
        <v>270</v>
      </c>
      <c r="B206" s="32" t="s">
        <v>3889</v>
      </c>
      <c r="C206" s="22" t="s">
        <v>3890</v>
      </c>
      <c r="D206" s="32" t="s">
        <v>3891</v>
      </c>
      <c r="E206" s="22" t="s">
        <v>3394</v>
      </c>
      <c r="F206" s="22" t="s">
        <v>3360</v>
      </c>
      <c r="G206" s="32" t="s">
        <v>3395</v>
      </c>
      <c r="H206" s="22" t="s">
        <v>3879</v>
      </c>
      <c r="I206" s="22" t="s">
        <v>3363</v>
      </c>
    </row>
    <row r="207" customFormat="false" ht="24.75" hidden="false" customHeight="true" outlineLevel="0" collapsed="false">
      <c r="A207" s="24" t="s">
        <v>270</v>
      </c>
      <c r="B207" s="32" t="s">
        <v>3892</v>
      </c>
      <c r="C207" s="22" t="s">
        <v>3893</v>
      </c>
      <c r="D207" s="32" t="s">
        <v>3894</v>
      </c>
      <c r="E207" s="22" t="s">
        <v>3394</v>
      </c>
      <c r="F207" s="22" t="s">
        <v>3360</v>
      </c>
      <c r="G207" s="32" t="s">
        <v>3395</v>
      </c>
      <c r="H207" s="22" t="s">
        <v>3879</v>
      </c>
      <c r="I207" s="22" t="s">
        <v>3363</v>
      </c>
    </row>
    <row r="208" customFormat="false" ht="24.75" hidden="false" customHeight="true" outlineLevel="0" collapsed="false">
      <c r="A208" s="24" t="s">
        <v>270</v>
      </c>
      <c r="B208" s="32" t="s">
        <v>3895</v>
      </c>
      <c r="C208" s="22" t="s">
        <v>3896</v>
      </c>
      <c r="D208" s="32" t="s">
        <v>3897</v>
      </c>
      <c r="E208" s="22" t="s">
        <v>3394</v>
      </c>
      <c r="F208" s="22" t="s">
        <v>3360</v>
      </c>
      <c r="G208" s="32" t="s">
        <v>3395</v>
      </c>
      <c r="H208" s="22" t="s">
        <v>3879</v>
      </c>
      <c r="I208" s="22" t="s">
        <v>3363</v>
      </c>
    </row>
    <row r="209" customFormat="false" ht="24.75" hidden="false" customHeight="true" outlineLevel="0" collapsed="false">
      <c r="A209" s="24" t="s">
        <v>270</v>
      </c>
      <c r="B209" s="32" t="s">
        <v>3898</v>
      </c>
      <c r="C209" s="22" t="s">
        <v>3899</v>
      </c>
      <c r="D209" s="32" t="s">
        <v>3900</v>
      </c>
      <c r="E209" s="22" t="s">
        <v>3394</v>
      </c>
      <c r="F209" s="22" t="s">
        <v>3360</v>
      </c>
      <c r="G209" s="32" t="s">
        <v>3395</v>
      </c>
      <c r="H209" s="22" t="s">
        <v>3879</v>
      </c>
      <c r="I209" s="22" t="s">
        <v>3363</v>
      </c>
    </row>
    <row r="210" customFormat="false" ht="24.75" hidden="false" customHeight="true" outlineLevel="0" collapsed="false">
      <c r="A210" s="24" t="s">
        <v>270</v>
      </c>
      <c r="B210" s="32" t="s">
        <v>3901</v>
      </c>
      <c r="C210" s="22" t="s">
        <v>3902</v>
      </c>
      <c r="D210" s="32" t="s">
        <v>3903</v>
      </c>
      <c r="E210" s="22" t="s">
        <v>3394</v>
      </c>
      <c r="F210" s="22" t="s">
        <v>3360</v>
      </c>
      <c r="G210" s="32" t="s">
        <v>3395</v>
      </c>
      <c r="H210" s="22" t="s">
        <v>3879</v>
      </c>
      <c r="I210" s="22" t="s">
        <v>3363</v>
      </c>
    </row>
    <row r="211" customFormat="false" ht="24.75" hidden="false" customHeight="true" outlineLevel="0" collapsed="false">
      <c r="A211" s="24" t="s">
        <v>270</v>
      </c>
      <c r="B211" s="32" t="s">
        <v>3904</v>
      </c>
      <c r="C211" s="22" t="s">
        <v>3905</v>
      </c>
      <c r="D211" s="32" t="s">
        <v>3906</v>
      </c>
      <c r="E211" s="22" t="s">
        <v>3394</v>
      </c>
      <c r="F211" s="22" t="s">
        <v>3360</v>
      </c>
      <c r="G211" s="32" t="s">
        <v>3395</v>
      </c>
      <c r="H211" s="22" t="s">
        <v>3879</v>
      </c>
      <c r="I211" s="22" t="s">
        <v>3363</v>
      </c>
    </row>
    <row r="212" customFormat="false" ht="24.75" hidden="false" customHeight="true" outlineLevel="0" collapsed="false">
      <c r="A212" s="24" t="s">
        <v>270</v>
      </c>
      <c r="B212" s="32" t="s">
        <v>3907</v>
      </c>
      <c r="C212" s="22" t="s">
        <v>3908</v>
      </c>
      <c r="D212" s="32" t="s">
        <v>3909</v>
      </c>
      <c r="E212" s="22" t="s">
        <v>3394</v>
      </c>
      <c r="F212" s="22" t="s">
        <v>3360</v>
      </c>
      <c r="G212" s="32" t="s">
        <v>3395</v>
      </c>
      <c r="H212" s="22" t="s">
        <v>3879</v>
      </c>
      <c r="I212" s="22" t="s">
        <v>3363</v>
      </c>
    </row>
    <row r="213" customFormat="false" ht="24.75" hidden="false" customHeight="true" outlineLevel="0" collapsed="false">
      <c r="A213" s="24" t="s">
        <v>270</v>
      </c>
      <c r="B213" s="32" t="s">
        <v>3910</v>
      </c>
      <c r="C213" s="22" t="s">
        <v>3911</v>
      </c>
      <c r="D213" s="32" t="s">
        <v>3912</v>
      </c>
      <c r="E213" s="22" t="s">
        <v>3394</v>
      </c>
      <c r="F213" s="22" t="s">
        <v>3360</v>
      </c>
      <c r="G213" s="32" t="s">
        <v>3395</v>
      </c>
      <c r="H213" s="22" t="s">
        <v>3879</v>
      </c>
      <c r="I213" s="22" t="s">
        <v>3363</v>
      </c>
    </row>
    <row r="214" customFormat="false" ht="24.75" hidden="false" customHeight="true" outlineLevel="0" collapsed="false">
      <c r="A214" s="24" t="s">
        <v>270</v>
      </c>
      <c r="B214" s="32" t="s">
        <v>3913</v>
      </c>
      <c r="C214" s="22" t="s">
        <v>3914</v>
      </c>
      <c r="D214" s="32" t="s">
        <v>3915</v>
      </c>
      <c r="E214" s="22" t="s">
        <v>3394</v>
      </c>
      <c r="F214" s="22" t="s">
        <v>3360</v>
      </c>
      <c r="G214" s="32" t="s">
        <v>3395</v>
      </c>
      <c r="H214" s="22" t="s">
        <v>3879</v>
      </c>
      <c r="I214" s="22" t="s">
        <v>3363</v>
      </c>
    </row>
    <row r="215" customFormat="false" ht="24.75" hidden="false" customHeight="true" outlineLevel="0" collapsed="false">
      <c r="A215" s="24" t="s">
        <v>270</v>
      </c>
      <c r="B215" s="32" t="s">
        <v>3916</v>
      </c>
      <c r="C215" s="22" t="s">
        <v>3917</v>
      </c>
      <c r="D215" s="32" t="s">
        <v>3918</v>
      </c>
      <c r="E215" s="22" t="s">
        <v>3394</v>
      </c>
      <c r="F215" s="22" t="s">
        <v>3360</v>
      </c>
      <c r="G215" s="32" t="s">
        <v>3395</v>
      </c>
      <c r="H215" s="22" t="s">
        <v>3879</v>
      </c>
      <c r="I215" s="22" t="s">
        <v>3363</v>
      </c>
    </row>
    <row r="216" customFormat="false" ht="24.75" hidden="false" customHeight="true" outlineLevel="0" collapsed="false">
      <c r="A216" s="24" t="s">
        <v>270</v>
      </c>
      <c r="B216" s="32" t="s">
        <v>3919</v>
      </c>
      <c r="C216" s="22" t="s">
        <v>3920</v>
      </c>
      <c r="D216" s="32" t="s">
        <v>3921</v>
      </c>
      <c r="E216" s="22" t="s">
        <v>3394</v>
      </c>
      <c r="F216" s="22" t="s">
        <v>3360</v>
      </c>
      <c r="G216" s="32" t="s">
        <v>3395</v>
      </c>
      <c r="H216" s="22" t="s">
        <v>3879</v>
      </c>
      <c r="I216" s="22" t="s">
        <v>3363</v>
      </c>
    </row>
    <row r="217" customFormat="false" ht="49.5" hidden="false" customHeight="true" outlineLevel="0" collapsed="false">
      <c r="A217" s="24" t="s">
        <v>270</v>
      </c>
      <c r="B217" s="32" t="s">
        <v>3922</v>
      </c>
      <c r="C217" s="22" t="s">
        <v>3923</v>
      </c>
      <c r="D217" s="32" t="s">
        <v>3924</v>
      </c>
      <c r="E217" s="22" t="s">
        <v>3394</v>
      </c>
      <c r="F217" s="22" t="s">
        <v>3360</v>
      </c>
      <c r="G217" s="32" t="s">
        <v>3395</v>
      </c>
      <c r="H217" s="22" t="s">
        <v>3925</v>
      </c>
      <c r="I217" s="22" t="s">
        <v>3363</v>
      </c>
    </row>
    <row r="218" customFormat="false" ht="49.5" hidden="false" customHeight="true" outlineLevel="0" collapsed="false">
      <c r="A218" s="24" t="s">
        <v>270</v>
      </c>
      <c r="B218" s="32" t="s">
        <v>3926</v>
      </c>
      <c r="C218" s="22" t="s">
        <v>3927</v>
      </c>
      <c r="D218" s="32" t="s">
        <v>3928</v>
      </c>
      <c r="E218" s="22" t="s">
        <v>3394</v>
      </c>
      <c r="F218" s="22" t="s">
        <v>3360</v>
      </c>
      <c r="G218" s="32" t="s">
        <v>3395</v>
      </c>
      <c r="H218" s="22" t="s">
        <v>3925</v>
      </c>
      <c r="I218" s="22" t="s">
        <v>3363</v>
      </c>
    </row>
    <row r="219" customFormat="false" ht="49.5" hidden="false" customHeight="true" outlineLevel="0" collapsed="false">
      <c r="A219" s="24" t="s">
        <v>270</v>
      </c>
      <c r="B219" s="32" t="s">
        <v>3929</v>
      </c>
      <c r="C219" s="22" t="s">
        <v>3930</v>
      </c>
      <c r="D219" s="32" t="s">
        <v>3931</v>
      </c>
      <c r="E219" s="22" t="s">
        <v>3394</v>
      </c>
      <c r="F219" s="22" t="s">
        <v>3360</v>
      </c>
      <c r="G219" s="32" t="s">
        <v>3395</v>
      </c>
      <c r="H219" s="22" t="s">
        <v>3925</v>
      </c>
      <c r="I219" s="22" t="s">
        <v>3363</v>
      </c>
    </row>
    <row r="220" customFormat="false" ht="49.5" hidden="false" customHeight="true" outlineLevel="0" collapsed="false">
      <c r="A220" s="24" t="s">
        <v>270</v>
      </c>
      <c r="B220" s="32" t="s">
        <v>3932</v>
      </c>
      <c r="C220" s="22" t="s">
        <v>3933</v>
      </c>
      <c r="D220" s="32" t="s">
        <v>3934</v>
      </c>
      <c r="E220" s="22" t="s">
        <v>3394</v>
      </c>
      <c r="F220" s="22" t="s">
        <v>3360</v>
      </c>
      <c r="G220" s="32" t="s">
        <v>3395</v>
      </c>
      <c r="H220" s="22" t="s">
        <v>3925</v>
      </c>
      <c r="I220" s="22" t="s">
        <v>3363</v>
      </c>
    </row>
    <row r="221" customFormat="false" ht="49.5" hidden="false" customHeight="true" outlineLevel="0" collapsed="false">
      <c r="A221" s="24" t="s">
        <v>270</v>
      </c>
      <c r="B221" s="32" t="s">
        <v>3935</v>
      </c>
      <c r="C221" s="22" t="s">
        <v>3936</v>
      </c>
      <c r="D221" s="32" t="s">
        <v>3937</v>
      </c>
      <c r="E221" s="22" t="s">
        <v>3394</v>
      </c>
      <c r="F221" s="22" t="s">
        <v>3360</v>
      </c>
      <c r="G221" s="32" t="s">
        <v>3395</v>
      </c>
      <c r="H221" s="22" t="s">
        <v>3925</v>
      </c>
      <c r="I221" s="22" t="s">
        <v>3363</v>
      </c>
    </row>
    <row r="222" customFormat="false" ht="75" hidden="false" customHeight="true" outlineLevel="0" collapsed="false">
      <c r="A222" s="24" t="s">
        <v>270</v>
      </c>
      <c r="B222" s="32" t="s">
        <v>3938</v>
      </c>
      <c r="C222" s="22" t="s">
        <v>3939</v>
      </c>
      <c r="D222" s="32" t="s">
        <v>3940</v>
      </c>
      <c r="E222" s="22" t="s">
        <v>3394</v>
      </c>
      <c r="F222" s="22" t="s">
        <v>3360</v>
      </c>
      <c r="G222" s="32" t="s">
        <v>3395</v>
      </c>
      <c r="H222" s="22" t="s">
        <v>3925</v>
      </c>
      <c r="I222" s="22" t="s">
        <v>3363</v>
      </c>
    </row>
    <row r="223" customFormat="false" ht="37.5" hidden="false" customHeight="true" outlineLevel="0" collapsed="false">
      <c r="A223" s="24" t="s">
        <v>270</v>
      </c>
      <c r="B223" s="32" t="s">
        <v>3941</v>
      </c>
      <c r="C223" s="22" t="s">
        <v>3942</v>
      </c>
      <c r="D223" s="32" t="s">
        <v>3943</v>
      </c>
      <c r="E223" s="22" t="s">
        <v>3359</v>
      </c>
      <c r="F223" s="22" t="s">
        <v>3378</v>
      </c>
      <c r="G223" s="32" t="s">
        <v>3400</v>
      </c>
      <c r="H223" s="22" t="s">
        <v>3944</v>
      </c>
      <c r="I223" s="22" t="s">
        <v>3363</v>
      </c>
    </row>
    <row r="224" customFormat="false" ht="24.75" hidden="false" customHeight="true" outlineLevel="0" collapsed="false">
      <c r="A224" s="24" t="s">
        <v>270</v>
      </c>
      <c r="B224" s="32" t="s">
        <v>3945</v>
      </c>
      <c r="C224" s="22" t="s">
        <v>3946</v>
      </c>
      <c r="D224" s="32" t="s">
        <v>3947</v>
      </c>
      <c r="E224" s="22" t="s">
        <v>3394</v>
      </c>
      <c r="F224" s="22" t="s">
        <v>3378</v>
      </c>
      <c r="G224" s="32" t="s">
        <v>3395</v>
      </c>
      <c r="H224" s="22" t="s">
        <v>3948</v>
      </c>
      <c r="I224" s="22" t="s">
        <v>3363</v>
      </c>
    </row>
    <row r="225" customFormat="false" ht="24.75" hidden="false" customHeight="true" outlineLevel="0" collapsed="false">
      <c r="A225" s="24" t="s">
        <v>270</v>
      </c>
      <c r="B225" s="32" t="s">
        <v>3949</v>
      </c>
      <c r="C225" s="22" t="s">
        <v>3950</v>
      </c>
      <c r="D225" s="32" t="s">
        <v>3951</v>
      </c>
      <c r="E225" s="22" t="s">
        <v>3394</v>
      </c>
      <c r="F225" s="22" t="s">
        <v>3378</v>
      </c>
      <c r="G225" s="32" t="s">
        <v>3395</v>
      </c>
      <c r="H225" s="22" t="s">
        <v>3453</v>
      </c>
      <c r="I225" s="22" t="s">
        <v>3363</v>
      </c>
    </row>
    <row r="226" customFormat="false" ht="37.5" hidden="false" customHeight="true" outlineLevel="0" collapsed="false">
      <c r="A226" s="24" t="s">
        <v>270</v>
      </c>
      <c r="B226" s="32" t="s">
        <v>3952</v>
      </c>
      <c r="C226" s="22" t="s">
        <v>3953</v>
      </c>
      <c r="D226" s="32" t="s">
        <v>3954</v>
      </c>
      <c r="E226" s="22" t="s">
        <v>3359</v>
      </c>
      <c r="F226" s="22" t="s">
        <v>3378</v>
      </c>
      <c r="G226" s="32" t="s">
        <v>3400</v>
      </c>
      <c r="H226" s="22" t="s">
        <v>3944</v>
      </c>
      <c r="I226" s="22" t="s">
        <v>3363</v>
      </c>
    </row>
    <row r="227" customFormat="false" ht="37.5" hidden="false" customHeight="true" outlineLevel="0" collapsed="false">
      <c r="A227" s="24" t="s">
        <v>270</v>
      </c>
      <c r="B227" s="32" t="s">
        <v>3955</v>
      </c>
      <c r="C227" s="22" t="s">
        <v>3956</v>
      </c>
      <c r="D227" s="32" t="s">
        <v>3957</v>
      </c>
      <c r="E227" s="22" t="s">
        <v>3394</v>
      </c>
      <c r="F227" s="22" t="s">
        <v>3378</v>
      </c>
      <c r="G227" s="32" t="s">
        <v>3395</v>
      </c>
      <c r="H227" s="22" t="s">
        <v>3948</v>
      </c>
      <c r="I227" s="22" t="s">
        <v>3363</v>
      </c>
    </row>
    <row r="228" customFormat="false" ht="37.5" hidden="false" customHeight="true" outlineLevel="0" collapsed="false">
      <c r="A228" s="24" t="s">
        <v>270</v>
      </c>
      <c r="B228" s="32" t="s">
        <v>3958</v>
      </c>
      <c r="C228" s="22" t="s">
        <v>3959</v>
      </c>
      <c r="D228" s="32" t="s">
        <v>3960</v>
      </c>
      <c r="E228" s="22" t="s">
        <v>3394</v>
      </c>
      <c r="F228" s="22" t="s">
        <v>3378</v>
      </c>
      <c r="G228" s="32" t="s">
        <v>3395</v>
      </c>
      <c r="H228" s="22" t="s">
        <v>3453</v>
      </c>
      <c r="I228" s="22" t="s">
        <v>3363</v>
      </c>
    </row>
    <row r="229" customFormat="false" ht="37.5" hidden="false" customHeight="true" outlineLevel="0" collapsed="false">
      <c r="A229" s="24" t="s">
        <v>270</v>
      </c>
      <c r="B229" s="32" t="s">
        <v>3961</v>
      </c>
      <c r="C229" s="22" t="s">
        <v>3962</v>
      </c>
      <c r="D229" s="32" t="s">
        <v>3963</v>
      </c>
      <c r="E229" s="22" t="s">
        <v>3359</v>
      </c>
      <c r="F229" s="22" t="s">
        <v>3378</v>
      </c>
      <c r="G229" s="32" t="s">
        <v>3400</v>
      </c>
      <c r="H229" s="22" t="s">
        <v>3944</v>
      </c>
      <c r="I229" s="22" t="s">
        <v>3363</v>
      </c>
    </row>
    <row r="230" customFormat="false" ht="24.75" hidden="false" customHeight="true" outlineLevel="0" collapsed="false">
      <c r="A230" s="24" t="s">
        <v>270</v>
      </c>
      <c r="B230" s="32" t="s">
        <v>3964</v>
      </c>
      <c r="C230" s="22" t="s">
        <v>3965</v>
      </c>
      <c r="D230" s="32" t="s">
        <v>3966</v>
      </c>
      <c r="E230" s="22" t="s">
        <v>3394</v>
      </c>
      <c r="F230" s="22" t="s">
        <v>3378</v>
      </c>
      <c r="G230" s="32" t="s">
        <v>3395</v>
      </c>
      <c r="H230" s="22" t="s">
        <v>3948</v>
      </c>
      <c r="I230" s="22" t="s">
        <v>3363</v>
      </c>
    </row>
    <row r="231" customFormat="false" ht="24.75" hidden="false" customHeight="true" outlineLevel="0" collapsed="false">
      <c r="A231" s="24" t="s">
        <v>270</v>
      </c>
      <c r="B231" s="32" t="s">
        <v>3967</v>
      </c>
      <c r="C231" s="22" t="s">
        <v>3968</v>
      </c>
      <c r="D231" s="32" t="s">
        <v>3969</v>
      </c>
      <c r="E231" s="22" t="s">
        <v>3394</v>
      </c>
      <c r="F231" s="22" t="s">
        <v>3378</v>
      </c>
      <c r="G231" s="32" t="s">
        <v>3395</v>
      </c>
      <c r="H231" s="22" t="s">
        <v>3453</v>
      </c>
      <c r="I231" s="22" t="s">
        <v>3363</v>
      </c>
    </row>
    <row r="232" customFormat="false" ht="37.5" hidden="false" customHeight="true" outlineLevel="0" collapsed="false">
      <c r="A232" s="24" t="s">
        <v>270</v>
      </c>
      <c r="B232" s="32" t="s">
        <v>3970</v>
      </c>
      <c r="C232" s="22" t="s">
        <v>3971</v>
      </c>
      <c r="D232" s="32" t="s">
        <v>3972</v>
      </c>
      <c r="E232" s="22" t="s">
        <v>3394</v>
      </c>
      <c r="F232" s="22" t="s">
        <v>3360</v>
      </c>
      <c r="G232" s="32" t="s">
        <v>3395</v>
      </c>
      <c r="H232" s="22" t="s">
        <v>3973</v>
      </c>
      <c r="I232" s="22" t="s">
        <v>3363</v>
      </c>
    </row>
    <row r="233" customFormat="false" ht="37.5" hidden="false" customHeight="true" outlineLevel="0" collapsed="false">
      <c r="A233" s="24" t="s">
        <v>270</v>
      </c>
      <c r="B233" s="32" t="s">
        <v>3974</v>
      </c>
      <c r="C233" s="22" t="s">
        <v>3975</v>
      </c>
      <c r="D233" s="32" t="s">
        <v>3976</v>
      </c>
      <c r="E233" s="22" t="s">
        <v>3394</v>
      </c>
      <c r="F233" s="22" t="s">
        <v>3360</v>
      </c>
      <c r="G233" s="32" t="s">
        <v>3395</v>
      </c>
      <c r="H233" s="22" t="s">
        <v>3973</v>
      </c>
      <c r="I233" s="22" t="s">
        <v>3363</v>
      </c>
    </row>
    <row r="234" customFormat="false" ht="37.5" hidden="false" customHeight="true" outlineLevel="0" collapsed="false">
      <c r="A234" s="24" t="s">
        <v>270</v>
      </c>
      <c r="B234" s="32" t="s">
        <v>3977</v>
      </c>
      <c r="C234" s="22" t="s">
        <v>3978</v>
      </c>
      <c r="D234" s="32" t="s">
        <v>3979</v>
      </c>
      <c r="E234" s="22" t="s">
        <v>3394</v>
      </c>
      <c r="F234" s="22" t="s">
        <v>3360</v>
      </c>
      <c r="G234" s="32" t="s">
        <v>3395</v>
      </c>
      <c r="H234" s="22" t="s">
        <v>3973</v>
      </c>
      <c r="I234" s="22" t="s">
        <v>3363</v>
      </c>
    </row>
    <row r="235" customFormat="false" ht="37.5" hidden="false" customHeight="true" outlineLevel="0" collapsed="false">
      <c r="A235" s="24" t="s">
        <v>270</v>
      </c>
      <c r="B235" s="32" t="s">
        <v>3980</v>
      </c>
      <c r="C235" s="22" t="s">
        <v>3981</v>
      </c>
      <c r="D235" s="32" t="s">
        <v>3982</v>
      </c>
      <c r="E235" s="22" t="s">
        <v>3394</v>
      </c>
      <c r="F235" s="22" t="s">
        <v>3360</v>
      </c>
      <c r="G235" s="32" t="s">
        <v>3395</v>
      </c>
      <c r="H235" s="22" t="s">
        <v>3973</v>
      </c>
      <c r="I235" s="22" t="s">
        <v>3363</v>
      </c>
    </row>
    <row r="236" customFormat="false" ht="37.5" hidden="false" customHeight="true" outlineLevel="0" collapsed="false">
      <c r="A236" s="24" t="s">
        <v>270</v>
      </c>
      <c r="B236" s="32" t="s">
        <v>3983</v>
      </c>
      <c r="C236" s="22" t="s">
        <v>3984</v>
      </c>
      <c r="D236" s="32" t="s">
        <v>3985</v>
      </c>
      <c r="E236" s="22" t="s">
        <v>3394</v>
      </c>
      <c r="F236" s="22" t="s">
        <v>3360</v>
      </c>
      <c r="G236" s="32" t="s">
        <v>3395</v>
      </c>
      <c r="H236" s="22" t="s">
        <v>3973</v>
      </c>
      <c r="I236" s="22" t="s">
        <v>3363</v>
      </c>
    </row>
    <row r="237" customFormat="false" ht="37.5" hidden="false" customHeight="true" outlineLevel="0" collapsed="false">
      <c r="A237" s="24" t="s">
        <v>270</v>
      </c>
      <c r="B237" s="32" t="s">
        <v>3986</v>
      </c>
      <c r="C237" s="22" t="s">
        <v>3987</v>
      </c>
      <c r="D237" s="32" t="s">
        <v>3988</v>
      </c>
      <c r="E237" s="22" t="s">
        <v>3394</v>
      </c>
      <c r="F237" s="22" t="s">
        <v>3360</v>
      </c>
      <c r="G237" s="32" t="s">
        <v>3395</v>
      </c>
      <c r="H237" s="22" t="s">
        <v>3989</v>
      </c>
      <c r="I237" s="22" t="s">
        <v>3363</v>
      </c>
    </row>
    <row r="238" customFormat="false" ht="37.5" hidden="false" customHeight="true" outlineLevel="0" collapsed="false">
      <c r="A238" s="24" t="s">
        <v>270</v>
      </c>
      <c r="B238" s="32" t="s">
        <v>3990</v>
      </c>
      <c r="C238" s="22" t="s">
        <v>3991</v>
      </c>
      <c r="D238" s="32" t="s">
        <v>3992</v>
      </c>
      <c r="E238" s="22" t="s">
        <v>3394</v>
      </c>
      <c r="F238" s="22" t="s">
        <v>3360</v>
      </c>
      <c r="G238" s="32" t="s">
        <v>3395</v>
      </c>
      <c r="H238" s="22" t="s">
        <v>3989</v>
      </c>
      <c r="I238" s="22" t="s">
        <v>3363</v>
      </c>
    </row>
    <row r="239" customFormat="false" ht="24.75" hidden="false" customHeight="true" outlineLevel="0" collapsed="false">
      <c r="A239" s="24" t="s">
        <v>270</v>
      </c>
      <c r="B239" s="32" t="s">
        <v>3993</v>
      </c>
      <c r="C239" s="22" t="s">
        <v>3994</v>
      </c>
      <c r="D239" s="32" t="s">
        <v>3995</v>
      </c>
      <c r="E239" s="22" t="s">
        <v>3394</v>
      </c>
      <c r="F239" s="22" t="s">
        <v>3360</v>
      </c>
      <c r="G239" s="32" t="s">
        <v>3996</v>
      </c>
      <c r="H239" s="22" t="s">
        <v>3997</v>
      </c>
      <c r="I239" s="22" t="s">
        <v>3363</v>
      </c>
    </row>
    <row r="240" customFormat="false" ht="37.5" hidden="false" customHeight="true" outlineLevel="0" collapsed="false">
      <c r="A240" s="24" t="s">
        <v>270</v>
      </c>
      <c r="B240" s="32" t="s">
        <v>3998</v>
      </c>
      <c r="C240" s="22" t="s">
        <v>3999</v>
      </c>
      <c r="D240" s="32" t="s">
        <v>4000</v>
      </c>
      <c r="E240" s="22" t="s">
        <v>3394</v>
      </c>
      <c r="F240" s="22" t="s">
        <v>3360</v>
      </c>
      <c r="G240" s="32" t="s">
        <v>3395</v>
      </c>
      <c r="H240" s="22" t="s">
        <v>4001</v>
      </c>
      <c r="I240" s="22" t="s">
        <v>3363</v>
      </c>
    </row>
    <row r="241" customFormat="false" ht="37.5" hidden="false" customHeight="true" outlineLevel="0" collapsed="false">
      <c r="A241" s="24" t="s">
        <v>270</v>
      </c>
      <c r="B241" s="32" t="s">
        <v>4002</v>
      </c>
      <c r="C241" s="22" t="s">
        <v>4003</v>
      </c>
      <c r="D241" s="32" t="s">
        <v>4004</v>
      </c>
      <c r="E241" s="22" t="s">
        <v>3394</v>
      </c>
      <c r="F241" s="22" t="s">
        <v>3360</v>
      </c>
      <c r="G241" s="32" t="s">
        <v>3395</v>
      </c>
      <c r="H241" s="22" t="s">
        <v>4001</v>
      </c>
      <c r="I241" s="22" t="s">
        <v>3363</v>
      </c>
    </row>
    <row r="242" customFormat="false" ht="37.5" hidden="false" customHeight="true" outlineLevel="0" collapsed="false">
      <c r="A242" s="24" t="s">
        <v>270</v>
      </c>
      <c r="B242" s="32" t="s">
        <v>4005</v>
      </c>
      <c r="C242" s="22" t="s">
        <v>4006</v>
      </c>
      <c r="D242" s="32" t="s">
        <v>4007</v>
      </c>
      <c r="E242" s="22" t="s">
        <v>3394</v>
      </c>
      <c r="F242" s="22" t="s">
        <v>3378</v>
      </c>
      <c r="G242" s="32" t="s">
        <v>3395</v>
      </c>
      <c r="H242" s="22" t="s">
        <v>4008</v>
      </c>
      <c r="I242" s="22" t="s">
        <v>3363</v>
      </c>
    </row>
    <row r="243" customFormat="false" ht="15" hidden="false" customHeight="true" outlineLevel="0" collapsed="false">
      <c r="A243" s="24" t="s">
        <v>270</v>
      </c>
      <c r="B243" s="32" t="s">
        <v>4009</v>
      </c>
      <c r="C243" s="22" t="s">
        <v>4010</v>
      </c>
      <c r="D243" s="32" t="s">
        <v>4011</v>
      </c>
      <c r="E243" s="22" t="s">
        <v>3394</v>
      </c>
      <c r="F243" s="22" t="s">
        <v>3378</v>
      </c>
      <c r="G243" s="32" t="s">
        <v>3395</v>
      </c>
      <c r="H243" s="22"/>
      <c r="I243" s="22" t="s">
        <v>3363</v>
      </c>
    </row>
    <row r="244" customFormat="false" ht="24.75" hidden="false" customHeight="true" outlineLevel="0" collapsed="false">
      <c r="A244" s="24" t="s">
        <v>270</v>
      </c>
      <c r="B244" s="32" t="s">
        <v>4012</v>
      </c>
      <c r="C244" s="22" t="s">
        <v>4013</v>
      </c>
      <c r="D244" s="32" t="s">
        <v>4014</v>
      </c>
      <c r="E244" s="22" t="s">
        <v>3394</v>
      </c>
      <c r="F244" s="22" t="s">
        <v>3378</v>
      </c>
      <c r="G244" s="32" t="s">
        <v>3395</v>
      </c>
      <c r="H244" s="22"/>
      <c r="I244" s="22" t="s">
        <v>3363</v>
      </c>
    </row>
    <row r="245" customFormat="false" ht="24.75" hidden="false" customHeight="true" outlineLevel="0" collapsed="false">
      <c r="A245" s="24" t="s">
        <v>270</v>
      </c>
      <c r="B245" s="32" t="s">
        <v>4015</v>
      </c>
      <c r="C245" s="22" t="s">
        <v>4016</v>
      </c>
      <c r="D245" s="32" t="s">
        <v>4017</v>
      </c>
      <c r="E245" s="22" t="s">
        <v>3394</v>
      </c>
      <c r="F245" s="22" t="s">
        <v>3378</v>
      </c>
      <c r="G245" s="32" t="s">
        <v>3395</v>
      </c>
      <c r="H245" s="22"/>
      <c r="I245" s="22" t="s">
        <v>3363</v>
      </c>
    </row>
    <row r="246" customFormat="false" ht="24.75" hidden="false" customHeight="true" outlineLevel="0" collapsed="false">
      <c r="A246" s="24" t="s">
        <v>270</v>
      </c>
      <c r="B246" s="32" t="s">
        <v>4018</v>
      </c>
      <c r="C246" s="22" t="s">
        <v>4019</v>
      </c>
      <c r="D246" s="32" t="s">
        <v>4020</v>
      </c>
      <c r="E246" s="22" t="s">
        <v>3394</v>
      </c>
      <c r="F246" s="22" t="s">
        <v>3378</v>
      </c>
      <c r="G246" s="32" t="s">
        <v>3395</v>
      </c>
      <c r="H246" s="22" t="s">
        <v>4021</v>
      </c>
      <c r="I246" s="22" t="s">
        <v>3363</v>
      </c>
    </row>
    <row r="247" customFormat="false" ht="24.75" hidden="false" customHeight="true" outlineLevel="0" collapsed="false">
      <c r="A247" s="24" t="s">
        <v>270</v>
      </c>
      <c r="B247" s="32" t="s">
        <v>4022</v>
      </c>
      <c r="C247" s="22" t="s">
        <v>4023</v>
      </c>
      <c r="D247" s="32" t="s">
        <v>4024</v>
      </c>
      <c r="E247" s="22" t="s">
        <v>3394</v>
      </c>
      <c r="F247" s="22" t="s">
        <v>3378</v>
      </c>
      <c r="G247" s="32" t="s">
        <v>3395</v>
      </c>
      <c r="H247" s="22" t="s">
        <v>4025</v>
      </c>
      <c r="I247" s="22" t="s">
        <v>3363</v>
      </c>
    </row>
    <row r="248" customFormat="false" ht="37.5" hidden="false" customHeight="true" outlineLevel="0" collapsed="false">
      <c r="A248" s="24" t="s">
        <v>270</v>
      </c>
      <c r="B248" s="32" t="s">
        <v>4026</v>
      </c>
      <c r="C248" s="22" t="s">
        <v>4027</v>
      </c>
      <c r="D248" s="32" t="s">
        <v>4028</v>
      </c>
      <c r="E248" s="22" t="s">
        <v>3394</v>
      </c>
      <c r="F248" s="22" t="s">
        <v>3378</v>
      </c>
      <c r="G248" s="32" t="s">
        <v>3395</v>
      </c>
      <c r="H248" s="22" t="s">
        <v>4029</v>
      </c>
      <c r="I248" s="22" t="s">
        <v>3363</v>
      </c>
    </row>
    <row r="249" customFormat="false" ht="24.75" hidden="false" customHeight="true" outlineLevel="0" collapsed="false">
      <c r="A249" s="24" t="s">
        <v>270</v>
      </c>
      <c r="B249" s="32" t="s">
        <v>4030</v>
      </c>
      <c r="C249" s="22" t="s">
        <v>4031</v>
      </c>
      <c r="D249" s="32" t="s">
        <v>4032</v>
      </c>
      <c r="E249" s="22" t="s">
        <v>3394</v>
      </c>
      <c r="F249" s="22" t="s">
        <v>3378</v>
      </c>
      <c r="G249" s="32" t="s">
        <v>3395</v>
      </c>
      <c r="H249" s="22" t="s">
        <v>4033</v>
      </c>
      <c r="I249" s="22" t="s">
        <v>3363</v>
      </c>
    </row>
    <row r="250" customFormat="false" ht="15" hidden="false" customHeight="true" outlineLevel="0" collapsed="false">
      <c r="A250" s="24" t="s">
        <v>270</v>
      </c>
      <c r="B250" s="32" t="s">
        <v>4034</v>
      </c>
      <c r="C250" s="22" t="s">
        <v>4035</v>
      </c>
      <c r="D250" s="32" t="s">
        <v>4032</v>
      </c>
      <c r="E250" s="22" t="s">
        <v>3394</v>
      </c>
      <c r="F250" s="22" t="s">
        <v>3378</v>
      </c>
      <c r="G250" s="32" t="s">
        <v>3395</v>
      </c>
      <c r="H250" s="22" t="s">
        <v>4036</v>
      </c>
      <c r="I250" s="22" t="s">
        <v>3363</v>
      </c>
    </row>
    <row r="251" customFormat="false" ht="15" hidden="false" customHeight="true" outlineLevel="0" collapsed="false">
      <c r="A251" s="24" t="s">
        <v>270</v>
      </c>
      <c r="B251" s="32" t="s">
        <v>4037</v>
      </c>
      <c r="C251" s="22" t="s">
        <v>4038</v>
      </c>
      <c r="D251" s="32" t="s">
        <v>4032</v>
      </c>
      <c r="E251" s="22" t="s">
        <v>3394</v>
      </c>
      <c r="F251" s="22" t="s">
        <v>3378</v>
      </c>
      <c r="G251" s="32" t="s">
        <v>3395</v>
      </c>
      <c r="H251" s="22"/>
      <c r="I251" s="22" t="s">
        <v>3363</v>
      </c>
    </row>
    <row r="252" customFormat="false" ht="15" hidden="false" customHeight="true" outlineLevel="0" collapsed="false">
      <c r="A252" s="24" t="s">
        <v>270</v>
      </c>
      <c r="B252" s="32" t="s">
        <v>4039</v>
      </c>
      <c r="C252" s="22" t="s">
        <v>4040</v>
      </c>
      <c r="D252" s="32" t="s">
        <v>4032</v>
      </c>
      <c r="E252" s="22" t="s">
        <v>3394</v>
      </c>
      <c r="F252" s="22" t="s">
        <v>3378</v>
      </c>
      <c r="G252" s="32" t="s">
        <v>3395</v>
      </c>
      <c r="H252" s="22"/>
      <c r="I252" s="22" t="s">
        <v>3363</v>
      </c>
    </row>
    <row r="253" customFormat="false" ht="24.75" hidden="false" customHeight="true" outlineLevel="0" collapsed="false">
      <c r="A253" s="24" t="s">
        <v>270</v>
      </c>
      <c r="B253" s="32" t="s">
        <v>4041</v>
      </c>
      <c r="C253" s="22" t="s">
        <v>4042</v>
      </c>
      <c r="D253" s="32" t="s">
        <v>4032</v>
      </c>
      <c r="E253" s="22" t="s">
        <v>3394</v>
      </c>
      <c r="F253" s="22" t="s">
        <v>3378</v>
      </c>
      <c r="G253" s="32" t="s">
        <v>3395</v>
      </c>
      <c r="H253" s="22" t="s">
        <v>4043</v>
      </c>
      <c r="I253" s="22" t="s">
        <v>3363</v>
      </c>
    </row>
    <row r="254" customFormat="false" ht="15" hidden="false" customHeight="true" outlineLevel="0" collapsed="false">
      <c r="A254" s="24" t="s">
        <v>270</v>
      </c>
      <c r="B254" s="32" t="s">
        <v>3819</v>
      </c>
      <c r="C254" s="22" t="s">
        <v>3820</v>
      </c>
      <c r="D254" s="32" t="s">
        <v>3869</v>
      </c>
      <c r="E254" s="22" t="s">
        <v>3359</v>
      </c>
      <c r="F254" s="22" t="s">
        <v>3378</v>
      </c>
      <c r="G254" s="32"/>
      <c r="H254" s="22" t="s">
        <v>3870</v>
      </c>
      <c r="I254" s="22" t="s">
        <v>3363</v>
      </c>
    </row>
    <row r="255" customFormat="false" ht="24.75" hidden="false" customHeight="true" outlineLevel="0" collapsed="false">
      <c r="A255" s="24" t="s">
        <v>270</v>
      </c>
      <c r="B255" s="32" t="s">
        <v>3824</v>
      </c>
      <c r="C255" s="22" t="s">
        <v>3825</v>
      </c>
      <c r="D255" s="32" t="s">
        <v>3869</v>
      </c>
      <c r="E255" s="22" t="s">
        <v>3389</v>
      </c>
      <c r="F255" s="22" t="s">
        <v>3378</v>
      </c>
      <c r="G255" s="32" t="s">
        <v>3390</v>
      </c>
      <c r="H255" s="22" t="s">
        <v>4044</v>
      </c>
      <c r="I255" s="22" t="s">
        <v>3363</v>
      </c>
    </row>
    <row r="256" customFormat="false" ht="62.25" hidden="false" customHeight="true" outlineLevel="0" collapsed="false">
      <c r="A256" s="24" t="s">
        <v>610</v>
      </c>
      <c r="B256" s="32" t="s">
        <v>3356</v>
      </c>
      <c r="C256" s="22" t="s">
        <v>3796</v>
      </c>
      <c r="D256" s="32" t="s">
        <v>4045</v>
      </c>
      <c r="E256" s="22" t="s">
        <v>3359</v>
      </c>
      <c r="F256" s="22" t="s">
        <v>3360</v>
      </c>
      <c r="G256" s="32" t="s">
        <v>3361</v>
      </c>
      <c r="H256" s="22"/>
      <c r="I256" s="22" t="s">
        <v>3363</v>
      </c>
    </row>
    <row r="257" customFormat="false" ht="15" hidden="false" customHeight="true" outlineLevel="0" collapsed="false">
      <c r="A257" s="24" t="s">
        <v>610</v>
      </c>
      <c r="B257" s="32" t="s">
        <v>3364</v>
      </c>
      <c r="C257" s="22" t="s">
        <v>3365</v>
      </c>
      <c r="D257" s="32" t="s">
        <v>4045</v>
      </c>
      <c r="E257" s="22" t="s">
        <v>3359</v>
      </c>
      <c r="F257" s="22" t="s">
        <v>3360</v>
      </c>
      <c r="G257" s="32" t="s">
        <v>3367</v>
      </c>
      <c r="H257" s="22"/>
      <c r="I257" s="22" t="s">
        <v>3363</v>
      </c>
    </row>
    <row r="258" customFormat="false" ht="37.5" hidden="false" customHeight="true" outlineLevel="0" collapsed="false">
      <c r="A258" s="24" t="s">
        <v>610</v>
      </c>
      <c r="B258" s="32" t="s">
        <v>4046</v>
      </c>
      <c r="C258" s="22" t="s">
        <v>3357</v>
      </c>
      <c r="D258" s="32" t="s">
        <v>4047</v>
      </c>
      <c r="E258" s="22" t="s">
        <v>3359</v>
      </c>
      <c r="F258" s="22" t="s">
        <v>3360</v>
      </c>
      <c r="G258" s="32" t="s">
        <v>3372</v>
      </c>
      <c r="H258" s="22" t="s">
        <v>4048</v>
      </c>
      <c r="I258" s="22" t="s">
        <v>3363</v>
      </c>
    </row>
    <row r="259" customFormat="false" ht="15" hidden="false" customHeight="true" outlineLevel="0" collapsed="false">
      <c r="A259" s="24" t="s">
        <v>610</v>
      </c>
      <c r="B259" s="32" t="s">
        <v>4049</v>
      </c>
      <c r="C259" s="22" t="s">
        <v>4050</v>
      </c>
      <c r="D259" s="32" t="s">
        <v>4051</v>
      </c>
      <c r="E259" s="22" t="s">
        <v>3359</v>
      </c>
      <c r="F259" s="22" t="s">
        <v>3378</v>
      </c>
      <c r="G259" s="32"/>
      <c r="H259" s="22"/>
      <c r="I259" s="22" t="s">
        <v>3363</v>
      </c>
    </row>
    <row r="260" customFormat="false" ht="15" hidden="false" customHeight="true" outlineLevel="0" collapsed="false">
      <c r="A260" s="24" t="s">
        <v>610</v>
      </c>
      <c r="B260" s="32" t="s">
        <v>4052</v>
      </c>
      <c r="C260" s="22" t="s">
        <v>4053</v>
      </c>
      <c r="D260" s="32" t="s">
        <v>3376</v>
      </c>
      <c r="E260" s="22" t="s">
        <v>3377</v>
      </c>
      <c r="F260" s="22" t="s">
        <v>3378</v>
      </c>
      <c r="G260" s="32" t="s">
        <v>3379</v>
      </c>
      <c r="H260" s="22" t="s">
        <v>4054</v>
      </c>
      <c r="I260" s="22" t="s">
        <v>3363</v>
      </c>
    </row>
    <row r="261" customFormat="false" ht="15" hidden="false" customHeight="true" outlineLevel="0" collapsed="false">
      <c r="A261" s="24" t="s">
        <v>610</v>
      </c>
      <c r="B261" s="32" t="s">
        <v>4055</v>
      </c>
      <c r="C261" s="22" t="s">
        <v>4056</v>
      </c>
      <c r="D261" s="32" t="s">
        <v>4057</v>
      </c>
      <c r="E261" s="22" t="s">
        <v>3377</v>
      </c>
      <c r="F261" s="22" t="s">
        <v>3378</v>
      </c>
      <c r="G261" s="32" t="s">
        <v>3379</v>
      </c>
      <c r="H261" s="22" t="s">
        <v>4058</v>
      </c>
      <c r="I261" s="22" t="s">
        <v>3363</v>
      </c>
    </row>
    <row r="262" customFormat="false" ht="24.75" hidden="false" customHeight="true" outlineLevel="0" collapsed="false">
      <c r="A262" s="24" t="s">
        <v>610</v>
      </c>
      <c r="B262" s="32" t="s">
        <v>4059</v>
      </c>
      <c r="C262" s="22" t="s">
        <v>4060</v>
      </c>
      <c r="D262" s="32" t="s">
        <v>4061</v>
      </c>
      <c r="E262" s="22" t="s">
        <v>3389</v>
      </c>
      <c r="F262" s="22" t="s">
        <v>3378</v>
      </c>
      <c r="G262" s="32" t="s">
        <v>3390</v>
      </c>
      <c r="H262" s="22" t="s">
        <v>4062</v>
      </c>
      <c r="I262" s="22" t="s">
        <v>3363</v>
      </c>
    </row>
    <row r="263" customFormat="false" ht="15" hidden="false" customHeight="true" outlineLevel="0" collapsed="false">
      <c r="A263" s="24" t="s">
        <v>610</v>
      </c>
      <c r="B263" s="32" t="s">
        <v>4063</v>
      </c>
      <c r="C263" s="22" t="s">
        <v>4064</v>
      </c>
      <c r="D263" s="32" t="s">
        <v>4065</v>
      </c>
      <c r="E263" s="22" t="s">
        <v>3359</v>
      </c>
      <c r="F263" s="22" t="s">
        <v>3378</v>
      </c>
      <c r="G263" s="32" t="s">
        <v>3367</v>
      </c>
      <c r="H263" s="22" t="s">
        <v>4066</v>
      </c>
      <c r="I263" s="22" t="s">
        <v>3363</v>
      </c>
    </row>
    <row r="264" customFormat="false" ht="24.75" hidden="false" customHeight="true" outlineLevel="0" collapsed="false">
      <c r="A264" s="24" t="s">
        <v>610</v>
      </c>
      <c r="B264" s="32" t="s">
        <v>4067</v>
      </c>
      <c r="C264" s="22" t="s">
        <v>4068</v>
      </c>
      <c r="D264" s="32" t="s">
        <v>4069</v>
      </c>
      <c r="E264" s="22" t="s">
        <v>3389</v>
      </c>
      <c r="F264" s="22" t="s">
        <v>3378</v>
      </c>
      <c r="G264" s="32" t="s">
        <v>3390</v>
      </c>
      <c r="H264" s="22" t="s">
        <v>4070</v>
      </c>
      <c r="I264" s="22" t="s">
        <v>3363</v>
      </c>
    </row>
    <row r="265" customFormat="false" ht="15" hidden="false" customHeight="true" outlineLevel="0" collapsed="false">
      <c r="A265" s="24" t="s">
        <v>610</v>
      </c>
      <c r="B265" s="32" t="s">
        <v>4071</v>
      </c>
      <c r="C265" s="22" t="s">
        <v>3478</v>
      </c>
      <c r="D265" s="32" t="s">
        <v>3383</v>
      </c>
      <c r="E265" s="22" t="s">
        <v>3359</v>
      </c>
      <c r="F265" s="22" t="s">
        <v>3360</v>
      </c>
      <c r="G265" s="32" t="s">
        <v>3477</v>
      </c>
      <c r="H265" s="22" t="s">
        <v>4048</v>
      </c>
      <c r="I265" s="22" t="s">
        <v>3363</v>
      </c>
    </row>
    <row r="266" customFormat="false" ht="24.75" hidden="false" customHeight="true" outlineLevel="0" collapsed="false">
      <c r="A266" s="24" t="s">
        <v>610</v>
      </c>
      <c r="B266" s="32" t="s">
        <v>4072</v>
      </c>
      <c r="C266" s="22" t="s">
        <v>4073</v>
      </c>
      <c r="D266" s="32" t="s">
        <v>3388</v>
      </c>
      <c r="E266" s="22" t="s">
        <v>3389</v>
      </c>
      <c r="F266" s="22" t="s">
        <v>3360</v>
      </c>
      <c r="G266" s="32" t="s">
        <v>3390</v>
      </c>
      <c r="H266" s="22"/>
      <c r="I266" s="22" t="s">
        <v>3363</v>
      </c>
    </row>
    <row r="267" customFormat="false" ht="15" hidden="false" customHeight="true" outlineLevel="0" collapsed="false">
      <c r="A267" s="24" t="s">
        <v>610</v>
      </c>
      <c r="B267" s="32" t="s">
        <v>3850</v>
      </c>
      <c r="C267" s="22" t="s">
        <v>3392</v>
      </c>
      <c r="D267" s="32" t="s">
        <v>3393</v>
      </c>
      <c r="E267" s="22" t="s">
        <v>3394</v>
      </c>
      <c r="F267" s="22" t="s">
        <v>3360</v>
      </c>
      <c r="G267" s="32" t="s">
        <v>3395</v>
      </c>
      <c r="H267" s="22"/>
      <c r="I267" s="22" t="s">
        <v>3363</v>
      </c>
    </row>
    <row r="268" customFormat="false" ht="15" hidden="false" customHeight="true" outlineLevel="0" collapsed="false">
      <c r="A268" s="24" t="s">
        <v>610</v>
      </c>
      <c r="B268" s="32" t="s">
        <v>4074</v>
      </c>
      <c r="C268" s="22" t="s">
        <v>4075</v>
      </c>
      <c r="D268" s="32" t="s">
        <v>3408</v>
      </c>
      <c r="E268" s="22" t="s">
        <v>3377</v>
      </c>
      <c r="F268" s="22" t="s">
        <v>3360</v>
      </c>
      <c r="G268" s="32" t="s">
        <v>3607</v>
      </c>
      <c r="H268" s="22"/>
      <c r="I268" s="22" t="s">
        <v>3363</v>
      </c>
    </row>
    <row r="269" customFormat="false" ht="37.5" hidden="false" customHeight="true" outlineLevel="0" collapsed="false">
      <c r="A269" s="24" t="s">
        <v>610</v>
      </c>
      <c r="B269" s="32" t="s">
        <v>3853</v>
      </c>
      <c r="C269" s="22" t="s">
        <v>4076</v>
      </c>
      <c r="D269" s="32" t="s">
        <v>3399</v>
      </c>
      <c r="E269" s="22" t="s">
        <v>3359</v>
      </c>
      <c r="F269" s="22" t="s">
        <v>3360</v>
      </c>
      <c r="G269" s="32" t="s">
        <v>3400</v>
      </c>
      <c r="H269" s="22"/>
      <c r="I269" s="22" t="s">
        <v>3363</v>
      </c>
    </row>
    <row r="270" customFormat="false" ht="15" hidden="false" customHeight="true" outlineLevel="0" collapsed="false">
      <c r="A270" s="24" t="s">
        <v>610</v>
      </c>
      <c r="B270" s="32" t="s">
        <v>4077</v>
      </c>
      <c r="C270" s="22" t="s">
        <v>4078</v>
      </c>
      <c r="D270" s="32" t="s">
        <v>3404</v>
      </c>
      <c r="E270" s="22" t="s">
        <v>3377</v>
      </c>
      <c r="F270" s="22" t="s">
        <v>3360</v>
      </c>
      <c r="G270" s="32" t="s">
        <v>3379</v>
      </c>
      <c r="H270" s="22"/>
      <c r="I270" s="22" t="s">
        <v>3363</v>
      </c>
    </row>
    <row r="271" customFormat="false" ht="15" hidden="false" customHeight="true" outlineLevel="0" collapsed="false">
      <c r="A271" s="24" t="s">
        <v>610</v>
      </c>
      <c r="B271" s="32" t="s">
        <v>4079</v>
      </c>
      <c r="C271" s="22" t="s">
        <v>4080</v>
      </c>
      <c r="D271" s="32" t="s">
        <v>4081</v>
      </c>
      <c r="E271" s="22" t="s">
        <v>3359</v>
      </c>
      <c r="F271" s="22" t="s">
        <v>3378</v>
      </c>
      <c r="G271" s="32" t="s">
        <v>3367</v>
      </c>
      <c r="H271" s="22" t="s">
        <v>4082</v>
      </c>
      <c r="I271" s="22" t="s">
        <v>3363</v>
      </c>
    </row>
    <row r="272" customFormat="false" ht="37.5" hidden="false" customHeight="true" outlineLevel="0" collapsed="false">
      <c r="A272" s="24" t="s">
        <v>610</v>
      </c>
      <c r="B272" s="32" t="s">
        <v>4083</v>
      </c>
      <c r="C272" s="22" t="s">
        <v>4084</v>
      </c>
      <c r="D272" s="32" t="s">
        <v>4085</v>
      </c>
      <c r="E272" s="22" t="s">
        <v>3377</v>
      </c>
      <c r="F272" s="22" t="s">
        <v>3378</v>
      </c>
      <c r="G272" s="32" t="s">
        <v>4086</v>
      </c>
      <c r="H272" s="22"/>
      <c r="I272" s="22" t="s">
        <v>3363</v>
      </c>
    </row>
    <row r="273" customFormat="false" ht="15" hidden="false" customHeight="true" outlineLevel="0" collapsed="false">
      <c r="A273" s="24" t="s">
        <v>610</v>
      </c>
      <c r="B273" s="32" t="s">
        <v>4087</v>
      </c>
      <c r="C273" s="22" t="s">
        <v>4088</v>
      </c>
      <c r="D273" s="32" t="s">
        <v>4089</v>
      </c>
      <c r="E273" s="22" t="s">
        <v>3359</v>
      </c>
      <c r="F273" s="22" t="s">
        <v>3378</v>
      </c>
      <c r="G273" s="32"/>
      <c r="H273" s="22"/>
      <c r="I273" s="22" t="s">
        <v>3363</v>
      </c>
    </row>
    <row r="274" customFormat="false" ht="24.75" hidden="false" customHeight="true" outlineLevel="0" collapsed="false">
      <c r="A274" s="24" t="s">
        <v>610</v>
      </c>
      <c r="B274" s="32" t="s">
        <v>4090</v>
      </c>
      <c r="C274" s="22" t="s">
        <v>3651</v>
      </c>
      <c r="D274" s="32" t="s">
        <v>3650</v>
      </c>
      <c r="E274" s="22" t="s">
        <v>3389</v>
      </c>
      <c r="F274" s="22" t="s">
        <v>3378</v>
      </c>
      <c r="G274" s="32" t="s">
        <v>3390</v>
      </c>
      <c r="H274" s="22"/>
      <c r="I274" s="22" t="s">
        <v>3363</v>
      </c>
    </row>
    <row r="275" customFormat="false" ht="15" hidden="false" customHeight="true" outlineLevel="0" collapsed="false">
      <c r="A275" s="24" t="s">
        <v>610</v>
      </c>
      <c r="B275" s="32" t="s">
        <v>4091</v>
      </c>
      <c r="C275" s="22" t="s">
        <v>3416</v>
      </c>
      <c r="D275" s="32" t="s">
        <v>4092</v>
      </c>
      <c r="E275" s="22" t="s">
        <v>3394</v>
      </c>
      <c r="F275" s="22" t="s">
        <v>3378</v>
      </c>
      <c r="G275" s="32" t="s">
        <v>4093</v>
      </c>
      <c r="H275" s="22"/>
      <c r="I275" s="22" t="s">
        <v>3363</v>
      </c>
    </row>
    <row r="276" customFormat="false" ht="15" hidden="false" customHeight="true" outlineLevel="0" collapsed="false">
      <c r="A276" s="24" t="s">
        <v>610</v>
      </c>
      <c r="B276" s="32" t="s">
        <v>4094</v>
      </c>
      <c r="C276" s="22" t="s">
        <v>3421</v>
      </c>
      <c r="D276" s="32" t="s">
        <v>4095</v>
      </c>
      <c r="E276" s="22" t="s">
        <v>3359</v>
      </c>
      <c r="F276" s="22" t="s">
        <v>3378</v>
      </c>
      <c r="G276" s="32" t="s">
        <v>4096</v>
      </c>
      <c r="H276" s="22"/>
      <c r="I276" s="22" t="s">
        <v>3363</v>
      </c>
    </row>
    <row r="277" customFormat="false" ht="24.75" hidden="false" customHeight="true" outlineLevel="0" collapsed="false">
      <c r="A277" s="24" t="s">
        <v>610</v>
      </c>
      <c r="B277" s="32" t="s">
        <v>4097</v>
      </c>
      <c r="C277" s="22" t="s">
        <v>4098</v>
      </c>
      <c r="D277" s="32" t="s">
        <v>4099</v>
      </c>
      <c r="E277" s="22" t="s">
        <v>3389</v>
      </c>
      <c r="F277" s="22" t="s">
        <v>3378</v>
      </c>
      <c r="G277" s="32" t="s">
        <v>3390</v>
      </c>
      <c r="H277" s="22"/>
      <c r="I277" s="22" t="s">
        <v>3363</v>
      </c>
    </row>
    <row r="278" customFormat="false" ht="15" hidden="false" customHeight="true" outlineLevel="0" collapsed="false">
      <c r="A278" s="24" t="s">
        <v>610</v>
      </c>
      <c r="B278" s="32" t="s">
        <v>4100</v>
      </c>
      <c r="C278" s="22" t="s">
        <v>3430</v>
      </c>
      <c r="D278" s="32" t="s">
        <v>4101</v>
      </c>
      <c r="E278" s="22" t="s">
        <v>3359</v>
      </c>
      <c r="F278" s="22" t="s">
        <v>3378</v>
      </c>
      <c r="G278" s="32"/>
      <c r="H278" s="22" t="s">
        <v>4102</v>
      </c>
      <c r="I278" s="22" t="s">
        <v>3363</v>
      </c>
    </row>
    <row r="279" customFormat="false" ht="15" hidden="false" customHeight="true" outlineLevel="0" collapsed="false">
      <c r="A279" s="24" t="s">
        <v>610</v>
      </c>
      <c r="B279" s="32" t="s">
        <v>4103</v>
      </c>
      <c r="C279" s="22" t="s">
        <v>3632</v>
      </c>
      <c r="D279" s="32" t="s">
        <v>4104</v>
      </c>
      <c r="E279" s="22" t="s">
        <v>3359</v>
      </c>
      <c r="F279" s="22" t="s">
        <v>3360</v>
      </c>
      <c r="G279" s="32"/>
      <c r="H279" s="22" t="s">
        <v>4105</v>
      </c>
      <c r="I279" s="22" t="s">
        <v>3363</v>
      </c>
    </row>
    <row r="280" customFormat="false" ht="15" hidden="false" customHeight="true" outlineLevel="0" collapsed="false">
      <c r="A280" s="24" t="s">
        <v>610</v>
      </c>
      <c r="B280" s="32" t="s">
        <v>4106</v>
      </c>
      <c r="C280" s="22" t="s">
        <v>4107</v>
      </c>
      <c r="D280" s="32" t="s">
        <v>4108</v>
      </c>
      <c r="E280" s="22" t="s">
        <v>3377</v>
      </c>
      <c r="F280" s="22" t="s">
        <v>3360</v>
      </c>
      <c r="G280" s="32" t="s">
        <v>3628</v>
      </c>
      <c r="H280" s="22"/>
      <c r="I280" s="22" t="s">
        <v>3363</v>
      </c>
    </row>
    <row r="281" customFormat="false" ht="24.75" hidden="false" customHeight="true" outlineLevel="0" collapsed="false">
      <c r="A281" s="24" t="s">
        <v>610</v>
      </c>
      <c r="B281" s="32" t="s">
        <v>4109</v>
      </c>
      <c r="C281" s="22" t="s">
        <v>3635</v>
      </c>
      <c r="D281" s="32" t="s">
        <v>4110</v>
      </c>
      <c r="E281" s="22" t="s">
        <v>3389</v>
      </c>
      <c r="F281" s="22" t="s">
        <v>3360</v>
      </c>
      <c r="G281" s="32" t="s">
        <v>3390</v>
      </c>
      <c r="H281" s="22"/>
      <c r="I281" s="22" t="s">
        <v>3363</v>
      </c>
    </row>
    <row r="282" customFormat="false" ht="15" hidden="false" customHeight="true" outlineLevel="0" collapsed="false">
      <c r="A282" s="24" t="s">
        <v>610</v>
      </c>
      <c r="B282" s="32" t="s">
        <v>4111</v>
      </c>
      <c r="C282" s="22" t="s">
        <v>4112</v>
      </c>
      <c r="D282" s="32" t="s">
        <v>4113</v>
      </c>
      <c r="E282" s="22" t="s">
        <v>3359</v>
      </c>
      <c r="F282" s="22" t="s">
        <v>3378</v>
      </c>
      <c r="G282" s="32"/>
      <c r="H282" s="22"/>
      <c r="I282" s="22" t="s">
        <v>3363</v>
      </c>
    </row>
    <row r="283" customFormat="false" ht="24.75" hidden="false" customHeight="true" outlineLevel="0" collapsed="false">
      <c r="A283" s="24" t="s">
        <v>610</v>
      </c>
      <c r="B283" s="32" t="s">
        <v>4114</v>
      </c>
      <c r="C283" s="22" t="s">
        <v>4115</v>
      </c>
      <c r="D283" s="32" t="s">
        <v>4116</v>
      </c>
      <c r="E283" s="22" t="s">
        <v>3389</v>
      </c>
      <c r="F283" s="22" t="s">
        <v>3378</v>
      </c>
      <c r="G283" s="32" t="s">
        <v>3390</v>
      </c>
      <c r="H283" s="22"/>
      <c r="I283" s="22" t="s">
        <v>3363</v>
      </c>
    </row>
    <row r="284" customFormat="false" ht="37.5" hidden="false" customHeight="true" outlineLevel="0" collapsed="false">
      <c r="A284" s="24" t="s">
        <v>610</v>
      </c>
      <c r="B284" s="32" t="s">
        <v>3855</v>
      </c>
      <c r="C284" s="22" t="s">
        <v>4117</v>
      </c>
      <c r="D284" s="32" t="s">
        <v>3856</v>
      </c>
      <c r="E284" s="22" t="s">
        <v>3394</v>
      </c>
      <c r="F284" s="22" t="s">
        <v>3360</v>
      </c>
      <c r="G284" s="32" t="s">
        <v>3443</v>
      </c>
      <c r="H284" s="22"/>
      <c r="I284" s="22" t="s">
        <v>3363</v>
      </c>
    </row>
    <row r="285" customFormat="false" ht="15" hidden="false" customHeight="true" outlineLevel="0" collapsed="false">
      <c r="A285" s="24" t="s">
        <v>610</v>
      </c>
      <c r="B285" s="32" t="s">
        <v>3857</v>
      </c>
      <c r="C285" s="22" t="s">
        <v>3446</v>
      </c>
      <c r="D285" s="32" t="s">
        <v>3858</v>
      </c>
      <c r="E285" s="22" t="s">
        <v>3394</v>
      </c>
      <c r="F285" s="22" t="s">
        <v>3360</v>
      </c>
      <c r="G285" s="32" t="s">
        <v>3395</v>
      </c>
      <c r="H285" s="22"/>
      <c r="I285" s="22" t="s">
        <v>3363</v>
      </c>
    </row>
    <row r="286" customFormat="false" ht="15" hidden="false" customHeight="true" outlineLevel="0" collapsed="false">
      <c r="A286" s="24" t="s">
        <v>610</v>
      </c>
      <c r="B286" s="32" t="s">
        <v>3859</v>
      </c>
      <c r="C286" s="22" t="s">
        <v>3678</v>
      </c>
      <c r="D286" s="32" t="s">
        <v>4118</v>
      </c>
      <c r="E286" s="22" t="s">
        <v>3394</v>
      </c>
      <c r="F286" s="22" t="s">
        <v>3378</v>
      </c>
      <c r="G286" s="32" t="s">
        <v>3395</v>
      </c>
      <c r="H286" s="22"/>
      <c r="I286" s="22" t="s">
        <v>3363</v>
      </c>
    </row>
    <row r="287" customFormat="false" ht="15" hidden="false" customHeight="true" outlineLevel="0" collapsed="false">
      <c r="A287" s="24" t="s">
        <v>610</v>
      </c>
      <c r="B287" s="32" t="s">
        <v>3861</v>
      </c>
      <c r="C287" s="22" t="s">
        <v>3862</v>
      </c>
      <c r="D287" s="32" t="s">
        <v>4119</v>
      </c>
      <c r="E287" s="22" t="s">
        <v>3394</v>
      </c>
      <c r="F287" s="22" t="s">
        <v>3378</v>
      </c>
      <c r="G287" s="32" t="s">
        <v>3395</v>
      </c>
      <c r="H287" s="22"/>
      <c r="I287" s="22" t="s">
        <v>3363</v>
      </c>
    </row>
    <row r="288" customFormat="false" ht="15" hidden="false" customHeight="true" outlineLevel="0" collapsed="false">
      <c r="A288" s="24" t="s">
        <v>610</v>
      </c>
      <c r="B288" s="32" t="s">
        <v>3864</v>
      </c>
      <c r="C288" s="22" t="s">
        <v>3865</v>
      </c>
      <c r="D288" s="32" t="s">
        <v>4120</v>
      </c>
      <c r="E288" s="22" t="s">
        <v>3394</v>
      </c>
      <c r="F288" s="22" t="s">
        <v>3378</v>
      </c>
      <c r="G288" s="32" t="s">
        <v>3395</v>
      </c>
      <c r="H288" s="22"/>
      <c r="I288" s="22" t="s">
        <v>3363</v>
      </c>
    </row>
    <row r="289" customFormat="false" ht="15" hidden="false" customHeight="true" outlineLevel="0" collapsed="false">
      <c r="A289" s="24" t="s">
        <v>610</v>
      </c>
      <c r="B289" s="32" t="s">
        <v>3867</v>
      </c>
      <c r="C289" s="22" t="s">
        <v>3495</v>
      </c>
      <c r="D289" s="32" t="s">
        <v>4121</v>
      </c>
      <c r="E289" s="22" t="s">
        <v>3394</v>
      </c>
      <c r="F289" s="22" t="s">
        <v>3378</v>
      </c>
      <c r="G289" s="32" t="s">
        <v>3395</v>
      </c>
      <c r="H289" s="22"/>
      <c r="I289" s="22" t="s">
        <v>3363</v>
      </c>
    </row>
    <row r="290" customFormat="false" ht="15" hidden="false" customHeight="true" outlineLevel="0" collapsed="false">
      <c r="A290" s="24" t="s">
        <v>610</v>
      </c>
      <c r="B290" s="32" t="s">
        <v>4122</v>
      </c>
      <c r="C290" s="22" t="s">
        <v>4123</v>
      </c>
      <c r="D290" s="32" t="s">
        <v>4124</v>
      </c>
      <c r="E290" s="22" t="s">
        <v>3377</v>
      </c>
      <c r="F290" s="22" t="s">
        <v>3378</v>
      </c>
      <c r="G290" s="32" t="s">
        <v>4125</v>
      </c>
      <c r="H290" s="22"/>
      <c r="I290" s="22" t="s">
        <v>3363</v>
      </c>
    </row>
    <row r="291" customFormat="false" ht="15" hidden="false" customHeight="true" outlineLevel="0" collapsed="false">
      <c r="A291" s="24" t="s">
        <v>610</v>
      </c>
      <c r="B291" s="32" t="s">
        <v>4126</v>
      </c>
      <c r="C291" s="22" t="s">
        <v>4127</v>
      </c>
      <c r="D291" s="32" t="s">
        <v>4128</v>
      </c>
      <c r="E291" s="22" t="s">
        <v>3359</v>
      </c>
      <c r="F291" s="22" t="s">
        <v>3378</v>
      </c>
      <c r="G291" s="32"/>
      <c r="H291" s="22"/>
      <c r="I291" s="22" t="s">
        <v>3363</v>
      </c>
    </row>
    <row r="292" customFormat="false" ht="24.75" hidden="false" customHeight="true" outlineLevel="0" collapsed="false">
      <c r="A292" s="24" t="s">
        <v>610</v>
      </c>
      <c r="B292" s="32" t="s">
        <v>4129</v>
      </c>
      <c r="C292" s="22" t="s">
        <v>4130</v>
      </c>
      <c r="D292" s="32" t="s">
        <v>4131</v>
      </c>
      <c r="E292" s="22" t="s">
        <v>3389</v>
      </c>
      <c r="F292" s="22" t="s">
        <v>3378</v>
      </c>
      <c r="G292" s="32" t="s">
        <v>3390</v>
      </c>
      <c r="H292" s="22"/>
      <c r="I292" s="22" t="s">
        <v>3363</v>
      </c>
    </row>
    <row r="293" customFormat="false" ht="15" hidden="false" customHeight="true" outlineLevel="0" collapsed="false">
      <c r="A293" s="24" t="s">
        <v>610</v>
      </c>
      <c r="B293" s="32" t="s">
        <v>4132</v>
      </c>
      <c r="C293" s="22" t="s">
        <v>4133</v>
      </c>
      <c r="D293" s="32" t="s">
        <v>4134</v>
      </c>
      <c r="E293" s="22" t="s">
        <v>3377</v>
      </c>
      <c r="F293" s="22" t="s">
        <v>3378</v>
      </c>
      <c r="G293" s="32" t="s">
        <v>3379</v>
      </c>
      <c r="H293" s="22"/>
      <c r="I293" s="22" t="s">
        <v>3363</v>
      </c>
    </row>
    <row r="294" customFormat="false" ht="15" hidden="false" customHeight="true" outlineLevel="0" collapsed="false">
      <c r="A294" s="24" t="s">
        <v>610</v>
      </c>
      <c r="B294" s="32" t="s">
        <v>4135</v>
      </c>
      <c r="C294" s="22" t="s">
        <v>4136</v>
      </c>
      <c r="D294" s="32" t="s">
        <v>4137</v>
      </c>
      <c r="E294" s="22" t="s">
        <v>3394</v>
      </c>
      <c r="F294" s="22" t="s">
        <v>3378</v>
      </c>
      <c r="G294" s="32" t="s">
        <v>3395</v>
      </c>
      <c r="H294" s="22" t="s">
        <v>4138</v>
      </c>
      <c r="I294" s="22" t="s">
        <v>3363</v>
      </c>
    </row>
    <row r="295" customFormat="false" ht="15" hidden="false" customHeight="true" outlineLevel="0" collapsed="false">
      <c r="A295" s="24" t="s">
        <v>610</v>
      </c>
      <c r="B295" s="32" t="s">
        <v>4139</v>
      </c>
      <c r="C295" s="22" t="s">
        <v>3645</v>
      </c>
      <c r="D295" s="32" t="s">
        <v>4140</v>
      </c>
      <c r="E295" s="22" t="s">
        <v>3359</v>
      </c>
      <c r="F295" s="22" t="s">
        <v>3378</v>
      </c>
      <c r="G295" s="32"/>
      <c r="H295" s="22"/>
      <c r="I295" s="22" t="s">
        <v>3363</v>
      </c>
    </row>
    <row r="296" customFormat="false" ht="24.75" hidden="false" customHeight="true" outlineLevel="0" collapsed="false">
      <c r="A296" s="24" t="s">
        <v>610</v>
      </c>
      <c r="B296" s="32" t="s">
        <v>4141</v>
      </c>
      <c r="C296" s="22" t="s">
        <v>3651</v>
      </c>
      <c r="D296" s="32" t="s">
        <v>4142</v>
      </c>
      <c r="E296" s="22" t="s">
        <v>3389</v>
      </c>
      <c r="F296" s="22" t="s">
        <v>3378</v>
      </c>
      <c r="G296" s="32" t="s">
        <v>3390</v>
      </c>
      <c r="H296" s="22"/>
      <c r="I296" s="22" t="s">
        <v>3363</v>
      </c>
    </row>
    <row r="297" customFormat="false" ht="15" hidden="false" customHeight="true" outlineLevel="0" collapsed="false">
      <c r="A297" s="24" t="s">
        <v>610</v>
      </c>
      <c r="B297" s="32" t="s">
        <v>4143</v>
      </c>
      <c r="C297" s="22" t="s">
        <v>4144</v>
      </c>
      <c r="D297" s="32" t="s">
        <v>4145</v>
      </c>
      <c r="E297" s="22" t="s">
        <v>3359</v>
      </c>
      <c r="F297" s="22" t="s">
        <v>3378</v>
      </c>
      <c r="G297" s="32" t="s">
        <v>4146</v>
      </c>
      <c r="H297" s="22" t="s">
        <v>4147</v>
      </c>
      <c r="I297" s="22" t="s">
        <v>3363</v>
      </c>
    </row>
    <row r="298" customFormat="false" ht="24.75" hidden="false" customHeight="true" outlineLevel="0" collapsed="false">
      <c r="A298" s="24" t="s">
        <v>610</v>
      </c>
      <c r="B298" s="32" t="s">
        <v>4148</v>
      </c>
      <c r="C298" s="22" t="s">
        <v>4149</v>
      </c>
      <c r="D298" s="32" t="s">
        <v>4150</v>
      </c>
      <c r="E298" s="22" t="s">
        <v>3389</v>
      </c>
      <c r="F298" s="22" t="s">
        <v>3378</v>
      </c>
      <c r="G298" s="32" t="s">
        <v>3390</v>
      </c>
      <c r="H298" s="22"/>
      <c r="I298" s="22" t="s">
        <v>3363</v>
      </c>
    </row>
    <row r="299" customFormat="false" ht="15" hidden="false" customHeight="true" outlineLevel="0" collapsed="false">
      <c r="A299" s="24" t="s">
        <v>610</v>
      </c>
      <c r="B299" s="32" t="s">
        <v>4151</v>
      </c>
      <c r="C299" s="22" t="s">
        <v>3539</v>
      </c>
      <c r="D299" s="32" t="s">
        <v>4152</v>
      </c>
      <c r="E299" s="22" t="s">
        <v>3359</v>
      </c>
      <c r="F299" s="22" t="s">
        <v>3378</v>
      </c>
      <c r="G299" s="32" t="s">
        <v>4153</v>
      </c>
      <c r="H299" s="22"/>
      <c r="I299" s="22" t="s">
        <v>3363</v>
      </c>
    </row>
    <row r="300" customFormat="false" ht="15" hidden="false" customHeight="true" outlineLevel="0" collapsed="false">
      <c r="A300" s="24" t="s">
        <v>610</v>
      </c>
      <c r="B300" s="32" t="s">
        <v>4154</v>
      </c>
      <c r="C300" s="22" t="s">
        <v>4155</v>
      </c>
      <c r="D300" s="32" t="s">
        <v>4156</v>
      </c>
      <c r="E300" s="22" t="s">
        <v>3377</v>
      </c>
      <c r="F300" s="22" t="s">
        <v>3378</v>
      </c>
      <c r="G300" s="32" t="s">
        <v>3379</v>
      </c>
      <c r="H300" s="22"/>
      <c r="I300" s="22" t="s">
        <v>3363</v>
      </c>
    </row>
    <row r="301" customFormat="false" ht="24.75" hidden="false" customHeight="true" outlineLevel="0" collapsed="false">
      <c r="A301" s="24" t="s">
        <v>610</v>
      </c>
      <c r="B301" s="32" t="s">
        <v>4157</v>
      </c>
      <c r="C301" s="22" t="s">
        <v>4158</v>
      </c>
      <c r="D301" s="32" t="s">
        <v>4159</v>
      </c>
      <c r="E301" s="22" t="s">
        <v>3389</v>
      </c>
      <c r="F301" s="22" t="s">
        <v>3378</v>
      </c>
      <c r="G301" s="32" t="s">
        <v>3390</v>
      </c>
      <c r="H301" s="22"/>
      <c r="I301" s="22" t="s">
        <v>3363</v>
      </c>
    </row>
    <row r="302" customFormat="false" ht="37.5" hidden="false" customHeight="true" outlineLevel="0" collapsed="false">
      <c r="A302" s="24" t="s">
        <v>610</v>
      </c>
      <c r="B302" s="32" t="s">
        <v>4160</v>
      </c>
      <c r="C302" s="22" t="s">
        <v>4161</v>
      </c>
      <c r="D302" s="32" t="s">
        <v>4162</v>
      </c>
      <c r="E302" s="22" t="s">
        <v>3359</v>
      </c>
      <c r="F302" s="22" t="s">
        <v>3378</v>
      </c>
      <c r="G302" s="32" t="s">
        <v>3372</v>
      </c>
      <c r="H302" s="22"/>
      <c r="I302" s="22" t="s">
        <v>3363</v>
      </c>
    </row>
    <row r="303" customFormat="false" ht="15" hidden="false" customHeight="true" outlineLevel="0" collapsed="false">
      <c r="A303" s="24" t="s">
        <v>610</v>
      </c>
      <c r="B303" s="32" t="s">
        <v>4163</v>
      </c>
      <c r="C303" s="22" t="s">
        <v>4164</v>
      </c>
      <c r="D303" s="32" t="s">
        <v>4165</v>
      </c>
      <c r="E303" s="22" t="s">
        <v>3359</v>
      </c>
      <c r="F303" s="22" t="s">
        <v>3378</v>
      </c>
      <c r="G303" s="32"/>
      <c r="H303" s="22"/>
      <c r="I303" s="22" t="s">
        <v>3363</v>
      </c>
    </row>
    <row r="304" customFormat="false" ht="37.5" hidden="false" customHeight="true" outlineLevel="0" collapsed="false">
      <c r="A304" s="24" t="s">
        <v>610</v>
      </c>
      <c r="B304" s="32" t="s">
        <v>4166</v>
      </c>
      <c r="C304" s="22" t="s">
        <v>4167</v>
      </c>
      <c r="D304" s="32" t="s">
        <v>4168</v>
      </c>
      <c r="E304" s="22" t="s">
        <v>3359</v>
      </c>
      <c r="F304" s="22" t="s">
        <v>3378</v>
      </c>
      <c r="G304" s="32" t="s">
        <v>3372</v>
      </c>
      <c r="H304" s="22" t="s">
        <v>4169</v>
      </c>
      <c r="I304" s="22" t="s">
        <v>3363</v>
      </c>
    </row>
    <row r="305" customFormat="false" ht="15" hidden="false" customHeight="true" outlineLevel="0" collapsed="false">
      <c r="A305" s="24" t="s">
        <v>610</v>
      </c>
      <c r="B305" s="32" t="s">
        <v>4170</v>
      </c>
      <c r="C305" s="22" t="s">
        <v>4171</v>
      </c>
      <c r="D305" s="32" t="s">
        <v>4172</v>
      </c>
      <c r="E305" s="22" t="s">
        <v>3359</v>
      </c>
      <c r="F305" s="22" t="s">
        <v>3378</v>
      </c>
      <c r="G305" s="32"/>
      <c r="H305" s="22"/>
      <c r="I305" s="22" t="s">
        <v>3363</v>
      </c>
    </row>
    <row r="306" customFormat="false" ht="15" hidden="false" customHeight="true" outlineLevel="0" collapsed="false">
      <c r="A306" s="24" t="s">
        <v>610</v>
      </c>
      <c r="B306" s="32" t="s">
        <v>4173</v>
      </c>
      <c r="C306" s="22" t="s">
        <v>4174</v>
      </c>
      <c r="D306" s="32" t="s">
        <v>4175</v>
      </c>
      <c r="E306" s="22" t="s">
        <v>3359</v>
      </c>
      <c r="F306" s="22" t="s">
        <v>3378</v>
      </c>
      <c r="G306" s="32" t="s">
        <v>3367</v>
      </c>
      <c r="H306" s="22"/>
      <c r="I306" s="22" t="s">
        <v>3363</v>
      </c>
    </row>
    <row r="307" customFormat="false" ht="15" hidden="false" customHeight="true" outlineLevel="0" collapsed="false">
      <c r="A307" s="24" t="s">
        <v>610</v>
      </c>
      <c r="B307" s="32" t="s">
        <v>4176</v>
      </c>
      <c r="C307" s="22" t="s">
        <v>4177</v>
      </c>
      <c r="D307" s="32" t="s">
        <v>4178</v>
      </c>
      <c r="E307" s="22" t="s">
        <v>3394</v>
      </c>
      <c r="F307" s="22" t="s">
        <v>3378</v>
      </c>
      <c r="G307" s="32" t="s">
        <v>3395</v>
      </c>
      <c r="H307" s="22"/>
      <c r="I307" s="22" t="s">
        <v>3363</v>
      </c>
    </row>
    <row r="308" customFormat="false" ht="37.5" hidden="false" customHeight="true" outlineLevel="0" collapsed="false">
      <c r="A308" s="24" t="s">
        <v>610</v>
      </c>
      <c r="B308" s="32" t="s">
        <v>4179</v>
      </c>
      <c r="C308" s="22" t="s">
        <v>4180</v>
      </c>
      <c r="D308" s="32" t="s">
        <v>4181</v>
      </c>
      <c r="E308" s="22" t="s">
        <v>3359</v>
      </c>
      <c r="F308" s="22" t="s">
        <v>3378</v>
      </c>
      <c r="G308" s="32" t="s">
        <v>3372</v>
      </c>
      <c r="H308" s="22" t="s">
        <v>4182</v>
      </c>
      <c r="I308" s="22" t="s">
        <v>3363</v>
      </c>
    </row>
    <row r="309" customFormat="false" ht="15" hidden="false" customHeight="true" outlineLevel="0" collapsed="false">
      <c r="A309" s="24" t="s">
        <v>610</v>
      </c>
      <c r="B309" s="32" t="s">
        <v>4183</v>
      </c>
      <c r="C309" s="22" t="s">
        <v>4184</v>
      </c>
      <c r="D309" s="32" t="s">
        <v>4185</v>
      </c>
      <c r="E309" s="22" t="s">
        <v>3394</v>
      </c>
      <c r="F309" s="22" t="s">
        <v>3378</v>
      </c>
      <c r="G309" s="32" t="s">
        <v>3395</v>
      </c>
      <c r="H309" s="22"/>
      <c r="I309" s="22" t="s">
        <v>3363</v>
      </c>
    </row>
    <row r="310" customFormat="false" ht="15" hidden="false" customHeight="true" outlineLevel="0" collapsed="false">
      <c r="A310" s="24" t="s">
        <v>610</v>
      </c>
      <c r="B310" s="32" t="s">
        <v>4186</v>
      </c>
      <c r="C310" s="22" t="s">
        <v>4187</v>
      </c>
      <c r="D310" s="32" t="s">
        <v>4188</v>
      </c>
      <c r="E310" s="22" t="s">
        <v>3394</v>
      </c>
      <c r="F310" s="22" t="s">
        <v>3378</v>
      </c>
      <c r="G310" s="32" t="s">
        <v>3395</v>
      </c>
      <c r="H310" s="22"/>
      <c r="I310" s="22" t="s">
        <v>3363</v>
      </c>
    </row>
    <row r="311" customFormat="false" ht="62.25" hidden="false" customHeight="true" outlineLevel="0" collapsed="false">
      <c r="A311" s="24" t="s">
        <v>524</v>
      </c>
      <c r="B311" s="32" t="s">
        <v>3356</v>
      </c>
      <c r="C311" s="22" t="s">
        <v>3828</v>
      </c>
      <c r="D311" s="32" t="s">
        <v>4189</v>
      </c>
      <c r="E311" s="22" t="s">
        <v>3359</v>
      </c>
      <c r="F311" s="22" t="s">
        <v>3360</v>
      </c>
      <c r="G311" s="32" t="s">
        <v>3361</v>
      </c>
      <c r="H311" s="22" t="s">
        <v>4190</v>
      </c>
      <c r="I311" s="22" t="s">
        <v>3363</v>
      </c>
    </row>
    <row r="312" customFormat="false" ht="15" hidden="false" customHeight="true" outlineLevel="0" collapsed="false">
      <c r="A312" s="24" t="s">
        <v>524</v>
      </c>
      <c r="B312" s="32" t="s">
        <v>3364</v>
      </c>
      <c r="C312" s="22" t="s">
        <v>4191</v>
      </c>
      <c r="D312" s="32" t="s">
        <v>4192</v>
      </c>
      <c r="E312" s="22" t="s">
        <v>3359</v>
      </c>
      <c r="F312" s="22" t="s">
        <v>3360</v>
      </c>
      <c r="G312" s="32" t="s">
        <v>3367</v>
      </c>
      <c r="H312" s="22" t="s">
        <v>4193</v>
      </c>
      <c r="I312" s="22" t="s">
        <v>3363</v>
      </c>
    </row>
    <row r="313" customFormat="false" ht="15" hidden="false" customHeight="true" outlineLevel="0" collapsed="false">
      <c r="A313" s="24" t="s">
        <v>524</v>
      </c>
      <c r="B313" s="32" t="s">
        <v>4194</v>
      </c>
      <c r="C313" s="22" t="s">
        <v>4195</v>
      </c>
      <c r="D313" s="32" t="s">
        <v>4196</v>
      </c>
      <c r="E313" s="22" t="s">
        <v>3359</v>
      </c>
      <c r="F313" s="22" t="s">
        <v>3378</v>
      </c>
      <c r="G313" s="32"/>
      <c r="H313" s="22" t="s">
        <v>4197</v>
      </c>
      <c r="I313" s="22" t="s">
        <v>3363</v>
      </c>
    </row>
    <row r="314" customFormat="false" ht="24.75" hidden="false" customHeight="true" outlineLevel="0" collapsed="false">
      <c r="A314" s="24" t="s">
        <v>524</v>
      </c>
      <c r="B314" s="32" t="s">
        <v>4198</v>
      </c>
      <c r="C314" s="22" t="s">
        <v>4199</v>
      </c>
      <c r="D314" s="32" t="s">
        <v>4200</v>
      </c>
      <c r="E314" s="22" t="s">
        <v>3389</v>
      </c>
      <c r="F314" s="22" t="s">
        <v>3360</v>
      </c>
      <c r="G314" s="32" t="s">
        <v>3390</v>
      </c>
      <c r="H314" s="22" t="s">
        <v>4201</v>
      </c>
      <c r="I314" s="22" t="s">
        <v>3363</v>
      </c>
    </row>
    <row r="315" customFormat="false" ht="37.5" hidden="false" customHeight="true" outlineLevel="0" collapsed="false">
      <c r="A315" s="24" t="s">
        <v>524</v>
      </c>
      <c r="B315" s="32" t="s">
        <v>4046</v>
      </c>
      <c r="C315" s="22" t="s">
        <v>3357</v>
      </c>
      <c r="D315" s="32" t="s">
        <v>4202</v>
      </c>
      <c r="E315" s="22" t="s">
        <v>3359</v>
      </c>
      <c r="F315" s="22" t="s">
        <v>3360</v>
      </c>
      <c r="G315" s="32" t="s">
        <v>3372</v>
      </c>
      <c r="H315" s="22" t="s">
        <v>4048</v>
      </c>
      <c r="I315" s="22" t="s">
        <v>3363</v>
      </c>
    </row>
    <row r="316" customFormat="false" ht="15" hidden="false" customHeight="true" outlineLevel="0" collapsed="false">
      <c r="A316" s="24" t="s">
        <v>524</v>
      </c>
      <c r="B316" s="32" t="s">
        <v>4049</v>
      </c>
      <c r="C316" s="22" t="s">
        <v>4050</v>
      </c>
      <c r="D316" s="32" t="s">
        <v>4203</v>
      </c>
      <c r="E316" s="22" t="s">
        <v>3359</v>
      </c>
      <c r="F316" s="22" t="s">
        <v>3378</v>
      </c>
      <c r="G316" s="32"/>
      <c r="H316" s="22"/>
      <c r="I316" s="22" t="s">
        <v>3363</v>
      </c>
    </row>
    <row r="317" customFormat="false" ht="24.75" hidden="false" customHeight="true" outlineLevel="0" collapsed="false">
      <c r="A317" s="24" t="s">
        <v>524</v>
      </c>
      <c r="B317" s="32" t="s">
        <v>4204</v>
      </c>
      <c r="C317" s="22" t="s">
        <v>4205</v>
      </c>
      <c r="D317" s="32" t="s">
        <v>4206</v>
      </c>
      <c r="E317" s="22" t="s">
        <v>3389</v>
      </c>
      <c r="F317" s="22" t="s">
        <v>3360</v>
      </c>
      <c r="G317" s="32" t="s">
        <v>3390</v>
      </c>
      <c r="H317" s="22" t="s">
        <v>4207</v>
      </c>
      <c r="I317" s="22" t="s">
        <v>3363</v>
      </c>
    </row>
    <row r="318" customFormat="false" ht="15" hidden="false" customHeight="true" outlineLevel="0" collapsed="false">
      <c r="A318" s="24" t="s">
        <v>524</v>
      </c>
      <c r="B318" s="32" t="s">
        <v>4208</v>
      </c>
      <c r="C318" s="22" t="s">
        <v>4209</v>
      </c>
      <c r="D318" s="32" t="s">
        <v>4210</v>
      </c>
      <c r="E318" s="22" t="s">
        <v>3359</v>
      </c>
      <c r="F318" s="22" t="s">
        <v>3360</v>
      </c>
      <c r="G318" s="32" t="s">
        <v>3367</v>
      </c>
      <c r="H318" s="22" t="s">
        <v>4211</v>
      </c>
      <c r="I318" s="22" t="s">
        <v>3363</v>
      </c>
    </row>
    <row r="319" customFormat="false" ht="15" hidden="false" customHeight="true" outlineLevel="0" collapsed="false">
      <c r="A319" s="24" t="s">
        <v>524</v>
      </c>
      <c r="B319" s="32" t="s">
        <v>4071</v>
      </c>
      <c r="C319" s="22" t="s">
        <v>3478</v>
      </c>
      <c r="D319" s="32" t="s">
        <v>4212</v>
      </c>
      <c r="E319" s="22" t="s">
        <v>3359</v>
      </c>
      <c r="F319" s="22" t="s">
        <v>3360</v>
      </c>
      <c r="G319" s="32" t="s">
        <v>3477</v>
      </c>
      <c r="H319" s="22" t="s">
        <v>4048</v>
      </c>
      <c r="I319" s="22" t="s">
        <v>3363</v>
      </c>
    </row>
    <row r="320" customFormat="false" ht="24.75" hidden="false" customHeight="true" outlineLevel="0" collapsed="false">
      <c r="A320" s="24" t="s">
        <v>524</v>
      </c>
      <c r="B320" s="32" t="s">
        <v>4074</v>
      </c>
      <c r="C320" s="22" t="s">
        <v>4075</v>
      </c>
      <c r="D320" s="32" t="s">
        <v>4213</v>
      </c>
      <c r="E320" s="22" t="s">
        <v>3377</v>
      </c>
      <c r="F320" s="22" t="s">
        <v>3360</v>
      </c>
      <c r="G320" s="32" t="s">
        <v>4214</v>
      </c>
      <c r="H320" s="22"/>
      <c r="I320" s="22" t="s">
        <v>3363</v>
      </c>
    </row>
    <row r="321" customFormat="false" ht="24.75" hidden="false" customHeight="true" outlineLevel="0" collapsed="false">
      <c r="A321" s="24" t="s">
        <v>524</v>
      </c>
      <c r="B321" s="32" t="s">
        <v>4072</v>
      </c>
      <c r="C321" s="22" t="s">
        <v>4073</v>
      </c>
      <c r="D321" s="32" t="s">
        <v>4215</v>
      </c>
      <c r="E321" s="22" t="s">
        <v>3389</v>
      </c>
      <c r="F321" s="22" t="s">
        <v>3360</v>
      </c>
      <c r="G321" s="32" t="s">
        <v>3390</v>
      </c>
      <c r="H321" s="22" t="s">
        <v>4216</v>
      </c>
      <c r="I321" s="22" t="s">
        <v>3363</v>
      </c>
    </row>
    <row r="322" customFormat="false" ht="15" hidden="false" customHeight="true" outlineLevel="0" collapsed="false">
      <c r="A322" s="24" t="s">
        <v>524</v>
      </c>
      <c r="B322" s="32" t="s">
        <v>3850</v>
      </c>
      <c r="C322" s="22" t="s">
        <v>3392</v>
      </c>
      <c r="D322" s="32" t="s">
        <v>4217</v>
      </c>
      <c r="E322" s="22" t="s">
        <v>3394</v>
      </c>
      <c r="F322" s="22" t="s">
        <v>3360</v>
      </c>
      <c r="G322" s="32" t="s">
        <v>3395</v>
      </c>
      <c r="H322" s="22"/>
      <c r="I322" s="22" t="s">
        <v>3363</v>
      </c>
    </row>
    <row r="323" customFormat="false" ht="37.5" hidden="false" customHeight="true" outlineLevel="0" collapsed="false">
      <c r="A323" s="24" t="s">
        <v>524</v>
      </c>
      <c r="B323" s="32" t="s">
        <v>3853</v>
      </c>
      <c r="C323" s="22" t="s">
        <v>4076</v>
      </c>
      <c r="D323" s="32" t="s">
        <v>4218</v>
      </c>
      <c r="E323" s="22" t="s">
        <v>3359</v>
      </c>
      <c r="F323" s="22" t="s">
        <v>3360</v>
      </c>
      <c r="G323" s="32" t="s">
        <v>3400</v>
      </c>
      <c r="H323" s="22"/>
      <c r="I323" s="22" t="s">
        <v>3363</v>
      </c>
    </row>
    <row r="324" customFormat="false" ht="15" hidden="false" customHeight="true" outlineLevel="0" collapsed="false">
      <c r="A324" s="24" t="s">
        <v>524</v>
      </c>
      <c r="B324" s="32" t="s">
        <v>4077</v>
      </c>
      <c r="C324" s="22" t="s">
        <v>4078</v>
      </c>
      <c r="D324" s="32" t="s">
        <v>4219</v>
      </c>
      <c r="E324" s="22" t="s">
        <v>3377</v>
      </c>
      <c r="F324" s="22" t="s">
        <v>3360</v>
      </c>
      <c r="G324" s="32" t="s">
        <v>3379</v>
      </c>
      <c r="H324" s="22" t="s">
        <v>4220</v>
      </c>
      <c r="I324" s="22" t="s">
        <v>3363</v>
      </c>
    </row>
    <row r="325" customFormat="false" ht="15" hidden="false" customHeight="true" outlineLevel="0" collapsed="false">
      <c r="A325" s="24" t="s">
        <v>524</v>
      </c>
      <c r="B325" s="32" t="s">
        <v>4221</v>
      </c>
      <c r="C325" s="22" t="s">
        <v>4222</v>
      </c>
      <c r="D325" s="32" t="s">
        <v>4223</v>
      </c>
      <c r="E325" s="22" t="s">
        <v>3377</v>
      </c>
      <c r="F325" s="22" t="s">
        <v>3360</v>
      </c>
      <c r="G325" s="32" t="s">
        <v>4224</v>
      </c>
      <c r="H325" s="22" t="s">
        <v>4225</v>
      </c>
      <c r="I325" s="22" t="s">
        <v>3363</v>
      </c>
    </row>
    <row r="326" customFormat="false" ht="37.5" hidden="false" customHeight="true" outlineLevel="0" collapsed="false">
      <c r="A326" s="24" t="s">
        <v>524</v>
      </c>
      <c r="B326" s="32" t="s">
        <v>4226</v>
      </c>
      <c r="C326" s="22" t="s">
        <v>4227</v>
      </c>
      <c r="D326" s="32" t="s">
        <v>4228</v>
      </c>
      <c r="E326" s="22" t="s">
        <v>3377</v>
      </c>
      <c r="F326" s="22" t="s">
        <v>3378</v>
      </c>
      <c r="G326" s="32" t="s">
        <v>4229</v>
      </c>
      <c r="H326" s="22" t="s">
        <v>4230</v>
      </c>
      <c r="I326" s="22" t="s">
        <v>3363</v>
      </c>
    </row>
    <row r="327" customFormat="false" ht="15" hidden="false" customHeight="true" outlineLevel="0" collapsed="false">
      <c r="A327" s="24" t="s">
        <v>524</v>
      </c>
      <c r="B327" s="32" t="s">
        <v>4091</v>
      </c>
      <c r="C327" s="22" t="s">
        <v>3416</v>
      </c>
      <c r="D327" s="32" t="s">
        <v>4231</v>
      </c>
      <c r="E327" s="22" t="s">
        <v>3394</v>
      </c>
      <c r="F327" s="22" t="s">
        <v>3378</v>
      </c>
      <c r="G327" s="32" t="s">
        <v>4232</v>
      </c>
      <c r="H327" s="22"/>
      <c r="I327" s="22" t="s">
        <v>3363</v>
      </c>
    </row>
    <row r="328" customFormat="false" ht="15" hidden="false" customHeight="true" outlineLevel="0" collapsed="false">
      <c r="A328" s="24" t="s">
        <v>524</v>
      </c>
      <c r="B328" s="32" t="s">
        <v>4100</v>
      </c>
      <c r="C328" s="22" t="s">
        <v>3430</v>
      </c>
      <c r="D328" s="32" t="s">
        <v>4233</v>
      </c>
      <c r="E328" s="22" t="s">
        <v>3359</v>
      </c>
      <c r="F328" s="22" t="s">
        <v>3378</v>
      </c>
      <c r="G328" s="32" t="s">
        <v>4234</v>
      </c>
      <c r="H328" s="22"/>
      <c r="I328" s="22" t="s">
        <v>3363</v>
      </c>
    </row>
    <row r="329" customFormat="false" ht="15" hidden="false" customHeight="true" outlineLevel="0" collapsed="false">
      <c r="A329" s="24" t="s">
        <v>524</v>
      </c>
      <c r="B329" s="32" t="s">
        <v>4094</v>
      </c>
      <c r="C329" s="22" t="s">
        <v>3421</v>
      </c>
      <c r="D329" s="32" t="s">
        <v>4235</v>
      </c>
      <c r="E329" s="22" t="s">
        <v>3359</v>
      </c>
      <c r="F329" s="22" t="s">
        <v>3378</v>
      </c>
      <c r="G329" s="32" t="s">
        <v>4096</v>
      </c>
      <c r="H329" s="22" t="s">
        <v>4236</v>
      </c>
      <c r="I329" s="22" t="s">
        <v>3363</v>
      </c>
    </row>
    <row r="330" customFormat="false" ht="24.75" hidden="false" customHeight="true" outlineLevel="0" collapsed="false">
      <c r="A330" s="24" t="s">
        <v>524</v>
      </c>
      <c r="B330" s="32" t="s">
        <v>4097</v>
      </c>
      <c r="C330" s="22" t="s">
        <v>4098</v>
      </c>
      <c r="D330" s="32" t="s">
        <v>4237</v>
      </c>
      <c r="E330" s="22" t="s">
        <v>3389</v>
      </c>
      <c r="F330" s="22" t="s">
        <v>3378</v>
      </c>
      <c r="G330" s="32" t="s">
        <v>3390</v>
      </c>
      <c r="H330" s="22"/>
      <c r="I330" s="22" t="s">
        <v>3363</v>
      </c>
    </row>
    <row r="331" customFormat="false" ht="15" hidden="false" customHeight="true" outlineLevel="0" collapsed="false">
      <c r="A331" s="24" t="s">
        <v>524</v>
      </c>
      <c r="B331" s="32" t="s">
        <v>4238</v>
      </c>
      <c r="C331" s="22" t="s">
        <v>4239</v>
      </c>
      <c r="D331" s="32" t="s">
        <v>4240</v>
      </c>
      <c r="E331" s="22" t="s">
        <v>3437</v>
      </c>
      <c r="F331" s="22" t="s">
        <v>3360</v>
      </c>
      <c r="G331" s="32" t="s">
        <v>3438</v>
      </c>
      <c r="H331" s="22"/>
      <c r="I331" s="22" t="s">
        <v>3363</v>
      </c>
    </row>
    <row r="332" customFormat="false" ht="37.5" hidden="false" customHeight="true" outlineLevel="0" collapsed="false">
      <c r="A332" s="24" t="s">
        <v>524</v>
      </c>
      <c r="B332" s="32" t="s">
        <v>3855</v>
      </c>
      <c r="C332" s="22" t="s">
        <v>4117</v>
      </c>
      <c r="D332" s="32" t="s">
        <v>4241</v>
      </c>
      <c r="E332" s="22" t="s">
        <v>3394</v>
      </c>
      <c r="F332" s="22" t="s">
        <v>3360</v>
      </c>
      <c r="G332" s="32" t="s">
        <v>3443</v>
      </c>
      <c r="H332" s="22"/>
      <c r="I332" s="22" t="s">
        <v>3363</v>
      </c>
    </row>
    <row r="333" customFormat="false" ht="15" hidden="false" customHeight="true" outlineLevel="0" collapsed="false">
      <c r="A333" s="24" t="s">
        <v>524</v>
      </c>
      <c r="B333" s="32" t="s">
        <v>3857</v>
      </c>
      <c r="C333" s="22" t="s">
        <v>4242</v>
      </c>
      <c r="D333" s="32" t="s">
        <v>4243</v>
      </c>
      <c r="E333" s="22" t="s">
        <v>3394</v>
      </c>
      <c r="F333" s="22" t="s">
        <v>3360</v>
      </c>
      <c r="G333" s="32" t="s">
        <v>3395</v>
      </c>
      <c r="H333" s="22"/>
      <c r="I333" s="22" t="s">
        <v>3363</v>
      </c>
    </row>
    <row r="334" customFormat="false" ht="15" hidden="false" customHeight="true" outlineLevel="0" collapsed="false">
      <c r="A334" s="24" t="s">
        <v>524</v>
      </c>
      <c r="B334" s="32" t="s">
        <v>3859</v>
      </c>
      <c r="C334" s="22" t="s">
        <v>4244</v>
      </c>
      <c r="D334" s="32" t="s">
        <v>4245</v>
      </c>
      <c r="E334" s="22" t="s">
        <v>3394</v>
      </c>
      <c r="F334" s="22" t="s">
        <v>3378</v>
      </c>
      <c r="G334" s="32" t="s">
        <v>3395</v>
      </c>
      <c r="H334" s="22" t="s">
        <v>4246</v>
      </c>
      <c r="I334" s="22" t="s">
        <v>3363</v>
      </c>
    </row>
    <row r="335" customFormat="false" ht="15" hidden="false" customHeight="true" outlineLevel="0" collapsed="false">
      <c r="A335" s="24" t="s">
        <v>524</v>
      </c>
      <c r="B335" s="32" t="s">
        <v>3861</v>
      </c>
      <c r="C335" s="22" t="s">
        <v>4247</v>
      </c>
      <c r="D335" s="32" t="s">
        <v>4248</v>
      </c>
      <c r="E335" s="22" t="s">
        <v>3394</v>
      </c>
      <c r="F335" s="22" t="s">
        <v>3378</v>
      </c>
      <c r="G335" s="32" t="s">
        <v>3395</v>
      </c>
      <c r="H335" s="22"/>
      <c r="I335" s="22" t="s">
        <v>3363</v>
      </c>
    </row>
    <row r="336" customFormat="false" ht="15" hidden="false" customHeight="true" outlineLevel="0" collapsed="false">
      <c r="A336" s="24" t="s">
        <v>524</v>
      </c>
      <c r="B336" s="32" t="s">
        <v>3864</v>
      </c>
      <c r="C336" s="22" t="s">
        <v>4249</v>
      </c>
      <c r="D336" s="32" t="s">
        <v>4250</v>
      </c>
      <c r="E336" s="22" t="s">
        <v>3394</v>
      </c>
      <c r="F336" s="22" t="s">
        <v>3378</v>
      </c>
      <c r="G336" s="32" t="s">
        <v>3395</v>
      </c>
      <c r="H336" s="22"/>
      <c r="I336" s="22" t="s">
        <v>3363</v>
      </c>
    </row>
    <row r="337" customFormat="false" ht="15" hidden="false" customHeight="true" outlineLevel="0" collapsed="false">
      <c r="A337" s="24" t="s">
        <v>524</v>
      </c>
      <c r="B337" s="32" t="s">
        <v>3867</v>
      </c>
      <c r="C337" s="22" t="s">
        <v>4251</v>
      </c>
      <c r="D337" s="32" t="s">
        <v>4252</v>
      </c>
      <c r="E337" s="22" t="s">
        <v>3394</v>
      </c>
      <c r="F337" s="22" t="s">
        <v>3378</v>
      </c>
      <c r="G337" s="32" t="s">
        <v>3395</v>
      </c>
      <c r="H337" s="22"/>
      <c r="I337" s="22" t="s">
        <v>3363</v>
      </c>
    </row>
    <row r="338" customFormat="false" ht="15" hidden="false" customHeight="true" outlineLevel="0" collapsed="false">
      <c r="A338" s="24" t="s">
        <v>524</v>
      </c>
      <c r="B338" s="32" t="s">
        <v>4087</v>
      </c>
      <c r="C338" s="22" t="s">
        <v>4253</v>
      </c>
      <c r="D338" s="32" t="s">
        <v>4254</v>
      </c>
      <c r="E338" s="22" t="s">
        <v>3359</v>
      </c>
      <c r="F338" s="22" t="s">
        <v>3378</v>
      </c>
      <c r="G338" s="32"/>
      <c r="H338" s="22" t="s">
        <v>4255</v>
      </c>
      <c r="I338" s="22" t="s">
        <v>3363</v>
      </c>
    </row>
    <row r="339" customFormat="false" ht="24.75" hidden="false" customHeight="true" outlineLevel="0" collapsed="false">
      <c r="A339" s="24" t="s">
        <v>524</v>
      </c>
      <c r="B339" s="32" t="s">
        <v>4090</v>
      </c>
      <c r="C339" s="22" t="s">
        <v>4256</v>
      </c>
      <c r="D339" s="32" t="s">
        <v>4257</v>
      </c>
      <c r="E339" s="22" t="s">
        <v>3389</v>
      </c>
      <c r="F339" s="22" t="s">
        <v>3378</v>
      </c>
      <c r="G339" s="32" t="s">
        <v>3390</v>
      </c>
      <c r="H339" s="22"/>
      <c r="I339" s="22" t="s">
        <v>3363</v>
      </c>
    </row>
    <row r="340" customFormat="false" ht="15" hidden="false" customHeight="true" outlineLevel="0" collapsed="false">
      <c r="A340" s="24" t="s">
        <v>524</v>
      </c>
      <c r="B340" s="32" t="s">
        <v>4103</v>
      </c>
      <c r="C340" s="22" t="s">
        <v>3632</v>
      </c>
      <c r="D340" s="32" t="s">
        <v>4258</v>
      </c>
      <c r="E340" s="22" t="s">
        <v>3359</v>
      </c>
      <c r="F340" s="22" t="s">
        <v>3360</v>
      </c>
      <c r="G340" s="32"/>
      <c r="H340" s="22" t="s">
        <v>4259</v>
      </c>
      <c r="I340" s="22" t="s">
        <v>3363</v>
      </c>
    </row>
    <row r="341" customFormat="false" ht="15" hidden="false" customHeight="true" outlineLevel="0" collapsed="false">
      <c r="A341" s="24" t="s">
        <v>524</v>
      </c>
      <c r="B341" s="32" t="s">
        <v>4106</v>
      </c>
      <c r="C341" s="22" t="s">
        <v>4107</v>
      </c>
      <c r="D341" s="32" t="s">
        <v>4260</v>
      </c>
      <c r="E341" s="22" t="s">
        <v>3377</v>
      </c>
      <c r="F341" s="22" t="s">
        <v>3360</v>
      </c>
      <c r="G341" s="32" t="s">
        <v>3628</v>
      </c>
      <c r="H341" s="22" t="s">
        <v>4261</v>
      </c>
      <c r="I341" s="22" t="s">
        <v>3363</v>
      </c>
    </row>
    <row r="342" customFormat="false" ht="15" hidden="false" customHeight="true" outlineLevel="0" collapsed="false">
      <c r="A342" s="24" t="s">
        <v>524</v>
      </c>
      <c r="B342" s="32" t="s">
        <v>4262</v>
      </c>
      <c r="C342" s="22" t="s">
        <v>4263</v>
      </c>
      <c r="D342" s="32" t="s">
        <v>4264</v>
      </c>
      <c r="E342" s="22" t="s">
        <v>3377</v>
      </c>
      <c r="F342" s="22" t="s">
        <v>3360</v>
      </c>
      <c r="G342" s="32" t="s">
        <v>3607</v>
      </c>
      <c r="H342" s="22"/>
      <c r="I342" s="22" t="s">
        <v>3363</v>
      </c>
    </row>
    <row r="343" customFormat="false" ht="24.75" hidden="false" customHeight="true" outlineLevel="0" collapsed="false">
      <c r="A343" s="24" t="s">
        <v>524</v>
      </c>
      <c r="B343" s="32" t="s">
        <v>4109</v>
      </c>
      <c r="C343" s="22" t="s">
        <v>3635</v>
      </c>
      <c r="D343" s="32" t="s">
        <v>4265</v>
      </c>
      <c r="E343" s="22" t="s">
        <v>3389</v>
      </c>
      <c r="F343" s="22" t="s">
        <v>3360</v>
      </c>
      <c r="G343" s="32" t="s">
        <v>3390</v>
      </c>
      <c r="H343" s="22"/>
      <c r="I343" s="22" t="s">
        <v>3363</v>
      </c>
    </row>
    <row r="344" customFormat="false" ht="15" hidden="false" customHeight="true" outlineLevel="0" collapsed="false">
      <c r="A344" s="24" t="s">
        <v>524</v>
      </c>
      <c r="B344" s="32" t="s">
        <v>4266</v>
      </c>
      <c r="C344" s="22" t="s">
        <v>4267</v>
      </c>
      <c r="D344" s="32" t="s">
        <v>4268</v>
      </c>
      <c r="E344" s="22" t="s">
        <v>3377</v>
      </c>
      <c r="F344" s="22" t="s">
        <v>3378</v>
      </c>
      <c r="G344" s="32" t="s">
        <v>3628</v>
      </c>
      <c r="H344" s="22"/>
      <c r="I344" s="22" t="s">
        <v>3363</v>
      </c>
    </row>
    <row r="345" customFormat="false" ht="15" hidden="false" customHeight="true" outlineLevel="0" collapsed="false">
      <c r="A345" s="24" t="s">
        <v>524</v>
      </c>
      <c r="B345" s="32" t="s">
        <v>4111</v>
      </c>
      <c r="C345" s="22" t="s">
        <v>4269</v>
      </c>
      <c r="D345" s="32" t="s">
        <v>4270</v>
      </c>
      <c r="E345" s="22" t="s">
        <v>3359</v>
      </c>
      <c r="F345" s="22" t="s">
        <v>3378</v>
      </c>
      <c r="G345" s="32"/>
      <c r="H345" s="22"/>
      <c r="I345" s="22" t="s">
        <v>3363</v>
      </c>
    </row>
    <row r="346" customFormat="false" ht="24.75" hidden="false" customHeight="true" outlineLevel="0" collapsed="false">
      <c r="A346" s="24" t="s">
        <v>524</v>
      </c>
      <c r="B346" s="32" t="s">
        <v>4114</v>
      </c>
      <c r="C346" s="22" t="s">
        <v>4271</v>
      </c>
      <c r="D346" s="32" t="s">
        <v>4272</v>
      </c>
      <c r="E346" s="22" t="s">
        <v>3389</v>
      </c>
      <c r="F346" s="22" t="s">
        <v>3378</v>
      </c>
      <c r="G346" s="32" t="s">
        <v>3390</v>
      </c>
      <c r="H346" s="22"/>
      <c r="I346" s="22" t="s">
        <v>3363</v>
      </c>
    </row>
    <row r="347" customFormat="false" ht="24.75" hidden="false" customHeight="true" outlineLevel="0" collapsed="false">
      <c r="A347" s="24" t="s">
        <v>524</v>
      </c>
      <c r="B347" s="32" t="s">
        <v>4273</v>
      </c>
      <c r="C347" s="22" t="s">
        <v>4274</v>
      </c>
      <c r="D347" s="32" t="s">
        <v>4275</v>
      </c>
      <c r="E347" s="22" t="s">
        <v>3377</v>
      </c>
      <c r="F347" s="22" t="s">
        <v>3378</v>
      </c>
      <c r="G347" s="32" t="s">
        <v>3379</v>
      </c>
      <c r="H347" s="22" t="s">
        <v>4276</v>
      </c>
      <c r="I347" s="22" t="s">
        <v>3363</v>
      </c>
    </row>
    <row r="348" customFormat="false" ht="24.75" hidden="false" customHeight="true" outlineLevel="0" collapsed="false">
      <c r="A348" s="24" t="s">
        <v>524</v>
      </c>
      <c r="B348" s="32" t="s">
        <v>4277</v>
      </c>
      <c r="C348" s="22" t="s">
        <v>4278</v>
      </c>
      <c r="D348" s="32" t="s">
        <v>4279</v>
      </c>
      <c r="E348" s="22" t="s">
        <v>3394</v>
      </c>
      <c r="F348" s="22" t="s">
        <v>3378</v>
      </c>
      <c r="G348" s="32" t="s">
        <v>3395</v>
      </c>
      <c r="H348" s="22" t="s">
        <v>4280</v>
      </c>
      <c r="I348" s="22" t="s">
        <v>3363</v>
      </c>
    </row>
    <row r="349" customFormat="false" ht="15" hidden="false" customHeight="true" outlineLevel="0" collapsed="false">
      <c r="A349" s="24" t="s">
        <v>524</v>
      </c>
      <c r="B349" s="32" t="s">
        <v>4281</v>
      </c>
      <c r="C349" s="22" t="s">
        <v>4282</v>
      </c>
      <c r="D349" s="32" t="s">
        <v>4283</v>
      </c>
      <c r="E349" s="22" t="s">
        <v>3359</v>
      </c>
      <c r="F349" s="22" t="s">
        <v>3378</v>
      </c>
      <c r="G349" s="32"/>
      <c r="H349" s="22"/>
      <c r="I349" s="22" t="s">
        <v>3363</v>
      </c>
    </row>
    <row r="350" customFormat="false" ht="15" hidden="false" customHeight="true" outlineLevel="0" collapsed="false">
      <c r="A350" s="24" t="s">
        <v>524</v>
      </c>
      <c r="B350" s="32" t="s">
        <v>4122</v>
      </c>
      <c r="C350" s="22" t="s">
        <v>4123</v>
      </c>
      <c r="D350" s="32" t="s">
        <v>4284</v>
      </c>
      <c r="E350" s="22" t="s">
        <v>3377</v>
      </c>
      <c r="F350" s="22" t="s">
        <v>3378</v>
      </c>
      <c r="G350" s="32" t="s">
        <v>4285</v>
      </c>
      <c r="H350" s="22"/>
      <c r="I350" s="22" t="s">
        <v>3363</v>
      </c>
    </row>
    <row r="351" customFormat="false" ht="15" hidden="false" customHeight="true" outlineLevel="0" collapsed="false">
      <c r="A351" s="24" t="s">
        <v>524</v>
      </c>
      <c r="B351" s="32" t="s">
        <v>4126</v>
      </c>
      <c r="C351" s="22" t="s">
        <v>4127</v>
      </c>
      <c r="D351" s="32" t="s">
        <v>4286</v>
      </c>
      <c r="E351" s="22" t="s">
        <v>3359</v>
      </c>
      <c r="F351" s="22" t="s">
        <v>3378</v>
      </c>
      <c r="G351" s="32"/>
      <c r="H351" s="22"/>
      <c r="I351" s="22" t="s">
        <v>3363</v>
      </c>
    </row>
    <row r="352" customFormat="false" ht="24.75" hidden="false" customHeight="true" outlineLevel="0" collapsed="false">
      <c r="A352" s="24" t="s">
        <v>524</v>
      </c>
      <c r="B352" s="32" t="s">
        <v>4129</v>
      </c>
      <c r="C352" s="22" t="s">
        <v>4130</v>
      </c>
      <c r="D352" s="32" t="s">
        <v>4287</v>
      </c>
      <c r="E352" s="22" t="s">
        <v>3389</v>
      </c>
      <c r="F352" s="22" t="s">
        <v>3378</v>
      </c>
      <c r="G352" s="32" t="s">
        <v>3390</v>
      </c>
      <c r="H352" s="22"/>
      <c r="I352" s="22" t="s">
        <v>3363</v>
      </c>
    </row>
    <row r="353" customFormat="false" ht="15" hidden="false" customHeight="true" outlineLevel="0" collapsed="false">
      <c r="A353" s="24" t="s">
        <v>524</v>
      </c>
      <c r="B353" s="32" t="s">
        <v>4139</v>
      </c>
      <c r="C353" s="22" t="s">
        <v>3645</v>
      </c>
      <c r="D353" s="32" t="s">
        <v>4288</v>
      </c>
      <c r="E353" s="22" t="s">
        <v>3359</v>
      </c>
      <c r="F353" s="22" t="s">
        <v>3378</v>
      </c>
      <c r="G353" s="32"/>
      <c r="H353" s="22"/>
      <c r="I353" s="22" t="s">
        <v>3363</v>
      </c>
    </row>
    <row r="354" customFormat="false" ht="24.75" hidden="false" customHeight="true" outlineLevel="0" collapsed="false">
      <c r="A354" s="24" t="s">
        <v>524</v>
      </c>
      <c r="B354" s="32" t="s">
        <v>4141</v>
      </c>
      <c r="C354" s="22" t="s">
        <v>3651</v>
      </c>
      <c r="D354" s="32" t="s">
        <v>4289</v>
      </c>
      <c r="E354" s="22" t="s">
        <v>3389</v>
      </c>
      <c r="F354" s="22" t="s">
        <v>3378</v>
      </c>
      <c r="G354" s="32" t="s">
        <v>3390</v>
      </c>
      <c r="H354" s="22"/>
      <c r="I354" s="22" t="s">
        <v>3363</v>
      </c>
    </row>
    <row r="355" customFormat="false" ht="15" hidden="false" customHeight="true" outlineLevel="0" collapsed="false">
      <c r="A355" s="24" t="s">
        <v>524</v>
      </c>
      <c r="B355" s="32" t="s">
        <v>4132</v>
      </c>
      <c r="C355" s="22" t="s">
        <v>4133</v>
      </c>
      <c r="D355" s="32" t="s">
        <v>4290</v>
      </c>
      <c r="E355" s="22" t="s">
        <v>3377</v>
      </c>
      <c r="F355" s="22" t="s">
        <v>3378</v>
      </c>
      <c r="G355" s="32" t="s">
        <v>3379</v>
      </c>
      <c r="H355" s="22"/>
      <c r="I355" s="22" t="s">
        <v>3363</v>
      </c>
    </row>
    <row r="356" customFormat="false" ht="24.75" hidden="false" customHeight="true" outlineLevel="0" collapsed="false">
      <c r="A356" s="24" t="s">
        <v>524</v>
      </c>
      <c r="B356" s="32" t="s">
        <v>4291</v>
      </c>
      <c r="C356" s="22" t="s">
        <v>4292</v>
      </c>
      <c r="D356" s="32" t="s">
        <v>4293</v>
      </c>
      <c r="E356" s="22" t="s">
        <v>3359</v>
      </c>
      <c r="F356" s="22" t="s">
        <v>3378</v>
      </c>
      <c r="G356" s="32"/>
      <c r="H356" s="22" t="s">
        <v>4294</v>
      </c>
      <c r="I356" s="22" t="s">
        <v>3363</v>
      </c>
    </row>
    <row r="357" customFormat="false" ht="24.75" hidden="false" customHeight="true" outlineLevel="0" collapsed="false">
      <c r="A357" s="24" t="s">
        <v>524</v>
      </c>
      <c r="B357" s="32" t="s">
        <v>4295</v>
      </c>
      <c r="C357" s="22" t="s">
        <v>4296</v>
      </c>
      <c r="D357" s="32" t="s">
        <v>4297</v>
      </c>
      <c r="E357" s="22" t="s">
        <v>3389</v>
      </c>
      <c r="F357" s="22" t="s">
        <v>3378</v>
      </c>
      <c r="G357" s="32" t="s">
        <v>3390</v>
      </c>
      <c r="H357" s="22"/>
      <c r="I357" s="22" t="s">
        <v>3363</v>
      </c>
    </row>
    <row r="358" customFormat="false" ht="24.75" hidden="false" customHeight="true" outlineLevel="0" collapsed="false">
      <c r="A358" s="24" t="s">
        <v>524</v>
      </c>
      <c r="B358" s="32" t="s">
        <v>4298</v>
      </c>
      <c r="C358" s="22" t="s">
        <v>4299</v>
      </c>
      <c r="D358" s="32" t="s">
        <v>4300</v>
      </c>
      <c r="E358" s="22" t="s">
        <v>3389</v>
      </c>
      <c r="F358" s="22" t="s">
        <v>3378</v>
      </c>
      <c r="G358" s="32" t="s">
        <v>3390</v>
      </c>
      <c r="H358" s="22"/>
      <c r="I358" s="22" t="s">
        <v>3363</v>
      </c>
    </row>
    <row r="359" customFormat="false" ht="15" hidden="false" customHeight="true" outlineLevel="0" collapsed="false">
      <c r="A359" s="24" t="s">
        <v>524</v>
      </c>
      <c r="B359" s="32" t="s">
        <v>4151</v>
      </c>
      <c r="C359" s="22" t="s">
        <v>3539</v>
      </c>
      <c r="D359" s="32" t="s">
        <v>4301</v>
      </c>
      <c r="E359" s="22" t="s">
        <v>3359</v>
      </c>
      <c r="F359" s="22" t="s">
        <v>3378</v>
      </c>
      <c r="G359" s="32" t="s">
        <v>4153</v>
      </c>
      <c r="H359" s="22"/>
      <c r="I359" s="22" t="s">
        <v>3363</v>
      </c>
    </row>
    <row r="360" customFormat="false" ht="15" hidden="false" customHeight="true" outlineLevel="0" collapsed="false">
      <c r="A360" s="24" t="s">
        <v>524</v>
      </c>
      <c r="B360" s="32" t="s">
        <v>4143</v>
      </c>
      <c r="C360" s="22" t="s">
        <v>4302</v>
      </c>
      <c r="D360" s="32" t="s">
        <v>4303</v>
      </c>
      <c r="E360" s="22" t="s">
        <v>3359</v>
      </c>
      <c r="F360" s="22" t="s">
        <v>3378</v>
      </c>
      <c r="G360" s="32"/>
      <c r="H360" s="22" t="s">
        <v>4304</v>
      </c>
      <c r="I360" s="22" t="s">
        <v>3363</v>
      </c>
    </row>
    <row r="361" customFormat="false" ht="24.75" hidden="false" customHeight="true" outlineLevel="0" collapsed="false">
      <c r="A361" s="24" t="s">
        <v>524</v>
      </c>
      <c r="B361" s="32" t="s">
        <v>4148</v>
      </c>
      <c r="C361" s="22" t="s">
        <v>4305</v>
      </c>
      <c r="D361" s="32" t="s">
        <v>4306</v>
      </c>
      <c r="E361" s="22" t="s">
        <v>3389</v>
      </c>
      <c r="F361" s="22" t="s">
        <v>3378</v>
      </c>
      <c r="G361" s="32" t="s">
        <v>3390</v>
      </c>
      <c r="H361" s="22"/>
      <c r="I361" s="22" t="s">
        <v>3363</v>
      </c>
    </row>
    <row r="362" customFormat="false" ht="15" hidden="false" customHeight="true" outlineLevel="0" collapsed="false">
      <c r="A362" s="24" t="s">
        <v>524</v>
      </c>
      <c r="B362" s="32" t="s">
        <v>4154</v>
      </c>
      <c r="C362" s="22" t="s">
        <v>4155</v>
      </c>
      <c r="D362" s="32" t="s">
        <v>4307</v>
      </c>
      <c r="E362" s="22" t="s">
        <v>3377</v>
      </c>
      <c r="F362" s="22" t="s">
        <v>3378</v>
      </c>
      <c r="G362" s="32" t="s">
        <v>3379</v>
      </c>
      <c r="H362" s="22"/>
      <c r="I362" s="22" t="s">
        <v>3363</v>
      </c>
    </row>
    <row r="363" customFormat="false" ht="15" hidden="false" customHeight="true" outlineLevel="0" collapsed="false">
      <c r="A363" s="24" t="s">
        <v>524</v>
      </c>
      <c r="B363" s="32" t="s">
        <v>4308</v>
      </c>
      <c r="C363" s="22" t="s">
        <v>3446</v>
      </c>
      <c r="D363" s="32" t="s">
        <v>4309</v>
      </c>
      <c r="E363" s="22" t="s">
        <v>3394</v>
      </c>
      <c r="F363" s="22" t="s">
        <v>3378</v>
      </c>
      <c r="G363" s="32" t="s">
        <v>3395</v>
      </c>
      <c r="H363" s="22"/>
      <c r="I363" s="22" t="s">
        <v>3363</v>
      </c>
    </row>
    <row r="364" customFormat="false" ht="15" hidden="false" customHeight="true" outlineLevel="0" collapsed="false">
      <c r="A364" s="24" t="s">
        <v>524</v>
      </c>
      <c r="B364" s="32" t="s">
        <v>4310</v>
      </c>
      <c r="C364" s="22" t="s">
        <v>4244</v>
      </c>
      <c r="D364" s="32" t="s">
        <v>4311</v>
      </c>
      <c r="E364" s="22" t="s">
        <v>3394</v>
      </c>
      <c r="F364" s="22" t="s">
        <v>3378</v>
      </c>
      <c r="G364" s="32" t="s">
        <v>3395</v>
      </c>
      <c r="H364" s="22" t="s">
        <v>4312</v>
      </c>
      <c r="I364" s="22" t="s">
        <v>3363</v>
      </c>
    </row>
    <row r="365" customFormat="false" ht="15" hidden="false" customHeight="true" outlineLevel="0" collapsed="false">
      <c r="A365" s="24" t="s">
        <v>524</v>
      </c>
      <c r="B365" s="32" t="s">
        <v>4313</v>
      </c>
      <c r="C365" s="22" t="s">
        <v>4251</v>
      </c>
      <c r="D365" s="32" t="s">
        <v>4314</v>
      </c>
      <c r="E365" s="22" t="s">
        <v>3394</v>
      </c>
      <c r="F365" s="22" t="s">
        <v>3378</v>
      </c>
      <c r="G365" s="32" t="s">
        <v>3395</v>
      </c>
      <c r="H365" s="22"/>
      <c r="I365" s="22" t="s">
        <v>3363</v>
      </c>
    </row>
    <row r="366" customFormat="false" ht="37.5" hidden="false" customHeight="true" outlineLevel="0" collapsed="false">
      <c r="A366" s="24" t="s">
        <v>524</v>
      </c>
      <c r="B366" s="32" t="s">
        <v>4315</v>
      </c>
      <c r="C366" s="22" t="s">
        <v>4316</v>
      </c>
      <c r="D366" s="32" t="s">
        <v>4317</v>
      </c>
      <c r="E366" s="22" t="s">
        <v>3359</v>
      </c>
      <c r="F366" s="22" t="s">
        <v>3378</v>
      </c>
      <c r="G366" s="32" t="s">
        <v>3372</v>
      </c>
      <c r="H366" s="22"/>
      <c r="I366" s="22" t="s">
        <v>3363</v>
      </c>
    </row>
    <row r="367" customFormat="false" ht="37.5" hidden="false" customHeight="true" outlineLevel="0" collapsed="false">
      <c r="A367" s="24" t="s">
        <v>524</v>
      </c>
      <c r="B367" s="32" t="s">
        <v>3766</v>
      </c>
      <c r="C367" s="22" t="s">
        <v>4180</v>
      </c>
      <c r="D367" s="32" t="s">
        <v>4318</v>
      </c>
      <c r="E367" s="22" t="s">
        <v>3359</v>
      </c>
      <c r="F367" s="22" t="s">
        <v>3378</v>
      </c>
      <c r="G367" s="32" t="s">
        <v>3372</v>
      </c>
      <c r="H367" s="22" t="s">
        <v>4319</v>
      </c>
      <c r="I367" s="22" t="s">
        <v>3363</v>
      </c>
    </row>
    <row r="368" customFormat="false" ht="37.5" hidden="false" customHeight="true" outlineLevel="0" collapsed="false">
      <c r="A368" s="24" t="s">
        <v>524</v>
      </c>
      <c r="B368" s="32" t="s">
        <v>4320</v>
      </c>
      <c r="C368" s="22" t="s">
        <v>4321</v>
      </c>
      <c r="D368" s="32" t="s">
        <v>4322</v>
      </c>
      <c r="E368" s="22" t="s">
        <v>3394</v>
      </c>
      <c r="F368" s="22" t="s">
        <v>3360</v>
      </c>
      <c r="G368" s="32" t="s">
        <v>3395</v>
      </c>
      <c r="H368" s="22" t="s">
        <v>4323</v>
      </c>
      <c r="I368" s="22" t="s">
        <v>3363</v>
      </c>
    </row>
    <row r="369" customFormat="false" ht="15" hidden="false" customHeight="true" outlineLevel="0" collapsed="false">
      <c r="A369" s="24" t="s">
        <v>524</v>
      </c>
      <c r="B369" s="32" t="s">
        <v>4324</v>
      </c>
      <c r="C369" s="22" t="s">
        <v>4325</v>
      </c>
      <c r="D369" s="32" t="s">
        <v>4326</v>
      </c>
      <c r="E369" s="22" t="s">
        <v>3394</v>
      </c>
      <c r="F369" s="22" t="s">
        <v>3360</v>
      </c>
      <c r="G369" s="32" t="s">
        <v>3395</v>
      </c>
      <c r="H369" s="22" t="s">
        <v>4327</v>
      </c>
      <c r="I369" s="22" t="s">
        <v>3363</v>
      </c>
    </row>
    <row r="370" customFormat="false" ht="24.75" hidden="false" customHeight="true" outlineLevel="0" collapsed="false">
      <c r="A370" s="24" t="s">
        <v>524</v>
      </c>
      <c r="B370" s="32" t="s">
        <v>4328</v>
      </c>
      <c r="C370" s="22" t="s">
        <v>4329</v>
      </c>
      <c r="D370" s="32" t="s">
        <v>4330</v>
      </c>
      <c r="E370" s="22" t="s">
        <v>3394</v>
      </c>
      <c r="F370" s="22" t="s">
        <v>3378</v>
      </c>
      <c r="G370" s="32" t="s">
        <v>3395</v>
      </c>
      <c r="H370" s="22" t="s">
        <v>4331</v>
      </c>
      <c r="I370" s="22" t="s">
        <v>3363</v>
      </c>
    </row>
    <row r="371" customFormat="false" ht="49.5" hidden="false" customHeight="true" outlineLevel="0" collapsed="false">
      <c r="A371" s="24" t="s">
        <v>524</v>
      </c>
      <c r="B371" s="32" t="s">
        <v>4332</v>
      </c>
      <c r="C371" s="22" t="s">
        <v>4333</v>
      </c>
      <c r="D371" s="32" t="s">
        <v>4334</v>
      </c>
      <c r="E371" s="22" t="s">
        <v>3394</v>
      </c>
      <c r="F371" s="22" t="s">
        <v>3378</v>
      </c>
      <c r="G371" s="32" t="s">
        <v>3395</v>
      </c>
      <c r="H371" s="22" t="s">
        <v>4335</v>
      </c>
      <c r="I371" s="22" t="s">
        <v>3363</v>
      </c>
    </row>
    <row r="372" customFormat="false" ht="24.75" hidden="false" customHeight="true" outlineLevel="0" collapsed="false">
      <c r="A372" s="24" t="s">
        <v>524</v>
      </c>
      <c r="B372" s="32" t="s">
        <v>4336</v>
      </c>
      <c r="C372" s="22" t="s">
        <v>4337</v>
      </c>
      <c r="D372" s="32" t="s">
        <v>4338</v>
      </c>
      <c r="E372" s="22" t="s">
        <v>4339</v>
      </c>
      <c r="F372" s="22" t="s">
        <v>3378</v>
      </c>
      <c r="G372" s="32" t="s">
        <v>4340</v>
      </c>
      <c r="H372" s="22" t="s">
        <v>4341</v>
      </c>
      <c r="I372" s="22" t="s">
        <v>3363</v>
      </c>
    </row>
    <row r="373" customFormat="false" ht="37.5" hidden="false" customHeight="true" outlineLevel="0" collapsed="false">
      <c r="A373" s="24" t="s">
        <v>525</v>
      </c>
      <c r="B373" s="32" t="s">
        <v>4046</v>
      </c>
      <c r="C373" s="22" t="s">
        <v>3357</v>
      </c>
      <c r="D373" s="32" t="s">
        <v>4342</v>
      </c>
      <c r="E373" s="22" t="s">
        <v>3359</v>
      </c>
      <c r="F373" s="22" t="s">
        <v>3360</v>
      </c>
      <c r="G373" s="32" t="s">
        <v>3372</v>
      </c>
      <c r="H373" s="22" t="s">
        <v>4343</v>
      </c>
      <c r="I373" s="22" t="s">
        <v>3363</v>
      </c>
    </row>
    <row r="374" customFormat="false" ht="15" hidden="false" customHeight="true" outlineLevel="0" collapsed="false">
      <c r="A374" s="24" t="s">
        <v>525</v>
      </c>
      <c r="B374" s="32" t="s">
        <v>4344</v>
      </c>
      <c r="C374" s="22" t="s">
        <v>4345</v>
      </c>
      <c r="D374" s="32" t="s">
        <v>4346</v>
      </c>
      <c r="E374" s="22" t="s">
        <v>3359</v>
      </c>
      <c r="F374" s="22" t="s">
        <v>3360</v>
      </c>
      <c r="G374" s="32" t="s">
        <v>3367</v>
      </c>
      <c r="H374" s="22"/>
      <c r="I374" s="22" t="s">
        <v>3363</v>
      </c>
    </row>
    <row r="375" customFormat="false" ht="24.75" hidden="false" customHeight="true" outlineLevel="0" collapsed="false">
      <c r="A375" s="24" t="s">
        <v>525</v>
      </c>
      <c r="B375" s="32" t="s">
        <v>4347</v>
      </c>
      <c r="C375" s="22" t="s">
        <v>112</v>
      </c>
      <c r="D375" s="32" t="s">
        <v>4348</v>
      </c>
      <c r="E375" s="22" t="s">
        <v>3377</v>
      </c>
      <c r="F375" s="22" t="s">
        <v>3360</v>
      </c>
      <c r="G375" s="32" t="s">
        <v>4349</v>
      </c>
      <c r="H375" s="22"/>
      <c r="I375" s="22" t="s">
        <v>3363</v>
      </c>
    </row>
    <row r="376" customFormat="false" ht="15" hidden="false" customHeight="true" outlineLevel="0" collapsed="false">
      <c r="A376" s="24" t="s">
        <v>525</v>
      </c>
      <c r="B376" s="32" t="s">
        <v>4350</v>
      </c>
      <c r="C376" s="22" t="s">
        <v>4351</v>
      </c>
      <c r="D376" s="32" t="s">
        <v>4352</v>
      </c>
      <c r="E376" s="22" t="s">
        <v>3377</v>
      </c>
      <c r="F376" s="22" t="s">
        <v>3378</v>
      </c>
      <c r="G376" s="32" t="s">
        <v>3607</v>
      </c>
      <c r="H376" s="22"/>
      <c r="I376" s="22" t="s">
        <v>3363</v>
      </c>
    </row>
    <row r="377" customFormat="false" ht="15" hidden="false" customHeight="true" outlineLevel="0" collapsed="false">
      <c r="A377" s="24" t="s">
        <v>525</v>
      </c>
      <c r="B377" s="32" t="s">
        <v>3836</v>
      </c>
      <c r="C377" s="22" t="s">
        <v>3478</v>
      </c>
      <c r="D377" s="32" t="s">
        <v>4353</v>
      </c>
      <c r="E377" s="22" t="s">
        <v>3359</v>
      </c>
      <c r="F377" s="22" t="s">
        <v>3360</v>
      </c>
      <c r="G377" s="32"/>
      <c r="H377" s="22" t="s">
        <v>4048</v>
      </c>
      <c r="I377" s="22" t="s">
        <v>3363</v>
      </c>
    </row>
    <row r="378" customFormat="false" ht="24.75" hidden="false" customHeight="true" outlineLevel="0" collapsed="false">
      <c r="A378" s="24" t="s">
        <v>525</v>
      </c>
      <c r="B378" s="32" t="s">
        <v>3840</v>
      </c>
      <c r="C378" s="22" t="s">
        <v>3387</v>
      </c>
      <c r="D378" s="32" t="s">
        <v>4354</v>
      </c>
      <c r="E378" s="22" t="s">
        <v>3389</v>
      </c>
      <c r="F378" s="22" t="s">
        <v>3360</v>
      </c>
      <c r="G378" s="32" t="s">
        <v>3390</v>
      </c>
      <c r="H378" s="22"/>
      <c r="I378" s="22" t="s">
        <v>3363</v>
      </c>
    </row>
    <row r="379" customFormat="false" ht="15" hidden="false" customHeight="true" outlineLevel="0" collapsed="false">
      <c r="A379" s="24" t="s">
        <v>525</v>
      </c>
      <c r="B379" s="32" t="s">
        <v>3843</v>
      </c>
      <c r="C379" s="22" t="s">
        <v>3844</v>
      </c>
      <c r="D379" s="32" t="s">
        <v>4355</v>
      </c>
      <c r="E379" s="22" t="s">
        <v>3359</v>
      </c>
      <c r="F379" s="22" t="s">
        <v>3378</v>
      </c>
      <c r="G379" s="32"/>
      <c r="H379" s="22" t="s">
        <v>4356</v>
      </c>
      <c r="I379" s="22" t="s">
        <v>3363</v>
      </c>
    </row>
    <row r="380" customFormat="false" ht="24.75" hidden="false" customHeight="true" outlineLevel="0" collapsed="false">
      <c r="A380" s="24" t="s">
        <v>525</v>
      </c>
      <c r="B380" s="32" t="s">
        <v>4357</v>
      </c>
      <c r="C380" s="22" t="s">
        <v>4358</v>
      </c>
      <c r="D380" s="32" t="s">
        <v>4359</v>
      </c>
      <c r="E380" s="22" t="s">
        <v>3389</v>
      </c>
      <c r="F380" s="22" t="s">
        <v>3378</v>
      </c>
      <c r="G380" s="32" t="s">
        <v>3390</v>
      </c>
      <c r="H380" s="22"/>
      <c r="I380" s="22" t="s">
        <v>3363</v>
      </c>
    </row>
    <row r="381" customFormat="false" ht="15" hidden="false" customHeight="true" outlineLevel="0" collapsed="false">
      <c r="A381" s="24" t="s">
        <v>525</v>
      </c>
      <c r="B381" s="32" t="s">
        <v>4360</v>
      </c>
      <c r="C381" s="22" t="s">
        <v>3484</v>
      </c>
      <c r="D381" s="32" t="s">
        <v>4361</v>
      </c>
      <c r="E381" s="22" t="s">
        <v>3394</v>
      </c>
      <c r="F381" s="22" t="s">
        <v>3360</v>
      </c>
      <c r="G381" s="32" t="s">
        <v>3395</v>
      </c>
      <c r="H381" s="22"/>
      <c r="I381" s="22" t="s">
        <v>3363</v>
      </c>
    </row>
    <row r="382" customFormat="false" ht="37.5" hidden="false" customHeight="true" outlineLevel="0" collapsed="false">
      <c r="A382" s="24" t="s">
        <v>525</v>
      </c>
      <c r="B382" s="32" t="s">
        <v>3853</v>
      </c>
      <c r="C382" s="22" t="s">
        <v>4076</v>
      </c>
      <c r="D382" s="32" t="s">
        <v>4362</v>
      </c>
      <c r="E382" s="22" t="s">
        <v>3359</v>
      </c>
      <c r="F382" s="22" t="s">
        <v>3360</v>
      </c>
      <c r="G382" s="32" t="s">
        <v>3400</v>
      </c>
      <c r="H382" s="22"/>
      <c r="I382" s="22" t="s">
        <v>3363</v>
      </c>
    </row>
    <row r="383" customFormat="false" ht="15" hidden="false" customHeight="true" outlineLevel="0" collapsed="false">
      <c r="A383" s="24" t="s">
        <v>525</v>
      </c>
      <c r="B383" s="32" t="s">
        <v>3857</v>
      </c>
      <c r="C383" s="22" t="s">
        <v>3489</v>
      </c>
      <c r="D383" s="32" t="s">
        <v>4363</v>
      </c>
      <c r="E383" s="22" t="s">
        <v>3394</v>
      </c>
      <c r="F383" s="22" t="s">
        <v>3360</v>
      </c>
      <c r="G383" s="32" t="s">
        <v>3395</v>
      </c>
      <c r="H383" s="22"/>
      <c r="I383" s="22" t="s">
        <v>3363</v>
      </c>
    </row>
    <row r="384" customFormat="false" ht="15" hidden="false" customHeight="true" outlineLevel="0" collapsed="false">
      <c r="A384" s="24" t="s">
        <v>525</v>
      </c>
      <c r="B384" s="32" t="s">
        <v>3859</v>
      </c>
      <c r="C384" s="22" t="s">
        <v>3776</v>
      </c>
      <c r="D384" s="32" t="s">
        <v>4364</v>
      </c>
      <c r="E384" s="22" t="s">
        <v>3394</v>
      </c>
      <c r="F384" s="22" t="s">
        <v>3378</v>
      </c>
      <c r="G384" s="32" t="s">
        <v>3395</v>
      </c>
      <c r="H384" s="22"/>
      <c r="I384" s="22" t="s">
        <v>3363</v>
      </c>
    </row>
    <row r="385" customFormat="false" ht="15" hidden="false" customHeight="true" outlineLevel="0" collapsed="false">
      <c r="A385" s="24" t="s">
        <v>525</v>
      </c>
      <c r="B385" s="32" t="s">
        <v>3861</v>
      </c>
      <c r="C385" s="22" t="s">
        <v>3780</v>
      </c>
      <c r="D385" s="32" t="s">
        <v>4365</v>
      </c>
      <c r="E385" s="22" t="s">
        <v>3394</v>
      </c>
      <c r="F385" s="22" t="s">
        <v>3378</v>
      </c>
      <c r="G385" s="32" t="s">
        <v>3395</v>
      </c>
      <c r="H385" s="22"/>
      <c r="I385" s="22" t="s">
        <v>3363</v>
      </c>
    </row>
    <row r="386" customFormat="false" ht="15" hidden="false" customHeight="true" outlineLevel="0" collapsed="false">
      <c r="A386" s="24" t="s">
        <v>525</v>
      </c>
      <c r="B386" s="32" t="s">
        <v>3864</v>
      </c>
      <c r="C386" s="22" t="s">
        <v>3783</v>
      </c>
      <c r="D386" s="32" t="s">
        <v>4366</v>
      </c>
      <c r="E386" s="22" t="s">
        <v>3394</v>
      </c>
      <c r="F386" s="22" t="s">
        <v>3378</v>
      </c>
      <c r="G386" s="32" t="s">
        <v>3395</v>
      </c>
      <c r="H386" s="22"/>
      <c r="I386" s="22" t="s">
        <v>3363</v>
      </c>
    </row>
    <row r="387" customFormat="false" ht="15" hidden="false" customHeight="true" outlineLevel="0" collapsed="false">
      <c r="A387" s="24" t="s">
        <v>525</v>
      </c>
      <c r="B387" s="32" t="s">
        <v>3867</v>
      </c>
      <c r="C387" s="22" t="s">
        <v>3495</v>
      </c>
      <c r="D387" s="32" t="s">
        <v>4367</v>
      </c>
      <c r="E387" s="22" t="s">
        <v>3394</v>
      </c>
      <c r="F387" s="22" t="s">
        <v>3378</v>
      </c>
      <c r="G387" s="32" t="s">
        <v>3395</v>
      </c>
      <c r="H387" s="22"/>
      <c r="I387" s="22" t="s">
        <v>3363</v>
      </c>
    </row>
    <row r="388" customFormat="false" ht="37.5" hidden="false" customHeight="true" outlineLevel="0" collapsed="false">
      <c r="A388" s="24" t="s">
        <v>525</v>
      </c>
      <c r="B388" s="32" t="s">
        <v>4368</v>
      </c>
      <c r="C388" s="22" t="s">
        <v>4369</v>
      </c>
      <c r="D388" s="32" t="s">
        <v>4370</v>
      </c>
      <c r="E388" s="22" t="s">
        <v>3377</v>
      </c>
      <c r="F388" s="22" t="s">
        <v>3360</v>
      </c>
      <c r="G388" s="32" t="s">
        <v>4371</v>
      </c>
      <c r="H388" s="22" t="s">
        <v>4372</v>
      </c>
      <c r="I388" s="22" t="s">
        <v>3363</v>
      </c>
    </row>
    <row r="389" customFormat="false" ht="15" hidden="false" customHeight="true" outlineLevel="0" collapsed="false">
      <c r="A389" s="24" t="s">
        <v>525</v>
      </c>
      <c r="B389" s="32" t="s">
        <v>4373</v>
      </c>
      <c r="C389" s="22" t="s">
        <v>4374</v>
      </c>
      <c r="D389" s="32" t="s">
        <v>4375</v>
      </c>
      <c r="E389" s="22" t="s">
        <v>3377</v>
      </c>
      <c r="F389" s="22" t="s">
        <v>3378</v>
      </c>
      <c r="G389" s="32" t="s">
        <v>4376</v>
      </c>
      <c r="H389" s="22"/>
      <c r="I389" s="22" t="s">
        <v>3363</v>
      </c>
    </row>
    <row r="390" customFormat="false" ht="37.5" hidden="false" customHeight="true" outlineLevel="0" collapsed="false">
      <c r="A390" s="24" t="s">
        <v>525</v>
      </c>
      <c r="B390" s="32" t="s">
        <v>4377</v>
      </c>
      <c r="C390" s="22" t="s">
        <v>4378</v>
      </c>
      <c r="D390" s="32" t="s">
        <v>4379</v>
      </c>
      <c r="E390" s="22" t="s">
        <v>3377</v>
      </c>
      <c r="F390" s="22" t="s">
        <v>3378</v>
      </c>
      <c r="G390" s="32" t="s">
        <v>3379</v>
      </c>
      <c r="H390" s="22" t="s">
        <v>4380</v>
      </c>
      <c r="I390" s="22" t="s">
        <v>3363</v>
      </c>
    </row>
    <row r="391" customFormat="false" ht="15" hidden="false" customHeight="true" outlineLevel="0" collapsed="false">
      <c r="A391" s="24" t="s">
        <v>525</v>
      </c>
      <c r="B391" s="32" t="s">
        <v>4381</v>
      </c>
      <c r="C391" s="22" t="s">
        <v>4382</v>
      </c>
      <c r="D391" s="32" t="s">
        <v>4383</v>
      </c>
      <c r="E391" s="22" t="s">
        <v>3377</v>
      </c>
      <c r="F391" s="22" t="s">
        <v>3378</v>
      </c>
      <c r="G391" s="32" t="s">
        <v>4384</v>
      </c>
      <c r="H391" s="22" t="s">
        <v>4385</v>
      </c>
      <c r="I391" s="22" t="s">
        <v>3363</v>
      </c>
    </row>
    <row r="392" customFormat="false" ht="15" hidden="false" customHeight="true" outlineLevel="0" collapsed="false">
      <c r="A392" s="24" t="s">
        <v>525</v>
      </c>
      <c r="B392" s="32" t="s">
        <v>4386</v>
      </c>
      <c r="C392" s="22" t="s">
        <v>4387</v>
      </c>
      <c r="D392" s="32" t="s">
        <v>4388</v>
      </c>
      <c r="E392" s="22" t="s">
        <v>3377</v>
      </c>
      <c r="F392" s="22" t="s">
        <v>3378</v>
      </c>
      <c r="G392" s="32" t="s">
        <v>4389</v>
      </c>
      <c r="H392" s="22"/>
      <c r="I392" s="22" t="s">
        <v>3363</v>
      </c>
    </row>
    <row r="393" customFormat="false" ht="15" hidden="false" customHeight="true" outlineLevel="0" collapsed="false">
      <c r="A393" s="24" t="s">
        <v>525</v>
      </c>
      <c r="B393" s="32" t="s">
        <v>4273</v>
      </c>
      <c r="C393" s="22" t="s">
        <v>4390</v>
      </c>
      <c r="D393" s="32" t="s">
        <v>4391</v>
      </c>
      <c r="E393" s="22" t="s">
        <v>3377</v>
      </c>
      <c r="F393" s="22" t="s">
        <v>3378</v>
      </c>
      <c r="G393" s="32" t="s">
        <v>3379</v>
      </c>
      <c r="H393" s="22" t="s">
        <v>4392</v>
      </c>
      <c r="I393" s="22" t="s">
        <v>3363</v>
      </c>
    </row>
    <row r="394" customFormat="false" ht="15" hidden="false" customHeight="true" outlineLevel="0" collapsed="false">
      <c r="A394" s="24" t="s">
        <v>525</v>
      </c>
      <c r="B394" s="32" t="s">
        <v>4393</v>
      </c>
      <c r="C394" s="22" t="s">
        <v>4394</v>
      </c>
      <c r="D394" s="32" t="s">
        <v>4395</v>
      </c>
      <c r="E394" s="22" t="s">
        <v>3377</v>
      </c>
      <c r="F394" s="22" t="s">
        <v>3378</v>
      </c>
      <c r="G394" s="32" t="s">
        <v>3379</v>
      </c>
      <c r="H394" s="22"/>
      <c r="I394" s="22" t="s">
        <v>3363</v>
      </c>
    </row>
    <row r="395" customFormat="false" ht="24.75" hidden="false" customHeight="true" outlineLevel="0" collapsed="false">
      <c r="A395" s="24" t="s">
        <v>525</v>
      </c>
      <c r="B395" s="32" t="s">
        <v>4277</v>
      </c>
      <c r="C395" s="22" t="s">
        <v>4396</v>
      </c>
      <c r="D395" s="32" t="s">
        <v>4397</v>
      </c>
      <c r="E395" s="22" t="s">
        <v>3394</v>
      </c>
      <c r="F395" s="22" t="s">
        <v>3378</v>
      </c>
      <c r="G395" s="32" t="s">
        <v>3395</v>
      </c>
      <c r="H395" s="22"/>
      <c r="I395" s="22" t="s">
        <v>3363</v>
      </c>
    </row>
    <row r="396" customFormat="false" ht="15" hidden="false" customHeight="true" outlineLevel="0" collapsed="false">
      <c r="A396" s="24" t="s">
        <v>525</v>
      </c>
      <c r="B396" s="32" t="s">
        <v>4281</v>
      </c>
      <c r="C396" s="22" t="s">
        <v>4282</v>
      </c>
      <c r="D396" s="32" t="s">
        <v>4398</v>
      </c>
      <c r="E396" s="22" t="s">
        <v>3359</v>
      </c>
      <c r="F396" s="22" t="s">
        <v>3378</v>
      </c>
      <c r="G396" s="32"/>
      <c r="H396" s="22"/>
      <c r="I396" s="22" t="s">
        <v>3363</v>
      </c>
    </row>
    <row r="397" customFormat="false" ht="62.25" hidden="false" customHeight="true" outlineLevel="0" collapsed="false">
      <c r="A397" s="24" t="s">
        <v>808</v>
      </c>
      <c r="B397" s="32" t="s">
        <v>3356</v>
      </c>
      <c r="C397" s="22" t="s">
        <v>3828</v>
      </c>
      <c r="D397" s="32" t="s">
        <v>4399</v>
      </c>
      <c r="E397" s="22" t="s">
        <v>3359</v>
      </c>
      <c r="F397" s="22" t="s">
        <v>3360</v>
      </c>
      <c r="G397" s="32" t="s">
        <v>3361</v>
      </c>
      <c r="H397" s="22"/>
      <c r="I397" s="22" t="s">
        <v>3363</v>
      </c>
    </row>
    <row r="398" customFormat="false" ht="15" hidden="false" customHeight="true" outlineLevel="0" collapsed="false">
      <c r="A398" s="24" t="s">
        <v>808</v>
      </c>
      <c r="B398" s="32" t="s">
        <v>4400</v>
      </c>
      <c r="C398" s="22" t="s">
        <v>4401</v>
      </c>
      <c r="D398" s="32" t="s">
        <v>4399</v>
      </c>
      <c r="E398" s="22" t="s">
        <v>3359</v>
      </c>
      <c r="F398" s="22" t="s">
        <v>3360</v>
      </c>
      <c r="G398" s="32" t="s">
        <v>4402</v>
      </c>
      <c r="H398" s="22"/>
      <c r="I398" s="22" t="s">
        <v>3363</v>
      </c>
    </row>
    <row r="399" customFormat="false" ht="15" hidden="false" customHeight="true" outlineLevel="0" collapsed="false">
      <c r="A399" s="24" t="s">
        <v>808</v>
      </c>
      <c r="B399" s="32" t="s">
        <v>4403</v>
      </c>
      <c r="C399" s="22" t="s">
        <v>4404</v>
      </c>
      <c r="D399" s="32" t="s">
        <v>4405</v>
      </c>
      <c r="E399" s="22" t="s">
        <v>3359</v>
      </c>
      <c r="F399" s="22" t="s">
        <v>3378</v>
      </c>
      <c r="G399" s="32"/>
      <c r="H399" s="22"/>
      <c r="I399" s="22" t="s">
        <v>3363</v>
      </c>
    </row>
    <row r="400" customFormat="false" ht="49.5" hidden="false" customHeight="true" outlineLevel="0" collapsed="false">
      <c r="A400" s="24" t="s">
        <v>808</v>
      </c>
      <c r="B400" s="32" t="s">
        <v>4406</v>
      </c>
      <c r="C400" s="22" t="s">
        <v>4407</v>
      </c>
      <c r="D400" s="32" t="s">
        <v>4408</v>
      </c>
      <c r="E400" s="22" t="s">
        <v>3394</v>
      </c>
      <c r="F400" s="22" t="s">
        <v>3378</v>
      </c>
      <c r="G400" s="32" t="s">
        <v>4409</v>
      </c>
      <c r="H400" s="22" t="s">
        <v>4410</v>
      </c>
      <c r="I400" s="22" t="s">
        <v>3363</v>
      </c>
    </row>
    <row r="401" customFormat="false" ht="49.5" hidden="false" customHeight="true" outlineLevel="0" collapsed="false">
      <c r="A401" s="24" t="s">
        <v>808</v>
      </c>
      <c r="B401" s="32" t="s">
        <v>4411</v>
      </c>
      <c r="C401" s="22" t="s">
        <v>4412</v>
      </c>
      <c r="D401" s="32" t="s">
        <v>4413</v>
      </c>
      <c r="E401" s="22" t="s">
        <v>3394</v>
      </c>
      <c r="F401" s="22" t="s">
        <v>3378</v>
      </c>
      <c r="G401" s="32" t="s">
        <v>4409</v>
      </c>
      <c r="H401" s="22" t="s">
        <v>4410</v>
      </c>
      <c r="I401" s="22" t="s">
        <v>3363</v>
      </c>
    </row>
    <row r="402" customFormat="false" ht="49.5" hidden="false" customHeight="true" outlineLevel="0" collapsed="false">
      <c r="A402" s="24" t="s">
        <v>808</v>
      </c>
      <c r="B402" s="32" t="s">
        <v>4414</v>
      </c>
      <c r="C402" s="22" t="s">
        <v>4415</v>
      </c>
      <c r="D402" s="32" t="s">
        <v>4416</v>
      </c>
      <c r="E402" s="22" t="s">
        <v>3394</v>
      </c>
      <c r="F402" s="22" t="s">
        <v>3378</v>
      </c>
      <c r="G402" s="32" t="s">
        <v>4409</v>
      </c>
      <c r="H402" s="22" t="s">
        <v>4410</v>
      </c>
      <c r="I402" s="22" t="s">
        <v>3363</v>
      </c>
    </row>
    <row r="403" customFormat="false" ht="49.5" hidden="false" customHeight="true" outlineLevel="0" collapsed="false">
      <c r="A403" s="24" t="s">
        <v>808</v>
      </c>
      <c r="B403" s="32" t="s">
        <v>4417</v>
      </c>
      <c r="C403" s="22" t="s">
        <v>4418</v>
      </c>
      <c r="D403" s="32" t="s">
        <v>4419</v>
      </c>
      <c r="E403" s="22" t="s">
        <v>3394</v>
      </c>
      <c r="F403" s="22" t="s">
        <v>3378</v>
      </c>
      <c r="G403" s="32" t="s">
        <v>4409</v>
      </c>
      <c r="H403" s="22" t="s">
        <v>4410</v>
      </c>
      <c r="I403" s="22" t="s">
        <v>3363</v>
      </c>
    </row>
    <row r="404" customFormat="false" ht="49.5" hidden="false" customHeight="true" outlineLevel="0" collapsed="false">
      <c r="A404" s="24" t="s">
        <v>808</v>
      </c>
      <c r="B404" s="32" t="s">
        <v>4420</v>
      </c>
      <c r="C404" s="22" t="s">
        <v>4421</v>
      </c>
      <c r="D404" s="32" t="s">
        <v>4422</v>
      </c>
      <c r="E404" s="22" t="s">
        <v>3394</v>
      </c>
      <c r="F404" s="22" t="s">
        <v>3378</v>
      </c>
      <c r="G404" s="32" t="s">
        <v>4409</v>
      </c>
      <c r="H404" s="22" t="s">
        <v>4410</v>
      </c>
      <c r="I404" s="22" t="s">
        <v>3363</v>
      </c>
    </row>
    <row r="405" customFormat="false" ht="49.5" hidden="false" customHeight="true" outlineLevel="0" collapsed="false">
      <c r="A405" s="24" t="s">
        <v>808</v>
      </c>
      <c r="B405" s="32" t="s">
        <v>4423</v>
      </c>
      <c r="C405" s="22" t="s">
        <v>4424</v>
      </c>
      <c r="D405" s="32" t="s">
        <v>4425</v>
      </c>
      <c r="E405" s="22" t="s">
        <v>3394</v>
      </c>
      <c r="F405" s="22" t="s">
        <v>3378</v>
      </c>
      <c r="G405" s="32" t="s">
        <v>4409</v>
      </c>
      <c r="H405" s="22" t="s">
        <v>4410</v>
      </c>
      <c r="I405" s="22" t="s">
        <v>3363</v>
      </c>
    </row>
    <row r="406" customFormat="false" ht="49.5" hidden="false" customHeight="true" outlineLevel="0" collapsed="false">
      <c r="A406" s="24" t="s">
        <v>808</v>
      </c>
      <c r="B406" s="32" t="s">
        <v>4426</v>
      </c>
      <c r="C406" s="22" t="s">
        <v>4427</v>
      </c>
      <c r="D406" s="32" t="s">
        <v>4428</v>
      </c>
      <c r="E406" s="22" t="s">
        <v>3394</v>
      </c>
      <c r="F406" s="22" t="s">
        <v>3378</v>
      </c>
      <c r="G406" s="32" t="s">
        <v>4409</v>
      </c>
      <c r="H406" s="22" t="s">
        <v>4410</v>
      </c>
      <c r="I406" s="22" t="s">
        <v>3363</v>
      </c>
    </row>
    <row r="407" customFormat="false" ht="62.25" hidden="false" customHeight="true" outlineLevel="0" collapsed="false">
      <c r="A407" s="24" t="s">
        <v>808</v>
      </c>
      <c r="B407" s="32" t="s">
        <v>4429</v>
      </c>
      <c r="C407" s="22" t="s">
        <v>4430</v>
      </c>
      <c r="D407" s="32" t="s">
        <v>4431</v>
      </c>
      <c r="E407" s="22" t="s">
        <v>3394</v>
      </c>
      <c r="F407" s="22" t="s">
        <v>3378</v>
      </c>
      <c r="G407" s="32" t="s">
        <v>4409</v>
      </c>
      <c r="H407" s="22" t="s">
        <v>4410</v>
      </c>
      <c r="I407" s="22" t="s">
        <v>3363</v>
      </c>
    </row>
    <row r="408" customFormat="false" ht="49.5" hidden="false" customHeight="true" outlineLevel="0" collapsed="false">
      <c r="A408" s="24" t="s">
        <v>808</v>
      </c>
      <c r="B408" s="32" t="s">
        <v>4432</v>
      </c>
      <c r="C408" s="22" t="s">
        <v>4433</v>
      </c>
      <c r="D408" s="32" t="s">
        <v>4434</v>
      </c>
      <c r="E408" s="22" t="s">
        <v>3394</v>
      </c>
      <c r="F408" s="22" t="s">
        <v>3378</v>
      </c>
      <c r="G408" s="32" t="s">
        <v>4409</v>
      </c>
      <c r="H408" s="22" t="s">
        <v>4410</v>
      </c>
      <c r="I408" s="22" t="s">
        <v>3363</v>
      </c>
    </row>
    <row r="409" customFormat="false" ht="49.5" hidden="false" customHeight="true" outlineLevel="0" collapsed="false">
      <c r="A409" s="24" t="s">
        <v>808</v>
      </c>
      <c r="B409" s="32" t="s">
        <v>4435</v>
      </c>
      <c r="C409" s="22" t="s">
        <v>4436</v>
      </c>
      <c r="D409" s="32" t="s">
        <v>4437</v>
      </c>
      <c r="E409" s="22" t="s">
        <v>3394</v>
      </c>
      <c r="F409" s="22" t="s">
        <v>3378</v>
      </c>
      <c r="G409" s="32" t="s">
        <v>4409</v>
      </c>
      <c r="H409" s="22" t="s">
        <v>4410</v>
      </c>
      <c r="I409" s="22" t="s">
        <v>3363</v>
      </c>
    </row>
    <row r="410" customFormat="false" ht="49.5" hidden="false" customHeight="true" outlineLevel="0" collapsed="false">
      <c r="A410" s="24" t="s">
        <v>808</v>
      </c>
      <c r="B410" s="32" t="s">
        <v>4438</v>
      </c>
      <c r="C410" s="22" t="s">
        <v>4439</v>
      </c>
      <c r="D410" s="32" t="s">
        <v>4440</v>
      </c>
      <c r="E410" s="22" t="s">
        <v>3394</v>
      </c>
      <c r="F410" s="22" t="s">
        <v>3378</v>
      </c>
      <c r="G410" s="32" t="s">
        <v>4409</v>
      </c>
      <c r="H410" s="22" t="s">
        <v>4410</v>
      </c>
      <c r="I410" s="22" t="s">
        <v>3363</v>
      </c>
    </row>
    <row r="411" customFormat="false" ht="49.5" hidden="false" customHeight="true" outlineLevel="0" collapsed="false">
      <c r="A411" s="24" t="s">
        <v>808</v>
      </c>
      <c r="B411" s="32" t="s">
        <v>4441</v>
      </c>
      <c r="C411" s="22" t="s">
        <v>4442</v>
      </c>
      <c r="D411" s="32" t="s">
        <v>4443</v>
      </c>
      <c r="E411" s="22" t="s">
        <v>3394</v>
      </c>
      <c r="F411" s="22" t="s">
        <v>3378</v>
      </c>
      <c r="G411" s="32" t="s">
        <v>4409</v>
      </c>
      <c r="H411" s="22" t="s">
        <v>4410</v>
      </c>
      <c r="I411" s="22" t="s">
        <v>3363</v>
      </c>
    </row>
    <row r="412" customFormat="false" ht="49.5" hidden="false" customHeight="true" outlineLevel="0" collapsed="false">
      <c r="A412" s="24" t="s">
        <v>808</v>
      </c>
      <c r="B412" s="32" t="s">
        <v>4444</v>
      </c>
      <c r="C412" s="22" t="s">
        <v>4445</v>
      </c>
      <c r="D412" s="32" t="s">
        <v>4446</v>
      </c>
      <c r="E412" s="22" t="s">
        <v>3394</v>
      </c>
      <c r="F412" s="22" t="s">
        <v>3378</v>
      </c>
      <c r="G412" s="32" t="s">
        <v>4409</v>
      </c>
      <c r="H412" s="22" t="s">
        <v>4410</v>
      </c>
      <c r="I412" s="22" t="s">
        <v>3363</v>
      </c>
    </row>
    <row r="413" customFormat="false" ht="49.5" hidden="false" customHeight="true" outlineLevel="0" collapsed="false">
      <c r="A413" s="24" t="s">
        <v>808</v>
      </c>
      <c r="B413" s="32" t="s">
        <v>4447</v>
      </c>
      <c r="C413" s="22" t="s">
        <v>4448</v>
      </c>
      <c r="D413" s="32" t="s">
        <v>4449</v>
      </c>
      <c r="E413" s="22" t="s">
        <v>3394</v>
      </c>
      <c r="F413" s="22" t="s">
        <v>3378</v>
      </c>
      <c r="G413" s="32" t="s">
        <v>4409</v>
      </c>
      <c r="H413" s="22" t="s">
        <v>4410</v>
      </c>
      <c r="I413" s="22" t="s">
        <v>3363</v>
      </c>
    </row>
    <row r="414" customFormat="false" ht="49.5" hidden="false" customHeight="true" outlineLevel="0" collapsed="false">
      <c r="A414" s="24" t="s">
        <v>808</v>
      </c>
      <c r="B414" s="32" t="s">
        <v>4450</v>
      </c>
      <c r="C414" s="22" t="s">
        <v>4451</v>
      </c>
      <c r="D414" s="32" t="s">
        <v>4452</v>
      </c>
      <c r="E414" s="22" t="s">
        <v>3394</v>
      </c>
      <c r="F414" s="22" t="s">
        <v>3378</v>
      </c>
      <c r="G414" s="32" t="s">
        <v>4409</v>
      </c>
      <c r="H414" s="22" t="s">
        <v>4410</v>
      </c>
      <c r="I414" s="22" t="s">
        <v>3363</v>
      </c>
    </row>
    <row r="415" customFormat="false" ht="49.5" hidden="false" customHeight="true" outlineLevel="0" collapsed="false">
      <c r="A415" s="24" t="s">
        <v>808</v>
      </c>
      <c r="B415" s="32" t="s">
        <v>4453</v>
      </c>
      <c r="C415" s="22" t="s">
        <v>4454</v>
      </c>
      <c r="D415" s="32" t="s">
        <v>4455</v>
      </c>
      <c r="E415" s="22" t="s">
        <v>3394</v>
      </c>
      <c r="F415" s="22" t="s">
        <v>3378</v>
      </c>
      <c r="G415" s="32" t="s">
        <v>4409</v>
      </c>
      <c r="H415" s="22"/>
      <c r="I415" s="22" t="s">
        <v>3363</v>
      </c>
    </row>
    <row r="416" customFormat="false" ht="49.5" hidden="false" customHeight="true" outlineLevel="0" collapsed="false">
      <c r="A416" s="24" t="s">
        <v>808</v>
      </c>
      <c r="B416" s="32" t="s">
        <v>4456</v>
      </c>
      <c r="C416" s="22" t="s">
        <v>4457</v>
      </c>
      <c r="D416" s="32" t="s">
        <v>4458</v>
      </c>
      <c r="E416" s="22" t="s">
        <v>3394</v>
      </c>
      <c r="F416" s="22" t="s">
        <v>3378</v>
      </c>
      <c r="G416" s="32" t="s">
        <v>4409</v>
      </c>
      <c r="H416" s="22"/>
      <c r="I416" s="22" t="s">
        <v>3363</v>
      </c>
    </row>
    <row r="417" customFormat="false" ht="49.5" hidden="false" customHeight="true" outlineLevel="0" collapsed="false">
      <c r="A417" s="24" t="s">
        <v>808</v>
      </c>
      <c r="B417" s="32" t="s">
        <v>4459</v>
      </c>
      <c r="C417" s="22" t="s">
        <v>4460</v>
      </c>
      <c r="D417" s="32" t="s">
        <v>4461</v>
      </c>
      <c r="E417" s="22" t="s">
        <v>3394</v>
      </c>
      <c r="F417" s="22" t="s">
        <v>3378</v>
      </c>
      <c r="G417" s="32" t="s">
        <v>4409</v>
      </c>
      <c r="H417" s="22"/>
      <c r="I417" s="22" t="s">
        <v>3363</v>
      </c>
    </row>
    <row r="418" customFormat="false" ht="49.5" hidden="false" customHeight="true" outlineLevel="0" collapsed="false">
      <c r="A418" s="24" t="s">
        <v>808</v>
      </c>
      <c r="B418" s="32" t="s">
        <v>4462</v>
      </c>
      <c r="C418" s="22" t="s">
        <v>4463</v>
      </c>
      <c r="D418" s="32" t="s">
        <v>4464</v>
      </c>
      <c r="E418" s="22" t="s">
        <v>3394</v>
      </c>
      <c r="F418" s="22" t="s">
        <v>3378</v>
      </c>
      <c r="G418" s="32" t="s">
        <v>4409</v>
      </c>
      <c r="H418" s="22"/>
      <c r="I418" s="22" t="s">
        <v>3363</v>
      </c>
    </row>
    <row r="419" customFormat="false" ht="49.5" hidden="false" customHeight="true" outlineLevel="0" collapsed="false">
      <c r="A419" s="24" t="s">
        <v>808</v>
      </c>
      <c r="B419" s="32" t="s">
        <v>4465</v>
      </c>
      <c r="C419" s="22" t="s">
        <v>4466</v>
      </c>
      <c r="D419" s="32" t="s">
        <v>4467</v>
      </c>
      <c r="E419" s="22" t="s">
        <v>3394</v>
      </c>
      <c r="F419" s="22" t="s">
        <v>3378</v>
      </c>
      <c r="G419" s="32" t="s">
        <v>4409</v>
      </c>
      <c r="H419" s="22"/>
      <c r="I419" s="22" t="s">
        <v>3363</v>
      </c>
    </row>
    <row r="420" customFormat="false" ht="49.5" hidden="false" customHeight="true" outlineLevel="0" collapsed="false">
      <c r="A420" s="24" t="s">
        <v>808</v>
      </c>
      <c r="B420" s="32" t="s">
        <v>4468</v>
      </c>
      <c r="C420" s="22" t="s">
        <v>4469</v>
      </c>
      <c r="D420" s="32" t="s">
        <v>4470</v>
      </c>
      <c r="E420" s="22" t="s">
        <v>3394</v>
      </c>
      <c r="F420" s="22" t="s">
        <v>3378</v>
      </c>
      <c r="G420" s="32" t="s">
        <v>4409</v>
      </c>
      <c r="H420" s="22"/>
      <c r="I420" s="22" t="s">
        <v>3363</v>
      </c>
    </row>
    <row r="421" customFormat="false" ht="49.5" hidden="false" customHeight="true" outlineLevel="0" collapsed="false">
      <c r="A421" s="24" t="s">
        <v>808</v>
      </c>
      <c r="B421" s="32" t="s">
        <v>4471</v>
      </c>
      <c r="C421" s="22" t="s">
        <v>4472</v>
      </c>
      <c r="D421" s="32" t="s">
        <v>4473</v>
      </c>
      <c r="E421" s="22" t="s">
        <v>3394</v>
      </c>
      <c r="F421" s="22" t="s">
        <v>3378</v>
      </c>
      <c r="G421" s="32" t="s">
        <v>4409</v>
      </c>
      <c r="H421" s="22"/>
      <c r="I421" s="22" t="s">
        <v>3363</v>
      </c>
    </row>
    <row r="422" customFormat="false" ht="49.5" hidden="false" customHeight="true" outlineLevel="0" collapsed="false">
      <c r="A422" s="24" t="s">
        <v>808</v>
      </c>
      <c r="B422" s="32" t="s">
        <v>4474</v>
      </c>
      <c r="C422" s="22" t="s">
        <v>4475</v>
      </c>
      <c r="D422" s="32" t="s">
        <v>4476</v>
      </c>
      <c r="E422" s="22" t="s">
        <v>3394</v>
      </c>
      <c r="F422" s="22" t="s">
        <v>3378</v>
      </c>
      <c r="G422" s="32" t="s">
        <v>4409</v>
      </c>
      <c r="H422" s="22"/>
      <c r="I422" s="22" t="s">
        <v>3363</v>
      </c>
    </row>
    <row r="423" customFormat="false" ht="49.5" hidden="false" customHeight="true" outlineLevel="0" collapsed="false">
      <c r="A423" s="24" t="s">
        <v>808</v>
      </c>
      <c r="B423" s="32" t="s">
        <v>4477</v>
      </c>
      <c r="C423" s="22" t="s">
        <v>4478</v>
      </c>
      <c r="D423" s="32" t="s">
        <v>4479</v>
      </c>
      <c r="E423" s="22" t="s">
        <v>3394</v>
      </c>
      <c r="F423" s="22" t="s">
        <v>3378</v>
      </c>
      <c r="G423" s="32" t="s">
        <v>4409</v>
      </c>
      <c r="H423" s="22"/>
      <c r="I423" s="22" t="s">
        <v>3363</v>
      </c>
    </row>
    <row r="424" customFormat="false" ht="49.5" hidden="false" customHeight="true" outlineLevel="0" collapsed="false">
      <c r="A424" s="24" t="s">
        <v>808</v>
      </c>
      <c r="B424" s="32" t="s">
        <v>4480</v>
      </c>
      <c r="C424" s="22" t="s">
        <v>4481</v>
      </c>
      <c r="D424" s="32" t="s">
        <v>4482</v>
      </c>
      <c r="E424" s="22" t="s">
        <v>3394</v>
      </c>
      <c r="F424" s="22" t="s">
        <v>3378</v>
      </c>
      <c r="G424" s="32" t="s">
        <v>4409</v>
      </c>
      <c r="H424" s="22"/>
      <c r="I424" s="22" t="s">
        <v>3363</v>
      </c>
    </row>
    <row r="425" customFormat="false" ht="49.5" hidden="false" customHeight="true" outlineLevel="0" collapsed="false">
      <c r="A425" s="24" t="s">
        <v>808</v>
      </c>
      <c r="B425" s="32" t="s">
        <v>4483</v>
      </c>
      <c r="C425" s="22" t="s">
        <v>4484</v>
      </c>
      <c r="D425" s="32" t="s">
        <v>4485</v>
      </c>
      <c r="E425" s="22" t="s">
        <v>3394</v>
      </c>
      <c r="F425" s="22" t="s">
        <v>3378</v>
      </c>
      <c r="G425" s="32" t="s">
        <v>4409</v>
      </c>
      <c r="H425" s="22"/>
      <c r="I425" s="22" t="s">
        <v>3363</v>
      </c>
    </row>
    <row r="426" customFormat="false" ht="49.5" hidden="false" customHeight="true" outlineLevel="0" collapsed="false">
      <c r="A426" s="24" t="s">
        <v>808</v>
      </c>
      <c r="B426" s="32" t="s">
        <v>4486</v>
      </c>
      <c r="C426" s="22" t="s">
        <v>4487</v>
      </c>
      <c r="D426" s="32" t="s">
        <v>4488</v>
      </c>
      <c r="E426" s="22" t="s">
        <v>3394</v>
      </c>
      <c r="F426" s="22" t="s">
        <v>3378</v>
      </c>
      <c r="G426" s="32" t="s">
        <v>4409</v>
      </c>
      <c r="H426" s="22"/>
      <c r="I426" s="22" t="s">
        <v>3363</v>
      </c>
    </row>
    <row r="427" customFormat="false" ht="49.5" hidden="false" customHeight="true" outlineLevel="0" collapsed="false">
      <c r="A427" s="24" t="s">
        <v>808</v>
      </c>
      <c r="B427" s="32" t="s">
        <v>4489</v>
      </c>
      <c r="C427" s="22" t="s">
        <v>4490</v>
      </c>
      <c r="D427" s="32" t="s">
        <v>4491</v>
      </c>
      <c r="E427" s="22" t="s">
        <v>3394</v>
      </c>
      <c r="F427" s="22" t="s">
        <v>3378</v>
      </c>
      <c r="G427" s="32" t="s">
        <v>4409</v>
      </c>
      <c r="H427" s="22"/>
      <c r="I427" s="22" t="s">
        <v>3363</v>
      </c>
    </row>
    <row r="428" customFormat="false" ht="49.5" hidden="false" customHeight="true" outlineLevel="0" collapsed="false">
      <c r="A428" s="24" t="s">
        <v>808</v>
      </c>
      <c r="B428" s="32" t="s">
        <v>4492</v>
      </c>
      <c r="C428" s="22" t="s">
        <v>4493</v>
      </c>
      <c r="D428" s="32" t="s">
        <v>4494</v>
      </c>
      <c r="E428" s="22" t="s">
        <v>3394</v>
      </c>
      <c r="F428" s="22" t="s">
        <v>3378</v>
      </c>
      <c r="G428" s="32" t="s">
        <v>4409</v>
      </c>
      <c r="H428" s="22"/>
      <c r="I428" s="22" t="s">
        <v>3363</v>
      </c>
    </row>
    <row r="429" customFormat="false" ht="49.5" hidden="false" customHeight="true" outlineLevel="0" collapsed="false">
      <c r="A429" s="24" t="s">
        <v>808</v>
      </c>
      <c r="B429" s="32" t="s">
        <v>4495</v>
      </c>
      <c r="C429" s="22" t="s">
        <v>4496</v>
      </c>
      <c r="D429" s="32" t="s">
        <v>4497</v>
      </c>
      <c r="E429" s="22" t="s">
        <v>3394</v>
      </c>
      <c r="F429" s="22" t="s">
        <v>3378</v>
      </c>
      <c r="G429" s="32" t="s">
        <v>4409</v>
      </c>
      <c r="H429" s="22"/>
      <c r="I429" s="22" t="s">
        <v>3363</v>
      </c>
    </row>
    <row r="430" customFormat="false" ht="49.5" hidden="false" customHeight="true" outlineLevel="0" collapsed="false">
      <c r="A430" s="24" t="s">
        <v>808</v>
      </c>
      <c r="B430" s="32" t="s">
        <v>4498</v>
      </c>
      <c r="C430" s="22" t="s">
        <v>4499</v>
      </c>
      <c r="D430" s="32" t="s">
        <v>4500</v>
      </c>
      <c r="E430" s="22" t="s">
        <v>3394</v>
      </c>
      <c r="F430" s="22" t="s">
        <v>3378</v>
      </c>
      <c r="G430" s="32" t="s">
        <v>4409</v>
      </c>
      <c r="H430" s="22" t="s">
        <v>4501</v>
      </c>
      <c r="I430" s="22" t="s">
        <v>3363</v>
      </c>
    </row>
    <row r="431" customFormat="false" ht="49.5" hidden="false" customHeight="true" outlineLevel="0" collapsed="false">
      <c r="A431" s="24" t="s">
        <v>808</v>
      </c>
      <c r="B431" s="32" t="s">
        <v>4502</v>
      </c>
      <c r="C431" s="22" t="s">
        <v>4503</v>
      </c>
      <c r="D431" s="32" t="s">
        <v>4504</v>
      </c>
      <c r="E431" s="22" t="s">
        <v>3394</v>
      </c>
      <c r="F431" s="22" t="s">
        <v>3378</v>
      </c>
      <c r="G431" s="32" t="s">
        <v>4409</v>
      </c>
      <c r="H431" s="22"/>
      <c r="I431" s="22" t="s">
        <v>3363</v>
      </c>
    </row>
    <row r="432" customFormat="false" ht="49.5" hidden="false" customHeight="true" outlineLevel="0" collapsed="false">
      <c r="A432" s="24" t="s">
        <v>808</v>
      </c>
      <c r="B432" s="32" t="s">
        <v>4505</v>
      </c>
      <c r="C432" s="22" t="s">
        <v>4506</v>
      </c>
      <c r="D432" s="32" t="s">
        <v>4507</v>
      </c>
      <c r="E432" s="22" t="s">
        <v>3394</v>
      </c>
      <c r="F432" s="22" t="s">
        <v>3378</v>
      </c>
      <c r="G432" s="32" t="s">
        <v>4409</v>
      </c>
      <c r="H432" s="22"/>
      <c r="I432" s="22" t="s">
        <v>3363</v>
      </c>
    </row>
    <row r="433" customFormat="false" ht="62.25" hidden="false" customHeight="true" outlineLevel="0" collapsed="false">
      <c r="A433" s="24" t="s">
        <v>808</v>
      </c>
      <c r="B433" s="32" t="s">
        <v>4508</v>
      </c>
      <c r="C433" s="22" t="s">
        <v>4509</v>
      </c>
      <c r="D433" s="32" t="s">
        <v>4510</v>
      </c>
      <c r="E433" s="22" t="s">
        <v>3394</v>
      </c>
      <c r="F433" s="22" t="s">
        <v>3378</v>
      </c>
      <c r="G433" s="32" t="s">
        <v>4409</v>
      </c>
      <c r="H433" s="22" t="s">
        <v>4511</v>
      </c>
      <c r="I433" s="22" t="s">
        <v>3363</v>
      </c>
    </row>
    <row r="434" customFormat="false" ht="62.25" hidden="false" customHeight="true" outlineLevel="0" collapsed="false">
      <c r="A434" s="24" t="s">
        <v>808</v>
      </c>
      <c r="B434" s="32" t="s">
        <v>4512</v>
      </c>
      <c r="C434" s="22" t="s">
        <v>4513</v>
      </c>
      <c r="D434" s="32" t="s">
        <v>4514</v>
      </c>
      <c r="E434" s="22" t="s">
        <v>3394</v>
      </c>
      <c r="F434" s="22" t="s">
        <v>3378</v>
      </c>
      <c r="G434" s="32" t="s">
        <v>4409</v>
      </c>
      <c r="H434" s="22"/>
      <c r="I434" s="22" t="s">
        <v>3363</v>
      </c>
    </row>
    <row r="435" customFormat="false" ht="62.25" hidden="false" customHeight="true" outlineLevel="0" collapsed="false">
      <c r="A435" s="24" t="s">
        <v>808</v>
      </c>
      <c r="B435" s="32" t="s">
        <v>4515</v>
      </c>
      <c r="C435" s="22" t="s">
        <v>4516</v>
      </c>
      <c r="D435" s="32" t="s">
        <v>4517</v>
      </c>
      <c r="E435" s="22" t="s">
        <v>3394</v>
      </c>
      <c r="F435" s="22" t="s">
        <v>3378</v>
      </c>
      <c r="G435" s="32" t="s">
        <v>4409</v>
      </c>
      <c r="H435" s="22"/>
      <c r="I435" s="22" t="s">
        <v>3363</v>
      </c>
    </row>
    <row r="436" customFormat="false" ht="49.5" hidden="false" customHeight="true" outlineLevel="0" collapsed="false">
      <c r="A436" s="24" t="s">
        <v>808</v>
      </c>
      <c r="B436" s="32" t="s">
        <v>4518</v>
      </c>
      <c r="C436" s="22" t="s">
        <v>4519</v>
      </c>
      <c r="D436" s="32" t="s">
        <v>4520</v>
      </c>
      <c r="E436" s="22" t="s">
        <v>3394</v>
      </c>
      <c r="F436" s="22" t="s">
        <v>3378</v>
      </c>
      <c r="G436" s="32" t="s">
        <v>4409</v>
      </c>
      <c r="H436" s="22"/>
      <c r="I436" s="22" t="s">
        <v>3363</v>
      </c>
    </row>
    <row r="437" customFormat="false" ht="49.5" hidden="false" customHeight="true" outlineLevel="0" collapsed="false">
      <c r="A437" s="24" t="s">
        <v>808</v>
      </c>
      <c r="B437" s="32" t="s">
        <v>4521</v>
      </c>
      <c r="C437" s="22" t="s">
        <v>4522</v>
      </c>
      <c r="D437" s="32" t="s">
        <v>4523</v>
      </c>
      <c r="E437" s="22" t="s">
        <v>3394</v>
      </c>
      <c r="F437" s="22" t="s">
        <v>3378</v>
      </c>
      <c r="G437" s="32" t="s">
        <v>4409</v>
      </c>
      <c r="H437" s="22"/>
      <c r="I437" s="22" t="s">
        <v>3363</v>
      </c>
    </row>
    <row r="438" customFormat="false" ht="49.5" hidden="false" customHeight="true" outlineLevel="0" collapsed="false">
      <c r="A438" s="24" t="s">
        <v>808</v>
      </c>
      <c r="B438" s="32" t="s">
        <v>4524</v>
      </c>
      <c r="C438" s="22" t="s">
        <v>4525</v>
      </c>
      <c r="D438" s="32" t="s">
        <v>4526</v>
      </c>
      <c r="E438" s="22" t="s">
        <v>3394</v>
      </c>
      <c r="F438" s="22" t="s">
        <v>3378</v>
      </c>
      <c r="G438" s="32" t="s">
        <v>4409</v>
      </c>
      <c r="H438" s="22"/>
      <c r="I438" s="22" t="s">
        <v>3363</v>
      </c>
    </row>
    <row r="439" customFormat="false" ht="49.5" hidden="false" customHeight="true" outlineLevel="0" collapsed="false">
      <c r="A439" s="24" t="s">
        <v>808</v>
      </c>
      <c r="B439" s="32" t="s">
        <v>4527</v>
      </c>
      <c r="C439" s="22" t="s">
        <v>4528</v>
      </c>
      <c r="D439" s="32" t="s">
        <v>4529</v>
      </c>
      <c r="E439" s="22" t="s">
        <v>3394</v>
      </c>
      <c r="F439" s="22" t="s">
        <v>3378</v>
      </c>
      <c r="G439" s="32" t="s">
        <v>4409</v>
      </c>
      <c r="H439" s="22"/>
      <c r="I439" s="22" t="s">
        <v>3363</v>
      </c>
    </row>
    <row r="440" customFormat="false" ht="49.5" hidden="false" customHeight="true" outlineLevel="0" collapsed="false">
      <c r="A440" s="24" t="s">
        <v>808</v>
      </c>
      <c r="B440" s="32" t="s">
        <v>4530</v>
      </c>
      <c r="C440" s="22" t="s">
        <v>4531</v>
      </c>
      <c r="D440" s="32" t="s">
        <v>4532</v>
      </c>
      <c r="E440" s="22" t="s">
        <v>3394</v>
      </c>
      <c r="F440" s="22" t="s">
        <v>3378</v>
      </c>
      <c r="G440" s="32" t="s">
        <v>4409</v>
      </c>
      <c r="H440" s="22"/>
      <c r="I440" s="22" t="s">
        <v>3363</v>
      </c>
    </row>
    <row r="441" customFormat="false" ht="49.5" hidden="false" customHeight="true" outlineLevel="0" collapsed="false">
      <c r="A441" s="24" t="s">
        <v>808</v>
      </c>
      <c r="B441" s="32" t="s">
        <v>4533</v>
      </c>
      <c r="C441" s="22" t="s">
        <v>4534</v>
      </c>
      <c r="D441" s="32" t="s">
        <v>4535</v>
      </c>
      <c r="E441" s="22" t="s">
        <v>3394</v>
      </c>
      <c r="F441" s="22" t="s">
        <v>3378</v>
      </c>
      <c r="G441" s="32" t="s">
        <v>4409</v>
      </c>
      <c r="H441" s="22" t="s">
        <v>4536</v>
      </c>
      <c r="I441" s="22" t="s">
        <v>3363</v>
      </c>
    </row>
    <row r="442" customFormat="false" ht="49.5" hidden="false" customHeight="true" outlineLevel="0" collapsed="false">
      <c r="A442" s="24" t="s">
        <v>808</v>
      </c>
      <c r="B442" s="32" t="s">
        <v>4537</v>
      </c>
      <c r="C442" s="22" t="s">
        <v>4538</v>
      </c>
      <c r="D442" s="32" t="s">
        <v>4539</v>
      </c>
      <c r="E442" s="22" t="s">
        <v>3394</v>
      </c>
      <c r="F442" s="22" t="s">
        <v>3378</v>
      </c>
      <c r="G442" s="32" t="s">
        <v>4409</v>
      </c>
      <c r="H442" s="22"/>
      <c r="I442" s="22" t="s">
        <v>3363</v>
      </c>
    </row>
    <row r="443" customFormat="false" ht="49.5" hidden="false" customHeight="true" outlineLevel="0" collapsed="false">
      <c r="A443" s="24" t="s">
        <v>808</v>
      </c>
      <c r="B443" s="32" t="s">
        <v>4540</v>
      </c>
      <c r="C443" s="22" t="s">
        <v>4541</v>
      </c>
      <c r="D443" s="32" t="s">
        <v>4542</v>
      </c>
      <c r="E443" s="22" t="s">
        <v>3394</v>
      </c>
      <c r="F443" s="22" t="s">
        <v>3378</v>
      </c>
      <c r="G443" s="32" t="s">
        <v>4409</v>
      </c>
      <c r="H443" s="22"/>
      <c r="I443" s="22" t="s">
        <v>3363</v>
      </c>
    </row>
    <row r="444" customFormat="false" ht="49.5" hidden="false" customHeight="true" outlineLevel="0" collapsed="false">
      <c r="A444" s="24" t="s">
        <v>808</v>
      </c>
      <c r="B444" s="32" t="s">
        <v>4543</v>
      </c>
      <c r="C444" s="22" t="s">
        <v>4544</v>
      </c>
      <c r="D444" s="32" t="s">
        <v>4545</v>
      </c>
      <c r="E444" s="22" t="s">
        <v>3394</v>
      </c>
      <c r="F444" s="22" t="s">
        <v>3378</v>
      </c>
      <c r="G444" s="32" t="s">
        <v>4409</v>
      </c>
      <c r="H444" s="22"/>
      <c r="I444" s="22" t="s">
        <v>3363</v>
      </c>
    </row>
    <row r="445" customFormat="false" ht="49.5" hidden="false" customHeight="true" outlineLevel="0" collapsed="false">
      <c r="A445" s="24" t="s">
        <v>808</v>
      </c>
      <c r="B445" s="32" t="s">
        <v>4546</v>
      </c>
      <c r="C445" s="22" t="s">
        <v>4547</v>
      </c>
      <c r="D445" s="32" t="s">
        <v>4548</v>
      </c>
      <c r="E445" s="22" t="s">
        <v>3394</v>
      </c>
      <c r="F445" s="22" t="s">
        <v>3378</v>
      </c>
      <c r="G445" s="32" t="s">
        <v>4409</v>
      </c>
      <c r="H445" s="22"/>
      <c r="I445" s="22" t="s">
        <v>3363</v>
      </c>
    </row>
    <row r="446" customFormat="false" ht="49.5" hidden="false" customHeight="true" outlineLevel="0" collapsed="false">
      <c r="A446" s="24" t="s">
        <v>808</v>
      </c>
      <c r="B446" s="32" t="s">
        <v>4549</v>
      </c>
      <c r="C446" s="22" t="s">
        <v>4550</v>
      </c>
      <c r="D446" s="32" t="s">
        <v>4551</v>
      </c>
      <c r="E446" s="22" t="s">
        <v>3394</v>
      </c>
      <c r="F446" s="22" t="s">
        <v>3378</v>
      </c>
      <c r="G446" s="32" t="s">
        <v>4409</v>
      </c>
      <c r="H446" s="22"/>
      <c r="I446" s="22" t="s">
        <v>3363</v>
      </c>
    </row>
    <row r="447" customFormat="false" ht="49.5" hidden="false" customHeight="true" outlineLevel="0" collapsed="false">
      <c r="A447" s="24" t="s">
        <v>808</v>
      </c>
      <c r="B447" s="32" t="s">
        <v>4552</v>
      </c>
      <c r="C447" s="22" t="s">
        <v>4553</v>
      </c>
      <c r="D447" s="32" t="s">
        <v>4554</v>
      </c>
      <c r="E447" s="22" t="s">
        <v>3394</v>
      </c>
      <c r="F447" s="22" t="s">
        <v>3378</v>
      </c>
      <c r="G447" s="32" t="s">
        <v>4409</v>
      </c>
      <c r="H447" s="22" t="s">
        <v>4555</v>
      </c>
      <c r="I447" s="22" t="s">
        <v>3363</v>
      </c>
    </row>
    <row r="448" customFormat="false" ht="49.5" hidden="false" customHeight="true" outlineLevel="0" collapsed="false">
      <c r="A448" s="24" t="s">
        <v>808</v>
      </c>
      <c r="B448" s="32" t="s">
        <v>4556</v>
      </c>
      <c r="C448" s="22" t="s">
        <v>4557</v>
      </c>
      <c r="D448" s="32" t="s">
        <v>4558</v>
      </c>
      <c r="E448" s="22" t="s">
        <v>3394</v>
      </c>
      <c r="F448" s="22" t="s">
        <v>3378</v>
      </c>
      <c r="G448" s="32" t="s">
        <v>4409</v>
      </c>
      <c r="H448" s="22" t="s">
        <v>4555</v>
      </c>
      <c r="I448" s="22" t="s">
        <v>3363</v>
      </c>
    </row>
    <row r="449" customFormat="false" ht="49.5" hidden="false" customHeight="true" outlineLevel="0" collapsed="false">
      <c r="A449" s="24" t="s">
        <v>808</v>
      </c>
      <c r="B449" s="32" t="s">
        <v>4559</v>
      </c>
      <c r="C449" s="22" t="s">
        <v>4560</v>
      </c>
      <c r="D449" s="32" t="s">
        <v>4561</v>
      </c>
      <c r="E449" s="22" t="s">
        <v>3394</v>
      </c>
      <c r="F449" s="22" t="s">
        <v>3378</v>
      </c>
      <c r="G449" s="32" t="s">
        <v>4409</v>
      </c>
      <c r="H449" s="22" t="s">
        <v>4555</v>
      </c>
      <c r="I449" s="22" t="s">
        <v>3363</v>
      </c>
    </row>
    <row r="450" customFormat="false" ht="49.5" hidden="false" customHeight="true" outlineLevel="0" collapsed="false">
      <c r="A450" s="24" t="s">
        <v>808</v>
      </c>
      <c r="B450" s="32" t="s">
        <v>4562</v>
      </c>
      <c r="C450" s="22" t="s">
        <v>4563</v>
      </c>
      <c r="D450" s="32" t="s">
        <v>4564</v>
      </c>
      <c r="E450" s="22" t="s">
        <v>3394</v>
      </c>
      <c r="F450" s="22" t="s">
        <v>3378</v>
      </c>
      <c r="G450" s="32" t="s">
        <v>4409</v>
      </c>
      <c r="H450" s="22" t="s">
        <v>4555</v>
      </c>
      <c r="I450" s="22" t="s">
        <v>3363</v>
      </c>
    </row>
    <row r="451" customFormat="false" ht="49.5" hidden="false" customHeight="true" outlineLevel="0" collapsed="false">
      <c r="A451" s="24" t="s">
        <v>808</v>
      </c>
      <c r="B451" s="32" t="s">
        <v>4565</v>
      </c>
      <c r="C451" s="22" t="s">
        <v>4566</v>
      </c>
      <c r="D451" s="32" t="s">
        <v>4567</v>
      </c>
      <c r="E451" s="22" t="s">
        <v>3394</v>
      </c>
      <c r="F451" s="22" t="s">
        <v>3378</v>
      </c>
      <c r="G451" s="32" t="s">
        <v>4409</v>
      </c>
      <c r="H451" s="22" t="s">
        <v>4555</v>
      </c>
      <c r="I451" s="22" t="s">
        <v>3363</v>
      </c>
    </row>
    <row r="452" customFormat="false" ht="49.5" hidden="false" customHeight="true" outlineLevel="0" collapsed="false">
      <c r="A452" s="24" t="s">
        <v>808</v>
      </c>
      <c r="B452" s="32" t="s">
        <v>4568</v>
      </c>
      <c r="C452" s="22" t="s">
        <v>4569</v>
      </c>
      <c r="D452" s="32" t="s">
        <v>4570</v>
      </c>
      <c r="E452" s="22" t="s">
        <v>3394</v>
      </c>
      <c r="F452" s="22" t="s">
        <v>3378</v>
      </c>
      <c r="G452" s="32" t="s">
        <v>4409</v>
      </c>
      <c r="H452" s="22" t="s">
        <v>4555</v>
      </c>
      <c r="I452" s="22" t="s">
        <v>3363</v>
      </c>
    </row>
    <row r="453" customFormat="false" ht="49.5" hidden="false" customHeight="true" outlineLevel="0" collapsed="false">
      <c r="A453" s="24" t="s">
        <v>808</v>
      </c>
      <c r="B453" s="32" t="s">
        <v>4571</v>
      </c>
      <c r="C453" s="22" t="s">
        <v>4572</v>
      </c>
      <c r="D453" s="32" t="s">
        <v>4573</v>
      </c>
      <c r="E453" s="22" t="s">
        <v>3394</v>
      </c>
      <c r="F453" s="22" t="s">
        <v>3378</v>
      </c>
      <c r="G453" s="32" t="s">
        <v>4409</v>
      </c>
      <c r="H453" s="22" t="s">
        <v>4555</v>
      </c>
      <c r="I453" s="22" t="s">
        <v>3363</v>
      </c>
    </row>
    <row r="454" customFormat="false" ht="49.5" hidden="false" customHeight="true" outlineLevel="0" collapsed="false">
      <c r="A454" s="24" t="s">
        <v>808</v>
      </c>
      <c r="B454" s="32" t="s">
        <v>4574</v>
      </c>
      <c r="C454" s="22" t="s">
        <v>4575</v>
      </c>
      <c r="D454" s="32" t="s">
        <v>4576</v>
      </c>
      <c r="E454" s="22" t="s">
        <v>3394</v>
      </c>
      <c r="F454" s="22" t="s">
        <v>3378</v>
      </c>
      <c r="G454" s="32" t="s">
        <v>4409</v>
      </c>
      <c r="H454" s="22" t="s">
        <v>4555</v>
      </c>
      <c r="I454" s="22" t="s">
        <v>3363</v>
      </c>
    </row>
    <row r="455" customFormat="false" ht="49.5" hidden="false" customHeight="true" outlineLevel="0" collapsed="false">
      <c r="A455" s="24" t="s">
        <v>808</v>
      </c>
      <c r="B455" s="32" t="s">
        <v>4577</v>
      </c>
      <c r="C455" s="22" t="s">
        <v>4578</v>
      </c>
      <c r="D455" s="32" t="s">
        <v>4579</v>
      </c>
      <c r="E455" s="22" t="s">
        <v>3394</v>
      </c>
      <c r="F455" s="22" t="s">
        <v>3378</v>
      </c>
      <c r="G455" s="32" t="s">
        <v>4409</v>
      </c>
      <c r="H455" s="22" t="s">
        <v>4555</v>
      </c>
      <c r="I455" s="22" t="s">
        <v>3363</v>
      </c>
    </row>
    <row r="456" customFormat="false" ht="49.5" hidden="false" customHeight="true" outlineLevel="0" collapsed="false">
      <c r="A456" s="24" t="s">
        <v>808</v>
      </c>
      <c r="B456" s="32" t="s">
        <v>4580</v>
      </c>
      <c r="C456" s="22" t="s">
        <v>4581</v>
      </c>
      <c r="D456" s="32" t="s">
        <v>4582</v>
      </c>
      <c r="E456" s="22" t="s">
        <v>3394</v>
      </c>
      <c r="F456" s="22" t="s">
        <v>3378</v>
      </c>
      <c r="G456" s="32" t="s">
        <v>4409</v>
      </c>
      <c r="H456" s="22" t="s">
        <v>4555</v>
      </c>
      <c r="I456" s="22" t="s">
        <v>3363</v>
      </c>
    </row>
    <row r="457" customFormat="false" ht="49.5" hidden="false" customHeight="true" outlineLevel="0" collapsed="false">
      <c r="A457" s="24" t="s">
        <v>808</v>
      </c>
      <c r="B457" s="32" t="s">
        <v>4583</v>
      </c>
      <c r="C457" s="22" t="s">
        <v>4584</v>
      </c>
      <c r="D457" s="32" t="s">
        <v>4585</v>
      </c>
      <c r="E457" s="22" t="s">
        <v>3394</v>
      </c>
      <c r="F457" s="22" t="s">
        <v>3378</v>
      </c>
      <c r="G457" s="32" t="s">
        <v>4409</v>
      </c>
      <c r="H457" s="22" t="s">
        <v>4555</v>
      </c>
      <c r="I457" s="22" t="s">
        <v>3363</v>
      </c>
    </row>
    <row r="458" customFormat="false" ht="49.5" hidden="false" customHeight="true" outlineLevel="0" collapsed="false">
      <c r="A458" s="24" t="s">
        <v>808</v>
      </c>
      <c r="B458" s="32" t="s">
        <v>4586</v>
      </c>
      <c r="C458" s="22" t="s">
        <v>4587</v>
      </c>
      <c r="D458" s="32" t="s">
        <v>4588</v>
      </c>
      <c r="E458" s="22" t="s">
        <v>3394</v>
      </c>
      <c r="F458" s="22" t="s">
        <v>3378</v>
      </c>
      <c r="G458" s="32" t="s">
        <v>4409</v>
      </c>
      <c r="H458" s="22" t="s">
        <v>4555</v>
      </c>
      <c r="I458" s="22" t="s">
        <v>3363</v>
      </c>
    </row>
    <row r="459" customFormat="false" ht="49.5" hidden="false" customHeight="true" outlineLevel="0" collapsed="false">
      <c r="A459" s="24" t="s">
        <v>808</v>
      </c>
      <c r="B459" s="32" t="s">
        <v>4589</v>
      </c>
      <c r="C459" s="22" t="s">
        <v>4590</v>
      </c>
      <c r="D459" s="32" t="s">
        <v>4591</v>
      </c>
      <c r="E459" s="22" t="s">
        <v>3394</v>
      </c>
      <c r="F459" s="22" t="s">
        <v>3378</v>
      </c>
      <c r="G459" s="32" t="s">
        <v>4409</v>
      </c>
      <c r="H459" s="22" t="s">
        <v>4501</v>
      </c>
      <c r="I459" s="22" t="s">
        <v>3363</v>
      </c>
    </row>
    <row r="460" customFormat="false" ht="49.5" hidden="false" customHeight="true" outlineLevel="0" collapsed="false">
      <c r="A460" s="24" t="s">
        <v>808</v>
      </c>
      <c r="B460" s="32" t="s">
        <v>4592</v>
      </c>
      <c r="C460" s="22" t="s">
        <v>4593</v>
      </c>
      <c r="D460" s="32" t="s">
        <v>4594</v>
      </c>
      <c r="E460" s="22" t="s">
        <v>3394</v>
      </c>
      <c r="F460" s="22" t="s">
        <v>3378</v>
      </c>
      <c r="G460" s="32" t="s">
        <v>4409</v>
      </c>
      <c r="H460" s="22"/>
      <c r="I460" s="22" t="s">
        <v>3363</v>
      </c>
    </row>
    <row r="461" customFormat="false" ht="62.25" hidden="false" customHeight="true" outlineLevel="0" collapsed="false">
      <c r="A461" s="24" t="s">
        <v>808</v>
      </c>
      <c r="B461" s="32" t="s">
        <v>4595</v>
      </c>
      <c r="C461" s="22" t="s">
        <v>4596</v>
      </c>
      <c r="D461" s="32" t="s">
        <v>4597</v>
      </c>
      <c r="E461" s="22" t="s">
        <v>3394</v>
      </c>
      <c r="F461" s="22" t="s">
        <v>3378</v>
      </c>
      <c r="G461" s="32" t="s">
        <v>4409</v>
      </c>
      <c r="H461" s="22"/>
      <c r="I461" s="22" t="s">
        <v>3363</v>
      </c>
    </row>
    <row r="462" customFormat="false" ht="49.5" hidden="false" customHeight="true" outlineLevel="0" collapsed="false">
      <c r="A462" s="24" t="s">
        <v>808</v>
      </c>
      <c r="B462" s="32" t="s">
        <v>4598</v>
      </c>
      <c r="C462" s="22" t="s">
        <v>4599</v>
      </c>
      <c r="D462" s="32" t="s">
        <v>4600</v>
      </c>
      <c r="E462" s="22" t="s">
        <v>3394</v>
      </c>
      <c r="F462" s="22" t="s">
        <v>3378</v>
      </c>
      <c r="G462" s="32" t="s">
        <v>4409</v>
      </c>
      <c r="H462" s="22" t="s">
        <v>4601</v>
      </c>
      <c r="I462" s="22" t="s">
        <v>3363</v>
      </c>
    </row>
    <row r="463" customFormat="false" ht="49.5" hidden="false" customHeight="true" outlineLevel="0" collapsed="false">
      <c r="A463" s="24" t="s">
        <v>808</v>
      </c>
      <c r="B463" s="32" t="s">
        <v>4602</v>
      </c>
      <c r="C463" s="22" t="s">
        <v>4603</v>
      </c>
      <c r="D463" s="32" t="s">
        <v>4604</v>
      </c>
      <c r="E463" s="22" t="s">
        <v>3394</v>
      </c>
      <c r="F463" s="22" t="s">
        <v>3378</v>
      </c>
      <c r="G463" s="32" t="s">
        <v>4409</v>
      </c>
      <c r="H463" s="22"/>
      <c r="I463" s="22" t="s">
        <v>3363</v>
      </c>
    </row>
    <row r="464" customFormat="false" ht="49.5" hidden="false" customHeight="true" outlineLevel="0" collapsed="false">
      <c r="A464" s="24" t="s">
        <v>808</v>
      </c>
      <c r="B464" s="32" t="s">
        <v>4605</v>
      </c>
      <c r="C464" s="22" t="s">
        <v>4606</v>
      </c>
      <c r="D464" s="32" t="s">
        <v>4607</v>
      </c>
      <c r="E464" s="22" t="s">
        <v>3394</v>
      </c>
      <c r="F464" s="22" t="s">
        <v>3378</v>
      </c>
      <c r="G464" s="32" t="s">
        <v>4409</v>
      </c>
      <c r="H464" s="22"/>
      <c r="I464" s="22" t="s">
        <v>3363</v>
      </c>
    </row>
    <row r="465" customFormat="false" ht="49.5" hidden="false" customHeight="true" outlineLevel="0" collapsed="false">
      <c r="A465" s="24" t="s">
        <v>808</v>
      </c>
      <c r="B465" s="32" t="s">
        <v>4608</v>
      </c>
      <c r="C465" s="22" t="s">
        <v>4609</v>
      </c>
      <c r="D465" s="32" t="s">
        <v>4610</v>
      </c>
      <c r="E465" s="22" t="s">
        <v>3394</v>
      </c>
      <c r="F465" s="22" t="s">
        <v>3378</v>
      </c>
      <c r="G465" s="32" t="s">
        <v>4409</v>
      </c>
      <c r="H465" s="22" t="s">
        <v>4611</v>
      </c>
      <c r="I465" s="22" t="s">
        <v>3363</v>
      </c>
    </row>
    <row r="466" customFormat="false" ht="49.5" hidden="false" customHeight="true" outlineLevel="0" collapsed="false">
      <c r="A466" s="24" t="s">
        <v>808</v>
      </c>
      <c r="B466" s="32" t="s">
        <v>4612</v>
      </c>
      <c r="C466" s="22" t="s">
        <v>4613</v>
      </c>
      <c r="D466" s="32" t="s">
        <v>4614</v>
      </c>
      <c r="E466" s="22" t="s">
        <v>3394</v>
      </c>
      <c r="F466" s="22" t="s">
        <v>3378</v>
      </c>
      <c r="G466" s="32" t="s">
        <v>4409</v>
      </c>
      <c r="H466" s="22"/>
      <c r="I466" s="22" t="s">
        <v>3363</v>
      </c>
    </row>
    <row r="467" customFormat="false" ht="49.5" hidden="false" customHeight="true" outlineLevel="0" collapsed="false">
      <c r="A467" s="24" t="s">
        <v>808</v>
      </c>
      <c r="B467" s="32" t="s">
        <v>4615</v>
      </c>
      <c r="C467" s="22" t="s">
        <v>4616</v>
      </c>
      <c r="D467" s="32" t="s">
        <v>4617</v>
      </c>
      <c r="E467" s="22" t="s">
        <v>3394</v>
      </c>
      <c r="F467" s="22" t="s">
        <v>3378</v>
      </c>
      <c r="G467" s="32" t="s">
        <v>4409</v>
      </c>
      <c r="H467" s="22"/>
      <c r="I467" s="22" t="s">
        <v>3363</v>
      </c>
    </row>
    <row r="468" customFormat="false" ht="49.5" hidden="false" customHeight="true" outlineLevel="0" collapsed="false">
      <c r="A468" s="24" t="s">
        <v>808</v>
      </c>
      <c r="B468" s="32" t="s">
        <v>4618</v>
      </c>
      <c r="C468" s="22" t="s">
        <v>4619</v>
      </c>
      <c r="D468" s="32" t="s">
        <v>4620</v>
      </c>
      <c r="E468" s="22" t="s">
        <v>3394</v>
      </c>
      <c r="F468" s="22" t="s">
        <v>3378</v>
      </c>
      <c r="G468" s="32" t="s">
        <v>4409</v>
      </c>
      <c r="H468" s="22"/>
      <c r="I468" s="22" t="s">
        <v>3363</v>
      </c>
    </row>
    <row r="469" customFormat="false" ht="49.5" hidden="false" customHeight="true" outlineLevel="0" collapsed="false">
      <c r="A469" s="24" t="s">
        <v>808</v>
      </c>
      <c r="B469" s="32" t="s">
        <v>4621</v>
      </c>
      <c r="C469" s="22" t="s">
        <v>4622</v>
      </c>
      <c r="D469" s="32" t="s">
        <v>4623</v>
      </c>
      <c r="E469" s="22" t="s">
        <v>3394</v>
      </c>
      <c r="F469" s="22" t="s">
        <v>3378</v>
      </c>
      <c r="G469" s="32" t="s">
        <v>4409</v>
      </c>
      <c r="H469" s="22"/>
      <c r="I469" s="22" t="s">
        <v>3363</v>
      </c>
    </row>
    <row r="470" customFormat="false" ht="49.5" hidden="false" customHeight="true" outlineLevel="0" collapsed="false">
      <c r="A470" s="24" t="s">
        <v>808</v>
      </c>
      <c r="B470" s="32" t="s">
        <v>4624</v>
      </c>
      <c r="C470" s="22" t="s">
        <v>4625</v>
      </c>
      <c r="D470" s="32" t="s">
        <v>4626</v>
      </c>
      <c r="E470" s="22" t="s">
        <v>3394</v>
      </c>
      <c r="F470" s="22" t="s">
        <v>3378</v>
      </c>
      <c r="G470" s="32" t="s">
        <v>4409</v>
      </c>
      <c r="H470" s="22"/>
      <c r="I470" s="22" t="s">
        <v>3363</v>
      </c>
    </row>
    <row r="471" customFormat="false" ht="49.5" hidden="false" customHeight="true" outlineLevel="0" collapsed="false">
      <c r="A471" s="24" t="s">
        <v>808</v>
      </c>
      <c r="B471" s="32" t="s">
        <v>4627</v>
      </c>
      <c r="C471" s="22" t="s">
        <v>4628</v>
      </c>
      <c r="D471" s="32" t="s">
        <v>4629</v>
      </c>
      <c r="E471" s="22" t="s">
        <v>3394</v>
      </c>
      <c r="F471" s="22" t="s">
        <v>3360</v>
      </c>
      <c r="G471" s="32" t="s">
        <v>3395</v>
      </c>
      <c r="H471" s="22" t="s">
        <v>4630</v>
      </c>
      <c r="I471" s="22" t="s">
        <v>3363</v>
      </c>
    </row>
    <row r="472" customFormat="false" ht="49.5" hidden="false" customHeight="true" outlineLevel="0" collapsed="false">
      <c r="A472" s="24" t="s">
        <v>808</v>
      </c>
      <c r="B472" s="32" t="s">
        <v>4631</v>
      </c>
      <c r="C472" s="22" t="s">
        <v>4632</v>
      </c>
      <c r="D472" s="32" t="s">
        <v>4629</v>
      </c>
      <c r="E472" s="22" t="s">
        <v>3394</v>
      </c>
      <c r="F472" s="22" t="s">
        <v>3360</v>
      </c>
      <c r="G472" s="32" t="s">
        <v>3395</v>
      </c>
      <c r="H472" s="22" t="s">
        <v>4630</v>
      </c>
      <c r="I472" s="22" t="s">
        <v>3363</v>
      </c>
    </row>
    <row r="473" customFormat="false" ht="49.5" hidden="false" customHeight="true" outlineLevel="0" collapsed="false">
      <c r="A473" s="24" t="s">
        <v>808</v>
      </c>
      <c r="B473" s="32" t="s">
        <v>4633</v>
      </c>
      <c r="C473" s="22" t="s">
        <v>4634</v>
      </c>
      <c r="D473" s="32" t="s">
        <v>4629</v>
      </c>
      <c r="E473" s="22" t="s">
        <v>3394</v>
      </c>
      <c r="F473" s="22" t="s">
        <v>3360</v>
      </c>
      <c r="G473" s="32" t="s">
        <v>3395</v>
      </c>
      <c r="H473" s="22" t="s">
        <v>4630</v>
      </c>
      <c r="I473" s="22" t="s">
        <v>3363</v>
      </c>
    </row>
    <row r="474" customFormat="false" ht="49.5" hidden="false" customHeight="true" outlineLevel="0" collapsed="false">
      <c r="A474" s="24" t="s">
        <v>808</v>
      </c>
      <c r="B474" s="32" t="s">
        <v>4635</v>
      </c>
      <c r="C474" s="22" t="s">
        <v>4636</v>
      </c>
      <c r="D474" s="32" t="s">
        <v>4629</v>
      </c>
      <c r="E474" s="22" t="s">
        <v>3394</v>
      </c>
      <c r="F474" s="22" t="s">
        <v>3378</v>
      </c>
      <c r="G474" s="32" t="s">
        <v>3395</v>
      </c>
      <c r="H474" s="22" t="s">
        <v>4630</v>
      </c>
      <c r="I474" s="22" t="s">
        <v>3363</v>
      </c>
    </row>
    <row r="475" customFormat="false" ht="49.5" hidden="false" customHeight="true" outlineLevel="0" collapsed="false">
      <c r="A475" s="24" t="s">
        <v>808</v>
      </c>
      <c r="B475" s="32" t="s">
        <v>4637</v>
      </c>
      <c r="C475" s="22" t="s">
        <v>4638</v>
      </c>
      <c r="D475" s="32" t="s">
        <v>4629</v>
      </c>
      <c r="E475" s="22" t="s">
        <v>3394</v>
      </c>
      <c r="F475" s="22" t="s">
        <v>3378</v>
      </c>
      <c r="G475" s="32" t="s">
        <v>3395</v>
      </c>
      <c r="H475" s="22" t="s">
        <v>4630</v>
      </c>
      <c r="I475" s="22" t="s">
        <v>3363</v>
      </c>
    </row>
    <row r="476" customFormat="false" ht="49.5" hidden="false" customHeight="true" outlineLevel="0" collapsed="false">
      <c r="A476" s="24" t="s">
        <v>808</v>
      </c>
      <c r="B476" s="32" t="s">
        <v>4639</v>
      </c>
      <c r="C476" s="22" t="s">
        <v>4640</v>
      </c>
      <c r="D476" s="32" t="s">
        <v>4629</v>
      </c>
      <c r="E476" s="22" t="s">
        <v>3394</v>
      </c>
      <c r="F476" s="22" t="s">
        <v>3378</v>
      </c>
      <c r="G476" s="32" t="s">
        <v>3395</v>
      </c>
      <c r="H476" s="22" t="s">
        <v>4630</v>
      </c>
      <c r="I476" s="22" t="s">
        <v>3363</v>
      </c>
    </row>
    <row r="477" customFormat="false" ht="49.5" hidden="false" customHeight="true" outlineLevel="0" collapsed="false">
      <c r="A477" s="24" t="s">
        <v>808</v>
      </c>
      <c r="B477" s="32" t="s">
        <v>4641</v>
      </c>
      <c r="C477" s="22" t="s">
        <v>4642</v>
      </c>
      <c r="D477" s="32" t="s">
        <v>4629</v>
      </c>
      <c r="E477" s="22" t="s">
        <v>3394</v>
      </c>
      <c r="F477" s="22" t="s">
        <v>3378</v>
      </c>
      <c r="G477" s="32" t="s">
        <v>3395</v>
      </c>
      <c r="H477" s="22" t="s">
        <v>4630</v>
      </c>
      <c r="I477" s="22" t="s">
        <v>3363</v>
      </c>
    </row>
    <row r="478" customFormat="false" ht="49.5" hidden="false" customHeight="true" outlineLevel="0" collapsed="false">
      <c r="A478" s="24" t="s">
        <v>808</v>
      </c>
      <c r="B478" s="32" t="s">
        <v>4643</v>
      </c>
      <c r="C478" s="22" t="s">
        <v>4644</v>
      </c>
      <c r="D478" s="32" t="s">
        <v>4629</v>
      </c>
      <c r="E478" s="22" t="s">
        <v>3394</v>
      </c>
      <c r="F478" s="22" t="s">
        <v>3378</v>
      </c>
      <c r="G478" s="32" t="s">
        <v>3395</v>
      </c>
      <c r="H478" s="22" t="s">
        <v>4630</v>
      </c>
      <c r="I478" s="22" t="s">
        <v>3363</v>
      </c>
    </row>
    <row r="479" customFormat="false" ht="49.5" hidden="false" customHeight="true" outlineLevel="0" collapsed="false">
      <c r="A479" s="24" t="s">
        <v>808</v>
      </c>
      <c r="B479" s="32" t="s">
        <v>4645</v>
      </c>
      <c r="C479" s="22" t="s">
        <v>4646</v>
      </c>
      <c r="D479" s="32" t="s">
        <v>4647</v>
      </c>
      <c r="E479" s="22" t="s">
        <v>3394</v>
      </c>
      <c r="F479" s="22" t="s">
        <v>3378</v>
      </c>
      <c r="G479" s="32" t="s">
        <v>4409</v>
      </c>
      <c r="H479" s="22"/>
      <c r="I479" s="22" t="s">
        <v>3363</v>
      </c>
    </row>
    <row r="480" customFormat="false" ht="49.5" hidden="false" customHeight="true" outlineLevel="0" collapsed="false">
      <c r="A480" s="24" t="s">
        <v>808</v>
      </c>
      <c r="B480" s="32" t="s">
        <v>4648</v>
      </c>
      <c r="C480" s="22" t="s">
        <v>4649</v>
      </c>
      <c r="D480" s="32" t="s">
        <v>4650</v>
      </c>
      <c r="E480" s="22" t="s">
        <v>3394</v>
      </c>
      <c r="F480" s="22" t="s">
        <v>3378</v>
      </c>
      <c r="G480" s="32" t="s">
        <v>4409</v>
      </c>
      <c r="H480" s="22"/>
      <c r="I480" s="22" t="s">
        <v>3363</v>
      </c>
    </row>
    <row r="481" customFormat="false" ht="49.5" hidden="false" customHeight="true" outlineLevel="0" collapsed="false">
      <c r="A481" s="24" t="s">
        <v>808</v>
      </c>
      <c r="B481" s="32" t="s">
        <v>4651</v>
      </c>
      <c r="C481" s="22" t="s">
        <v>4652</v>
      </c>
      <c r="D481" s="32" t="s">
        <v>4653</v>
      </c>
      <c r="E481" s="22" t="s">
        <v>3394</v>
      </c>
      <c r="F481" s="22" t="s">
        <v>3378</v>
      </c>
      <c r="G481" s="32" t="s">
        <v>4409</v>
      </c>
      <c r="H481" s="22"/>
      <c r="I481" s="22" t="s">
        <v>3363</v>
      </c>
    </row>
    <row r="482" customFormat="false" ht="49.5" hidden="false" customHeight="true" outlineLevel="0" collapsed="false">
      <c r="A482" s="24" t="s">
        <v>808</v>
      </c>
      <c r="B482" s="32" t="s">
        <v>4654</v>
      </c>
      <c r="C482" s="22" t="s">
        <v>4655</v>
      </c>
      <c r="D482" s="32" t="s">
        <v>4656</v>
      </c>
      <c r="E482" s="22" t="s">
        <v>3394</v>
      </c>
      <c r="F482" s="22" t="s">
        <v>3378</v>
      </c>
      <c r="G482" s="32" t="s">
        <v>4409</v>
      </c>
      <c r="H482" s="22"/>
      <c r="I482" s="22" t="s">
        <v>3363</v>
      </c>
    </row>
    <row r="483" customFormat="false" ht="49.5" hidden="false" customHeight="true" outlineLevel="0" collapsed="false">
      <c r="A483" s="24" t="s">
        <v>808</v>
      </c>
      <c r="B483" s="32" t="s">
        <v>4657</v>
      </c>
      <c r="C483" s="22" t="s">
        <v>4658</v>
      </c>
      <c r="D483" s="32" t="s">
        <v>4659</v>
      </c>
      <c r="E483" s="22" t="s">
        <v>3394</v>
      </c>
      <c r="F483" s="22" t="s">
        <v>3378</v>
      </c>
      <c r="G483" s="32" t="s">
        <v>4409</v>
      </c>
      <c r="H483" s="22" t="s">
        <v>4660</v>
      </c>
      <c r="I483" s="22" t="s">
        <v>3363</v>
      </c>
    </row>
    <row r="484" customFormat="false" ht="49.5" hidden="false" customHeight="true" outlineLevel="0" collapsed="false">
      <c r="A484" s="24" t="s">
        <v>808</v>
      </c>
      <c r="B484" s="32" t="s">
        <v>4661</v>
      </c>
      <c r="C484" s="22" t="s">
        <v>4662</v>
      </c>
      <c r="D484" s="32" t="s">
        <v>4663</v>
      </c>
      <c r="E484" s="22" t="s">
        <v>3394</v>
      </c>
      <c r="F484" s="22" t="s">
        <v>3378</v>
      </c>
      <c r="G484" s="32" t="s">
        <v>4409</v>
      </c>
      <c r="H484" s="22"/>
      <c r="I484" s="22" t="s">
        <v>3363</v>
      </c>
    </row>
    <row r="485" customFormat="false" ht="49.5" hidden="false" customHeight="true" outlineLevel="0" collapsed="false">
      <c r="A485" s="24" t="s">
        <v>808</v>
      </c>
      <c r="B485" s="32" t="s">
        <v>4664</v>
      </c>
      <c r="C485" s="22" t="s">
        <v>4665</v>
      </c>
      <c r="D485" s="32" t="s">
        <v>4666</v>
      </c>
      <c r="E485" s="22" t="s">
        <v>3394</v>
      </c>
      <c r="F485" s="22" t="s">
        <v>3378</v>
      </c>
      <c r="G485" s="32" t="s">
        <v>4409</v>
      </c>
      <c r="H485" s="22"/>
      <c r="I485" s="22" t="s">
        <v>3363</v>
      </c>
    </row>
    <row r="486" customFormat="false" ht="24.75" hidden="false" customHeight="true" outlineLevel="0" collapsed="false">
      <c r="A486" s="24" t="s">
        <v>808</v>
      </c>
      <c r="B486" s="32" t="s">
        <v>4667</v>
      </c>
      <c r="C486" s="22" t="s">
        <v>4668</v>
      </c>
      <c r="D486" s="32" t="s">
        <v>4669</v>
      </c>
      <c r="E486" s="22" t="s">
        <v>3359</v>
      </c>
      <c r="F486" s="22" t="s">
        <v>3378</v>
      </c>
      <c r="G486" s="32" t="s">
        <v>4670</v>
      </c>
      <c r="H486" s="22" t="s">
        <v>4671</v>
      </c>
      <c r="I486" s="22" t="s">
        <v>3363</v>
      </c>
    </row>
    <row r="487" customFormat="false" ht="15" hidden="false" customHeight="true" outlineLevel="0" collapsed="false">
      <c r="A487" s="24" t="s">
        <v>808</v>
      </c>
      <c r="B487" s="32" t="s">
        <v>4672</v>
      </c>
      <c r="C487" s="22" t="s">
        <v>4673</v>
      </c>
      <c r="D487" s="32" t="s">
        <v>4669</v>
      </c>
      <c r="E487" s="22" t="s">
        <v>3377</v>
      </c>
      <c r="F487" s="22" t="s">
        <v>3378</v>
      </c>
      <c r="G487" s="32" t="s">
        <v>4674</v>
      </c>
      <c r="H487" s="22"/>
      <c r="I487" s="22" t="s">
        <v>3363</v>
      </c>
    </row>
    <row r="488" customFormat="false" ht="15" hidden="false" customHeight="true" outlineLevel="0" collapsed="false">
      <c r="A488" s="24" t="s">
        <v>808</v>
      </c>
      <c r="B488" s="32" t="s">
        <v>4675</v>
      </c>
      <c r="C488" s="22" t="s">
        <v>4676</v>
      </c>
      <c r="D488" s="32" t="s">
        <v>4669</v>
      </c>
      <c r="E488" s="22" t="s">
        <v>3394</v>
      </c>
      <c r="F488" s="22" t="s">
        <v>3378</v>
      </c>
      <c r="G488" s="32"/>
      <c r="H488" s="22"/>
      <c r="I488" s="22" t="s">
        <v>3363</v>
      </c>
    </row>
    <row r="489" customFormat="false" ht="15" hidden="false" customHeight="true" outlineLevel="0" collapsed="false">
      <c r="A489" s="24" t="s">
        <v>808</v>
      </c>
      <c r="B489" s="32" t="s">
        <v>4677</v>
      </c>
      <c r="C489" s="22" t="s">
        <v>4678</v>
      </c>
      <c r="D489" s="32" t="s">
        <v>4669</v>
      </c>
      <c r="E489" s="22" t="s">
        <v>3394</v>
      </c>
      <c r="F489" s="22" t="s">
        <v>3378</v>
      </c>
      <c r="G489" s="32" t="s">
        <v>3395</v>
      </c>
      <c r="H489" s="22"/>
      <c r="I489" s="22" t="s">
        <v>3363</v>
      </c>
    </row>
    <row r="490" customFormat="false" ht="37.5" hidden="false" customHeight="true" outlineLevel="0" collapsed="false">
      <c r="A490" s="24" t="s">
        <v>808</v>
      </c>
      <c r="B490" s="32" t="s">
        <v>4679</v>
      </c>
      <c r="C490" s="22" t="s">
        <v>4680</v>
      </c>
      <c r="D490" s="32" t="s">
        <v>4669</v>
      </c>
      <c r="E490" s="22" t="s">
        <v>3394</v>
      </c>
      <c r="F490" s="22" t="s">
        <v>3378</v>
      </c>
      <c r="G490" s="32" t="s">
        <v>3443</v>
      </c>
      <c r="H490" s="22"/>
      <c r="I490" s="22" t="s">
        <v>3363</v>
      </c>
    </row>
    <row r="491" customFormat="false" ht="24.75" hidden="false" customHeight="true" outlineLevel="0" collapsed="false">
      <c r="A491" s="24" t="s">
        <v>808</v>
      </c>
      <c r="B491" s="32" t="s">
        <v>4681</v>
      </c>
      <c r="C491" s="22" t="s">
        <v>4682</v>
      </c>
      <c r="D491" s="32" t="s">
        <v>4669</v>
      </c>
      <c r="E491" s="22" t="s">
        <v>3394</v>
      </c>
      <c r="F491" s="22" t="s">
        <v>3378</v>
      </c>
      <c r="G491" s="32" t="s">
        <v>3395</v>
      </c>
      <c r="H491" s="22"/>
      <c r="I491" s="22" t="s">
        <v>3363</v>
      </c>
    </row>
    <row r="492" customFormat="false" ht="24.75" hidden="false" customHeight="true" outlineLevel="0" collapsed="false">
      <c r="A492" s="24" t="s">
        <v>808</v>
      </c>
      <c r="B492" s="32" t="s">
        <v>4683</v>
      </c>
      <c r="C492" s="22" t="s">
        <v>4684</v>
      </c>
      <c r="D492" s="32" t="s">
        <v>4685</v>
      </c>
      <c r="E492" s="22" t="s">
        <v>3359</v>
      </c>
      <c r="F492" s="22" t="s">
        <v>3378</v>
      </c>
      <c r="G492" s="32"/>
      <c r="H492" s="22" t="s">
        <v>4686</v>
      </c>
      <c r="I492" s="22" t="s">
        <v>3363</v>
      </c>
    </row>
    <row r="493" customFormat="false" ht="24.75" hidden="false" customHeight="true" outlineLevel="0" collapsed="false">
      <c r="A493" s="24" t="s">
        <v>808</v>
      </c>
      <c r="B493" s="32" t="s">
        <v>4687</v>
      </c>
      <c r="C493" s="22" t="s">
        <v>4688</v>
      </c>
      <c r="D493" s="32" t="s">
        <v>4689</v>
      </c>
      <c r="E493" s="22" t="s">
        <v>3394</v>
      </c>
      <c r="F493" s="22" t="s">
        <v>3378</v>
      </c>
      <c r="G493" s="32" t="s">
        <v>3395</v>
      </c>
      <c r="H493" s="22" t="s">
        <v>4690</v>
      </c>
      <c r="I493" s="22" t="s">
        <v>3363</v>
      </c>
    </row>
    <row r="494" customFormat="false" ht="15" hidden="false" customHeight="true" outlineLevel="0" collapsed="false">
      <c r="A494" s="24" t="s">
        <v>808</v>
      </c>
      <c r="B494" s="32" t="s">
        <v>3819</v>
      </c>
      <c r="C494" s="22" t="s">
        <v>3820</v>
      </c>
      <c r="D494" s="32" t="s">
        <v>3869</v>
      </c>
      <c r="E494" s="22" t="s">
        <v>3359</v>
      </c>
      <c r="F494" s="22" t="s">
        <v>3378</v>
      </c>
      <c r="G494" s="32"/>
      <c r="H494" s="22"/>
      <c r="I494" s="22" t="s">
        <v>3363</v>
      </c>
    </row>
    <row r="495" customFormat="false" ht="24.75" hidden="false" customHeight="true" outlineLevel="0" collapsed="false">
      <c r="A495" s="24" t="s">
        <v>808</v>
      </c>
      <c r="B495" s="32" t="s">
        <v>3824</v>
      </c>
      <c r="C495" s="22" t="s">
        <v>3825</v>
      </c>
      <c r="D495" s="32" t="s">
        <v>3869</v>
      </c>
      <c r="E495" s="22" t="s">
        <v>3389</v>
      </c>
      <c r="F495" s="22" t="s">
        <v>3378</v>
      </c>
      <c r="G495" s="32" t="s">
        <v>3390</v>
      </c>
      <c r="H495" s="22"/>
      <c r="I495" s="22" t="s">
        <v>3363</v>
      </c>
    </row>
    <row r="496" customFormat="false" ht="62.25" hidden="false" customHeight="true" outlineLevel="0" collapsed="false">
      <c r="A496" s="24" t="s">
        <v>2883</v>
      </c>
      <c r="B496" s="32" t="s">
        <v>3356</v>
      </c>
      <c r="C496" s="22" t="s">
        <v>3828</v>
      </c>
      <c r="D496" s="32" t="s">
        <v>4691</v>
      </c>
      <c r="E496" s="22" t="s">
        <v>3359</v>
      </c>
      <c r="F496" s="22" t="s">
        <v>3360</v>
      </c>
      <c r="G496" s="32" t="s">
        <v>3361</v>
      </c>
      <c r="H496" s="22"/>
      <c r="I496" s="22" t="s">
        <v>3363</v>
      </c>
    </row>
    <row r="497" customFormat="false" ht="15" hidden="false" customHeight="true" outlineLevel="0" collapsed="false">
      <c r="A497" s="24" t="s">
        <v>2883</v>
      </c>
      <c r="B497" s="32" t="s">
        <v>4400</v>
      </c>
      <c r="C497" s="22" t="s">
        <v>4401</v>
      </c>
      <c r="D497" s="32" t="s">
        <v>4691</v>
      </c>
      <c r="E497" s="22" t="s">
        <v>3359</v>
      </c>
      <c r="F497" s="22" t="s">
        <v>3360</v>
      </c>
      <c r="G497" s="32" t="s">
        <v>4692</v>
      </c>
      <c r="H497" s="22"/>
      <c r="I497" s="22" t="s">
        <v>3363</v>
      </c>
    </row>
    <row r="498" customFormat="false" ht="37.5" hidden="false" customHeight="true" outlineLevel="0" collapsed="false">
      <c r="A498" s="24" t="s">
        <v>2883</v>
      </c>
      <c r="B498" s="32" t="s">
        <v>4453</v>
      </c>
      <c r="C498" s="22" t="s">
        <v>4693</v>
      </c>
      <c r="D498" s="32" t="s">
        <v>4455</v>
      </c>
      <c r="E498" s="22" t="s">
        <v>3394</v>
      </c>
      <c r="F498" s="22" t="s">
        <v>3378</v>
      </c>
      <c r="G498" s="32" t="s">
        <v>3395</v>
      </c>
      <c r="H498" s="22" t="s">
        <v>4694</v>
      </c>
      <c r="I498" s="22" t="s">
        <v>3363</v>
      </c>
    </row>
    <row r="499" customFormat="false" ht="24.75" hidden="false" customHeight="true" outlineLevel="0" collapsed="false">
      <c r="A499" s="24" t="s">
        <v>2883</v>
      </c>
      <c r="B499" s="32" t="s">
        <v>4456</v>
      </c>
      <c r="C499" s="22" t="s">
        <v>4695</v>
      </c>
      <c r="D499" s="32" t="s">
        <v>4458</v>
      </c>
      <c r="E499" s="22" t="s">
        <v>3394</v>
      </c>
      <c r="F499" s="22" t="s">
        <v>3378</v>
      </c>
      <c r="G499" s="32" t="s">
        <v>3395</v>
      </c>
      <c r="H499" s="22"/>
      <c r="I499" s="22" t="s">
        <v>3363</v>
      </c>
    </row>
    <row r="500" customFormat="false" ht="24.75" hidden="false" customHeight="true" outlineLevel="0" collapsed="false">
      <c r="A500" s="24" t="s">
        <v>2883</v>
      </c>
      <c r="B500" s="32" t="s">
        <v>4459</v>
      </c>
      <c r="C500" s="22" t="s">
        <v>4696</v>
      </c>
      <c r="D500" s="32" t="s">
        <v>4461</v>
      </c>
      <c r="E500" s="22" t="s">
        <v>3394</v>
      </c>
      <c r="F500" s="22" t="s">
        <v>3378</v>
      </c>
      <c r="G500" s="32" t="s">
        <v>3395</v>
      </c>
      <c r="H500" s="22"/>
      <c r="I500" s="22" t="s">
        <v>3363</v>
      </c>
    </row>
    <row r="501" customFormat="false" ht="15" hidden="false" customHeight="true" outlineLevel="0" collapsed="false">
      <c r="A501" s="24" t="s">
        <v>2883</v>
      </c>
      <c r="B501" s="32" t="s">
        <v>4465</v>
      </c>
      <c r="C501" s="22" t="s">
        <v>4697</v>
      </c>
      <c r="D501" s="32" t="s">
        <v>4467</v>
      </c>
      <c r="E501" s="22" t="s">
        <v>3394</v>
      </c>
      <c r="F501" s="22" t="s">
        <v>3378</v>
      </c>
      <c r="G501" s="32" t="s">
        <v>3395</v>
      </c>
      <c r="H501" s="22"/>
      <c r="I501" s="22" t="s">
        <v>3363</v>
      </c>
    </row>
    <row r="502" customFormat="false" ht="37.5" hidden="false" customHeight="true" outlineLevel="0" collapsed="false">
      <c r="A502" s="24" t="s">
        <v>2883</v>
      </c>
      <c r="B502" s="32" t="s">
        <v>4468</v>
      </c>
      <c r="C502" s="22" t="s">
        <v>4698</v>
      </c>
      <c r="D502" s="32" t="s">
        <v>4470</v>
      </c>
      <c r="E502" s="22" t="s">
        <v>3394</v>
      </c>
      <c r="F502" s="22" t="s">
        <v>3378</v>
      </c>
      <c r="G502" s="32" t="s">
        <v>3395</v>
      </c>
      <c r="H502" s="22"/>
      <c r="I502" s="22" t="s">
        <v>3363</v>
      </c>
    </row>
    <row r="503" customFormat="false" ht="49.5" hidden="false" customHeight="true" outlineLevel="0" collapsed="false">
      <c r="A503" s="24" t="s">
        <v>2883</v>
      </c>
      <c r="B503" s="32" t="s">
        <v>4471</v>
      </c>
      <c r="C503" s="22" t="s">
        <v>4699</v>
      </c>
      <c r="D503" s="32" t="s">
        <v>4473</v>
      </c>
      <c r="E503" s="22" t="s">
        <v>3394</v>
      </c>
      <c r="F503" s="22" t="s">
        <v>3378</v>
      </c>
      <c r="G503" s="32" t="s">
        <v>3395</v>
      </c>
      <c r="H503" s="22"/>
      <c r="I503" s="22" t="s">
        <v>3363</v>
      </c>
    </row>
    <row r="504" customFormat="false" ht="24.75" hidden="false" customHeight="true" outlineLevel="0" collapsed="false">
      <c r="A504" s="24" t="s">
        <v>2883</v>
      </c>
      <c r="B504" s="32" t="s">
        <v>4474</v>
      </c>
      <c r="C504" s="22" t="s">
        <v>4700</v>
      </c>
      <c r="D504" s="32" t="s">
        <v>4476</v>
      </c>
      <c r="E504" s="22" t="s">
        <v>3394</v>
      </c>
      <c r="F504" s="22" t="s">
        <v>3378</v>
      </c>
      <c r="G504" s="32" t="s">
        <v>3395</v>
      </c>
      <c r="H504" s="22"/>
      <c r="I504" s="22" t="s">
        <v>3363</v>
      </c>
    </row>
    <row r="505" customFormat="false" ht="24.75" hidden="false" customHeight="true" outlineLevel="0" collapsed="false">
      <c r="A505" s="24" t="s">
        <v>2883</v>
      </c>
      <c r="B505" s="32" t="s">
        <v>4477</v>
      </c>
      <c r="C505" s="22" t="s">
        <v>4701</v>
      </c>
      <c r="D505" s="32" t="s">
        <v>4479</v>
      </c>
      <c r="E505" s="22" t="s">
        <v>3394</v>
      </c>
      <c r="F505" s="22" t="s">
        <v>3378</v>
      </c>
      <c r="G505" s="32" t="s">
        <v>3395</v>
      </c>
      <c r="H505" s="22"/>
      <c r="I505" s="22" t="s">
        <v>3363</v>
      </c>
    </row>
    <row r="506" customFormat="false" ht="24.75" hidden="false" customHeight="true" outlineLevel="0" collapsed="false">
      <c r="A506" s="24" t="s">
        <v>2883</v>
      </c>
      <c r="B506" s="32" t="s">
        <v>4480</v>
      </c>
      <c r="C506" s="22" t="s">
        <v>4702</v>
      </c>
      <c r="D506" s="32" t="s">
        <v>4482</v>
      </c>
      <c r="E506" s="22" t="s">
        <v>3394</v>
      </c>
      <c r="F506" s="22" t="s">
        <v>3378</v>
      </c>
      <c r="G506" s="32" t="s">
        <v>3395</v>
      </c>
      <c r="H506" s="22"/>
      <c r="I506" s="22" t="s">
        <v>3363</v>
      </c>
    </row>
    <row r="507" customFormat="false" ht="49.5" hidden="false" customHeight="true" outlineLevel="0" collapsed="false">
      <c r="A507" s="24" t="s">
        <v>2883</v>
      </c>
      <c r="B507" s="32" t="s">
        <v>4483</v>
      </c>
      <c r="C507" s="22" t="s">
        <v>4703</v>
      </c>
      <c r="D507" s="32" t="s">
        <v>4485</v>
      </c>
      <c r="E507" s="22" t="s">
        <v>3394</v>
      </c>
      <c r="F507" s="22" t="s">
        <v>3378</v>
      </c>
      <c r="G507" s="32" t="s">
        <v>3395</v>
      </c>
      <c r="H507" s="22"/>
      <c r="I507" s="22" t="s">
        <v>3363</v>
      </c>
    </row>
    <row r="508" customFormat="false" ht="37.5" hidden="false" customHeight="true" outlineLevel="0" collapsed="false">
      <c r="A508" s="24" t="s">
        <v>2883</v>
      </c>
      <c r="B508" s="32" t="s">
        <v>4486</v>
      </c>
      <c r="C508" s="22" t="s">
        <v>4704</v>
      </c>
      <c r="D508" s="32" t="s">
        <v>4488</v>
      </c>
      <c r="E508" s="22" t="s">
        <v>3394</v>
      </c>
      <c r="F508" s="22" t="s">
        <v>3378</v>
      </c>
      <c r="G508" s="32" t="s">
        <v>3395</v>
      </c>
      <c r="H508" s="22"/>
      <c r="I508" s="22" t="s">
        <v>3363</v>
      </c>
    </row>
    <row r="509" customFormat="false" ht="24.75" hidden="false" customHeight="true" outlineLevel="0" collapsed="false">
      <c r="A509" s="24" t="s">
        <v>2883</v>
      </c>
      <c r="B509" s="32" t="s">
        <v>4489</v>
      </c>
      <c r="C509" s="22" t="s">
        <v>4705</v>
      </c>
      <c r="D509" s="32" t="s">
        <v>4491</v>
      </c>
      <c r="E509" s="22" t="s">
        <v>3394</v>
      </c>
      <c r="F509" s="22" t="s">
        <v>3378</v>
      </c>
      <c r="G509" s="32" t="s">
        <v>3395</v>
      </c>
      <c r="H509" s="22"/>
      <c r="I509" s="22" t="s">
        <v>3363</v>
      </c>
    </row>
    <row r="510" customFormat="false" ht="24.75" hidden="false" customHeight="true" outlineLevel="0" collapsed="false">
      <c r="A510" s="24" t="s">
        <v>2883</v>
      </c>
      <c r="B510" s="32" t="s">
        <v>4492</v>
      </c>
      <c r="C510" s="22" t="s">
        <v>4706</v>
      </c>
      <c r="D510" s="32" t="s">
        <v>4494</v>
      </c>
      <c r="E510" s="22" t="s">
        <v>3394</v>
      </c>
      <c r="F510" s="22" t="s">
        <v>3378</v>
      </c>
      <c r="G510" s="32" t="s">
        <v>3395</v>
      </c>
      <c r="H510" s="22"/>
      <c r="I510" s="22" t="s">
        <v>3363</v>
      </c>
    </row>
    <row r="511" customFormat="false" ht="24.75" hidden="false" customHeight="true" outlineLevel="0" collapsed="false">
      <c r="A511" s="24" t="s">
        <v>2883</v>
      </c>
      <c r="B511" s="32" t="s">
        <v>4495</v>
      </c>
      <c r="C511" s="22" t="s">
        <v>4707</v>
      </c>
      <c r="D511" s="32" t="s">
        <v>4497</v>
      </c>
      <c r="E511" s="22" t="s">
        <v>3394</v>
      </c>
      <c r="F511" s="22" t="s">
        <v>3378</v>
      </c>
      <c r="G511" s="32" t="s">
        <v>3395</v>
      </c>
      <c r="H511" s="22"/>
      <c r="I511" s="22" t="s">
        <v>3363</v>
      </c>
    </row>
    <row r="512" customFormat="false" ht="24.75" hidden="false" customHeight="true" outlineLevel="0" collapsed="false">
      <c r="A512" s="24" t="s">
        <v>2883</v>
      </c>
      <c r="B512" s="32" t="s">
        <v>4708</v>
      </c>
      <c r="C512" s="22" t="s">
        <v>4709</v>
      </c>
      <c r="D512" s="32" t="s">
        <v>4710</v>
      </c>
      <c r="E512" s="22" t="s">
        <v>3394</v>
      </c>
      <c r="F512" s="22" t="s">
        <v>3378</v>
      </c>
      <c r="G512" s="32" t="s">
        <v>3395</v>
      </c>
      <c r="H512" s="22"/>
      <c r="I512" s="22" t="s">
        <v>3363</v>
      </c>
    </row>
    <row r="513" customFormat="false" ht="24.75" hidden="false" customHeight="true" outlineLevel="0" collapsed="false">
      <c r="A513" s="24" t="s">
        <v>2883</v>
      </c>
      <c r="B513" s="32" t="s">
        <v>4711</v>
      </c>
      <c r="C513" s="22" t="s">
        <v>4712</v>
      </c>
      <c r="D513" s="32" t="s">
        <v>4713</v>
      </c>
      <c r="E513" s="22" t="s">
        <v>3394</v>
      </c>
      <c r="F513" s="22" t="s">
        <v>3378</v>
      </c>
      <c r="G513" s="32" t="s">
        <v>3395</v>
      </c>
      <c r="H513" s="22"/>
      <c r="I513" s="22" t="s">
        <v>3363</v>
      </c>
    </row>
    <row r="514" customFormat="false" ht="24.75" hidden="false" customHeight="true" outlineLevel="0" collapsed="false">
      <c r="A514" s="24" t="s">
        <v>2883</v>
      </c>
      <c r="B514" s="32" t="s">
        <v>4714</v>
      </c>
      <c r="C514" s="22" t="s">
        <v>4715</v>
      </c>
      <c r="D514" s="32" t="s">
        <v>4716</v>
      </c>
      <c r="E514" s="22" t="s">
        <v>3394</v>
      </c>
      <c r="F514" s="22" t="s">
        <v>3378</v>
      </c>
      <c r="G514" s="32" t="s">
        <v>3395</v>
      </c>
      <c r="H514" s="22"/>
      <c r="I514" s="22" t="s">
        <v>3363</v>
      </c>
    </row>
    <row r="515" customFormat="false" ht="24.75" hidden="false" customHeight="true" outlineLevel="0" collapsed="false">
      <c r="A515" s="24" t="s">
        <v>2883</v>
      </c>
      <c r="B515" s="32" t="s">
        <v>4717</v>
      </c>
      <c r="C515" s="22" t="s">
        <v>4718</v>
      </c>
      <c r="D515" s="32" t="s">
        <v>4719</v>
      </c>
      <c r="E515" s="22" t="s">
        <v>3394</v>
      </c>
      <c r="F515" s="22" t="s">
        <v>3378</v>
      </c>
      <c r="G515" s="32" t="s">
        <v>3395</v>
      </c>
      <c r="H515" s="22" t="s">
        <v>4720</v>
      </c>
      <c r="I515" s="22" t="s">
        <v>3363</v>
      </c>
    </row>
    <row r="516" customFormat="false" ht="37.5" hidden="false" customHeight="true" outlineLevel="0" collapsed="false">
      <c r="A516" s="24" t="s">
        <v>2883</v>
      </c>
      <c r="B516" s="32" t="s">
        <v>4721</v>
      </c>
      <c r="C516" s="22" t="s">
        <v>4722</v>
      </c>
      <c r="D516" s="32" t="s">
        <v>4723</v>
      </c>
      <c r="E516" s="22" t="s">
        <v>3359</v>
      </c>
      <c r="F516" s="22" t="s">
        <v>3378</v>
      </c>
      <c r="G516" s="32"/>
      <c r="H516" s="22"/>
      <c r="I516" s="22" t="s">
        <v>3363</v>
      </c>
    </row>
    <row r="517" customFormat="false" ht="24.75" hidden="false" customHeight="true" outlineLevel="0" collapsed="false">
      <c r="A517" s="24" t="s">
        <v>2883</v>
      </c>
      <c r="B517" s="32" t="s">
        <v>4552</v>
      </c>
      <c r="C517" s="22" t="s">
        <v>4724</v>
      </c>
      <c r="D517" s="32" t="s">
        <v>4725</v>
      </c>
      <c r="E517" s="22" t="s">
        <v>3394</v>
      </c>
      <c r="F517" s="22" t="s">
        <v>3378</v>
      </c>
      <c r="G517" s="32" t="s">
        <v>3395</v>
      </c>
      <c r="H517" s="22"/>
      <c r="I517" s="22" t="s">
        <v>3363</v>
      </c>
    </row>
    <row r="518" customFormat="false" ht="24.75" hidden="false" customHeight="true" outlineLevel="0" collapsed="false">
      <c r="A518" s="24" t="s">
        <v>2883</v>
      </c>
      <c r="B518" s="32" t="s">
        <v>4562</v>
      </c>
      <c r="C518" s="22" t="s">
        <v>4726</v>
      </c>
      <c r="D518" s="32" t="s">
        <v>4727</v>
      </c>
      <c r="E518" s="22" t="s">
        <v>3394</v>
      </c>
      <c r="F518" s="22" t="s">
        <v>3378</v>
      </c>
      <c r="G518" s="32" t="s">
        <v>3395</v>
      </c>
      <c r="H518" s="22"/>
      <c r="I518" s="22" t="s">
        <v>3363</v>
      </c>
    </row>
    <row r="519" customFormat="false" ht="24.75" hidden="false" customHeight="true" outlineLevel="0" collapsed="false">
      <c r="A519" s="24" t="s">
        <v>2883</v>
      </c>
      <c r="B519" s="32" t="s">
        <v>4565</v>
      </c>
      <c r="C519" s="22" t="s">
        <v>4728</v>
      </c>
      <c r="D519" s="32" t="s">
        <v>4729</v>
      </c>
      <c r="E519" s="22" t="s">
        <v>3394</v>
      </c>
      <c r="F519" s="22" t="s">
        <v>3378</v>
      </c>
      <c r="G519" s="32" t="s">
        <v>3395</v>
      </c>
      <c r="H519" s="22"/>
      <c r="I519" s="22" t="s">
        <v>3363</v>
      </c>
    </row>
    <row r="520" customFormat="false" ht="37.5" hidden="false" customHeight="true" outlineLevel="0" collapsed="false">
      <c r="A520" s="24" t="s">
        <v>2883</v>
      </c>
      <c r="B520" s="32" t="s">
        <v>4568</v>
      </c>
      <c r="C520" s="22" t="s">
        <v>4460</v>
      </c>
      <c r="D520" s="32" t="s">
        <v>4730</v>
      </c>
      <c r="E520" s="22" t="s">
        <v>3394</v>
      </c>
      <c r="F520" s="22" t="s">
        <v>3378</v>
      </c>
      <c r="G520" s="32" t="s">
        <v>3395</v>
      </c>
      <c r="H520" s="22"/>
      <c r="I520" s="22" t="s">
        <v>3363</v>
      </c>
    </row>
    <row r="521" customFormat="false" ht="24.75" hidden="false" customHeight="true" outlineLevel="0" collapsed="false">
      <c r="A521" s="24" t="s">
        <v>2883</v>
      </c>
      <c r="B521" s="32" t="s">
        <v>4571</v>
      </c>
      <c r="C521" s="22" t="s">
        <v>4731</v>
      </c>
      <c r="D521" s="32" t="s">
        <v>4732</v>
      </c>
      <c r="E521" s="22" t="s">
        <v>3394</v>
      </c>
      <c r="F521" s="22" t="s">
        <v>3378</v>
      </c>
      <c r="G521" s="32" t="s">
        <v>3395</v>
      </c>
      <c r="H521" s="22"/>
      <c r="I521" s="22" t="s">
        <v>3363</v>
      </c>
    </row>
    <row r="522" customFormat="false" ht="24.75" hidden="false" customHeight="true" outlineLevel="0" collapsed="false">
      <c r="A522" s="24" t="s">
        <v>2883</v>
      </c>
      <c r="B522" s="32" t="s">
        <v>4574</v>
      </c>
      <c r="C522" s="22" t="s">
        <v>4733</v>
      </c>
      <c r="D522" s="32" t="s">
        <v>4734</v>
      </c>
      <c r="E522" s="22" t="s">
        <v>3394</v>
      </c>
      <c r="F522" s="22" t="s">
        <v>3378</v>
      </c>
      <c r="G522" s="32" t="s">
        <v>3395</v>
      </c>
      <c r="H522" s="22"/>
      <c r="I522" s="22" t="s">
        <v>3363</v>
      </c>
    </row>
    <row r="523" customFormat="false" ht="24.75" hidden="false" customHeight="true" outlineLevel="0" collapsed="false">
      <c r="A523" s="24" t="s">
        <v>2883</v>
      </c>
      <c r="B523" s="32" t="s">
        <v>4577</v>
      </c>
      <c r="C523" s="22" t="s">
        <v>4735</v>
      </c>
      <c r="D523" s="32" t="s">
        <v>4736</v>
      </c>
      <c r="E523" s="22" t="s">
        <v>3394</v>
      </c>
      <c r="F523" s="22" t="s">
        <v>3378</v>
      </c>
      <c r="G523" s="32" t="s">
        <v>3395</v>
      </c>
      <c r="H523" s="22"/>
      <c r="I523" s="22" t="s">
        <v>3363</v>
      </c>
    </row>
    <row r="524" customFormat="false" ht="24.75" hidden="false" customHeight="true" outlineLevel="0" collapsed="false">
      <c r="A524" s="24" t="s">
        <v>2883</v>
      </c>
      <c r="B524" s="32" t="s">
        <v>4737</v>
      </c>
      <c r="C524" s="22" t="s">
        <v>4738</v>
      </c>
      <c r="D524" s="32" t="s">
        <v>4739</v>
      </c>
      <c r="E524" s="22" t="s">
        <v>3359</v>
      </c>
      <c r="F524" s="22" t="s">
        <v>3378</v>
      </c>
      <c r="G524" s="32"/>
      <c r="H524" s="22"/>
      <c r="I524" s="22" t="s">
        <v>3363</v>
      </c>
    </row>
    <row r="525" customFormat="false" ht="37.5" hidden="false" customHeight="true" outlineLevel="0" collapsed="false">
      <c r="A525" s="24" t="s">
        <v>2883</v>
      </c>
      <c r="B525" s="32" t="s">
        <v>4740</v>
      </c>
      <c r="C525" s="22" t="s">
        <v>4741</v>
      </c>
      <c r="D525" s="32" t="s">
        <v>4742</v>
      </c>
      <c r="E525" s="22" t="s">
        <v>3394</v>
      </c>
      <c r="F525" s="22" t="s">
        <v>3378</v>
      </c>
      <c r="G525" s="32" t="s">
        <v>3395</v>
      </c>
      <c r="H525" s="22" t="s">
        <v>4743</v>
      </c>
      <c r="I525" s="22" t="s">
        <v>3363</v>
      </c>
    </row>
    <row r="526" customFormat="false" ht="37.5" hidden="false" customHeight="true" outlineLevel="0" collapsed="false">
      <c r="A526" s="24" t="s">
        <v>2883</v>
      </c>
      <c r="B526" s="32" t="s">
        <v>4744</v>
      </c>
      <c r="C526" s="22" t="s">
        <v>4745</v>
      </c>
      <c r="D526" s="32" t="s">
        <v>4742</v>
      </c>
      <c r="E526" s="22" t="s">
        <v>3394</v>
      </c>
      <c r="F526" s="22" t="s">
        <v>3378</v>
      </c>
      <c r="G526" s="32" t="s">
        <v>3395</v>
      </c>
      <c r="H526" s="22" t="s">
        <v>4743</v>
      </c>
      <c r="I526" s="22" t="s">
        <v>3363</v>
      </c>
    </row>
    <row r="527" customFormat="false" ht="37.5" hidden="false" customHeight="true" outlineLevel="0" collapsed="false">
      <c r="A527" s="24" t="s">
        <v>2883</v>
      </c>
      <c r="B527" s="32" t="s">
        <v>4746</v>
      </c>
      <c r="C527" s="22" t="s">
        <v>4747</v>
      </c>
      <c r="D527" s="32" t="s">
        <v>4742</v>
      </c>
      <c r="E527" s="22" t="s">
        <v>3394</v>
      </c>
      <c r="F527" s="22" t="s">
        <v>3378</v>
      </c>
      <c r="G527" s="32" t="s">
        <v>3395</v>
      </c>
      <c r="H527" s="22" t="s">
        <v>4743</v>
      </c>
      <c r="I527" s="22" t="s">
        <v>3363</v>
      </c>
    </row>
    <row r="528" customFormat="false" ht="37.5" hidden="false" customHeight="true" outlineLevel="0" collapsed="false">
      <c r="A528" s="24" t="s">
        <v>2883</v>
      </c>
      <c r="B528" s="32" t="s">
        <v>4748</v>
      </c>
      <c r="C528" s="22" t="s">
        <v>4749</v>
      </c>
      <c r="D528" s="32" t="s">
        <v>4742</v>
      </c>
      <c r="E528" s="22" t="s">
        <v>3394</v>
      </c>
      <c r="F528" s="22" t="s">
        <v>3378</v>
      </c>
      <c r="G528" s="32" t="s">
        <v>3395</v>
      </c>
      <c r="H528" s="22" t="s">
        <v>4743</v>
      </c>
      <c r="I528" s="22" t="s">
        <v>3363</v>
      </c>
    </row>
    <row r="529" customFormat="false" ht="37.5" hidden="false" customHeight="true" outlineLevel="0" collapsed="false">
      <c r="A529" s="24" t="s">
        <v>2883</v>
      </c>
      <c r="B529" s="32" t="s">
        <v>4750</v>
      </c>
      <c r="C529" s="22" t="s">
        <v>4751</v>
      </c>
      <c r="D529" s="32" t="s">
        <v>4742</v>
      </c>
      <c r="E529" s="22" t="s">
        <v>3394</v>
      </c>
      <c r="F529" s="22" t="s">
        <v>3378</v>
      </c>
      <c r="G529" s="32" t="s">
        <v>3395</v>
      </c>
      <c r="H529" s="22" t="s">
        <v>4743</v>
      </c>
      <c r="I529" s="22" t="s">
        <v>3363</v>
      </c>
    </row>
    <row r="530" customFormat="false" ht="37.5" hidden="false" customHeight="true" outlineLevel="0" collapsed="false">
      <c r="A530" s="24" t="s">
        <v>2883</v>
      </c>
      <c r="B530" s="32" t="s">
        <v>4752</v>
      </c>
      <c r="C530" s="22" t="s">
        <v>4753</v>
      </c>
      <c r="D530" s="32" t="s">
        <v>4742</v>
      </c>
      <c r="E530" s="22" t="s">
        <v>3394</v>
      </c>
      <c r="F530" s="22" t="s">
        <v>3378</v>
      </c>
      <c r="G530" s="32" t="s">
        <v>3395</v>
      </c>
      <c r="H530" s="22" t="s">
        <v>4743</v>
      </c>
      <c r="I530" s="22" t="s">
        <v>3363</v>
      </c>
    </row>
    <row r="531" customFormat="false" ht="37.5" hidden="false" customHeight="true" outlineLevel="0" collapsed="false">
      <c r="A531" s="24" t="s">
        <v>2883</v>
      </c>
      <c r="B531" s="32" t="s">
        <v>4754</v>
      </c>
      <c r="C531" s="22" t="s">
        <v>4755</v>
      </c>
      <c r="D531" s="32" t="s">
        <v>4742</v>
      </c>
      <c r="E531" s="22" t="s">
        <v>3394</v>
      </c>
      <c r="F531" s="22" t="s">
        <v>3378</v>
      </c>
      <c r="G531" s="32" t="s">
        <v>3395</v>
      </c>
      <c r="H531" s="22" t="s">
        <v>4743</v>
      </c>
      <c r="I531" s="22" t="s">
        <v>3363</v>
      </c>
    </row>
    <row r="532" customFormat="false" ht="37.5" hidden="false" customHeight="true" outlineLevel="0" collapsed="false">
      <c r="A532" s="24" t="s">
        <v>2883</v>
      </c>
      <c r="B532" s="32" t="s">
        <v>4756</v>
      </c>
      <c r="C532" s="22" t="s">
        <v>4757</v>
      </c>
      <c r="D532" s="32" t="s">
        <v>4742</v>
      </c>
      <c r="E532" s="22" t="s">
        <v>3394</v>
      </c>
      <c r="F532" s="22" t="s">
        <v>3378</v>
      </c>
      <c r="G532" s="32" t="s">
        <v>3395</v>
      </c>
      <c r="H532" s="22" t="s">
        <v>4743</v>
      </c>
      <c r="I532" s="22" t="s">
        <v>3363</v>
      </c>
    </row>
    <row r="533" customFormat="false" ht="37.5" hidden="false" customHeight="true" outlineLevel="0" collapsed="false">
      <c r="A533" s="24" t="s">
        <v>2883</v>
      </c>
      <c r="B533" s="32" t="s">
        <v>4758</v>
      </c>
      <c r="C533" s="22" t="s">
        <v>4759</v>
      </c>
      <c r="D533" s="32" t="s">
        <v>4742</v>
      </c>
      <c r="E533" s="22" t="s">
        <v>3394</v>
      </c>
      <c r="F533" s="22" t="s">
        <v>3378</v>
      </c>
      <c r="G533" s="32" t="s">
        <v>3395</v>
      </c>
      <c r="H533" s="22" t="s">
        <v>4743</v>
      </c>
      <c r="I533" s="22" t="s">
        <v>3363</v>
      </c>
    </row>
    <row r="534" customFormat="false" ht="37.5" hidden="false" customHeight="true" outlineLevel="0" collapsed="false">
      <c r="A534" s="24" t="s">
        <v>2883</v>
      </c>
      <c r="B534" s="32" t="s">
        <v>4760</v>
      </c>
      <c r="C534" s="22" t="s">
        <v>4761</v>
      </c>
      <c r="D534" s="32" t="s">
        <v>4742</v>
      </c>
      <c r="E534" s="22" t="s">
        <v>3394</v>
      </c>
      <c r="F534" s="22" t="s">
        <v>3378</v>
      </c>
      <c r="G534" s="32" t="s">
        <v>3395</v>
      </c>
      <c r="H534" s="22" t="s">
        <v>4743</v>
      </c>
      <c r="I534" s="22" t="s">
        <v>3363</v>
      </c>
    </row>
    <row r="535" customFormat="false" ht="37.5" hidden="false" customHeight="true" outlineLevel="0" collapsed="false">
      <c r="A535" s="24" t="s">
        <v>2883</v>
      </c>
      <c r="B535" s="32" t="s">
        <v>4762</v>
      </c>
      <c r="C535" s="22" t="s">
        <v>4763</v>
      </c>
      <c r="D535" s="32" t="s">
        <v>4742</v>
      </c>
      <c r="E535" s="22" t="s">
        <v>3394</v>
      </c>
      <c r="F535" s="22" t="s">
        <v>3378</v>
      </c>
      <c r="G535" s="32" t="s">
        <v>3395</v>
      </c>
      <c r="H535" s="22" t="s">
        <v>4743</v>
      </c>
      <c r="I535" s="22" t="s">
        <v>3363</v>
      </c>
    </row>
    <row r="536" customFormat="false" ht="37.5" hidden="false" customHeight="true" outlineLevel="0" collapsed="false">
      <c r="A536" s="24" t="s">
        <v>2883</v>
      </c>
      <c r="B536" s="32" t="s">
        <v>4637</v>
      </c>
      <c r="C536" s="22" t="s">
        <v>4764</v>
      </c>
      <c r="D536" s="32" t="s">
        <v>4742</v>
      </c>
      <c r="E536" s="22" t="s">
        <v>3394</v>
      </c>
      <c r="F536" s="22" t="s">
        <v>3378</v>
      </c>
      <c r="G536" s="32" t="s">
        <v>3395</v>
      </c>
      <c r="H536" s="22" t="s">
        <v>4743</v>
      </c>
      <c r="I536" s="22" t="s">
        <v>3363</v>
      </c>
    </row>
    <row r="537" customFormat="false" ht="37.5" hidden="false" customHeight="true" outlineLevel="0" collapsed="false">
      <c r="A537" s="24" t="s">
        <v>2883</v>
      </c>
      <c r="B537" s="32" t="s">
        <v>4639</v>
      </c>
      <c r="C537" s="22" t="s">
        <v>4765</v>
      </c>
      <c r="D537" s="32" t="s">
        <v>4742</v>
      </c>
      <c r="E537" s="22" t="s">
        <v>3394</v>
      </c>
      <c r="F537" s="22" t="s">
        <v>3378</v>
      </c>
      <c r="G537" s="32" t="s">
        <v>3395</v>
      </c>
      <c r="H537" s="22" t="s">
        <v>4743</v>
      </c>
      <c r="I537" s="22" t="s">
        <v>3363</v>
      </c>
    </row>
    <row r="538" customFormat="false" ht="37.5" hidden="false" customHeight="true" outlineLevel="0" collapsed="false">
      <c r="A538" s="24" t="s">
        <v>2883</v>
      </c>
      <c r="B538" s="32" t="s">
        <v>4641</v>
      </c>
      <c r="C538" s="22" t="s">
        <v>4766</v>
      </c>
      <c r="D538" s="32" t="s">
        <v>4742</v>
      </c>
      <c r="E538" s="22" t="s">
        <v>3394</v>
      </c>
      <c r="F538" s="22" t="s">
        <v>3378</v>
      </c>
      <c r="G538" s="32" t="s">
        <v>3395</v>
      </c>
      <c r="H538" s="22" t="s">
        <v>4743</v>
      </c>
      <c r="I538" s="22" t="s">
        <v>3363</v>
      </c>
    </row>
    <row r="539" customFormat="false" ht="37.5" hidden="false" customHeight="true" outlineLevel="0" collapsed="false">
      <c r="A539" s="24" t="s">
        <v>2883</v>
      </c>
      <c r="B539" s="32" t="s">
        <v>4767</v>
      </c>
      <c r="C539" s="22" t="s">
        <v>4768</v>
      </c>
      <c r="D539" s="32" t="s">
        <v>4742</v>
      </c>
      <c r="E539" s="22" t="s">
        <v>3394</v>
      </c>
      <c r="F539" s="22" t="s">
        <v>3378</v>
      </c>
      <c r="G539" s="32" t="s">
        <v>3395</v>
      </c>
      <c r="H539" s="22" t="s">
        <v>4743</v>
      </c>
      <c r="I539" s="22" t="s">
        <v>3363</v>
      </c>
    </row>
    <row r="540" customFormat="false" ht="24.75" hidden="false" customHeight="true" outlineLevel="0" collapsed="false">
      <c r="A540" s="24" t="s">
        <v>2883</v>
      </c>
      <c r="B540" s="32" t="s">
        <v>4769</v>
      </c>
      <c r="C540" s="22" t="s">
        <v>4770</v>
      </c>
      <c r="D540" s="32" t="s">
        <v>4771</v>
      </c>
      <c r="E540" s="22" t="s">
        <v>3394</v>
      </c>
      <c r="F540" s="22" t="s">
        <v>3378</v>
      </c>
      <c r="G540" s="32" t="s">
        <v>3395</v>
      </c>
      <c r="H540" s="22"/>
      <c r="I540" s="22" t="s">
        <v>3363</v>
      </c>
    </row>
    <row r="541" customFormat="false" ht="24.75" hidden="false" customHeight="true" outlineLevel="0" collapsed="false">
      <c r="A541" s="24" t="s">
        <v>2883</v>
      </c>
      <c r="B541" s="32" t="s">
        <v>4772</v>
      </c>
      <c r="C541" s="22" t="s">
        <v>4773</v>
      </c>
      <c r="D541" s="32" t="s">
        <v>4774</v>
      </c>
      <c r="E541" s="22" t="s">
        <v>3394</v>
      </c>
      <c r="F541" s="22" t="s">
        <v>3378</v>
      </c>
      <c r="G541" s="32" t="s">
        <v>3395</v>
      </c>
      <c r="H541" s="22"/>
      <c r="I541" s="22" t="s">
        <v>3363</v>
      </c>
    </row>
    <row r="542" customFormat="false" ht="24.75" hidden="false" customHeight="true" outlineLevel="0" collapsed="false">
      <c r="A542" s="24" t="s">
        <v>2883</v>
      </c>
      <c r="B542" s="32" t="s">
        <v>4775</v>
      </c>
      <c r="C542" s="22" t="s">
        <v>4776</v>
      </c>
      <c r="D542" s="32" t="s">
        <v>4777</v>
      </c>
      <c r="E542" s="22" t="s">
        <v>3394</v>
      </c>
      <c r="F542" s="22" t="s">
        <v>3378</v>
      </c>
      <c r="G542" s="32" t="s">
        <v>3395</v>
      </c>
      <c r="H542" s="22" t="s">
        <v>4778</v>
      </c>
      <c r="I542" s="22" t="s">
        <v>3363</v>
      </c>
    </row>
    <row r="543" customFormat="false" ht="24.75" hidden="false" customHeight="true" outlineLevel="0" collapsed="false">
      <c r="A543" s="24" t="s">
        <v>2883</v>
      </c>
      <c r="B543" s="32" t="s">
        <v>4779</v>
      </c>
      <c r="C543" s="22" t="s">
        <v>4780</v>
      </c>
      <c r="D543" s="32" t="s">
        <v>4781</v>
      </c>
      <c r="E543" s="22" t="s">
        <v>3359</v>
      </c>
      <c r="F543" s="22" t="s">
        <v>3378</v>
      </c>
      <c r="G543" s="32"/>
      <c r="H543" s="22"/>
      <c r="I543" s="22" t="s">
        <v>3363</v>
      </c>
    </row>
    <row r="544" customFormat="false" ht="62.25" hidden="false" customHeight="true" outlineLevel="0" collapsed="false">
      <c r="A544" s="24" t="s">
        <v>2883</v>
      </c>
      <c r="B544" s="32" t="s">
        <v>4648</v>
      </c>
      <c r="C544" s="22" t="s">
        <v>4782</v>
      </c>
      <c r="D544" s="32" t="s">
        <v>4783</v>
      </c>
      <c r="E544" s="22" t="s">
        <v>3394</v>
      </c>
      <c r="F544" s="22" t="s">
        <v>3378</v>
      </c>
      <c r="G544" s="32" t="s">
        <v>3395</v>
      </c>
      <c r="H544" s="22"/>
      <c r="I544" s="22" t="s">
        <v>3363</v>
      </c>
    </row>
    <row r="545" customFormat="false" ht="37.5" hidden="false" customHeight="true" outlineLevel="0" collapsed="false">
      <c r="A545" s="24" t="s">
        <v>2883</v>
      </c>
      <c r="B545" s="32" t="s">
        <v>4784</v>
      </c>
      <c r="C545" s="22" t="s">
        <v>4785</v>
      </c>
      <c r="D545" s="32" t="s">
        <v>4786</v>
      </c>
      <c r="E545" s="22" t="s">
        <v>3394</v>
      </c>
      <c r="F545" s="22" t="s">
        <v>3378</v>
      </c>
      <c r="G545" s="32" t="s">
        <v>3395</v>
      </c>
      <c r="H545" s="22"/>
      <c r="I545" s="22" t="s">
        <v>3363</v>
      </c>
    </row>
    <row r="546" customFormat="false" ht="37.5" hidden="false" customHeight="true" outlineLevel="0" collapsed="false">
      <c r="A546" s="24" t="s">
        <v>2883</v>
      </c>
      <c r="B546" s="32" t="s">
        <v>4787</v>
      </c>
      <c r="C546" s="22" t="s">
        <v>4788</v>
      </c>
      <c r="D546" s="32" t="s">
        <v>4789</v>
      </c>
      <c r="E546" s="22" t="s">
        <v>3394</v>
      </c>
      <c r="F546" s="22" t="s">
        <v>3378</v>
      </c>
      <c r="G546" s="32" t="s">
        <v>3395</v>
      </c>
      <c r="H546" s="22"/>
      <c r="I546" s="22" t="s">
        <v>3363</v>
      </c>
    </row>
    <row r="547" customFormat="false" ht="37.5" hidden="false" customHeight="true" outlineLevel="0" collapsed="false">
      <c r="A547" s="24" t="s">
        <v>2883</v>
      </c>
      <c r="B547" s="32" t="s">
        <v>4790</v>
      </c>
      <c r="C547" s="22" t="s">
        <v>4791</v>
      </c>
      <c r="D547" s="32" t="s">
        <v>4792</v>
      </c>
      <c r="E547" s="22" t="s">
        <v>3394</v>
      </c>
      <c r="F547" s="22" t="s">
        <v>3378</v>
      </c>
      <c r="G547" s="32" t="s">
        <v>3395</v>
      </c>
      <c r="H547" s="22"/>
      <c r="I547" s="22" t="s">
        <v>3363</v>
      </c>
    </row>
    <row r="548" customFormat="false" ht="24.75" hidden="false" customHeight="true" outlineLevel="0" collapsed="false">
      <c r="A548" s="24" t="s">
        <v>2883</v>
      </c>
      <c r="B548" s="32" t="s">
        <v>4793</v>
      </c>
      <c r="C548" s="22" t="s">
        <v>4794</v>
      </c>
      <c r="D548" s="32" t="s">
        <v>4795</v>
      </c>
      <c r="E548" s="22" t="s">
        <v>3394</v>
      </c>
      <c r="F548" s="22" t="s">
        <v>3378</v>
      </c>
      <c r="G548" s="32" t="s">
        <v>3395</v>
      </c>
      <c r="H548" s="22"/>
      <c r="I548" s="22" t="s">
        <v>3363</v>
      </c>
    </row>
    <row r="549" customFormat="false" ht="24.75" hidden="false" customHeight="true" outlineLevel="0" collapsed="false">
      <c r="A549" s="24" t="s">
        <v>2883</v>
      </c>
      <c r="B549" s="32" t="s">
        <v>4796</v>
      </c>
      <c r="C549" s="22" t="s">
        <v>4797</v>
      </c>
      <c r="D549" s="32" t="s">
        <v>4798</v>
      </c>
      <c r="E549" s="22" t="s">
        <v>3394</v>
      </c>
      <c r="F549" s="22" t="s">
        <v>3378</v>
      </c>
      <c r="G549" s="32" t="s">
        <v>3395</v>
      </c>
      <c r="H549" s="22" t="s">
        <v>4799</v>
      </c>
      <c r="I549" s="22" t="s">
        <v>3363</v>
      </c>
    </row>
    <row r="550" customFormat="false" ht="15" hidden="false" customHeight="true" outlineLevel="0" collapsed="false">
      <c r="A550" s="24" t="s">
        <v>2883</v>
      </c>
      <c r="B550" s="32" t="s">
        <v>4800</v>
      </c>
      <c r="C550" s="22" t="s">
        <v>4801</v>
      </c>
      <c r="D550" s="32" t="s">
        <v>4802</v>
      </c>
      <c r="E550" s="22" t="s">
        <v>3394</v>
      </c>
      <c r="F550" s="22" t="s">
        <v>3378</v>
      </c>
      <c r="G550" s="32" t="s">
        <v>3395</v>
      </c>
      <c r="H550" s="22" t="s">
        <v>4803</v>
      </c>
      <c r="I550" s="22" t="s">
        <v>3363</v>
      </c>
    </row>
    <row r="551" customFormat="false" ht="24.75" hidden="false" customHeight="true" outlineLevel="0" collapsed="false">
      <c r="A551" s="24" t="s">
        <v>2883</v>
      </c>
      <c r="B551" s="32" t="s">
        <v>4804</v>
      </c>
      <c r="C551" s="22" t="s">
        <v>4805</v>
      </c>
      <c r="D551" s="32" t="s">
        <v>4806</v>
      </c>
      <c r="E551" s="22" t="s">
        <v>3359</v>
      </c>
      <c r="F551" s="22" t="s">
        <v>3378</v>
      </c>
      <c r="G551" s="32"/>
      <c r="H551" s="22"/>
      <c r="I551" s="22" t="s">
        <v>3363</v>
      </c>
    </row>
    <row r="552" customFormat="false" ht="37.5" hidden="false" customHeight="true" outlineLevel="0" collapsed="false">
      <c r="A552" s="24" t="s">
        <v>2883</v>
      </c>
      <c r="B552" s="32" t="s">
        <v>4807</v>
      </c>
      <c r="C552" s="22" t="s">
        <v>4808</v>
      </c>
      <c r="D552" s="32" t="s">
        <v>4809</v>
      </c>
      <c r="E552" s="22" t="s">
        <v>3394</v>
      </c>
      <c r="F552" s="22" t="s">
        <v>3378</v>
      </c>
      <c r="G552" s="32" t="s">
        <v>3395</v>
      </c>
      <c r="H552" s="22" t="s">
        <v>4810</v>
      </c>
      <c r="I552" s="22" t="s">
        <v>3363</v>
      </c>
    </row>
    <row r="553" customFormat="false" ht="37.5" hidden="false" customHeight="true" outlineLevel="0" collapsed="false">
      <c r="A553" s="24" t="s">
        <v>2883</v>
      </c>
      <c r="B553" s="32" t="s">
        <v>4811</v>
      </c>
      <c r="C553" s="22" t="s">
        <v>4812</v>
      </c>
      <c r="D553" s="32" t="s">
        <v>4813</v>
      </c>
      <c r="E553" s="22" t="s">
        <v>3394</v>
      </c>
      <c r="F553" s="22" t="s">
        <v>3378</v>
      </c>
      <c r="G553" s="32" t="s">
        <v>3395</v>
      </c>
      <c r="H553" s="22" t="s">
        <v>4810</v>
      </c>
      <c r="I553" s="22" t="s">
        <v>3363</v>
      </c>
    </row>
    <row r="554" customFormat="false" ht="37.5" hidden="false" customHeight="true" outlineLevel="0" collapsed="false">
      <c r="A554" s="24" t="s">
        <v>2883</v>
      </c>
      <c r="B554" s="32" t="s">
        <v>4814</v>
      </c>
      <c r="C554" s="22" t="s">
        <v>4815</v>
      </c>
      <c r="D554" s="32" t="s">
        <v>4816</v>
      </c>
      <c r="E554" s="22" t="s">
        <v>3394</v>
      </c>
      <c r="F554" s="22" t="s">
        <v>3378</v>
      </c>
      <c r="G554" s="32" t="s">
        <v>3395</v>
      </c>
      <c r="H554" s="22" t="s">
        <v>4810</v>
      </c>
      <c r="I554" s="22" t="s">
        <v>3363</v>
      </c>
    </row>
    <row r="555" customFormat="false" ht="49.5" hidden="false" customHeight="true" outlineLevel="0" collapsed="false">
      <c r="A555" s="24" t="s">
        <v>2883</v>
      </c>
      <c r="B555" s="32" t="s">
        <v>4817</v>
      </c>
      <c r="C555" s="22" t="s">
        <v>4818</v>
      </c>
      <c r="D555" s="32" t="s">
        <v>4819</v>
      </c>
      <c r="E555" s="22" t="s">
        <v>3394</v>
      </c>
      <c r="F555" s="22" t="s">
        <v>3378</v>
      </c>
      <c r="G555" s="32" t="s">
        <v>3395</v>
      </c>
      <c r="H555" s="22" t="s">
        <v>4810</v>
      </c>
      <c r="I555" s="22" t="s">
        <v>3363</v>
      </c>
    </row>
    <row r="556" customFormat="false" ht="37.5" hidden="false" customHeight="true" outlineLevel="0" collapsed="false">
      <c r="A556" s="24" t="s">
        <v>2883</v>
      </c>
      <c r="B556" s="32" t="s">
        <v>4820</v>
      </c>
      <c r="C556" s="22" t="s">
        <v>4821</v>
      </c>
      <c r="D556" s="32" t="s">
        <v>4822</v>
      </c>
      <c r="E556" s="22" t="s">
        <v>3394</v>
      </c>
      <c r="F556" s="22" t="s">
        <v>3378</v>
      </c>
      <c r="G556" s="32" t="s">
        <v>3395</v>
      </c>
      <c r="H556" s="22" t="s">
        <v>4810</v>
      </c>
      <c r="I556" s="22" t="s">
        <v>3363</v>
      </c>
    </row>
    <row r="557" customFormat="false" ht="62.25" hidden="false" customHeight="true" outlineLevel="0" collapsed="false">
      <c r="A557" s="24" t="s">
        <v>2883</v>
      </c>
      <c r="B557" s="32" t="s">
        <v>4823</v>
      </c>
      <c r="C557" s="22" t="s">
        <v>4824</v>
      </c>
      <c r="D557" s="32" t="s">
        <v>4825</v>
      </c>
      <c r="E557" s="22" t="s">
        <v>3394</v>
      </c>
      <c r="F557" s="22" t="s">
        <v>3378</v>
      </c>
      <c r="G557" s="32" t="s">
        <v>3395</v>
      </c>
      <c r="H557" s="22" t="s">
        <v>4810</v>
      </c>
      <c r="I557" s="22" t="s">
        <v>3363</v>
      </c>
    </row>
    <row r="558" customFormat="false" ht="37.5" hidden="false" customHeight="true" outlineLevel="0" collapsed="false">
      <c r="A558" s="24" t="s">
        <v>2883</v>
      </c>
      <c r="B558" s="32" t="s">
        <v>4826</v>
      </c>
      <c r="C558" s="22" t="s">
        <v>4827</v>
      </c>
      <c r="D558" s="32" t="s">
        <v>4828</v>
      </c>
      <c r="E558" s="22" t="s">
        <v>3394</v>
      </c>
      <c r="F558" s="22" t="s">
        <v>3378</v>
      </c>
      <c r="G558" s="32" t="s">
        <v>3395</v>
      </c>
      <c r="H558" s="22" t="s">
        <v>4810</v>
      </c>
      <c r="I558" s="22" t="s">
        <v>3363</v>
      </c>
    </row>
    <row r="559" customFormat="false" ht="49.5" hidden="false" customHeight="true" outlineLevel="0" collapsed="false">
      <c r="A559" s="24" t="s">
        <v>2883</v>
      </c>
      <c r="B559" s="32" t="s">
        <v>4829</v>
      </c>
      <c r="C559" s="22" t="s">
        <v>4830</v>
      </c>
      <c r="D559" s="32" t="s">
        <v>4831</v>
      </c>
      <c r="E559" s="22" t="s">
        <v>3394</v>
      </c>
      <c r="F559" s="22" t="s">
        <v>3378</v>
      </c>
      <c r="G559" s="32" t="s">
        <v>3395</v>
      </c>
      <c r="H559" s="22" t="s">
        <v>4810</v>
      </c>
      <c r="I559" s="22" t="s">
        <v>3363</v>
      </c>
    </row>
    <row r="560" customFormat="false" ht="37.5" hidden="false" customHeight="true" outlineLevel="0" collapsed="false">
      <c r="A560" s="24" t="s">
        <v>2883</v>
      </c>
      <c r="B560" s="32" t="s">
        <v>4832</v>
      </c>
      <c r="C560" s="22" t="s">
        <v>4833</v>
      </c>
      <c r="D560" s="32" t="s">
        <v>4834</v>
      </c>
      <c r="E560" s="22" t="s">
        <v>3394</v>
      </c>
      <c r="F560" s="22" t="s">
        <v>3378</v>
      </c>
      <c r="G560" s="32" t="s">
        <v>3395</v>
      </c>
      <c r="H560" s="22" t="s">
        <v>4810</v>
      </c>
      <c r="I560" s="22" t="s">
        <v>3363</v>
      </c>
    </row>
    <row r="561" customFormat="false" ht="37.5" hidden="false" customHeight="true" outlineLevel="0" collapsed="false">
      <c r="A561" s="24" t="s">
        <v>2883</v>
      </c>
      <c r="B561" s="32" t="s">
        <v>4835</v>
      </c>
      <c r="C561" s="22" t="s">
        <v>4836</v>
      </c>
      <c r="D561" s="32" t="s">
        <v>4837</v>
      </c>
      <c r="E561" s="22" t="s">
        <v>3394</v>
      </c>
      <c r="F561" s="22" t="s">
        <v>3378</v>
      </c>
      <c r="G561" s="32" t="s">
        <v>3395</v>
      </c>
      <c r="H561" s="22" t="s">
        <v>4810</v>
      </c>
      <c r="I561" s="22" t="s">
        <v>3363</v>
      </c>
    </row>
    <row r="562" customFormat="false" ht="37.5" hidden="false" customHeight="true" outlineLevel="0" collapsed="false">
      <c r="A562" s="24" t="s">
        <v>2883</v>
      </c>
      <c r="B562" s="32" t="s">
        <v>4838</v>
      </c>
      <c r="C562" s="22" t="s">
        <v>4839</v>
      </c>
      <c r="D562" s="32" t="s">
        <v>4840</v>
      </c>
      <c r="E562" s="22" t="s">
        <v>3394</v>
      </c>
      <c r="F562" s="22" t="s">
        <v>3378</v>
      </c>
      <c r="G562" s="32" t="s">
        <v>3395</v>
      </c>
      <c r="H562" s="22" t="s">
        <v>4810</v>
      </c>
      <c r="I562" s="22" t="s">
        <v>3363</v>
      </c>
    </row>
    <row r="563" customFormat="false" ht="49.5" hidden="false" customHeight="true" outlineLevel="0" collapsed="false">
      <c r="A563" s="24" t="s">
        <v>2883</v>
      </c>
      <c r="B563" s="32" t="s">
        <v>4841</v>
      </c>
      <c r="C563" s="22" t="s">
        <v>4842</v>
      </c>
      <c r="D563" s="32" t="s">
        <v>4843</v>
      </c>
      <c r="E563" s="22" t="s">
        <v>3394</v>
      </c>
      <c r="F563" s="22" t="s">
        <v>3378</v>
      </c>
      <c r="G563" s="32" t="s">
        <v>3395</v>
      </c>
      <c r="H563" s="22" t="s">
        <v>4810</v>
      </c>
      <c r="I563" s="22" t="s">
        <v>3363</v>
      </c>
    </row>
    <row r="564" customFormat="false" ht="37.5" hidden="false" customHeight="true" outlineLevel="0" collapsed="false">
      <c r="A564" s="24" t="s">
        <v>2883</v>
      </c>
      <c r="B564" s="32" t="s">
        <v>4844</v>
      </c>
      <c r="C564" s="22" t="s">
        <v>4845</v>
      </c>
      <c r="D564" s="32" t="s">
        <v>4846</v>
      </c>
      <c r="E564" s="22" t="s">
        <v>3394</v>
      </c>
      <c r="F564" s="22" t="s">
        <v>3378</v>
      </c>
      <c r="G564" s="32" t="s">
        <v>3395</v>
      </c>
      <c r="H564" s="22" t="s">
        <v>4810</v>
      </c>
      <c r="I564" s="22" t="s">
        <v>3363</v>
      </c>
    </row>
    <row r="565" customFormat="false" ht="37.5" hidden="false" customHeight="true" outlineLevel="0" collapsed="false">
      <c r="A565" s="24" t="s">
        <v>2883</v>
      </c>
      <c r="B565" s="32" t="s">
        <v>4847</v>
      </c>
      <c r="C565" s="22" t="s">
        <v>4848</v>
      </c>
      <c r="D565" s="32" t="s">
        <v>4849</v>
      </c>
      <c r="E565" s="22" t="s">
        <v>3394</v>
      </c>
      <c r="F565" s="22" t="s">
        <v>3378</v>
      </c>
      <c r="G565" s="32" t="s">
        <v>3395</v>
      </c>
      <c r="H565" s="22" t="s">
        <v>4810</v>
      </c>
      <c r="I565" s="22" t="s">
        <v>3363</v>
      </c>
    </row>
    <row r="566" customFormat="false" ht="37.5" hidden="false" customHeight="true" outlineLevel="0" collapsed="false">
      <c r="A566" s="24" t="s">
        <v>2883</v>
      </c>
      <c r="B566" s="32" t="s">
        <v>4850</v>
      </c>
      <c r="C566" s="22" t="s">
        <v>4851</v>
      </c>
      <c r="D566" s="32" t="s">
        <v>4852</v>
      </c>
      <c r="E566" s="22" t="s">
        <v>3394</v>
      </c>
      <c r="F566" s="22" t="s">
        <v>3378</v>
      </c>
      <c r="G566" s="32" t="s">
        <v>3395</v>
      </c>
      <c r="H566" s="22" t="s">
        <v>4810</v>
      </c>
      <c r="I566" s="22" t="s">
        <v>3363</v>
      </c>
    </row>
    <row r="567" customFormat="false" ht="37.5" hidden="false" customHeight="true" outlineLevel="0" collapsed="false">
      <c r="A567" s="24" t="s">
        <v>2883</v>
      </c>
      <c r="B567" s="32" t="s">
        <v>4853</v>
      </c>
      <c r="C567" s="22" t="s">
        <v>4854</v>
      </c>
      <c r="D567" s="32" t="s">
        <v>4855</v>
      </c>
      <c r="E567" s="22" t="s">
        <v>3394</v>
      </c>
      <c r="F567" s="22" t="s">
        <v>3378</v>
      </c>
      <c r="G567" s="32" t="s">
        <v>3395</v>
      </c>
      <c r="H567" s="22" t="s">
        <v>4810</v>
      </c>
      <c r="I567" s="22" t="s">
        <v>3363</v>
      </c>
    </row>
    <row r="568" customFormat="false" ht="37.5" hidden="false" customHeight="true" outlineLevel="0" collapsed="false">
      <c r="A568" s="24" t="s">
        <v>2883</v>
      </c>
      <c r="B568" s="32" t="s">
        <v>4856</v>
      </c>
      <c r="C568" s="22" t="s">
        <v>4857</v>
      </c>
      <c r="D568" s="32" t="s">
        <v>4858</v>
      </c>
      <c r="E568" s="22" t="s">
        <v>3394</v>
      </c>
      <c r="F568" s="22" t="s">
        <v>3378</v>
      </c>
      <c r="G568" s="32" t="s">
        <v>3395</v>
      </c>
      <c r="H568" s="22" t="s">
        <v>4810</v>
      </c>
      <c r="I568" s="22" t="s">
        <v>3363</v>
      </c>
    </row>
    <row r="569" customFormat="false" ht="24.75" hidden="false" customHeight="true" outlineLevel="0" collapsed="false">
      <c r="A569" s="24" t="s">
        <v>2883</v>
      </c>
      <c r="B569" s="32" t="s">
        <v>4859</v>
      </c>
      <c r="C569" s="22" t="s">
        <v>4860</v>
      </c>
      <c r="D569" s="32" t="s">
        <v>4861</v>
      </c>
      <c r="E569" s="22" t="s">
        <v>3394</v>
      </c>
      <c r="F569" s="22" t="s">
        <v>3378</v>
      </c>
      <c r="G569" s="32" t="s">
        <v>3395</v>
      </c>
      <c r="H569" s="22"/>
      <c r="I569" s="22" t="s">
        <v>3363</v>
      </c>
    </row>
    <row r="570" customFormat="false" ht="24.75" hidden="false" customHeight="true" outlineLevel="0" collapsed="false">
      <c r="A570" s="24" t="s">
        <v>2883</v>
      </c>
      <c r="B570" s="32" t="s">
        <v>4862</v>
      </c>
      <c r="C570" s="22" t="s">
        <v>4797</v>
      </c>
      <c r="D570" s="32" t="s">
        <v>4863</v>
      </c>
      <c r="E570" s="22" t="s">
        <v>3394</v>
      </c>
      <c r="F570" s="22" t="s">
        <v>3378</v>
      </c>
      <c r="G570" s="32" t="s">
        <v>3395</v>
      </c>
      <c r="H570" s="22"/>
      <c r="I570" s="22" t="s">
        <v>3363</v>
      </c>
    </row>
    <row r="571" customFormat="false" ht="15" hidden="false" customHeight="true" outlineLevel="0" collapsed="false">
      <c r="A571" s="24" t="s">
        <v>2883</v>
      </c>
      <c r="B571" s="32" t="s">
        <v>4864</v>
      </c>
      <c r="C571" s="22" t="s">
        <v>4865</v>
      </c>
      <c r="D571" s="32" t="s">
        <v>4866</v>
      </c>
      <c r="E571" s="22" t="s">
        <v>3394</v>
      </c>
      <c r="F571" s="22" t="s">
        <v>3378</v>
      </c>
      <c r="G571" s="32" t="s">
        <v>3395</v>
      </c>
      <c r="H571" s="22"/>
      <c r="I571" s="22" t="s">
        <v>3363</v>
      </c>
    </row>
    <row r="572" customFormat="false" ht="24.75" hidden="false" customHeight="true" outlineLevel="0" collapsed="false">
      <c r="A572" s="24" t="s">
        <v>2883</v>
      </c>
      <c r="B572" s="32" t="s">
        <v>4867</v>
      </c>
      <c r="C572" s="22" t="s">
        <v>4868</v>
      </c>
      <c r="D572" s="32" t="s">
        <v>4869</v>
      </c>
      <c r="E572" s="22" t="s">
        <v>3359</v>
      </c>
      <c r="F572" s="22" t="s">
        <v>3378</v>
      </c>
      <c r="G572" s="32"/>
      <c r="H572" s="22"/>
      <c r="I572" s="22" t="s">
        <v>3363</v>
      </c>
    </row>
    <row r="573" customFormat="false" ht="37.5" hidden="false" customHeight="true" outlineLevel="0" collapsed="false">
      <c r="A573" s="24" t="s">
        <v>2883</v>
      </c>
      <c r="B573" s="32" t="s">
        <v>4664</v>
      </c>
      <c r="C573" s="22" t="s">
        <v>4870</v>
      </c>
      <c r="D573" s="32" t="s">
        <v>4871</v>
      </c>
      <c r="E573" s="22" t="s">
        <v>3394</v>
      </c>
      <c r="F573" s="22" t="s">
        <v>3378</v>
      </c>
      <c r="G573" s="32" t="s">
        <v>3395</v>
      </c>
      <c r="H573" s="22"/>
      <c r="I573" s="22" t="s">
        <v>3363</v>
      </c>
    </row>
    <row r="574" customFormat="false" ht="62.25" hidden="false" customHeight="true" outlineLevel="0" collapsed="false">
      <c r="A574" s="24" t="s">
        <v>2883</v>
      </c>
      <c r="B574" s="32" t="s">
        <v>4872</v>
      </c>
      <c r="C574" s="22" t="s">
        <v>4873</v>
      </c>
      <c r="D574" s="32" t="s">
        <v>4874</v>
      </c>
      <c r="E574" s="22" t="s">
        <v>3394</v>
      </c>
      <c r="F574" s="22" t="s">
        <v>3378</v>
      </c>
      <c r="G574" s="32" t="s">
        <v>3395</v>
      </c>
      <c r="H574" s="22"/>
      <c r="I574" s="22" t="s">
        <v>3363</v>
      </c>
    </row>
    <row r="575" customFormat="false" ht="15" hidden="false" customHeight="true" outlineLevel="0" collapsed="false">
      <c r="A575" s="24" t="s">
        <v>2883</v>
      </c>
      <c r="B575" s="32" t="s">
        <v>3819</v>
      </c>
      <c r="C575" s="22" t="s">
        <v>3820</v>
      </c>
      <c r="D575" s="32" t="s">
        <v>3869</v>
      </c>
      <c r="E575" s="22" t="s">
        <v>3359</v>
      </c>
      <c r="F575" s="22" t="s">
        <v>3378</v>
      </c>
      <c r="G575" s="32"/>
      <c r="H575" s="22"/>
      <c r="I575" s="22" t="s">
        <v>3363</v>
      </c>
    </row>
    <row r="576" customFormat="false" ht="62.25" hidden="false" customHeight="true" outlineLevel="0" collapsed="false">
      <c r="A576" s="24" t="s">
        <v>1275</v>
      </c>
      <c r="B576" s="32" t="s">
        <v>3356</v>
      </c>
      <c r="C576" s="22" t="s">
        <v>3828</v>
      </c>
      <c r="D576" s="32" t="s">
        <v>4875</v>
      </c>
      <c r="E576" s="22" t="s">
        <v>3359</v>
      </c>
      <c r="F576" s="22" t="s">
        <v>3360</v>
      </c>
      <c r="G576" s="32" t="s">
        <v>3361</v>
      </c>
      <c r="H576" s="22"/>
      <c r="I576" s="22" t="s">
        <v>3363</v>
      </c>
    </row>
    <row r="577" customFormat="false" ht="15" hidden="false" customHeight="true" outlineLevel="0" collapsed="false">
      <c r="A577" s="24" t="s">
        <v>1275</v>
      </c>
      <c r="B577" s="32" t="s">
        <v>4400</v>
      </c>
      <c r="C577" s="22" t="s">
        <v>4876</v>
      </c>
      <c r="D577" s="32" t="s">
        <v>4045</v>
      </c>
      <c r="E577" s="22" t="s">
        <v>3359</v>
      </c>
      <c r="F577" s="22" t="s">
        <v>3360</v>
      </c>
      <c r="G577" s="32" t="s">
        <v>4692</v>
      </c>
      <c r="H577" s="22"/>
      <c r="I577" s="22" t="s">
        <v>3363</v>
      </c>
    </row>
    <row r="578" customFormat="false" ht="24.75" hidden="false" customHeight="true" outlineLevel="0" collapsed="false">
      <c r="A578" s="24" t="s">
        <v>1275</v>
      </c>
      <c r="B578" s="32" t="s">
        <v>4877</v>
      </c>
      <c r="C578" s="22" t="s">
        <v>4878</v>
      </c>
      <c r="D578" s="32" t="s">
        <v>4879</v>
      </c>
      <c r="E578" s="22" t="s">
        <v>3394</v>
      </c>
      <c r="F578" s="22" t="s">
        <v>3378</v>
      </c>
      <c r="G578" s="32" t="s">
        <v>3395</v>
      </c>
      <c r="H578" s="22" t="s">
        <v>4880</v>
      </c>
      <c r="I578" s="22" t="s">
        <v>3363</v>
      </c>
    </row>
    <row r="579" customFormat="false" ht="37.5" hidden="false" customHeight="true" outlineLevel="0" collapsed="false">
      <c r="A579" s="24" t="s">
        <v>1275</v>
      </c>
      <c r="B579" s="32" t="s">
        <v>4881</v>
      </c>
      <c r="C579" s="22" t="s">
        <v>4882</v>
      </c>
      <c r="D579" s="32" t="s">
        <v>4883</v>
      </c>
      <c r="E579" s="22" t="s">
        <v>3377</v>
      </c>
      <c r="F579" s="22" t="s">
        <v>3360</v>
      </c>
      <c r="G579" s="32" t="s">
        <v>4884</v>
      </c>
      <c r="H579" s="22"/>
      <c r="I579" s="22" t="s">
        <v>3363</v>
      </c>
    </row>
    <row r="580" customFormat="false" ht="37.5" hidden="false" customHeight="true" outlineLevel="0" collapsed="false">
      <c r="A580" s="24" t="s">
        <v>1275</v>
      </c>
      <c r="B580" s="32" t="s">
        <v>4885</v>
      </c>
      <c r="C580" s="22" t="s">
        <v>3357</v>
      </c>
      <c r="D580" s="32" t="s">
        <v>4886</v>
      </c>
      <c r="E580" s="22" t="s">
        <v>3359</v>
      </c>
      <c r="F580" s="22" t="s">
        <v>3378</v>
      </c>
      <c r="G580" s="32" t="s">
        <v>3372</v>
      </c>
      <c r="H580" s="22" t="s">
        <v>4887</v>
      </c>
      <c r="I580" s="22" t="s">
        <v>3363</v>
      </c>
    </row>
    <row r="581" customFormat="false" ht="15" hidden="false" customHeight="true" outlineLevel="0" collapsed="false">
      <c r="A581" s="24" t="s">
        <v>1275</v>
      </c>
      <c r="B581" s="32" t="s">
        <v>4888</v>
      </c>
      <c r="C581" s="22" t="s">
        <v>4889</v>
      </c>
      <c r="D581" s="32" t="s">
        <v>4890</v>
      </c>
      <c r="E581" s="22" t="s">
        <v>3359</v>
      </c>
      <c r="F581" s="22" t="s">
        <v>3378</v>
      </c>
      <c r="G581" s="32"/>
      <c r="H581" s="22"/>
      <c r="I581" s="22" t="s">
        <v>3363</v>
      </c>
    </row>
    <row r="582" customFormat="false" ht="24.75" hidden="false" customHeight="true" outlineLevel="0" collapsed="false">
      <c r="A582" s="24" t="s">
        <v>1275</v>
      </c>
      <c r="B582" s="32" t="s">
        <v>4891</v>
      </c>
      <c r="C582" s="22" t="s">
        <v>4073</v>
      </c>
      <c r="D582" s="32" t="s">
        <v>4892</v>
      </c>
      <c r="E582" s="22" t="s">
        <v>3389</v>
      </c>
      <c r="F582" s="22" t="s">
        <v>3378</v>
      </c>
      <c r="G582" s="32" t="s">
        <v>3390</v>
      </c>
      <c r="H582" s="22"/>
      <c r="I582" s="22" t="s">
        <v>3363</v>
      </c>
    </row>
    <row r="583" customFormat="false" ht="15" hidden="false" customHeight="true" outlineLevel="0" collapsed="false">
      <c r="A583" s="24" t="s">
        <v>1275</v>
      </c>
      <c r="B583" s="32" t="s">
        <v>4893</v>
      </c>
      <c r="C583" s="22" t="s">
        <v>3392</v>
      </c>
      <c r="D583" s="32" t="s">
        <v>4894</v>
      </c>
      <c r="E583" s="22" t="s">
        <v>3394</v>
      </c>
      <c r="F583" s="22" t="s">
        <v>3378</v>
      </c>
      <c r="G583" s="32" t="s">
        <v>3395</v>
      </c>
      <c r="H583" s="22"/>
      <c r="I583" s="22" t="s">
        <v>3363</v>
      </c>
    </row>
    <row r="584" customFormat="false" ht="37.5" hidden="false" customHeight="true" outlineLevel="0" collapsed="false">
      <c r="A584" s="24" t="s">
        <v>1275</v>
      </c>
      <c r="B584" s="32" t="s">
        <v>4895</v>
      </c>
      <c r="C584" s="22" t="s">
        <v>3441</v>
      </c>
      <c r="D584" s="32" t="s">
        <v>4896</v>
      </c>
      <c r="E584" s="22" t="s">
        <v>3394</v>
      </c>
      <c r="F584" s="22" t="s">
        <v>3378</v>
      </c>
      <c r="G584" s="32" t="s">
        <v>3443</v>
      </c>
      <c r="H584" s="22"/>
      <c r="I584" s="22" t="s">
        <v>3363</v>
      </c>
    </row>
    <row r="585" customFormat="false" ht="15" hidden="false" customHeight="true" outlineLevel="0" collapsed="false">
      <c r="A585" s="24" t="s">
        <v>1275</v>
      </c>
      <c r="B585" s="32" t="s">
        <v>4897</v>
      </c>
      <c r="C585" s="22" t="s">
        <v>3489</v>
      </c>
      <c r="D585" s="32" t="s">
        <v>4898</v>
      </c>
      <c r="E585" s="22" t="s">
        <v>3394</v>
      </c>
      <c r="F585" s="22" t="s">
        <v>3378</v>
      </c>
      <c r="G585" s="32" t="s">
        <v>3395</v>
      </c>
      <c r="H585" s="22"/>
      <c r="I585" s="22" t="s">
        <v>3363</v>
      </c>
    </row>
    <row r="586" customFormat="false" ht="15" hidden="false" customHeight="true" outlineLevel="0" collapsed="false">
      <c r="A586" s="24" t="s">
        <v>1275</v>
      </c>
      <c r="B586" s="32" t="s">
        <v>4899</v>
      </c>
      <c r="C586" s="22" t="s">
        <v>3678</v>
      </c>
      <c r="D586" s="32" t="s">
        <v>4900</v>
      </c>
      <c r="E586" s="22" t="s">
        <v>3394</v>
      </c>
      <c r="F586" s="22" t="s">
        <v>3378</v>
      </c>
      <c r="G586" s="32" t="s">
        <v>3395</v>
      </c>
      <c r="H586" s="22"/>
      <c r="I586" s="22" t="s">
        <v>3363</v>
      </c>
    </row>
    <row r="587" customFormat="false" ht="15" hidden="false" customHeight="true" outlineLevel="0" collapsed="false">
      <c r="A587" s="24" t="s">
        <v>1275</v>
      </c>
      <c r="B587" s="32" t="s">
        <v>4901</v>
      </c>
      <c r="C587" s="22" t="s">
        <v>3862</v>
      </c>
      <c r="D587" s="32" t="s">
        <v>4902</v>
      </c>
      <c r="E587" s="22" t="s">
        <v>3394</v>
      </c>
      <c r="F587" s="22" t="s">
        <v>3378</v>
      </c>
      <c r="G587" s="32" t="s">
        <v>3395</v>
      </c>
      <c r="H587" s="22"/>
      <c r="I587" s="22" t="s">
        <v>3363</v>
      </c>
    </row>
    <row r="588" customFormat="false" ht="15" hidden="false" customHeight="true" outlineLevel="0" collapsed="false">
      <c r="A588" s="24" t="s">
        <v>1275</v>
      </c>
      <c r="B588" s="32" t="s">
        <v>4903</v>
      </c>
      <c r="C588" s="22" t="s">
        <v>3865</v>
      </c>
      <c r="D588" s="32" t="s">
        <v>4904</v>
      </c>
      <c r="E588" s="22" t="s">
        <v>3394</v>
      </c>
      <c r="F588" s="22" t="s">
        <v>3378</v>
      </c>
      <c r="G588" s="32" t="s">
        <v>3395</v>
      </c>
      <c r="H588" s="22"/>
      <c r="I588" s="22" t="s">
        <v>3363</v>
      </c>
    </row>
    <row r="589" customFormat="false" ht="15" hidden="false" customHeight="true" outlineLevel="0" collapsed="false">
      <c r="A589" s="24" t="s">
        <v>1275</v>
      </c>
      <c r="B589" s="32" t="s">
        <v>4905</v>
      </c>
      <c r="C589" s="22" t="s">
        <v>4906</v>
      </c>
      <c r="D589" s="32" t="s">
        <v>4907</v>
      </c>
      <c r="E589" s="22" t="s">
        <v>3394</v>
      </c>
      <c r="F589" s="22" t="s">
        <v>3378</v>
      </c>
      <c r="G589" s="32" t="s">
        <v>3395</v>
      </c>
      <c r="H589" s="22"/>
      <c r="I589" s="22" t="s">
        <v>3363</v>
      </c>
    </row>
    <row r="590" customFormat="false" ht="15" hidden="false" customHeight="true" outlineLevel="0" collapsed="false">
      <c r="A590" s="24" t="s">
        <v>1275</v>
      </c>
      <c r="B590" s="32" t="s">
        <v>4908</v>
      </c>
      <c r="C590" s="22" t="s">
        <v>4909</v>
      </c>
      <c r="D590" s="32" t="s">
        <v>4910</v>
      </c>
      <c r="E590" s="22" t="s">
        <v>3359</v>
      </c>
      <c r="F590" s="22" t="s">
        <v>3378</v>
      </c>
      <c r="G590" s="32"/>
      <c r="H590" s="22"/>
      <c r="I590" s="22" t="s">
        <v>3363</v>
      </c>
    </row>
    <row r="591" customFormat="false" ht="24.75" hidden="false" customHeight="true" outlineLevel="0" collapsed="false">
      <c r="A591" s="24" t="s">
        <v>1275</v>
      </c>
      <c r="B591" s="32" t="s">
        <v>4911</v>
      </c>
      <c r="C591" s="22" t="s">
        <v>4912</v>
      </c>
      <c r="D591" s="32" t="s">
        <v>4913</v>
      </c>
      <c r="E591" s="22" t="s">
        <v>3394</v>
      </c>
      <c r="F591" s="22" t="s">
        <v>3360</v>
      </c>
      <c r="G591" s="32" t="s">
        <v>3395</v>
      </c>
      <c r="H591" s="22" t="s">
        <v>4914</v>
      </c>
      <c r="I591" s="22" t="s">
        <v>3363</v>
      </c>
    </row>
    <row r="592" customFormat="false" ht="24.75" hidden="false" customHeight="true" outlineLevel="0" collapsed="false">
      <c r="A592" s="24" t="s">
        <v>1275</v>
      </c>
      <c r="B592" s="32" t="s">
        <v>4915</v>
      </c>
      <c r="C592" s="22" t="s">
        <v>4916</v>
      </c>
      <c r="D592" s="32" t="s">
        <v>4913</v>
      </c>
      <c r="E592" s="22" t="s">
        <v>3394</v>
      </c>
      <c r="F592" s="22" t="s">
        <v>3360</v>
      </c>
      <c r="G592" s="32" t="s">
        <v>3395</v>
      </c>
      <c r="H592" s="22"/>
      <c r="I592" s="22" t="s">
        <v>3363</v>
      </c>
    </row>
    <row r="593" customFormat="false" ht="37.5" hidden="false" customHeight="true" outlineLevel="0" collapsed="false">
      <c r="A593" s="24" t="s">
        <v>1275</v>
      </c>
      <c r="B593" s="32" t="s">
        <v>4917</v>
      </c>
      <c r="C593" s="22" t="s">
        <v>4918</v>
      </c>
      <c r="D593" s="32" t="s">
        <v>4919</v>
      </c>
      <c r="E593" s="22" t="s">
        <v>3394</v>
      </c>
      <c r="F593" s="22" t="s">
        <v>3360</v>
      </c>
      <c r="G593" s="32" t="s">
        <v>3395</v>
      </c>
      <c r="H593" s="22"/>
      <c r="I593" s="22" t="s">
        <v>3363</v>
      </c>
    </row>
    <row r="594" customFormat="false" ht="15" hidden="false" customHeight="true" outlineLevel="0" collapsed="false">
      <c r="A594" s="24" t="s">
        <v>1275</v>
      </c>
      <c r="B594" s="32" t="s">
        <v>4920</v>
      </c>
      <c r="C594" s="22" t="s">
        <v>4921</v>
      </c>
      <c r="D594" s="32" t="s">
        <v>4919</v>
      </c>
      <c r="E594" s="22" t="s">
        <v>3394</v>
      </c>
      <c r="F594" s="22" t="s">
        <v>3360</v>
      </c>
      <c r="G594" s="32" t="s">
        <v>3395</v>
      </c>
      <c r="H594" s="22"/>
      <c r="I594" s="22" t="s">
        <v>3363</v>
      </c>
    </row>
    <row r="595" customFormat="false" ht="15" hidden="false" customHeight="true" outlineLevel="0" collapsed="false">
      <c r="A595" s="24" t="s">
        <v>1275</v>
      </c>
      <c r="B595" s="32" t="s">
        <v>4922</v>
      </c>
      <c r="C595" s="22" t="s">
        <v>4923</v>
      </c>
      <c r="D595" s="32" t="s">
        <v>4924</v>
      </c>
      <c r="E595" s="22" t="s">
        <v>3394</v>
      </c>
      <c r="F595" s="22" t="s">
        <v>3360</v>
      </c>
      <c r="G595" s="32" t="s">
        <v>3395</v>
      </c>
      <c r="H595" s="22"/>
      <c r="I595" s="22" t="s">
        <v>3363</v>
      </c>
    </row>
    <row r="596" customFormat="false" ht="15" hidden="false" customHeight="true" outlineLevel="0" collapsed="false">
      <c r="A596" s="24" t="s">
        <v>1275</v>
      </c>
      <c r="B596" s="32" t="s">
        <v>4925</v>
      </c>
      <c r="C596" s="22" t="s">
        <v>4926</v>
      </c>
      <c r="D596" s="32" t="s">
        <v>4927</v>
      </c>
      <c r="E596" s="22" t="s">
        <v>3394</v>
      </c>
      <c r="F596" s="22" t="s">
        <v>3378</v>
      </c>
      <c r="G596" s="32" t="s">
        <v>3395</v>
      </c>
      <c r="H596" s="22"/>
      <c r="I596" s="22" t="s">
        <v>3363</v>
      </c>
    </row>
    <row r="597" customFormat="false" ht="15" hidden="false" customHeight="true" outlineLevel="0" collapsed="false">
      <c r="A597" s="24" t="s">
        <v>1275</v>
      </c>
      <c r="B597" s="32" t="s">
        <v>4928</v>
      </c>
      <c r="C597" s="22" t="s">
        <v>4929</v>
      </c>
      <c r="D597" s="32" t="s">
        <v>4930</v>
      </c>
      <c r="E597" s="22" t="s">
        <v>3377</v>
      </c>
      <c r="F597" s="22" t="s">
        <v>3360</v>
      </c>
      <c r="G597" s="32" t="s">
        <v>4931</v>
      </c>
      <c r="H597" s="22"/>
      <c r="I597" s="22" t="s">
        <v>3363</v>
      </c>
    </row>
    <row r="598" customFormat="false" ht="15" hidden="false" customHeight="true" outlineLevel="0" collapsed="false">
      <c r="A598" s="24" t="s">
        <v>1275</v>
      </c>
      <c r="B598" s="32" t="s">
        <v>4932</v>
      </c>
      <c r="C598" s="22" t="s">
        <v>4933</v>
      </c>
      <c r="D598" s="32" t="s">
        <v>4930</v>
      </c>
      <c r="E598" s="22" t="s">
        <v>3394</v>
      </c>
      <c r="F598" s="22" t="s">
        <v>3360</v>
      </c>
      <c r="G598" s="32" t="s">
        <v>4934</v>
      </c>
      <c r="H598" s="22"/>
      <c r="I598" s="22" t="s">
        <v>3363</v>
      </c>
    </row>
    <row r="599" customFormat="false" ht="15" hidden="false" customHeight="true" outlineLevel="0" collapsed="false">
      <c r="A599" s="24" t="s">
        <v>1275</v>
      </c>
      <c r="B599" s="32" t="s">
        <v>4935</v>
      </c>
      <c r="C599" s="22" t="s">
        <v>3852</v>
      </c>
      <c r="D599" s="32" t="s">
        <v>4930</v>
      </c>
      <c r="E599" s="22" t="s">
        <v>3394</v>
      </c>
      <c r="F599" s="22" t="s">
        <v>3360</v>
      </c>
      <c r="G599" s="32" t="s">
        <v>3395</v>
      </c>
      <c r="H599" s="22" t="s">
        <v>4936</v>
      </c>
      <c r="I599" s="22" t="s">
        <v>3363</v>
      </c>
    </row>
    <row r="600" customFormat="false" ht="24.75" hidden="false" customHeight="true" outlineLevel="0" collapsed="false">
      <c r="A600" s="24" t="s">
        <v>1275</v>
      </c>
      <c r="B600" s="32" t="s">
        <v>4937</v>
      </c>
      <c r="C600" s="22" t="s">
        <v>4938</v>
      </c>
      <c r="D600" s="32" t="s">
        <v>4930</v>
      </c>
      <c r="E600" s="22" t="s">
        <v>3394</v>
      </c>
      <c r="F600" s="22" t="s">
        <v>3360</v>
      </c>
      <c r="G600" s="32" t="s">
        <v>3395</v>
      </c>
      <c r="H600" s="22"/>
      <c r="I600" s="22" t="s">
        <v>3363</v>
      </c>
    </row>
    <row r="601" customFormat="false" ht="37.5" hidden="false" customHeight="true" outlineLevel="0" collapsed="false">
      <c r="A601" s="24" t="s">
        <v>1275</v>
      </c>
      <c r="B601" s="32" t="s">
        <v>4939</v>
      </c>
      <c r="C601" s="22" t="s">
        <v>4940</v>
      </c>
      <c r="D601" s="32" t="s">
        <v>4941</v>
      </c>
      <c r="E601" s="22" t="s">
        <v>3359</v>
      </c>
      <c r="F601" s="22" t="s">
        <v>3378</v>
      </c>
      <c r="G601" s="32" t="s">
        <v>3372</v>
      </c>
      <c r="H601" s="22"/>
      <c r="I601" s="22" t="s">
        <v>3363</v>
      </c>
    </row>
    <row r="602" customFormat="false" ht="15" hidden="false" customHeight="true" outlineLevel="0" collapsed="false">
      <c r="A602" s="24" t="s">
        <v>1275</v>
      </c>
      <c r="B602" s="32" t="s">
        <v>4942</v>
      </c>
      <c r="C602" s="22" t="s">
        <v>4943</v>
      </c>
      <c r="D602" s="32" t="s">
        <v>4944</v>
      </c>
      <c r="E602" s="22" t="s">
        <v>3394</v>
      </c>
      <c r="F602" s="22" t="s">
        <v>3378</v>
      </c>
      <c r="G602" s="32" t="s">
        <v>3395</v>
      </c>
      <c r="H602" s="22"/>
      <c r="I602" s="22" t="s">
        <v>3363</v>
      </c>
    </row>
    <row r="603" customFormat="false" ht="15" hidden="false" customHeight="true" outlineLevel="0" collapsed="false">
      <c r="A603" s="24" t="s">
        <v>1275</v>
      </c>
      <c r="B603" s="32" t="s">
        <v>4945</v>
      </c>
      <c r="C603" s="22" t="s">
        <v>4946</v>
      </c>
      <c r="D603" s="32" t="s">
        <v>4947</v>
      </c>
      <c r="E603" s="22" t="s">
        <v>3394</v>
      </c>
      <c r="F603" s="22" t="s">
        <v>3378</v>
      </c>
      <c r="G603" s="32" t="s">
        <v>3395</v>
      </c>
      <c r="H603" s="22"/>
      <c r="I603" s="22" t="s">
        <v>3363</v>
      </c>
    </row>
    <row r="604" customFormat="false" ht="15" hidden="false" customHeight="true" outlineLevel="0" collapsed="false">
      <c r="A604" s="24" t="s">
        <v>1275</v>
      </c>
      <c r="B604" s="32" t="s">
        <v>4948</v>
      </c>
      <c r="C604" s="22" t="s">
        <v>4949</v>
      </c>
      <c r="D604" s="32" t="s">
        <v>4950</v>
      </c>
      <c r="E604" s="22" t="s">
        <v>3394</v>
      </c>
      <c r="F604" s="22" t="s">
        <v>3378</v>
      </c>
      <c r="G604" s="32" t="s">
        <v>3395</v>
      </c>
      <c r="H604" s="22"/>
      <c r="I604" s="22" t="s">
        <v>3363</v>
      </c>
    </row>
    <row r="605" customFormat="false" ht="24.75" hidden="false" customHeight="true" outlineLevel="0" collapsed="false">
      <c r="A605" s="24" t="s">
        <v>1275</v>
      </c>
      <c r="B605" s="32" t="s">
        <v>4951</v>
      </c>
      <c r="C605" s="22" t="s">
        <v>4952</v>
      </c>
      <c r="D605" s="32" t="s">
        <v>4953</v>
      </c>
      <c r="E605" s="22" t="s">
        <v>3394</v>
      </c>
      <c r="F605" s="22" t="s">
        <v>3360</v>
      </c>
      <c r="G605" s="32" t="s">
        <v>3395</v>
      </c>
      <c r="H605" s="22" t="s">
        <v>4954</v>
      </c>
      <c r="I605" s="22" t="s">
        <v>3363</v>
      </c>
    </row>
    <row r="606" customFormat="false" ht="24.75" hidden="false" customHeight="true" outlineLevel="0" collapsed="false">
      <c r="A606" s="24" t="s">
        <v>1275</v>
      </c>
      <c r="B606" s="32" t="s">
        <v>4955</v>
      </c>
      <c r="C606" s="22" t="s">
        <v>4956</v>
      </c>
      <c r="D606" s="32" t="s">
        <v>4957</v>
      </c>
      <c r="E606" s="22" t="s">
        <v>3394</v>
      </c>
      <c r="F606" s="22" t="s">
        <v>3360</v>
      </c>
      <c r="G606" s="32" t="s">
        <v>3395</v>
      </c>
      <c r="H606" s="22"/>
      <c r="I606" s="22" t="s">
        <v>3363</v>
      </c>
    </row>
    <row r="607" customFormat="false" ht="15" hidden="false" customHeight="true" outlineLevel="0" collapsed="false">
      <c r="A607" s="24" t="s">
        <v>1275</v>
      </c>
      <c r="B607" s="32" t="s">
        <v>4958</v>
      </c>
      <c r="C607" s="22" t="s">
        <v>4959</v>
      </c>
      <c r="D607" s="32" t="s">
        <v>4960</v>
      </c>
      <c r="E607" s="22" t="s">
        <v>3394</v>
      </c>
      <c r="F607" s="22" t="s">
        <v>3360</v>
      </c>
      <c r="G607" s="32" t="s">
        <v>3395</v>
      </c>
      <c r="H607" s="22" t="s">
        <v>4961</v>
      </c>
      <c r="I607" s="22" t="s">
        <v>3363</v>
      </c>
    </row>
    <row r="608" customFormat="false" ht="15" hidden="false" customHeight="true" outlineLevel="0" collapsed="false">
      <c r="A608" s="24" t="s">
        <v>1275</v>
      </c>
      <c r="B608" s="32" t="s">
        <v>4962</v>
      </c>
      <c r="C608" s="22" t="s">
        <v>4963</v>
      </c>
      <c r="D608" s="32" t="s">
        <v>4964</v>
      </c>
      <c r="E608" s="22" t="s">
        <v>3394</v>
      </c>
      <c r="F608" s="22" t="s">
        <v>3378</v>
      </c>
      <c r="G608" s="32" t="s">
        <v>3395</v>
      </c>
      <c r="H608" s="22"/>
      <c r="I608" s="22" t="s">
        <v>3363</v>
      </c>
    </row>
    <row r="609" customFormat="false" ht="15" hidden="false" customHeight="true" outlineLevel="0" collapsed="false">
      <c r="A609" s="24" t="s">
        <v>1275</v>
      </c>
      <c r="B609" s="32" t="s">
        <v>4965</v>
      </c>
      <c r="C609" s="22" t="s">
        <v>4966</v>
      </c>
      <c r="D609" s="32" t="s">
        <v>4967</v>
      </c>
      <c r="E609" s="22" t="s">
        <v>3394</v>
      </c>
      <c r="F609" s="22" t="s">
        <v>3378</v>
      </c>
      <c r="G609" s="32" t="s">
        <v>3395</v>
      </c>
      <c r="H609" s="22"/>
      <c r="I609" s="22" t="s">
        <v>3363</v>
      </c>
    </row>
    <row r="610" customFormat="false" ht="15" hidden="false" customHeight="true" outlineLevel="0" collapsed="false">
      <c r="A610" s="24" t="s">
        <v>1275</v>
      </c>
      <c r="B610" s="32" t="s">
        <v>4968</v>
      </c>
      <c r="C610" s="22" t="s">
        <v>4969</v>
      </c>
      <c r="D610" s="32" t="s">
        <v>4970</v>
      </c>
      <c r="E610" s="22" t="s">
        <v>3394</v>
      </c>
      <c r="F610" s="22" t="s">
        <v>3378</v>
      </c>
      <c r="G610" s="32" t="s">
        <v>3395</v>
      </c>
      <c r="H610" s="22"/>
      <c r="I610" s="22" t="s">
        <v>3363</v>
      </c>
    </row>
    <row r="611" customFormat="false" ht="15" hidden="false" customHeight="true" outlineLevel="0" collapsed="false">
      <c r="A611" s="24" t="s">
        <v>1275</v>
      </c>
      <c r="B611" s="32" t="s">
        <v>4971</v>
      </c>
      <c r="C611" s="22" t="s">
        <v>4972</v>
      </c>
      <c r="D611" s="32" t="s">
        <v>4973</v>
      </c>
      <c r="E611" s="22" t="s">
        <v>3394</v>
      </c>
      <c r="F611" s="22" t="s">
        <v>3378</v>
      </c>
      <c r="G611" s="32" t="s">
        <v>3395</v>
      </c>
      <c r="H611" s="22"/>
      <c r="I611" s="22" t="s">
        <v>3363</v>
      </c>
    </row>
    <row r="612" customFormat="false" ht="15" hidden="false" customHeight="true" outlineLevel="0" collapsed="false">
      <c r="A612" s="24" t="s">
        <v>1275</v>
      </c>
      <c r="B612" s="32" t="s">
        <v>3819</v>
      </c>
      <c r="C612" s="22" t="s">
        <v>3820</v>
      </c>
      <c r="D612" s="32" t="s">
        <v>4974</v>
      </c>
      <c r="E612" s="22" t="s">
        <v>3359</v>
      </c>
      <c r="F612" s="22" t="s">
        <v>3378</v>
      </c>
      <c r="G612" s="32"/>
      <c r="H612" s="22"/>
      <c r="I612" s="22" t="s">
        <v>3363</v>
      </c>
    </row>
    <row r="613" customFormat="false" ht="24.75" hidden="false" customHeight="true" outlineLevel="0" collapsed="false">
      <c r="A613" s="24" t="s">
        <v>1275</v>
      </c>
      <c r="B613" s="32" t="s">
        <v>4975</v>
      </c>
      <c r="C613" s="22" t="s">
        <v>4976</v>
      </c>
      <c r="D613" s="32" t="s">
        <v>4977</v>
      </c>
      <c r="E613" s="22" t="s">
        <v>3389</v>
      </c>
      <c r="F613" s="22" t="s">
        <v>3378</v>
      </c>
      <c r="G613" s="32" t="s">
        <v>3390</v>
      </c>
      <c r="H613" s="22"/>
      <c r="I613" s="22" t="s">
        <v>3363</v>
      </c>
    </row>
    <row r="614" customFormat="false" ht="62.25" hidden="false" customHeight="true" outlineLevel="0" collapsed="false">
      <c r="A614" s="24" t="s">
        <v>1274</v>
      </c>
      <c r="B614" s="32" t="s">
        <v>3356</v>
      </c>
      <c r="C614" s="22" t="s">
        <v>3828</v>
      </c>
      <c r="D614" s="32" t="s">
        <v>4875</v>
      </c>
      <c r="E614" s="22" t="s">
        <v>3359</v>
      </c>
      <c r="F614" s="22" t="s">
        <v>3360</v>
      </c>
      <c r="G614" s="32" t="s">
        <v>3361</v>
      </c>
      <c r="H614" s="22"/>
      <c r="I614" s="22" t="s">
        <v>3363</v>
      </c>
    </row>
    <row r="615" customFormat="false" ht="15" hidden="false" customHeight="true" outlineLevel="0" collapsed="false">
      <c r="A615" s="24" t="s">
        <v>1274</v>
      </c>
      <c r="B615" s="32" t="s">
        <v>4400</v>
      </c>
      <c r="C615" s="22" t="s">
        <v>4401</v>
      </c>
      <c r="D615" s="32" t="s">
        <v>4045</v>
      </c>
      <c r="E615" s="22" t="s">
        <v>3359</v>
      </c>
      <c r="F615" s="22" t="s">
        <v>3360</v>
      </c>
      <c r="G615" s="32" t="s">
        <v>4692</v>
      </c>
      <c r="H615" s="22"/>
      <c r="I615" s="22" t="s">
        <v>3363</v>
      </c>
    </row>
    <row r="616" customFormat="false" ht="24.75" hidden="false" customHeight="true" outlineLevel="0" collapsed="false">
      <c r="A616" s="24" t="s">
        <v>1274</v>
      </c>
      <c r="B616" s="32" t="s">
        <v>1535</v>
      </c>
      <c r="C616" s="22" t="s">
        <v>4978</v>
      </c>
      <c r="D616" s="32" t="s">
        <v>4045</v>
      </c>
      <c r="E616" s="22" t="s">
        <v>3377</v>
      </c>
      <c r="F616" s="22" t="s">
        <v>3360</v>
      </c>
      <c r="G616" s="32" t="s">
        <v>4979</v>
      </c>
      <c r="H616" s="22"/>
      <c r="I616" s="22" t="s">
        <v>3363</v>
      </c>
    </row>
    <row r="617" customFormat="false" ht="24.75" hidden="false" customHeight="true" outlineLevel="0" collapsed="false">
      <c r="A617" s="24" t="s">
        <v>1274</v>
      </c>
      <c r="B617" s="32" t="s">
        <v>4980</v>
      </c>
      <c r="C617" s="22" t="s">
        <v>4981</v>
      </c>
      <c r="D617" s="32" t="s">
        <v>4982</v>
      </c>
      <c r="E617" s="22" t="s">
        <v>3394</v>
      </c>
      <c r="F617" s="22" t="s">
        <v>3360</v>
      </c>
      <c r="G617" s="32" t="s">
        <v>4983</v>
      </c>
      <c r="H617" s="22" t="s">
        <v>4984</v>
      </c>
      <c r="I617" s="22" t="s">
        <v>3363</v>
      </c>
    </row>
    <row r="618" customFormat="false" ht="15" hidden="false" customHeight="true" outlineLevel="0" collapsed="false">
      <c r="A618" s="24" t="s">
        <v>1274</v>
      </c>
      <c r="B618" s="32" t="s">
        <v>4985</v>
      </c>
      <c r="C618" s="22" t="s">
        <v>4986</v>
      </c>
      <c r="D618" s="32" t="s">
        <v>4982</v>
      </c>
      <c r="E618" s="22" t="s">
        <v>3394</v>
      </c>
      <c r="F618" s="22" t="s">
        <v>3378</v>
      </c>
      <c r="G618" s="32" t="s">
        <v>3395</v>
      </c>
      <c r="H618" s="22"/>
      <c r="I618" s="22" t="s">
        <v>3363</v>
      </c>
    </row>
    <row r="619" customFormat="false" ht="15" hidden="false" customHeight="true" outlineLevel="0" collapsed="false">
      <c r="A619" s="24" t="s">
        <v>1274</v>
      </c>
      <c r="B619" s="32" t="s">
        <v>4987</v>
      </c>
      <c r="C619" s="22" t="s">
        <v>4988</v>
      </c>
      <c r="D619" s="32" t="s">
        <v>4982</v>
      </c>
      <c r="E619" s="22" t="s">
        <v>3394</v>
      </c>
      <c r="F619" s="22" t="s">
        <v>3360</v>
      </c>
      <c r="G619" s="32" t="s">
        <v>3395</v>
      </c>
      <c r="H619" s="22"/>
      <c r="I619" s="22" t="s">
        <v>3363</v>
      </c>
    </row>
    <row r="620" customFormat="false" ht="15" hidden="false" customHeight="true" outlineLevel="0" collapsed="false">
      <c r="A620" s="24" t="s">
        <v>1274</v>
      </c>
      <c r="B620" s="32" t="s">
        <v>4989</v>
      </c>
      <c r="C620" s="22" t="s">
        <v>4990</v>
      </c>
      <c r="D620" s="32" t="s">
        <v>4982</v>
      </c>
      <c r="E620" s="22" t="s">
        <v>3394</v>
      </c>
      <c r="F620" s="22" t="s">
        <v>3360</v>
      </c>
      <c r="G620" s="32" t="s">
        <v>3395</v>
      </c>
      <c r="H620" s="22"/>
      <c r="I620" s="22" t="s">
        <v>3363</v>
      </c>
    </row>
    <row r="621" customFormat="false" ht="15" hidden="false" customHeight="true" outlineLevel="0" collapsed="false">
      <c r="A621" s="24" t="s">
        <v>1274</v>
      </c>
      <c r="B621" s="32" t="s">
        <v>4991</v>
      </c>
      <c r="C621" s="22" t="s">
        <v>4992</v>
      </c>
      <c r="D621" s="32" t="s">
        <v>4982</v>
      </c>
      <c r="E621" s="22" t="s">
        <v>3394</v>
      </c>
      <c r="F621" s="22" t="s">
        <v>3378</v>
      </c>
      <c r="G621" s="32" t="s">
        <v>3395</v>
      </c>
      <c r="H621" s="22"/>
      <c r="I621" s="22" t="s">
        <v>3363</v>
      </c>
    </row>
    <row r="622" customFormat="false" ht="37.5" hidden="false" customHeight="true" outlineLevel="0" collapsed="false">
      <c r="A622" s="24" t="s">
        <v>1274</v>
      </c>
      <c r="B622" s="32" t="s">
        <v>4993</v>
      </c>
      <c r="C622" s="22" t="s">
        <v>4918</v>
      </c>
      <c r="D622" s="32" t="s">
        <v>4994</v>
      </c>
      <c r="E622" s="22" t="s">
        <v>3394</v>
      </c>
      <c r="F622" s="22" t="s">
        <v>3378</v>
      </c>
      <c r="G622" s="32" t="s">
        <v>3395</v>
      </c>
      <c r="H622" s="22"/>
      <c r="I622" s="22" t="s">
        <v>3363</v>
      </c>
    </row>
    <row r="623" customFormat="false" ht="24.75" hidden="false" customHeight="true" outlineLevel="0" collapsed="false">
      <c r="A623" s="24" t="s">
        <v>1274</v>
      </c>
      <c r="B623" s="32" t="s">
        <v>4995</v>
      </c>
      <c r="C623" s="22" t="s">
        <v>4996</v>
      </c>
      <c r="D623" s="32" t="s">
        <v>4994</v>
      </c>
      <c r="E623" s="22" t="s">
        <v>3394</v>
      </c>
      <c r="F623" s="22" t="s">
        <v>3378</v>
      </c>
      <c r="G623" s="32" t="s">
        <v>3395</v>
      </c>
      <c r="H623" s="22"/>
      <c r="I623" s="22" t="s">
        <v>3363</v>
      </c>
    </row>
    <row r="624" customFormat="false" ht="15" hidden="false" customHeight="true" outlineLevel="0" collapsed="false">
      <c r="A624" s="24" t="s">
        <v>1274</v>
      </c>
      <c r="B624" s="32" t="s">
        <v>4997</v>
      </c>
      <c r="C624" s="22" t="s">
        <v>4998</v>
      </c>
      <c r="D624" s="32" t="s">
        <v>4999</v>
      </c>
      <c r="E624" s="22" t="s">
        <v>3394</v>
      </c>
      <c r="F624" s="22" t="s">
        <v>3360</v>
      </c>
      <c r="G624" s="32" t="s">
        <v>3395</v>
      </c>
      <c r="H624" s="22" t="s">
        <v>5000</v>
      </c>
      <c r="I624" s="22" t="s">
        <v>3363</v>
      </c>
    </row>
    <row r="625" customFormat="false" ht="24.75" hidden="false" customHeight="true" outlineLevel="0" collapsed="false">
      <c r="A625" s="24" t="s">
        <v>1274</v>
      </c>
      <c r="B625" s="32" t="s">
        <v>5001</v>
      </c>
      <c r="C625" s="22" t="s">
        <v>5002</v>
      </c>
      <c r="D625" s="32" t="s">
        <v>5003</v>
      </c>
      <c r="E625" s="22" t="s">
        <v>3394</v>
      </c>
      <c r="F625" s="22" t="s">
        <v>3378</v>
      </c>
      <c r="G625" s="32" t="s">
        <v>3395</v>
      </c>
      <c r="H625" s="22"/>
      <c r="I625" s="22" t="s">
        <v>3363</v>
      </c>
    </row>
    <row r="626" customFormat="false" ht="15" hidden="false" customHeight="true" outlineLevel="0" collapsed="false">
      <c r="A626" s="24" t="s">
        <v>1274</v>
      </c>
      <c r="B626" s="32" t="s">
        <v>5004</v>
      </c>
      <c r="C626" s="22" t="s">
        <v>5005</v>
      </c>
      <c r="D626" s="32" t="s">
        <v>5006</v>
      </c>
      <c r="E626" s="22" t="s">
        <v>3394</v>
      </c>
      <c r="F626" s="22" t="s">
        <v>3360</v>
      </c>
      <c r="G626" s="32" t="s">
        <v>3395</v>
      </c>
      <c r="H626" s="22" t="s">
        <v>5007</v>
      </c>
      <c r="I626" s="22" t="s">
        <v>3363</v>
      </c>
    </row>
    <row r="627" customFormat="false" ht="15" hidden="false" customHeight="true" outlineLevel="0" collapsed="false">
      <c r="A627" s="24" t="s">
        <v>1274</v>
      </c>
      <c r="B627" s="32" t="s">
        <v>3819</v>
      </c>
      <c r="C627" s="22" t="s">
        <v>3820</v>
      </c>
      <c r="D627" s="32" t="s">
        <v>5008</v>
      </c>
      <c r="E627" s="22" t="s">
        <v>3359</v>
      </c>
      <c r="F627" s="22" t="s">
        <v>3378</v>
      </c>
      <c r="G627" s="32"/>
      <c r="H627" s="22"/>
      <c r="I627" s="22" t="s">
        <v>3363</v>
      </c>
    </row>
    <row r="628" customFormat="false" ht="24.75" hidden="false" customHeight="true" outlineLevel="0" collapsed="false">
      <c r="A628" s="24" t="s">
        <v>1274</v>
      </c>
      <c r="B628" s="32" t="s">
        <v>3824</v>
      </c>
      <c r="C628" s="22" t="s">
        <v>3825</v>
      </c>
      <c r="D628" s="32" t="s">
        <v>5008</v>
      </c>
      <c r="E628" s="22" t="s">
        <v>3389</v>
      </c>
      <c r="F628" s="22" t="s">
        <v>3378</v>
      </c>
      <c r="G628" s="32" t="s">
        <v>3390</v>
      </c>
      <c r="H628" s="22" t="s">
        <v>5009</v>
      </c>
      <c r="I628" s="22" t="s">
        <v>3363</v>
      </c>
    </row>
    <row r="629" customFormat="false" ht="24.75" hidden="false" customHeight="true" outlineLevel="0" collapsed="false">
      <c r="A629" s="24" t="s">
        <v>1138</v>
      </c>
      <c r="B629" s="32" t="s">
        <v>5010</v>
      </c>
      <c r="C629" s="22" t="s">
        <v>5011</v>
      </c>
      <c r="D629" s="32" t="s">
        <v>4875</v>
      </c>
      <c r="E629" s="22" t="s">
        <v>3359</v>
      </c>
      <c r="F629" s="22" t="s">
        <v>3360</v>
      </c>
      <c r="G629" s="32" t="s">
        <v>5012</v>
      </c>
      <c r="H629" s="22"/>
      <c r="I629" s="22" t="s">
        <v>3363</v>
      </c>
    </row>
    <row r="630" customFormat="false" ht="15" hidden="false" customHeight="true" outlineLevel="0" collapsed="false">
      <c r="A630" s="24" t="s">
        <v>1138</v>
      </c>
      <c r="B630" s="32" t="s">
        <v>3364</v>
      </c>
      <c r="C630" s="22" t="s">
        <v>3365</v>
      </c>
      <c r="D630" s="32" t="s">
        <v>4045</v>
      </c>
      <c r="E630" s="22" t="s">
        <v>3359</v>
      </c>
      <c r="F630" s="22" t="s">
        <v>3360</v>
      </c>
      <c r="G630" s="32" t="s">
        <v>3367</v>
      </c>
      <c r="H630" s="22"/>
      <c r="I630" s="22" t="s">
        <v>3363</v>
      </c>
    </row>
    <row r="631" customFormat="false" ht="37.5" hidden="false" customHeight="true" outlineLevel="0" collapsed="false">
      <c r="A631" s="24" t="s">
        <v>1138</v>
      </c>
      <c r="B631" s="32" t="s">
        <v>5013</v>
      </c>
      <c r="C631" s="22" t="s">
        <v>5014</v>
      </c>
      <c r="D631" s="32" t="s">
        <v>5015</v>
      </c>
      <c r="E631" s="22" t="s">
        <v>3359</v>
      </c>
      <c r="F631" s="22" t="s">
        <v>3360</v>
      </c>
      <c r="G631" s="32" t="s">
        <v>3372</v>
      </c>
      <c r="H631" s="22" t="s">
        <v>5016</v>
      </c>
      <c r="I631" s="22" t="s">
        <v>3363</v>
      </c>
    </row>
    <row r="632" customFormat="false" ht="24.75" hidden="false" customHeight="true" outlineLevel="0" collapsed="false">
      <c r="A632" s="24" t="s">
        <v>1138</v>
      </c>
      <c r="B632" s="32" t="s">
        <v>5017</v>
      </c>
      <c r="C632" s="22" t="s">
        <v>5018</v>
      </c>
      <c r="D632" s="32" t="s">
        <v>5019</v>
      </c>
      <c r="E632" s="22" t="s">
        <v>3394</v>
      </c>
      <c r="F632" s="22" t="s">
        <v>3360</v>
      </c>
      <c r="G632" s="32" t="s">
        <v>3395</v>
      </c>
      <c r="H632" s="22" t="s">
        <v>5020</v>
      </c>
      <c r="I632" s="22" t="s">
        <v>3363</v>
      </c>
    </row>
    <row r="633" customFormat="false" ht="24.75" hidden="false" customHeight="true" outlineLevel="0" collapsed="false">
      <c r="A633" s="24" t="s">
        <v>1138</v>
      </c>
      <c r="B633" s="32" t="s">
        <v>5021</v>
      </c>
      <c r="C633" s="22" t="s">
        <v>5022</v>
      </c>
      <c r="D633" s="32" t="s">
        <v>5023</v>
      </c>
      <c r="E633" s="22" t="s">
        <v>3394</v>
      </c>
      <c r="F633" s="22" t="s">
        <v>3378</v>
      </c>
      <c r="G633" s="32" t="s">
        <v>5024</v>
      </c>
      <c r="H633" s="22"/>
      <c r="I633" s="22" t="s">
        <v>3363</v>
      </c>
    </row>
    <row r="634" customFormat="false" ht="24.75" hidden="false" customHeight="true" outlineLevel="0" collapsed="false">
      <c r="A634" s="24" t="s">
        <v>1138</v>
      </c>
      <c r="B634" s="32" t="s">
        <v>5025</v>
      </c>
      <c r="C634" s="22" t="s">
        <v>5026</v>
      </c>
      <c r="D634" s="32" t="s">
        <v>5027</v>
      </c>
      <c r="E634" s="22" t="s">
        <v>3394</v>
      </c>
      <c r="F634" s="22" t="s">
        <v>3378</v>
      </c>
      <c r="G634" s="32" t="s">
        <v>5028</v>
      </c>
      <c r="H634" s="22"/>
      <c r="I634" s="22" t="s">
        <v>3363</v>
      </c>
    </row>
    <row r="635" customFormat="false" ht="24.75" hidden="false" customHeight="true" outlineLevel="0" collapsed="false">
      <c r="A635" s="24" t="s">
        <v>1138</v>
      </c>
      <c r="B635" s="32" t="s">
        <v>5029</v>
      </c>
      <c r="C635" s="22" t="s">
        <v>5030</v>
      </c>
      <c r="D635" s="32" t="s">
        <v>5031</v>
      </c>
      <c r="E635" s="22" t="s">
        <v>3394</v>
      </c>
      <c r="F635" s="22" t="s">
        <v>3378</v>
      </c>
      <c r="G635" s="32" t="s">
        <v>5028</v>
      </c>
      <c r="H635" s="22"/>
      <c r="I635" s="22" t="s">
        <v>3363</v>
      </c>
    </row>
    <row r="636" customFormat="false" ht="24.75" hidden="false" customHeight="true" outlineLevel="0" collapsed="false">
      <c r="A636" s="24" t="s">
        <v>1138</v>
      </c>
      <c r="B636" s="32" t="s">
        <v>5032</v>
      </c>
      <c r="C636" s="22" t="s">
        <v>5033</v>
      </c>
      <c r="D636" s="32" t="s">
        <v>5034</v>
      </c>
      <c r="E636" s="22" t="s">
        <v>3359</v>
      </c>
      <c r="F636" s="22" t="s">
        <v>3378</v>
      </c>
      <c r="G636" s="32" t="s">
        <v>3477</v>
      </c>
      <c r="H636" s="22" t="s">
        <v>5035</v>
      </c>
      <c r="I636" s="22" t="s">
        <v>3363</v>
      </c>
    </row>
    <row r="637" customFormat="false" ht="24.75" hidden="false" customHeight="true" outlineLevel="0" collapsed="false">
      <c r="A637" s="24" t="s">
        <v>1138</v>
      </c>
      <c r="B637" s="32" t="s">
        <v>5036</v>
      </c>
      <c r="C637" s="22" t="s">
        <v>3387</v>
      </c>
      <c r="D637" s="32" t="s">
        <v>5037</v>
      </c>
      <c r="E637" s="22" t="s">
        <v>3389</v>
      </c>
      <c r="F637" s="22" t="s">
        <v>3378</v>
      </c>
      <c r="G637" s="32" t="s">
        <v>3390</v>
      </c>
      <c r="H637" s="22"/>
      <c r="I637" s="22" t="s">
        <v>3363</v>
      </c>
    </row>
    <row r="638" customFormat="false" ht="15" hidden="false" customHeight="true" outlineLevel="0" collapsed="false">
      <c r="A638" s="24" t="s">
        <v>1138</v>
      </c>
      <c r="B638" s="32" t="s">
        <v>5038</v>
      </c>
      <c r="C638" s="22" t="s">
        <v>5039</v>
      </c>
      <c r="D638" s="32" t="s">
        <v>4886</v>
      </c>
      <c r="E638" s="22" t="s">
        <v>3359</v>
      </c>
      <c r="F638" s="22" t="s">
        <v>3378</v>
      </c>
      <c r="G638" s="32" t="s">
        <v>3367</v>
      </c>
      <c r="H638" s="22"/>
      <c r="I638" s="22" t="s">
        <v>3363</v>
      </c>
    </row>
    <row r="639" customFormat="false" ht="37.5" hidden="false" customHeight="true" outlineLevel="0" collapsed="false">
      <c r="A639" s="24" t="s">
        <v>1138</v>
      </c>
      <c r="B639" s="32" t="s">
        <v>5040</v>
      </c>
      <c r="C639" s="22" t="s">
        <v>5041</v>
      </c>
      <c r="D639" s="32" t="s">
        <v>4890</v>
      </c>
      <c r="E639" s="22" t="s">
        <v>3359</v>
      </c>
      <c r="F639" s="22" t="s">
        <v>3378</v>
      </c>
      <c r="G639" s="32" t="s">
        <v>3372</v>
      </c>
      <c r="H639" s="22"/>
      <c r="I639" s="22" t="s">
        <v>3363</v>
      </c>
    </row>
    <row r="640" customFormat="false" ht="37.5" hidden="false" customHeight="true" outlineLevel="0" collapsed="false">
      <c r="A640" s="24" t="s">
        <v>1138</v>
      </c>
      <c r="B640" s="32" t="s">
        <v>5042</v>
      </c>
      <c r="C640" s="22" t="s">
        <v>5043</v>
      </c>
      <c r="D640" s="32" t="s">
        <v>4894</v>
      </c>
      <c r="E640" s="22" t="s">
        <v>3359</v>
      </c>
      <c r="F640" s="22" t="s">
        <v>3378</v>
      </c>
      <c r="G640" s="32" t="s">
        <v>3372</v>
      </c>
      <c r="H640" s="22"/>
      <c r="I640" s="22" t="s">
        <v>3363</v>
      </c>
    </row>
    <row r="641" customFormat="false" ht="15" hidden="false" customHeight="true" outlineLevel="0" collapsed="false">
      <c r="A641" s="24" t="s">
        <v>1138</v>
      </c>
      <c r="B641" s="32" t="s">
        <v>5044</v>
      </c>
      <c r="C641" s="22" t="s">
        <v>5045</v>
      </c>
      <c r="D641" s="32" t="s">
        <v>4896</v>
      </c>
      <c r="E641" s="22" t="s">
        <v>3394</v>
      </c>
      <c r="F641" s="22" t="s">
        <v>3378</v>
      </c>
      <c r="G641" s="32" t="s">
        <v>3395</v>
      </c>
      <c r="H641" s="22"/>
      <c r="I641" s="22" t="s">
        <v>3363</v>
      </c>
    </row>
    <row r="642" customFormat="false" ht="24.75" hidden="false" customHeight="true" outlineLevel="0" collapsed="false">
      <c r="A642" s="24" t="s">
        <v>1138</v>
      </c>
      <c r="B642" s="32" t="s">
        <v>5046</v>
      </c>
      <c r="C642" s="22" t="s">
        <v>5047</v>
      </c>
      <c r="D642" s="32" t="s">
        <v>5048</v>
      </c>
      <c r="E642" s="22" t="s">
        <v>3394</v>
      </c>
      <c r="F642" s="22" t="s">
        <v>3360</v>
      </c>
      <c r="G642" s="32" t="s">
        <v>3395</v>
      </c>
      <c r="H642" s="22" t="s">
        <v>5049</v>
      </c>
      <c r="I642" s="22" t="s">
        <v>3363</v>
      </c>
    </row>
    <row r="643" customFormat="false" ht="15" hidden="false" customHeight="true" outlineLevel="0" collapsed="false">
      <c r="A643" s="24" t="s">
        <v>1138</v>
      </c>
      <c r="B643" s="32" t="s">
        <v>5050</v>
      </c>
      <c r="C643" s="22" t="s">
        <v>5051</v>
      </c>
      <c r="D643" s="32" t="s">
        <v>5052</v>
      </c>
      <c r="E643" s="22" t="s">
        <v>3394</v>
      </c>
      <c r="F643" s="22" t="s">
        <v>3378</v>
      </c>
      <c r="G643" s="32" t="s">
        <v>3395</v>
      </c>
      <c r="H643" s="22"/>
      <c r="I643" s="22" t="s">
        <v>3363</v>
      </c>
    </row>
    <row r="644" customFormat="false" ht="24.75" hidden="false" customHeight="true" outlineLevel="0" collapsed="false">
      <c r="A644" s="24" t="s">
        <v>1138</v>
      </c>
      <c r="B644" s="32" t="s">
        <v>5053</v>
      </c>
      <c r="C644" s="22" t="s">
        <v>5054</v>
      </c>
      <c r="D644" s="32" t="s">
        <v>5055</v>
      </c>
      <c r="E644" s="22" t="s">
        <v>3394</v>
      </c>
      <c r="F644" s="22" t="s">
        <v>3378</v>
      </c>
      <c r="G644" s="32" t="s">
        <v>3395</v>
      </c>
      <c r="H644" s="22"/>
      <c r="I644" s="22" t="s">
        <v>3363</v>
      </c>
    </row>
    <row r="645" customFormat="false" ht="15" hidden="false" customHeight="true" outlineLevel="0" collapsed="false">
      <c r="A645" s="24" t="s">
        <v>1138</v>
      </c>
      <c r="B645" s="32" t="s">
        <v>3819</v>
      </c>
      <c r="C645" s="22" t="s">
        <v>3820</v>
      </c>
      <c r="D645" s="32" t="s">
        <v>3869</v>
      </c>
      <c r="E645" s="22" t="s">
        <v>3359</v>
      </c>
      <c r="F645" s="22" t="s">
        <v>3378</v>
      </c>
      <c r="G645" s="32"/>
      <c r="H645" s="22"/>
      <c r="I645" s="22" t="s">
        <v>3363</v>
      </c>
    </row>
    <row r="646" customFormat="false" ht="24.75" hidden="false" customHeight="true" outlineLevel="0" collapsed="false">
      <c r="A646" s="24" t="s">
        <v>1138</v>
      </c>
      <c r="B646" s="32" t="s">
        <v>3824</v>
      </c>
      <c r="C646" s="22" t="s">
        <v>3825</v>
      </c>
      <c r="D646" s="32" t="s">
        <v>3869</v>
      </c>
      <c r="E646" s="22" t="s">
        <v>3389</v>
      </c>
      <c r="F646" s="22" t="s">
        <v>3378</v>
      </c>
      <c r="G646" s="32" t="s">
        <v>3390</v>
      </c>
      <c r="H646" s="22"/>
      <c r="I646" s="22" t="s">
        <v>3363</v>
      </c>
    </row>
    <row r="647" customFormat="false" ht="24.75" hidden="false" customHeight="true" outlineLevel="0" collapsed="false">
      <c r="A647" s="24" t="s">
        <v>1165</v>
      </c>
      <c r="B647" s="32" t="s">
        <v>3766</v>
      </c>
      <c r="C647" s="22" t="s">
        <v>5056</v>
      </c>
      <c r="D647" s="32" t="s">
        <v>4875</v>
      </c>
      <c r="E647" s="22" t="s">
        <v>3359</v>
      </c>
      <c r="F647" s="22" t="s">
        <v>3360</v>
      </c>
      <c r="G647" s="32" t="s">
        <v>5057</v>
      </c>
      <c r="H647" s="22"/>
      <c r="I647" s="22" t="s">
        <v>3363</v>
      </c>
    </row>
    <row r="648" customFormat="false" ht="15" hidden="false" customHeight="true" outlineLevel="0" collapsed="false">
      <c r="A648" s="24" t="s">
        <v>1165</v>
      </c>
      <c r="B648" s="32" t="s">
        <v>3364</v>
      </c>
      <c r="C648" s="22" t="s">
        <v>5058</v>
      </c>
      <c r="D648" s="32" t="s">
        <v>4045</v>
      </c>
      <c r="E648" s="22" t="s">
        <v>3359</v>
      </c>
      <c r="F648" s="22" t="s">
        <v>3360</v>
      </c>
      <c r="G648" s="32" t="s">
        <v>3367</v>
      </c>
      <c r="H648" s="22"/>
      <c r="I648" s="22" t="s">
        <v>3363</v>
      </c>
    </row>
    <row r="649" customFormat="false" ht="15" hidden="false" customHeight="true" outlineLevel="0" collapsed="false">
      <c r="A649" s="24" t="s">
        <v>1165</v>
      </c>
      <c r="B649" s="32" t="s">
        <v>3831</v>
      </c>
      <c r="C649" s="22" t="s">
        <v>5059</v>
      </c>
      <c r="D649" s="32" t="s">
        <v>5060</v>
      </c>
      <c r="E649" s="22" t="s">
        <v>3377</v>
      </c>
      <c r="F649" s="22" t="s">
        <v>3360</v>
      </c>
      <c r="G649" s="32" t="s">
        <v>5061</v>
      </c>
      <c r="H649" s="22"/>
      <c r="I649" s="22" t="s">
        <v>3363</v>
      </c>
    </row>
    <row r="650" customFormat="false" ht="37.5" hidden="false" customHeight="true" outlineLevel="0" collapsed="false">
      <c r="A650" s="24" t="s">
        <v>1165</v>
      </c>
      <c r="B650" s="32" t="s">
        <v>4046</v>
      </c>
      <c r="C650" s="22" t="s">
        <v>3357</v>
      </c>
      <c r="D650" s="32" t="s">
        <v>5015</v>
      </c>
      <c r="E650" s="22" t="s">
        <v>3359</v>
      </c>
      <c r="F650" s="22" t="s">
        <v>3360</v>
      </c>
      <c r="G650" s="32" t="s">
        <v>3372</v>
      </c>
      <c r="H650" s="22" t="s">
        <v>5062</v>
      </c>
      <c r="I650" s="22" t="s">
        <v>3363</v>
      </c>
    </row>
    <row r="651" customFormat="false" ht="15" hidden="false" customHeight="true" outlineLevel="0" collapsed="false">
      <c r="A651" s="24" t="s">
        <v>1165</v>
      </c>
      <c r="B651" s="32" t="s">
        <v>5063</v>
      </c>
      <c r="C651" s="22" t="s">
        <v>5064</v>
      </c>
      <c r="D651" s="32" t="s">
        <v>5019</v>
      </c>
      <c r="E651" s="22" t="s">
        <v>3394</v>
      </c>
      <c r="F651" s="22" t="s">
        <v>3360</v>
      </c>
      <c r="G651" s="32" t="s">
        <v>3395</v>
      </c>
      <c r="H651" s="22"/>
      <c r="I651" s="22" t="s">
        <v>3363</v>
      </c>
    </row>
    <row r="652" customFormat="false" ht="15" hidden="false" customHeight="true" outlineLevel="0" collapsed="false">
      <c r="A652" s="24" t="s">
        <v>1165</v>
      </c>
      <c r="B652" s="32" t="s">
        <v>5065</v>
      </c>
      <c r="C652" s="22" t="s">
        <v>5066</v>
      </c>
      <c r="D652" s="32" t="s">
        <v>5023</v>
      </c>
      <c r="E652" s="22" t="s">
        <v>3394</v>
      </c>
      <c r="F652" s="22" t="s">
        <v>3360</v>
      </c>
      <c r="G652" s="32" t="s">
        <v>3395</v>
      </c>
      <c r="H652" s="22"/>
      <c r="I652" s="22" t="s">
        <v>3363</v>
      </c>
    </row>
    <row r="653" customFormat="false" ht="15" hidden="false" customHeight="true" outlineLevel="0" collapsed="false">
      <c r="A653" s="24" t="s">
        <v>1165</v>
      </c>
      <c r="B653" s="32" t="s">
        <v>5067</v>
      </c>
      <c r="C653" s="22" t="s">
        <v>4187</v>
      </c>
      <c r="D653" s="32" t="s">
        <v>5027</v>
      </c>
      <c r="E653" s="22" t="s">
        <v>3394</v>
      </c>
      <c r="F653" s="22" t="s">
        <v>3360</v>
      </c>
      <c r="G653" s="32" t="s">
        <v>5068</v>
      </c>
      <c r="H653" s="22" t="s">
        <v>5069</v>
      </c>
      <c r="I653" s="22" t="s">
        <v>3363</v>
      </c>
    </row>
    <row r="654" customFormat="false" ht="24.75" hidden="false" customHeight="true" outlineLevel="0" collapsed="false">
      <c r="A654" s="24" t="s">
        <v>1165</v>
      </c>
      <c r="B654" s="32" t="s">
        <v>5070</v>
      </c>
      <c r="C654" s="22" t="s">
        <v>3678</v>
      </c>
      <c r="D654" s="32" t="s">
        <v>5031</v>
      </c>
      <c r="E654" s="22" t="s">
        <v>3394</v>
      </c>
      <c r="F654" s="22" t="s">
        <v>3378</v>
      </c>
      <c r="G654" s="32" t="s">
        <v>5071</v>
      </c>
      <c r="H654" s="22"/>
      <c r="I654" s="22" t="s">
        <v>3363</v>
      </c>
    </row>
    <row r="655" customFormat="false" ht="24.75" hidden="false" customHeight="true" outlineLevel="0" collapsed="false">
      <c r="A655" s="24" t="s">
        <v>1165</v>
      </c>
      <c r="B655" s="32" t="s">
        <v>5072</v>
      </c>
      <c r="C655" s="22" t="s">
        <v>3862</v>
      </c>
      <c r="D655" s="32" t="s">
        <v>5073</v>
      </c>
      <c r="E655" s="22" t="s">
        <v>3394</v>
      </c>
      <c r="F655" s="22" t="s">
        <v>3378</v>
      </c>
      <c r="G655" s="32" t="s">
        <v>5074</v>
      </c>
      <c r="H655" s="22"/>
      <c r="I655" s="22" t="s">
        <v>3363</v>
      </c>
    </row>
    <row r="656" customFormat="false" ht="24.75" hidden="false" customHeight="true" outlineLevel="0" collapsed="false">
      <c r="A656" s="24" t="s">
        <v>1165</v>
      </c>
      <c r="B656" s="32" t="s">
        <v>5075</v>
      </c>
      <c r="C656" s="22" t="s">
        <v>3865</v>
      </c>
      <c r="D656" s="32" t="s">
        <v>5076</v>
      </c>
      <c r="E656" s="22" t="s">
        <v>3394</v>
      </c>
      <c r="F656" s="22" t="s">
        <v>3378</v>
      </c>
      <c r="G656" s="32" t="s">
        <v>5074</v>
      </c>
      <c r="H656" s="22"/>
      <c r="I656" s="22" t="s">
        <v>3363</v>
      </c>
    </row>
    <row r="657" customFormat="false" ht="15" hidden="false" customHeight="true" outlineLevel="0" collapsed="false">
      <c r="A657" s="24" t="s">
        <v>1165</v>
      </c>
      <c r="B657" s="32" t="s">
        <v>5077</v>
      </c>
      <c r="C657" s="22" t="s">
        <v>5078</v>
      </c>
      <c r="D657" s="32" t="s">
        <v>4886</v>
      </c>
      <c r="E657" s="22" t="s">
        <v>3359</v>
      </c>
      <c r="F657" s="22" t="s">
        <v>3378</v>
      </c>
      <c r="G657" s="32" t="s">
        <v>3367</v>
      </c>
      <c r="H657" s="22"/>
      <c r="I657" s="22" t="s">
        <v>3363</v>
      </c>
    </row>
    <row r="658" customFormat="false" ht="37.5" hidden="false" customHeight="true" outlineLevel="0" collapsed="false">
      <c r="A658" s="24" t="s">
        <v>1165</v>
      </c>
      <c r="B658" s="32" t="s">
        <v>5079</v>
      </c>
      <c r="C658" s="22" t="s">
        <v>5080</v>
      </c>
      <c r="D658" s="32" t="s">
        <v>4890</v>
      </c>
      <c r="E658" s="22" t="s">
        <v>3359</v>
      </c>
      <c r="F658" s="22" t="s">
        <v>3378</v>
      </c>
      <c r="G658" s="32" t="s">
        <v>3372</v>
      </c>
      <c r="H658" s="22"/>
      <c r="I658" s="22" t="s">
        <v>3363</v>
      </c>
    </row>
    <row r="659" customFormat="false" ht="37.5" hidden="false" customHeight="true" outlineLevel="0" collapsed="false">
      <c r="A659" s="24" t="s">
        <v>1165</v>
      </c>
      <c r="B659" s="32" t="s">
        <v>5081</v>
      </c>
      <c r="C659" s="22" t="s">
        <v>5082</v>
      </c>
      <c r="D659" s="32" t="s">
        <v>4892</v>
      </c>
      <c r="E659" s="22" t="s">
        <v>3359</v>
      </c>
      <c r="F659" s="22" t="s">
        <v>3378</v>
      </c>
      <c r="G659" s="32" t="s">
        <v>3372</v>
      </c>
      <c r="H659" s="22"/>
      <c r="I659" s="22" t="s">
        <v>3363</v>
      </c>
    </row>
    <row r="660" customFormat="false" ht="24.75" hidden="false" customHeight="true" outlineLevel="0" collapsed="false">
      <c r="A660" s="24" t="s">
        <v>1165</v>
      </c>
      <c r="B660" s="32" t="s">
        <v>5083</v>
      </c>
      <c r="C660" s="22" t="s">
        <v>5084</v>
      </c>
      <c r="D660" s="32" t="s">
        <v>4930</v>
      </c>
      <c r="E660" s="22" t="s">
        <v>3394</v>
      </c>
      <c r="F660" s="22" t="s">
        <v>3360</v>
      </c>
      <c r="G660" s="32" t="s">
        <v>3395</v>
      </c>
      <c r="H660" s="22" t="s">
        <v>5085</v>
      </c>
      <c r="I660" s="22" t="s">
        <v>3363</v>
      </c>
    </row>
    <row r="661" customFormat="false" ht="15" hidden="false" customHeight="true" outlineLevel="0" collapsed="false">
      <c r="A661" s="24" t="s">
        <v>1165</v>
      </c>
      <c r="B661" s="32" t="s">
        <v>5050</v>
      </c>
      <c r="C661" s="22" t="s">
        <v>5086</v>
      </c>
      <c r="D661" s="32" t="s">
        <v>5087</v>
      </c>
      <c r="E661" s="22" t="s">
        <v>3394</v>
      </c>
      <c r="F661" s="22" t="s">
        <v>3378</v>
      </c>
      <c r="G661" s="32" t="s">
        <v>3395</v>
      </c>
      <c r="H661" s="22"/>
      <c r="I661" s="22" t="s">
        <v>3363</v>
      </c>
    </row>
    <row r="662" customFormat="false" ht="15" hidden="false" customHeight="true" outlineLevel="0" collapsed="false">
      <c r="A662" s="24" t="s">
        <v>1165</v>
      </c>
      <c r="B662" s="32" t="s">
        <v>3819</v>
      </c>
      <c r="C662" s="22" t="s">
        <v>3820</v>
      </c>
      <c r="D662" s="32" t="s">
        <v>3869</v>
      </c>
      <c r="E662" s="22" t="s">
        <v>3359</v>
      </c>
      <c r="F662" s="22" t="s">
        <v>3378</v>
      </c>
      <c r="G662" s="32"/>
      <c r="H662" s="22"/>
      <c r="I662" s="22" t="s">
        <v>3363</v>
      </c>
    </row>
    <row r="663" customFormat="false" ht="24.75" hidden="false" customHeight="true" outlineLevel="0" collapsed="false">
      <c r="A663" s="24" t="s">
        <v>1165</v>
      </c>
      <c r="B663" s="32" t="s">
        <v>3824</v>
      </c>
      <c r="C663" s="22" t="s">
        <v>3825</v>
      </c>
      <c r="D663" s="32" t="s">
        <v>3869</v>
      </c>
      <c r="E663" s="22" t="s">
        <v>3389</v>
      </c>
      <c r="F663" s="22" t="s">
        <v>3378</v>
      </c>
      <c r="G663" s="32" t="s">
        <v>3390</v>
      </c>
      <c r="H663" s="22"/>
      <c r="I663" s="22" t="s">
        <v>3363</v>
      </c>
    </row>
    <row r="664" customFormat="false" ht="15" hidden="false" customHeight="true" outlineLevel="0" collapsed="false">
      <c r="A664" s="24" t="s">
        <v>385</v>
      </c>
      <c r="B664" s="32" t="s">
        <v>5088</v>
      </c>
      <c r="C664" s="22" t="s">
        <v>4195</v>
      </c>
      <c r="D664" s="32" t="s">
        <v>4195</v>
      </c>
      <c r="E664" s="22" t="s">
        <v>3359</v>
      </c>
      <c r="F664" s="22" t="s">
        <v>3360</v>
      </c>
      <c r="G664" s="32" t="s">
        <v>5089</v>
      </c>
      <c r="H664" s="22"/>
      <c r="I664" s="22" t="s">
        <v>3363</v>
      </c>
    </row>
    <row r="665" customFormat="false" ht="24.75" hidden="false" customHeight="true" outlineLevel="0" collapsed="false">
      <c r="A665" s="24" t="s">
        <v>385</v>
      </c>
      <c r="B665" s="32" t="s">
        <v>4094</v>
      </c>
      <c r="C665" s="22" t="s">
        <v>5090</v>
      </c>
      <c r="D665" s="32" t="s">
        <v>5091</v>
      </c>
      <c r="E665" s="22" t="s">
        <v>3359</v>
      </c>
      <c r="F665" s="22" t="s">
        <v>3360</v>
      </c>
      <c r="G665" s="32" t="s">
        <v>5092</v>
      </c>
      <c r="H665" s="22" t="s">
        <v>5093</v>
      </c>
      <c r="I665" s="22" t="s">
        <v>3363</v>
      </c>
    </row>
    <row r="666" customFormat="false" ht="15" hidden="false" customHeight="true" outlineLevel="0" collapsed="false">
      <c r="A666" s="24" t="s">
        <v>385</v>
      </c>
      <c r="B666" s="32" t="s">
        <v>5094</v>
      </c>
      <c r="C666" s="22" t="s">
        <v>5095</v>
      </c>
      <c r="D666" s="32" t="s">
        <v>5096</v>
      </c>
      <c r="E666" s="22" t="s">
        <v>3437</v>
      </c>
      <c r="F666" s="22" t="s">
        <v>3360</v>
      </c>
      <c r="G666" s="32" t="s">
        <v>5097</v>
      </c>
      <c r="H666" s="22"/>
      <c r="I666" s="22" t="s">
        <v>3363</v>
      </c>
    </row>
    <row r="667" customFormat="false" ht="24.75" hidden="false" customHeight="true" outlineLevel="0" collapsed="false">
      <c r="A667" s="24" t="s">
        <v>385</v>
      </c>
      <c r="B667" s="32" t="s">
        <v>5098</v>
      </c>
      <c r="C667" s="22" t="s">
        <v>5099</v>
      </c>
      <c r="D667" s="32" t="s">
        <v>5100</v>
      </c>
      <c r="E667" s="22" t="s">
        <v>3389</v>
      </c>
      <c r="F667" s="22" t="s">
        <v>3360</v>
      </c>
      <c r="G667" s="32" t="s">
        <v>5101</v>
      </c>
      <c r="H667" s="22" t="s">
        <v>5102</v>
      </c>
      <c r="I667" s="22" t="s">
        <v>3363</v>
      </c>
    </row>
    <row r="668" customFormat="false" ht="15" hidden="false" customHeight="true" outlineLevel="0" collapsed="false">
      <c r="A668" s="24" t="s">
        <v>385</v>
      </c>
      <c r="B668" s="32" t="s">
        <v>5103</v>
      </c>
      <c r="C668" s="22" t="s">
        <v>5104</v>
      </c>
      <c r="D668" s="32" t="s">
        <v>5105</v>
      </c>
      <c r="E668" s="22" t="s">
        <v>3377</v>
      </c>
      <c r="F668" s="22" t="s">
        <v>3378</v>
      </c>
      <c r="G668" s="32" t="s">
        <v>5106</v>
      </c>
      <c r="H668" s="22" t="s">
        <v>5107</v>
      </c>
      <c r="I668" s="22" t="s">
        <v>3363</v>
      </c>
    </row>
    <row r="669" customFormat="false" ht="15" hidden="false" customHeight="true" outlineLevel="0" collapsed="false">
      <c r="A669" s="24" t="s">
        <v>385</v>
      </c>
      <c r="B669" s="32" t="s">
        <v>5108</v>
      </c>
      <c r="C669" s="22" t="s">
        <v>5109</v>
      </c>
      <c r="D669" s="32" t="s">
        <v>5110</v>
      </c>
      <c r="E669" s="22" t="s">
        <v>3359</v>
      </c>
      <c r="F669" s="22" t="s">
        <v>3378</v>
      </c>
      <c r="G669" s="32" t="s">
        <v>5111</v>
      </c>
      <c r="H669" s="22"/>
      <c r="I669" s="22" t="s">
        <v>3363</v>
      </c>
    </row>
    <row r="670" customFormat="false" ht="15" hidden="false" customHeight="true" outlineLevel="0" collapsed="false">
      <c r="A670" s="24" t="s">
        <v>385</v>
      </c>
      <c r="B670" s="32" t="s">
        <v>5112</v>
      </c>
      <c r="C670" s="22" t="s">
        <v>5113</v>
      </c>
      <c r="D670" s="32" t="s">
        <v>5114</v>
      </c>
      <c r="E670" s="22" t="s">
        <v>3377</v>
      </c>
      <c r="F670" s="22" t="s">
        <v>3360</v>
      </c>
      <c r="G670" s="32" t="s">
        <v>60</v>
      </c>
      <c r="H670" s="22"/>
      <c r="I670" s="22" t="s">
        <v>3363</v>
      </c>
    </row>
    <row r="671" customFormat="false" ht="24.75" hidden="false" customHeight="true" outlineLevel="0" collapsed="false">
      <c r="A671" s="24" t="s">
        <v>385</v>
      </c>
      <c r="B671" s="32" t="s">
        <v>4350</v>
      </c>
      <c r="C671" s="22" t="s">
        <v>5115</v>
      </c>
      <c r="D671" s="32" t="s">
        <v>5116</v>
      </c>
      <c r="E671" s="22" t="s">
        <v>3377</v>
      </c>
      <c r="F671" s="22" t="s">
        <v>3360</v>
      </c>
      <c r="G671" s="32" t="s">
        <v>5117</v>
      </c>
      <c r="H671" s="22" t="s">
        <v>5118</v>
      </c>
      <c r="I671" s="22" t="s">
        <v>3363</v>
      </c>
    </row>
    <row r="672" customFormat="false" ht="15" hidden="false" customHeight="true" outlineLevel="0" collapsed="false">
      <c r="A672" s="24" t="s">
        <v>385</v>
      </c>
      <c r="B672" s="32" t="s">
        <v>4077</v>
      </c>
      <c r="C672" s="22" t="s">
        <v>5119</v>
      </c>
      <c r="D672" s="32" t="s">
        <v>5120</v>
      </c>
      <c r="E672" s="22" t="s">
        <v>3377</v>
      </c>
      <c r="F672" s="22" t="s">
        <v>3378</v>
      </c>
      <c r="G672" s="32" t="s">
        <v>3379</v>
      </c>
      <c r="H672" s="22" t="s">
        <v>5121</v>
      </c>
      <c r="I672" s="22" t="s">
        <v>3363</v>
      </c>
    </row>
    <row r="673" customFormat="false" ht="15" hidden="false" customHeight="true" outlineLevel="0" collapsed="false">
      <c r="A673" s="24" t="s">
        <v>385</v>
      </c>
      <c r="B673" s="32" t="s">
        <v>5122</v>
      </c>
      <c r="C673" s="22" t="s">
        <v>3767</v>
      </c>
      <c r="D673" s="32" t="s">
        <v>5123</v>
      </c>
      <c r="E673" s="22" t="s">
        <v>3359</v>
      </c>
      <c r="F673" s="22" t="s">
        <v>3378</v>
      </c>
      <c r="G673" s="32" t="s">
        <v>5124</v>
      </c>
      <c r="H673" s="22" t="s">
        <v>5125</v>
      </c>
      <c r="I673" s="22" t="s">
        <v>3363</v>
      </c>
    </row>
    <row r="674" customFormat="false" ht="15" hidden="false" customHeight="true" outlineLevel="0" collapsed="false">
      <c r="A674" s="24" t="s">
        <v>385</v>
      </c>
      <c r="B674" s="32" t="s">
        <v>5126</v>
      </c>
      <c r="C674" s="22" t="s">
        <v>5127</v>
      </c>
      <c r="D674" s="32" t="s">
        <v>5128</v>
      </c>
      <c r="E674" s="22" t="s">
        <v>3377</v>
      </c>
      <c r="F674" s="22" t="s">
        <v>3378</v>
      </c>
      <c r="G674" s="32" t="s">
        <v>3379</v>
      </c>
      <c r="H674" s="22"/>
      <c r="I674" s="22" t="s">
        <v>3363</v>
      </c>
    </row>
    <row r="675" customFormat="false" ht="15" hidden="false" customHeight="true" outlineLevel="0" collapsed="false">
      <c r="A675" s="24" t="s">
        <v>385</v>
      </c>
      <c r="B675" s="32" t="s">
        <v>5129</v>
      </c>
      <c r="C675" s="22" t="s">
        <v>5130</v>
      </c>
      <c r="D675" s="32" t="s">
        <v>5131</v>
      </c>
      <c r="E675" s="22" t="s">
        <v>3377</v>
      </c>
      <c r="F675" s="22" t="s">
        <v>3360</v>
      </c>
      <c r="G675" s="32" t="s">
        <v>5132</v>
      </c>
      <c r="H675" s="22" t="s">
        <v>5133</v>
      </c>
      <c r="I675" s="22" t="s">
        <v>3363</v>
      </c>
    </row>
    <row r="676" customFormat="false" ht="24.75" hidden="false" customHeight="true" outlineLevel="0" collapsed="false">
      <c r="A676" s="24" t="s">
        <v>385</v>
      </c>
      <c r="B676" s="32" t="s">
        <v>5134</v>
      </c>
      <c r="C676" s="22" t="s">
        <v>3800</v>
      </c>
      <c r="D676" s="32" t="s">
        <v>5135</v>
      </c>
      <c r="E676" s="22" t="s">
        <v>3359</v>
      </c>
      <c r="F676" s="22" t="s">
        <v>3360</v>
      </c>
      <c r="G676" s="32" t="s">
        <v>5136</v>
      </c>
      <c r="H676" s="22" t="s">
        <v>5137</v>
      </c>
      <c r="I676" s="22" t="s">
        <v>3363</v>
      </c>
    </row>
    <row r="677" customFormat="false" ht="15" hidden="false" customHeight="true" outlineLevel="0" collapsed="false">
      <c r="A677" s="24" t="s">
        <v>385</v>
      </c>
      <c r="B677" s="32" t="s">
        <v>5138</v>
      </c>
      <c r="C677" s="22" t="s">
        <v>3802</v>
      </c>
      <c r="D677" s="32" t="s">
        <v>5139</v>
      </c>
      <c r="E677" s="22" t="s">
        <v>3389</v>
      </c>
      <c r="F677" s="22" t="s">
        <v>3360</v>
      </c>
      <c r="G677" s="32" t="s">
        <v>5140</v>
      </c>
      <c r="H677" s="22"/>
      <c r="I677" s="22" t="s">
        <v>3363</v>
      </c>
    </row>
    <row r="678" customFormat="false" ht="15" hidden="false" customHeight="true" outlineLevel="0" collapsed="false">
      <c r="A678" s="24" t="s">
        <v>385</v>
      </c>
      <c r="B678" s="32" t="s">
        <v>5141</v>
      </c>
      <c r="C678" s="22" t="s">
        <v>3829</v>
      </c>
      <c r="D678" s="32" t="s">
        <v>5142</v>
      </c>
      <c r="E678" s="22" t="s">
        <v>3359</v>
      </c>
      <c r="F678" s="22" t="s">
        <v>3360</v>
      </c>
      <c r="G678" s="32" t="s">
        <v>5124</v>
      </c>
      <c r="H678" s="22"/>
      <c r="I678" s="22" t="s">
        <v>3363</v>
      </c>
    </row>
    <row r="679" customFormat="false" ht="15" hidden="false" customHeight="true" outlineLevel="0" collapsed="false">
      <c r="A679" s="24" t="s">
        <v>385</v>
      </c>
      <c r="B679" s="32" t="s">
        <v>5143</v>
      </c>
      <c r="C679" s="22" t="s">
        <v>5144</v>
      </c>
      <c r="D679" s="32" t="s">
        <v>5145</v>
      </c>
      <c r="E679" s="22" t="s">
        <v>3359</v>
      </c>
      <c r="F679" s="22" t="s">
        <v>3360</v>
      </c>
      <c r="G679" s="32" t="s">
        <v>5146</v>
      </c>
      <c r="H679" s="22"/>
      <c r="I679" s="22" t="s">
        <v>3363</v>
      </c>
    </row>
    <row r="680" customFormat="false" ht="15" hidden="false" customHeight="true" outlineLevel="0" collapsed="false">
      <c r="A680" s="24" t="s">
        <v>385</v>
      </c>
      <c r="B680" s="32" t="s">
        <v>5147</v>
      </c>
      <c r="C680" s="22" t="s">
        <v>5148</v>
      </c>
      <c r="D680" s="32" t="s">
        <v>5149</v>
      </c>
      <c r="E680" s="22" t="s">
        <v>3359</v>
      </c>
      <c r="F680" s="22" t="s">
        <v>3360</v>
      </c>
      <c r="G680" s="32" t="s">
        <v>5150</v>
      </c>
      <c r="H680" s="22"/>
      <c r="I680" s="22" t="s">
        <v>3363</v>
      </c>
    </row>
    <row r="681" customFormat="false" ht="15" hidden="false" customHeight="true" outlineLevel="0" collapsed="false">
      <c r="A681" s="24" t="s">
        <v>385</v>
      </c>
      <c r="B681" s="32" t="s">
        <v>5151</v>
      </c>
      <c r="C681" s="22" t="s">
        <v>5152</v>
      </c>
      <c r="D681" s="32" t="s">
        <v>5153</v>
      </c>
      <c r="E681" s="22" t="s">
        <v>3437</v>
      </c>
      <c r="F681" s="22" t="s">
        <v>3360</v>
      </c>
      <c r="G681" s="32" t="s">
        <v>5154</v>
      </c>
      <c r="H681" s="22"/>
      <c r="I681" s="22" t="s">
        <v>3363</v>
      </c>
    </row>
    <row r="682" customFormat="false" ht="24.75" hidden="false" customHeight="true" outlineLevel="0" collapsed="false">
      <c r="A682" s="24" t="s">
        <v>385</v>
      </c>
      <c r="B682" s="32" t="s">
        <v>5155</v>
      </c>
      <c r="C682" s="22" t="s">
        <v>5156</v>
      </c>
      <c r="D682" s="32" t="s">
        <v>5157</v>
      </c>
      <c r="E682" s="22" t="s">
        <v>3359</v>
      </c>
      <c r="F682" s="22" t="s">
        <v>3360</v>
      </c>
      <c r="G682" s="32" t="s">
        <v>5158</v>
      </c>
      <c r="H682" s="22" t="s">
        <v>5159</v>
      </c>
      <c r="I682" s="22" t="s">
        <v>3363</v>
      </c>
    </row>
    <row r="683" customFormat="false" ht="15" hidden="false" customHeight="true" outlineLevel="0" collapsed="false">
      <c r="A683" s="24" t="s">
        <v>385</v>
      </c>
      <c r="B683" s="32" t="s">
        <v>5160</v>
      </c>
      <c r="C683" s="22" t="s">
        <v>5144</v>
      </c>
      <c r="D683" s="32" t="s">
        <v>5161</v>
      </c>
      <c r="E683" s="22" t="s">
        <v>3359</v>
      </c>
      <c r="F683" s="22" t="s">
        <v>3360</v>
      </c>
      <c r="G683" s="32" t="s">
        <v>5146</v>
      </c>
      <c r="H683" s="22"/>
      <c r="I683" s="22" t="s">
        <v>3363</v>
      </c>
    </row>
    <row r="684" customFormat="false" ht="24.75" hidden="false" customHeight="true" outlineLevel="0" collapsed="false">
      <c r="A684" s="24" t="s">
        <v>385</v>
      </c>
      <c r="B684" s="32" t="s">
        <v>5162</v>
      </c>
      <c r="C684" s="22" t="s">
        <v>4076</v>
      </c>
      <c r="D684" s="32" t="s">
        <v>5163</v>
      </c>
      <c r="E684" s="22" t="s">
        <v>3359</v>
      </c>
      <c r="F684" s="22" t="s">
        <v>3360</v>
      </c>
      <c r="G684" s="32" t="s">
        <v>5164</v>
      </c>
      <c r="H684" s="22" t="s">
        <v>5165</v>
      </c>
      <c r="I684" s="22" t="s">
        <v>3363</v>
      </c>
    </row>
    <row r="685" customFormat="false" ht="15" hidden="false" customHeight="true" outlineLevel="0" collapsed="false">
      <c r="A685" s="24" t="s">
        <v>385</v>
      </c>
      <c r="B685" s="32" t="s">
        <v>5166</v>
      </c>
      <c r="C685" s="22" t="s">
        <v>5148</v>
      </c>
      <c r="D685" s="32" t="s">
        <v>5167</v>
      </c>
      <c r="E685" s="22" t="s">
        <v>3359</v>
      </c>
      <c r="F685" s="22" t="s">
        <v>3360</v>
      </c>
      <c r="G685" s="32" t="s">
        <v>5150</v>
      </c>
      <c r="H685" s="22"/>
      <c r="I685" s="22" t="s">
        <v>3363</v>
      </c>
    </row>
    <row r="686" customFormat="false" ht="15" hidden="false" customHeight="true" outlineLevel="0" collapsed="false">
      <c r="A686" s="24" t="s">
        <v>385</v>
      </c>
      <c r="B686" s="32" t="s">
        <v>5168</v>
      </c>
      <c r="C686" s="22" t="s">
        <v>5152</v>
      </c>
      <c r="D686" s="32" t="s">
        <v>5169</v>
      </c>
      <c r="E686" s="22" t="s">
        <v>3437</v>
      </c>
      <c r="F686" s="22" t="s">
        <v>3378</v>
      </c>
      <c r="G686" s="32" t="s">
        <v>5154</v>
      </c>
      <c r="H686" s="22"/>
      <c r="I686" s="22" t="s">
        <v>3363</v>
      </c>
    </row>
    <row r="687" customFormat="false" ht="15" hidden="false" customHeight="true" outlineLevel="0" collapsed="false">
      <c r="A687" s="24" t="s">
        <v>385</v>
      </c>
      <c r="B687" s="32" t="s">
        <v>5170</v>
      </c>
      <c r="C687" s="22" t="s">
        <v>5171</v>
      </c>
      <c r="D687" s="32" t="s">
        <v>5172</v>
      </c>
      <c r="E687" s="22" t="s">
        <v>3359</v>
      </c>
      <c r="F687" s="22" t="s">
        <v>3378</v>
      </c>
      <c r="G687" s="32" t="s">
        <v>5173</v>
      </c>
      <c r="H687" s="22"/>
      <c r="I687" s="22" t="s">
        <v>3363</v>
      </c>
    </row>
    <row r="688" customFormat="false" ht="15" hidden="false" customHeight="true" outlineLevel="0" collapsed="false">
      <c r="A688" s="24" t="s">
        <v>385</v>
      </c>
      <c r="B688" s="32" t="s">
        <v>5174</v>
      </c>
      <c r="C688" s="22" t="s">
        <v>5175</v>
      </c>
      <c r="D688" s="32" t="s">
        <v>5176</v>
      </c>
      <c r="E688" s="22" t="s">
        <v>3359</v>
      </c>
      <c r="F688" s="22" t="s">
        <v>3360</v>
      </c>
      <c r="G688" s="32" t="s">
        <v>5177</v>
      </c>
      <c r="H688" s="22"/>
      <c r="I688" s="22" t="s">
        <v>3363</v>
      </c>
    </row>
    <row r="689" customFormat="false" ht="15" hidden="false" customHeight="true" outlineLevel="0" collapsed="false">
      <c r="A689" s="24" t="s">
        <v>385</v>
      </c>
      <c r="B689" s="32" t="s">
        <v>5178</v>
      </c>
      <c r="C689" s="22" t="s">
        <v>5179</v>
      </c>
      <c r="D689" s="32" t="s">
        <v>5180</v>
      </c>
      <c r="E689" s="22" t="s">
        <v>3377</v>
      </c>
      <c r="F689" s="22" t="s">
        <v>3360</v>
      </c>
      <c r="G689" s="32" t="s">
        <v>3379</v>
      </c>
      <c r="H689" s="22"/>
      <c r="I689" s="22" t="s">
        <v>3363</v>
      </c>
    </row>
    <row r="690" customFormat="false" ht="15" hidden="false" customHeight="true" outlineLevel="0" collapsed="false">
      <c r="A690" s="24" t="s">
        <v>385</v>
      </c>
      <c r="B690" s="32" t="s">
        <v>5181</v>
      </c>
      <c r="C690" s="22" t="s">
        <v>5182</v>
      </c>
      <c r="D690" s="32" t="s">
        <v>5183</v>
      </c>
      <c r="E690" s="22" t="s">
        <v>3359</v>
      </c>
      <c r="F690" s="22" t="s">
        <v>3360</v>
      </c>
      <c r="G690" s="32" t="s">
        <v>5184</v>
      </c>
      <c r="H690" s="22" t="s">
        <v>5185</v>
      </c>
      <c r="I690" s="22" t="s">
        <v>3363</v>
      </c>
    </row>
    <row r="691" customFormat="false" ht="15" hidden="false" customHeight="true" outlineLevel="0" collapsed="false">
      <c r="A691" s="24" t="s">
        <v>385</v>
      </c>
      <c r="B691" s="32" t="s">
        <v>5186</v>
      </c>
      <c r="C691" s="22" t="s">
        <v>3714</v>
      </c>
      <c r="D691" s="32" t="s">
        <v>5187</v>
      </c>
      <c r="E691" s="22" t="s">
        <v>3394</v>
      </c>
      <c r="F691" s="22" t="s">
        <v>3378</v>
      </c>
      <c r="G691" s="32" t="s">
        <v>5188</v>
      </c>
      <c r="H691" s="22"/>
      <c r="I691" s="22" t="s">
        <v>3363</v>
      </c>
    </row>
    <row r="692" customFormat="false" ht="15" hidden="false" customHeight="true" outlineLevel="0" collapsed="false">
      <c r="A692" s="24" t="s">
        <v>385</v>
      </c>
      <c r="B692" s="32" t="s">
        <v>5189</v>
      </c>
      <c r="C692" s="22" t="s">
        <v>5190</v>
      </c>
      <c r="D692" s="32" t="s">
        <v>5191</v>
      </c>
      <c r="E692" s="22" t="s">
        <v>3359</v>
      </c>
      <c r="F692" s="22" t="s">
        <v>3378</v>
      </c>
      <c r="G692" s="32" t="s">
        <v>5192</v>
      </c>
      <c r="H692" s="22"/>
      <c r="I692" s="22" t="s">
        <v>3363</v>
      </c>
    </row>
    <row r="693" customFormat="false" ht="15" hidden="false" customHeight="true" outlineLevel="0" collapsed="false">
      <c r="A693" s="24" t="s">
        <v>385</v>
      </c>
      <c r="B693" s="32" t="s">
        <v>5193</v>
      </c>
      <c r="C693" s="22" t="s">
        <v>5194</v>
      </c>
      <c r="D693" s="32" t="s">
        <v>5195</v>
      </c>
      <c r="E693" s="22" t="s">
        <v>3394</v>
      </c>
      <c r="F693" s="22" t="s">
        <v>3360</v>
      </c>
      <c r="G693" s="32" t="s">
        <v>5196</v>
      </c>
      <c r="H693" s="22"/>
      <c r="I693" s="22" t="s">
        <v>3363</v>
      </c>
    </row>
    <row r="694" customFormat="false" ht="15" hidden="false" customHeight="true" outlineLevel="0" collapsed="false">
      <c r="A694" s="24" t="s">
        <v>385</v>
      </c>
      <c r="B694" s="32" t="s">
        <v>5197</v>
      </c>
      <c r="C694" s="22" t="s">
        <v>5198</v>
      </c>
      <c r="D694" s="32" t="s">
        <v>5199</v>
      </c>
      <c r="E694" s="22" t="s">
        <v>3394</v>
      </c>
      <c r="F694" s="22" t="s">
        <v>3360</v>
      </c>
      <c r="G694" s="32" t="s">
        <v>5200</v>
      </c>
      <c r="H694" s="22"/>
      <c r="I694" s="22" t="s">
        <v>3363</v>
      </c>
    </row>
    <row r="695" customFormat="false" ht="15" hidden="false" customHeight="true" outlineLevel="0" collapsed="false">
      <c r="A695" s="24" t="s">
        <v>385</v>
      </c>
      <c r="B695" s="32" t="s">
        <v>5201</v>
      </c>
      <c r="C695" s="22" t="s">
        <v>5202</v>
      </c>
      <c r="D695" s="32" t="s">
        <v>5203</v>
      </c>
      <c r="E695" s="22" t="s">
        <v>3394</v>
      </c>
      <c r="F695" s="22" t="s">
        <v>3378</v>
      </c>
      <c r="G695" s="32" t="s">
        <v>3395</v>
      </c>
      <c r="H695" s="22"/>
      <c r="I695" s="22" t="s">
        <v>3363</v>
      </c>
    </row>
    <row r="696" customFormat="false" ht="15" hidden="false" customHeight="true" outlineLevel="0" collapsed="false">
      <c r="A696" s="24" t="s">
        <v>385</v>
      </c>
      <c r="B696" s="32" t="s">
        <v>5204</v>
      </c>
      <c r="C696" s="22" t="s">
        <v>5205</v>
      </c>
      <c r="D696" s="32" t="s">
        <v>5206</v>
      </c>
      <c r="E696" s="22" t="s">
        <v>3394</v>
      </c>
      <c r="F696" s="22" t="s">
        <v>3360</v>
      </c>
      <c r="G696" s="32" t="s">
        <v>5207</v>
      </c>
      <c r="H696" s="22" t="s">
        <v>5208</v>
      </c>
      <c r="I696" s="22" t="s">
        <v>3363</v>
      </c>
    </row>
    <row r="697" customFormat="false" ht="37.5" hidden="false" customHeight="true" outlineLevel="0" collapsed="false">
      <c r="A697" s="24" t="s">
        <v>385</v>
      </c>
      <c r="B697" s="32" t="s">
        <v>5209</v>
      </c>
      <c r="C697" s="22" t="s">
        <v>5210</v>
      </c>
      <c r="D697" s="32" t="s">
        <v>5211</v>
      </c>
      <c r="E697" s="22" t="s">
        <v>3394</v>
      </c>
      <c r="F697" s="22" t="s">
        <v>3360</v>
      </c>
      <c r="G697" s="32" t="s">
        <v>3443</v>
      </c>
      <c r="H697" s="22" t="s">
        <v>5212</v>
      </c>
      <c r="I697" s="22" t="s">
        <v>3363</v>
      </c>
    </row>
    <row r="698" customFormat="false" ht="15" hidden="false" customHeight="true" outlineLevel="0" collapsed="false">
      <c r="A698" s="24" t="s">
        <v>385</v>
      </c>
      <c r="B698" s="32" t="s">
        <v>5213</v>
      </c>
      <c r="C698" s="22" t="s">
        <v>5214</v>
      </c>
      <c r="D698" s="32" t="s">
        <v>5215</v>
      </c>
      <c r="E698" s="22" t="s">
        <v>3394</v>
      </c>
      <c r="F698" s="22" t="s">
        <v>3378</v>
      </c>
      <c r="G698" s="32" t="s">
        <v>3395</v>
      </c>
      <c r="H698" s="22"/>
      <c r="I698" s="22" t="s">
        <v>3363</v>
      </c>
    </row>
    <row r="699" customFormat="false" ht="15" hidden="false" customHeight="true" outlineLevel="0" collapsed="false">
      <c r="A699" s="24" t="s">
        <v>385</v>
      </c>
      <c r="B699" s="32" t="s">
        <v>5216</v>
      </c>
      <c r="C699" s="22" t="s">
        <v>5217</v>
      </c>
      <c r="D699" s="32" t="s">
        <v>5218</v>
      </c>
      <c r="E699" s="22" t="s">
        <v>3394</v>
      </c>
      <c r="F699" s="22" t="s">
        <v>3378</v>
      </c>
      <c r="G699" s="32" t="s">
        <v>3395</v>
      </c>
      <c r="H699" s="22"/>
      <c r="I699" s="22" t="s">
        <v>3363</v>
      </c>
    </row>
    <row r="700" customFormat="false" ht="15" hidden="false" customHeight="true" outlineLevel="0" collapsed="false">
      <c r="A700" s="24" t="s">
        <v>385</v>
      </c>
      <c r="B700" s="32" t="s">
        <v>5219</v>
      </c>
      <c r="C700" s="22" t="s">
        <v>5220</v>
      </c>
      <c r="D700" s="32" t="s">
        <v>5221</v>
      </c>
      <c r="E700" s="22" t="s">
        <v>3394</v>
      </c>
      <c r="F700" s="22" t="s">
        <v>3378</v>
      </c>
      <c r="G700" s="32" t="s">
        <v>3395</v>
      </c>
      <c r="H700" s="22"/>
      <c r="I700" s="22" t="s">
        <v>3363</v>
      </c>
    </row>
    <row r="701" customFormat="false" ht="15" hidden="false" customHeight="true" outlineLevel="0" collapsed="false">
      <c r="A701" s="24" t="s">
        <v>385</v>
      </c>
      <c r="B701" s="32" t="s">
        <v>5222</v>
      </c>
      <c r="C701" s="22" t="s">
        <v>5223</v>
      </c>
      <c r="D701" s="32" t="s">
        <v>5224</v>
      </c>
      <c r="E701" s="22" t="s">
        <v>3394</v>
      </c>
      <c r="F701" s="22" t="s">
        <v>3378</v>
      </c>
      <c r="G701" s="32" t="s">
        <v>5225</v>
      </c>
      <c r="H701" s="22"/>
      <c r="I701" s="22" t="s">
        <v>3363</v>
      </c>
    </row>
    <row r="702" customFormat="false" ht="15" hidden="false" customHeight="true" outlineLevel="0" collapsed="false">
      <c r="A702" s="24" t="s">
        <v>385</v>
      </c>
      <c r="B702" s="32" t="s">
        <v>5226</v>
      </c>
      <c r="C702" s="22" t="s">
        <v>5227</v>
      </c>
      <c r="D702" s="32" t="s">
        <v>5228</v>
      </c>
      <c r="E702" s="22" t="s">
        <v>3394</v>
      </c>
      <c r="F702" s="22" t="s">
        <v>3378</v>
      </c>
      <c r="G702" s="32" t="s">
        <v>3395</v>
      </c>
      <c r="H702" s="22"/>
      <c r="I702" s="22" t="s">
        <v>3363</v>
      </c>
    </row>
    <row r="703" customFormat="false" ht="15" hidden="false" customHeight="true" outlineLevel="0" collapsed="false">
      <c r="A703" s="24" t="s">
        <v>385</v>
      </c>
      <c r="B703" s="32" t="s">
        <v>5229</v>
      </c>
      <c r="C703" s="22" t="s">
        <v>5230</v>
      </c>
      <c r="D703" s="32" t="s">
        <v>5231</v>
      </c>
      <c r="E703" s="22" t="s">
        <v>3394</v>
      </c>
      <c r="F703" s="22" t="s">
        <v>3378</v>
      </c>
      <c r="G703" s="32" t="s">
        <v>3395</v>
      </c>
      <c r="H703" s="22"/>
      <c r="I703" s="22" t="s">
        <v>3363</v>
      </c>
    </row>
    <row r="704" customFormat="false" ht="15" hidden="false" customHeight="true" outlineLevel="0" collapsed="false">
      <c r="A704" s="24" t="s">
        <v>385</v>
      </c>
      <c r="B704" s="32" t="s">
        <v>5232</v>
      </c>
      <c r="C704" s="22" t="s">
        <v>5233</v>
      </c>
      <c r="D704" s="32" t="s">
        <v>5234</v>
      </c>
      <c r="E704" s="22" t="s">
        <v>3394</v>
      </c>
      <c r="F704" s="22" t="s">
        <v>3378</v>
      </c>
      <c r="G704" s="32" t="s">
        <v>3395</v>
      </c>
      <c r="H704" s="22"/>
      <c r="I704" s="22" t="s">
        <v>3363</v>
      </c>
    </row>
    <row r="705" customFormat="false" ht="15" hidden="false" customHeight="true" outlineLevel="0" collapsed="false">
      <c r="A705" s="24" t="s">
        <v>385</v>
      </c>
      <c r="B705" s="32" t="s">
        <v>5235</v>
      </c>
      <c r="C705" s="22" t="s">
        <v>5236</v>
      </c>
      <c r="D705" s="32" t="s">
        <v>5237</v>
      </c>
      <c r="E705" s="22" t="s">
        <v>3394</v>
      </c>
      <c r="F705" s="22" t="s">
        <v>3378</v>
      </c>
      <c r="G705" s="32" t="s">
        <v>3395</v>
      </c>
      <c r="H705" s="22"/>
      <c r="I705" s="22" t="s">
        <v>3363</v>
      </c>
    </row>
    <row r="706" customFormat="false" ht="24.75" hidden="false" customHeight="true" outlineLevel="0" collapsed="false">
      <c r="A706" s="24" t="s">
        <v>385</v>
      </c>
      <c r="B706" s="32" t="s">
        <v>5238</v>
      </c>
      <c r="C706" s="22" t="s">
        <v>5239</v>
      </c>
      <c r="D706" s="32" t="s">
        <v>5240</v>
      </c>
      <c r="E706" s="22" t="s">
        <v>3394</v>
      </c>
      <c r="F706" s="22" t="s">
        <v>3360</v>
      </c>
      <c r="G706" s="32" t="s">
        <v>5241</v>
      </c>
      <c r="H706" s="22"/>
      <c r="I706" s="22" t="s">
        <v>3363</v>
      </c>
    </row>
    <row r="707" customFormat="false" ht="15" hidden="false" customHeight="true" outlineLevel="0" collapsed="false">
      <c r="A707" s="24" t="s">
        <v>385</v>
      </c>
      <c r="B707" s="32" t="s">
        <v>5242</v>
      </c>
      <c r="C707" s="22" t="s">
        <v>5243</v>
      </c>
      <c r="D707" s="32" t="s">
        <v>5244</v>
      </c>
      <c r="E707" s="22" t="s">
        <v>3394</v>
      </c>
      <c r="F707" s="22" t="s">
        <v>3360</v>
      </c>
      <c r="G707" s="32" t="s">
        <v>5245</v>
      </c>
      <c r="H707" s="22" t="s">
        <v>5246</v>
      </c>
      <c r="I707" s="22" t="s">
        <v>3363</v>
      </c>
    </row>
    <row r="708" customFormat="false" ht="15" hidden="false" customHeight="true" outlineLevel="0" collapsed="false">
      <c r="A708" s="24" t="s">
        <v>385</v>
      </c>
      <c r="B708" s="32" t="s">
        <v>5247</v>
      </c>
      <c r="C708" s="22" t="s">
        <v>5248</v>
      </c>
      <c r="D708" s="32" t="s">
        <v>5249</v>
      </c>
      <c r="E708" s="22" t="s">
        <v>3394</v>
      </c>
      <c r="F708" s="22" t="s">
        <v>3378</v>
      </c>
      <c r="G708" s="32" t="s">
        <v>3395</v>
      </c>
      <c r="H708" s="22"/>
      <c r="I708" s="22" t="s">
        <v>3363</v>
      </c>
    </row>
    <row r="709" customFormat="false" ht="15" hidden="false" customHeight="true" outlineLevel="0" collapsed="false">
      <c r="A709" s="24" t="s">
        <v>385</v>
      </c>
      <c r="B709" s="32" t="s">
        <v>5250</v>
      </c>
      <c r="C709" s="22" t="s">
        <v>5251</v>
      </c>
      <c r="D709" s="32" t="s">
        <v>5252</v>
      </c>
      <c r="E709" s="22" t="s">
        <v>3394</v>
      </c>
      <c r="F709" s="22" t="s">
        <v>3378</v>
      </c>
      <c r="G709" s="32" t="s">
        <v>3395</v>
      </c>
      <c r="H709" s="22"/>
      <c r="I709" s="22" t="s">
        <v>3363</v>
      </c>
    </row>
    <row r="710" customFormat="false" ht="15" hidden="false" customHeight="true" outlineLevel="0" collapsed="false">
      <c r="A710" s="24" t="s">
        <v>385</v>
      </c>
      <c r="B710" s="32" t="s">
        <v>5253</v>
      </c>
      <c r="C710" s="22" t="s">
        <v>5254</v>
      </c>
      <c r="D710" s="32" t="s">
        <v>5255</v>
      </c>
      <c r="E710" s="22" t="s">
        <v>3394</v>
      </c>
      <c r="F710" s="22" t="s">
        <v>3378</v>
      </c>
      <c r="G710" s="32" t="s">
        <v>3395</v>
      </c>
      <c r="H710" s="22"/>
      <c r="I710" s="22" t="s">
        <v>3363</v>
      </c>
    </row>
    <row r="711" customFormat="false" ht="15" hidden="false" customHeight="true" outlineLevel="0" collapsed="false">
      <c r="A711" s="24" t="s">
        <v>385</v>
      </c>
      <c r="B711" s="32" t="s">
        <v>5256</v>
      </c>
      <c r="C711" s="22" t="s">
        <v>5257</v>
      </c>
      <c r="D711" s="32" t="s">
        <v>5258</v>
      </c>
      <c r="E711" s="22" t="s">
        <v>3394</v>
      </c>
      <c r="F711" s="22" t="s">
        <v>3378</v>
      </c>
      <c r="G711" s="32" t="s">
        <v>3395</v>
      </c>
      <c r="H711" s="22"/>
      <c r="I711" s="22" t="s">
        <v>3363</v>
      </c>
    </row>
    <row r="712" customFormat="false" ht="15" hidden="false" customHeight="true" outlineLevel="0" collapsed="false">
      <c r="A712" s="24" t="s">
        <v>385</v>
      </c>
      <c r="B712" s="32" t="s">
        <v>5259</v>
      </c>
      <c r="C712" s="22" t="s">
        <v>5260</v>
      </c>
      <c r="D712" s="32" t="s">
        <v>5261</v>
      </c>
      <c r="E712" s="22" t="s">
        <v>3394</v>
      </c>
      <c r="F712" s="22" t="s">
        <v>3378</v>
      </c>
      <c r="G712" s="32" t="s">
        <v>3395</v>
      </c>
      <c r="H712" s="22"/>
      <c r="I712" s="22" t="s">
        <v>3363</v>
      </c>
    </row>
    <row r="713" customFormat="false" ht="15" hidden="false" customHeight="true" outlineLevel="0" collapsed="false">
      <c r="A713" s="24" t="s">
        <v>385</v>
      </c>
      <c r="B713" s="32" t="s">
        <v>5262</v>
      </c>
      <c r="C713" s="22" t="s">
        <v>5263</v>
      </c>
      <c r="D713" s="32" t="s">
        <v>5264</v>
      </c>
      <c r="E713" s="22" t="s">
        <v>3394</v>
      </c>
      <c r="F713" s="22" t="s">
        <v>3378</v>
      </c>
      <c r="G713" s="32" t="s">
        <v>3395</v>
      </c>
      <c r="H713" s="22"/>
      <c r="I713" s="22" t="s">
        <v>3363</v>
      </c>
    </row>
    <row r="714" customFormat="false" ht="15" hidden="false" customHeight="true" outlineLevel="0" collapsed="false">
      <c r="A714" s="24" t="s">
        <v>385</v>
      </c>
      <c r="B714" s="32" t="s">
        <v>5265</v>
      </c>
      <c r="C714" s="22" t="s">
        <v>5266</v>
      </c>
      <c r="D714" s="32" t="s">
        <v>5267</v>
      </c>
      <c r="E714" s="22" t="s">
        <v>3394</v>
      </c>
      <c r="F714" s="22" t="s">
        <v>3378</v>
      </c>
      <c r="G714" s="32" t="s">
        <v>3395</v>
      </c>
      <c r="H714" s="22"/>
      <c r="I714" s="22" t="s">
        <v>3363</v>
      </c>
    </row>
    <row r="715" customFormat="false" ht="15" hidden="false" customHeight="true" outlineLevel="0" collapsed="false">
      <c r="A715" s="24" t="s">
        <v>385</v>
      </c>
      <c r="B715" s="32" t="s">
        <v>5268</v>
      </c>
      <c r="C715" s="22" t="s">
        <v>5269</v>
      </c>
      <c r="D715" s="32" t="s">
        <v>5270</v>
      </c>
      <c r="E715" s="22" t="s">
        <v>3394</v>
      </c>
      <c r="F715" s="22" t="s">
        <v>3378</v>
      </c>
      <c r="G715" s="32" t="s">
        <v>5271</v>
      </c>
      <c r="H715" s="22"/>
      <c r="I715" s="22" t="s">
        <v>3363</v>
      </c>
    </row>
    <row r="716" customFormat="false" ht="15" hidden="false" customHeight="true" outlineLevel="0" collapsed="false">
      <c r="A716" s="24" t="s">
        <v>385</v>
      </c>
      <c r="B716" s="32" t="s">
        <v>5272</v>
      </c>
      <c r="C716" s="22" t="s">
        <v>5273</v>
      </c>
      <c r="D716" s="32" t="s">
        <v>5274</v>
      </c>
      <c r="E716" s="22" t="s">
        <v>3394</v>
      </c>
      <c r="F716" s="22" t="s">
        <v>3360</v>
      </c>
      <c r="G716" s="32" t="s">
        <v>3395</v>
      </c>
      <c r="H716" s="22" t="s">
        <v>5275</v>
      </c>
      <c r="I716" s="22" t="s">
        <v>3363</v>
      </c>
    </row>
    <row r="717" customFormat="false" ht="24.75" hidden="false" customHeight="true" outlineLevel="0" collapsed="false">
      <c r="A717" s="24" t="s">
        <v>385</v>
      </c>
      <c r="B717" s="32" t="s">
        <v>5276</v>
      </c>
      <c r="C717" s="22" t="s">
        <v>5277</v>
      </c>
      <c r="D717" s="32" t="s">
        <v>5278</v>
      </c>
      <c r="E717" s="22" t="s">
        <v>3394</v>
      </c>
      <c r="F717" s="22" t="s">
        <v>3378</v>
      </c>
      <c r="G717" s="32" t="s">
        <v>3395</v>
      </c>
      <c r="H717" s="22"/>
      <c r="I717" s="22" t="s">
        <v>3363</v>
      </c>
    </row>
    <row r="718" customFormat="false" ht="15" hidden="false" customHeight="true" outlineLevel="0" collapsed="false">
      <c r="A718" s="24" t="s">
        <v>385</v>
      </c>
      <c r="B718" s="32" t="s">
        <v>5279</v>
      </c>
      <c r="C718" s="22" t="s">
        <v>5280</v>
      </c>
      <c r="D718" s="32" t="s">
        <v>5281</v>
      </c>
      <c r="E718" s="22" t="s">
        <v>3359</v>
      </c>
      <c r="F718" s="22" t="s">
        <v>3378</v>
      </c>
      <c r="G718" s="32" t="s">
        <v>5282</v>
      </c>
      <c r="H718" s="22" t="s">
        <v>5283</v>
      </c>
      <c r="I718" s="22" t="s">
        <v>3363</v>
      </c>
    </row>
    <row r="719" customFormat="false" ht="15" hidden="false" customHeight="true" outlineLevel="0" collapsed="false">
      <c r="A719" s="24" t="s">
        <v>385</v>
      </c>
      <c r="B719" s="32" t="s">
        <v>5284</v>
      </c>
      <c r="C719" s="22" t="s">
        <v>5285</v>
      </c>
      <c r="D719" s="32" t="s">
        <v>5286</v>
      </c>
      <c r="E719" s="22" t="s">
        <v>3389</v>
      </c>
      <c r="F719" s="22" t="s">
        <v>3378</v>
      </c>
      <c r="G719" s="32" t="s">
        <v>5140</v>
      </c>
      <c r="H719" s="22"/>
      <c r="I719" s="22" t="s">
        <v>3363</v>
      </c>
    </row>
    <row r="720" customFormat="false" ht="15" hidden="false" customHeight="true" outlineLevel="0" collapsed="false">
      <c r="A720" s="24" t="s">
        <v>385</v>
      </c>
      <c r="B720" s="32" t="s">
        <v>5287</v>
      </c>
      <c r="C720" s="22" t="s">
        <v>5288</v>
      </c>
      <c r="D720" s="32" t="s">
        <v>5289</v>
      </c>
      <c r="E720" s="22" t="s">
        <v>3359</v>
      </c>
      <c r="F720" s="22" t="s">
        <v>3378</v>
      </c>
      <c r="G720" s="32" t="s">
        <v>5290</v>
      </c>
      <c r="H720" s="22" t="s">
        <v>5291</v>
      </c>
      <c r="I720" s="22" t="s">
        <v>3363</v>
      </c>
    </row>
    <row r="721" customFormat="false" ht="15" hidden="false" customHeight="true" outlineLevel="0" collapsed="false">
      <c r="A721" s="24" t="s">
        <v>385</v>
      </c>
      <c r="B721" s="32" t="s">
        <v>5292</v>
      </c>
      <c r="C721" s="22" t="s">
        <v>3551</v>
      </c>
      <c r="D721" s="32" t="s">
        <v>5293</v>
      </c>
      <c r="E721" s="22" t="s">
        <v>3389</v>
      </c>
      <c r="F721" s="22" t="s">
        <v>3378</v>
      </c>
      <c r="G721" s="32" t="s">
        <v>5140</v>
      </c>
      <c r="H721" s="22" t="s">
        <v>5294</v>
      </c>
      <c r="I721" s="22" t="s">
        <v>3363</v>
      </c>
    </row>
    <row r="722" customFormat="false" ht="15" hidden="false" customHeight="true" outlineLevel="0" collapsed="false">
      <c r="A722" s="24" t="s">
        <v>385</v>
      </c>
      <c r="B722" s="32" t="s">
        <v>5295</v>
      </c>
      <c r="C722" s="22" t="s">
        <v>5296</v>
      </c>
      <c r="D722" s="32" t="s">
        <v>5297</v>
      </c>
      <c r="E722" s="22" t="s">
        <v>3359</v>
      </c>
      <c r="F722" s="22" t="s">
        <v>3378</v>
      </c>
      <c r="G722" s="32" t="s">
        <v>5298</v>
      </c>
      <c r="H722" s="22" t="s">
        <v>5299</v>
      </c>
      <c r="I722" s="22" t="s">
        <v>3363</v>
      </c>
    </row>
    <row r="723" customFormat="false" ht="15" hidden="false" customHeight="true" outlineLevel="0" collapsed="false">
      <c r="A723" s="24" t="s">
        <v>385</v>
      </c>
      <c r="B723" s="32" t="s">
        <v>5300</v>
      </c>
      <c r="C723" s="22" t="s">
        <v>5301</v>
      </c>
      <c r="D723" s="32" t="s">
        <v>5302</v>
      </c>
      <c r="E723" s="22" t="s">
        <v>3377</v>
      </c>
      <c r="F723" s="22" t="s">
        <v>3378</v>
      </c>
      <c r="G723" s="32" t="s">
        <v>3379</v>
      </c>
      <c r="H723" s="22"/>
      <c r="I723" s="22" t="s">
        <v>3363</v>
      </c>
    </row>
    <row r="724" customFormat="false" ht="15" hidden="false" customHeight="true" outlineLevel="0" collapsed="false">
      <c r="A724" s="24" t="s">
        <v>385</v>
      </c>
      <c r="B724" s="32" t="s">
        <v>5303</v>
      </c>
      <c r="C724" s="22" t="s">
        <v>5304</v>
      </c>
      <c r="D724" s="32" t="s">
        <v>5305</v>
      </c>
      <c r="E724" s="22" t="s">
        <v>3359</v>
      </c>
      <c r="F724" s="22" t="s">
        <v>3378</v>
      </c>
      <c r="G724" s="32" t="s">
        <v>5306</v>
      </c>
      <c r="H724" s="22"/>
      <c r="I724" s="22" t="s">
        <v>3363</v>
      </c>
    </row>
    <row r="725" customFormat="false" ht="15" hidden="false" customHeight="true" outlineLevel="0" collapsed="false">
      <c r="A725" s="24" t="s">
        <v>385</v>
      </c>
      <c r="B725" s="32" t="s">
        <v>5307</v>
      </c>
      <c r="C725" s="22" t="s">
        <v>5308</v>
      </c>
      <c r="D725" s="32" t="s">
        <v>5309</v>
      </c>
      <c r="E725" s="22" t="s">
        <v>3359</v>
      </c>
      <c r="F725" s="22" t="s">
        <v>3378</v>
      </c>
      <c r="G725" s="32" t="s">
        <v>5310</v>
      </c>
      <c r="H725" s="22"/>
      <c r="I725" s="22" t="s">
        <v>3363</v>
      </c>
    </row>
    <row r="726" customFormat="false" ht="15" hidden="false" customHeight="true" outlineLevel="0" collapsed="false">
      <c r="A726" s="24" t="s">
        <v>385</v>
      </c>
      <c r="B726" s="32" t="s">
        <v>5311</v>
      </c>
      <c r="C726" s="22" t="s">
        <v>5312</v>
      </c>
      <c r="D726" s="32" t="s">
        <v>5313</v>
      </c>
      <c r="E726" s="22" t="s">
        <v>3437</v>
      </c>
      <c r="F726" s="22" t="s">
        <v>3378</v>
      </c>
      <c r="G726" s="32" t="s">
        <v>5314</v>
      </c>
      <c r="H726" s="22" t="s">
        <v>5315</v>
      </c>
      <c r="I726" s="22" t="s">
        <v>3363</v>
      </c>
    </row>
    <row r="727" customFormat="false" ht="15" hidden="false" customHeight="true" outlineLevel="0" collapsed="false">
      <c r="A727" s="24" t="s">
        <v>385</v>
      </c>
      <c r="B727" s="32" t="s">
        <v>5316</v>
      </c>
      <c r="C727" s="22" t="s">
        <v>5317</v>
      </c>
      <c r="D727" s="32" t="s">
        <v>5318</v>
      </c>
      <c r="E727" s="22" t="s">
        <v>3389</v>
      </c>
      <c r="F727" s="22" t="s">
        <v>3378</v>
      </c>
      <c r="G727" s="32" t="s">
        <v>5101</v>
      </c>
      <c r="H727" s="22"/>
      <c r="I727" s="22" t="s">
        <v>3363</v>
      </c>
    </row>
    <row r="728" customFormat="false" ht="15" hidden="false" customHeight="true" outlineLevel="0" collapsed="false">
      <c r="A728" s="24" t="s">
        <v>385</v>
      </c>
      <c r="B728" s="32" t="s">
        <v>5319</v>
      </c>
      <c r="C728" s="22" t="s">
        <v>5320</v>
      </c>
      <c r="D728" s="32" t="s">
        <v>5321</v>
      </c>
      <c r="E728" s="22" t="s">
        <v>3389</v>
      </c>
      <c r="F728" s="22" t="s">
        <v>3378</v>
      </c>
      <c r="G728" s="32" t="s">
        <v>5101</v>
      </c>
      <c r="H728" s="22"/>
      <c r="I728" s="22" t="s">
        <v>3363</v>
      </c>
    </row>
    <row r="729" customFormat="false" ht="15" hidden="false" customHeight="true" outlineLevel="0" collapsed="false">
      <c r="A729" s="24" t="s">
        <v>385</v>
      </c>
      <c r="B729" s="32" t="s">
        <v>5322</v>
      </c>
      <c r="C729" s="22" t="s">
        <v>5323</v>
      </c>
      <c r="D729" s="32" t="s">
        <v>5324</v>
      </c>
      <c r="E729" s="22" t="s">
        <v>3359</v>
      </c>
      <c r="F729" s="22" t="s">
        <v>3378</v>
      </c>
      <c r="G729" s="32" t="s">
        <v>5325</v>
      </c>
      <c r="H729" s="22"/>
      <c r="I729" s="22" t="s">
        <v>3363</v>
      </c>
    </row>
    <row r="730" customFormat="false" ht="15" hidden="false" customHeight="true" outlineLevel="0" collapsed="false">
      <c r="A730" s="24" t="s">
        <v>385</v>
      </c>
      <c r="B730" s="32" t="s">
        <v>5326</v>
      </c>
      <c r="C730" s="22" t="s">
        <v>5327</v>
      </c>
      <c r="D730" s="32" t="s">
        <v>5328</v>
      </c>
      <c r="E730" s="22" t="s">
        <v>3437</v>
      </c>
      <c r="F730" s="22" t="s">
        <v>3378</v>
      </c>
      <c r="G730" s="32" t="s">
        <v>5329</v>
      </c>
      <c r="H730" s="22"/>
      <c r="I730" s="22" t="s">
        <v>3363</v>
      </c>
    </row>
    <row r="731" customFormat="false" ht="15" hidden="false" customHeight="true" outlineLevel="0" collapsed="false">
      <c r="A731" s="24" t="s">
        <v>385</v>
      </c>
      <c r="B731" s="32" t="s">
        <v>5330</v>
      </c>
      <c r="C731" s="22" t="s">
        <v>5331</v>
      </c>
      <c r="D731" s="32" t="s">
        <v>5332</v>
      </c>
      <c r="E731" s="22" t="s">
        <v>3359</v>
      </c>
      <c r="F731" s="22" t="s">
        <v>3378</v>
      </c>
      <c r="G731" s="32" t="s">
        <v>5333</v>
      </c>
      <c r="H731" s="22"/>
      <c r="I731" s="22" t="s">
        <v>3363</v>
      </c>
    </row>
    <row r="732" customFormat="false" ht="15" hidden="false" customHeight="true" outlineLevel="0" collapsed="false">
      <c r="A732" s="24" t="s">
        <v>385</v>
      </c>
      <c r="B732" s="32" t="s">
        <v>5334</v>
      </c>
      <c r="C732" s="22" t="s">
        <v>5335</v>
      </c>
      <c r="D732" s="32" t="s">
        <v>5336</v>
      </c>
      <c r="E732" s="22" t="s">
        <v>3377</v>
      </c>
      <c r="F732" s="22" t="s">
        <v>3378</v>
      </c>
      <c r="G732" s="32" t="s">
        <v>5337</v>
      </c>
      <c r="H732" s="22"/>
      <c r="I732" s="22" t="s">
        <v>3363</v>
      </c>
    </row>
    <row r="733" customFormat="false" ht="15" hidden="false" customHeight="true" outlineLevel="0" collapsed="false">
      <c r="A733" s="24" t="s">
        <v>439</v>
      </c>
      <c r="B733" s="32" t="s">
        <v>5311</v>
      </c>
      <c r="C733" s="22" t="s">
        <v>5338</v>
      </c>
      <c r="D733" s="32" t="s">
        <v>5339</v>
      </c>
      <c r="E733" s="22" t="s">
        <v>3437</v>
      </c>
      <c r="F733" s="22" t="s">
        <v>3360</v>
      </c>
      <c r="G733" s="32" t="s">
        <v>5314</v>
      </c>
      <c r="H733" s="22" t="s">
        <v>5340</v>
      </c>
      <c r="I733" s="22" t="s">
        <v>3363</v>
      </c>
    </row>
    <row r="734" customFormat="false" ht="15" hidden="false" customHeight="true" outlineLevel="0" collapsed="false">
      <c r="A734" s="24" t="s">
        <v>439</v>
      </c>
      <c r="B734" s="32" t="s">
        <v>5316</v>
      </c>
      <c r="C734" s="22" t="s">
        <v>5341</v>
      </c>
      <c r="D734" s="32" t="s">
        <v>5342</v>
      </c>
      <c r="E734" s="22" t="s">
        <v>3389</v>
      </c>
      <c r="F734" s="22" t="s">
        <v>3360</v>
      </c>
      <c r="G734" s="32" t="s">
        <v>5343</v>
      </c>
      <c r="H734" s="22"/>
      <c r="I734" s="22" t="s">
        <v>3363</v>
      </c>
    </row>
    <row r="735" customFormat="false" ht="24.75" hidden="false" customHeight="true" outlineLevel="0" collapsed="false">
      <c r="A735" s="24" t="s">
        <v>439</v>
      </c>
      <c r="B735" s="32" t="s">
        <v>5344</v>
      </c>
      <c r="C735" s="22" t="s">
        <v>5345</v>
      </c>
      <c r="D735" s="32" t="s">
        <v>5346</v>
      </c>
      <c r="E735" s="22" t="s">
        <v>3377</v>
      </c>
      <c r="F735" s="22" t="s">
        <v>3378</v>
      </c>
      <c r="G735" s="32" t="s">
        <v>5347</v>
      </c>
      <c r="H735" s="22"/>
      <c r="I735" s="22" t="s">
        <v>3363</v>
      </c>
    </row>
    <row r="736" customFormat="false" ht="37.5" hidden="false" customHeight="true" outlineLevel="0" collapsed="false">
      <c r="A736" s="24" t="s">
        <v>439</v>
      </c>
      <c r="B736" s="32" t="s">
        <v>5348</v>
      </c>
      <c r="C736" s="22" t="s">
        <v>5349</v>
      </c>
      <c r="D736" s="32" t="s">
        <v>5350</v>
      </c>
      <c r="E736" s="22" t="s">
        <v>3359</v>
      </c>
      <c r="F736" s="22" t="s">
        <v>3360</v>
      </c>
      <c r="G736" s="32" t="s">
        <v>3372</v>
      </c>
      <c r="H736" s="22"/>
      <c r="I736" s="22" t="s">
        <v>3363</v>
      </c>
    </row>
    <row r="737" customFormat="false" ht="15" hidden="false" customHeight="true" outlineLevel="0" collapsed="false">
      <c r="A737" s="24" t="s">
        <v>439</v>
      </c>
      <c r="B737" s="32" t="s">
        <v>4350</v>
      </c>
      <c r="C737" s="22" t="s">
        <v>3505</v>
      </c>
      <c r="D737" s="32" t="s">
        <v>5351</v>
      </c>
      <c r="E737" s="22" t="s">
        <v>3377</v>
      </c>
      <c r="F737" s="22" t="s">
        <v>3360</v>
      </c>
      <c r="G737" s="32" t="s">
        <v>5352</v>
      </c>
      <c r="H737" s="22"/>
      <c r="I737" s="22" t="s">
        <v>3363</v>
      </c>
    </row>
    <row r="738" customFormat="false" ht="62.25" hidden="false" customHeight="true" outlineLevel="0" collapsed="false">
      <c r="A738" s="24" t="s">
        <v>439</v>
      </c>
      <c r="B738" s="32" t="s">
        <v>5353</v>
      </c>
      <c r="C738" s="22" t="s">
        <v>5354</v>
      </c>
      <c r="D738" s="32" t="s">
        <v>5355</v>
      </c>
      <c r="E738" s="22" t="s">
        <v>3377</v>
      </c>
      <c r="F738" s="22" t="s">
        <v>3360</v>
      </c>
      <c r="G738" s="32" t="s">
        <v>5356</v>
      </c>
      <c r="H738" s="22" t="s">
        <v>5357</v>
      </c>
      <c r="I738" s="22" t="s">
        <v>3363</v>
      </c>
    </row>
    <row r="739" customFormat="false" ht="15" hidden="false" customHeight="true" outlineLevel="0" collapsed="false">
      <c r="A739" s="24" t="s">
        <v>439</v>
      </c>
      <c r="B739" s="32" t="s">
        <v>5129</v>
      </c>
      <c r="C739" s="22" t="s">
        <v>5130</v>
      </c>
      <c r="D739" s="32" t="s">
        <v>5358</v>
      </c>
      <c r="E739" s="22" t="s">
        <v>3377</v>
      </c>
      <c r="F739" s="22" t="s">
        <v>3360</v>
      </c>
      <c r="G739" s="32" t="s">
        <v>5359</v>
      </c>
      <c r="H739" s="22"/>
      <c r="I739" s="22" t="s">
        <v>3363</v>
      </c>
    </row>
    <row r="740" customFormat="false" ht="15" hidden="false" customHeight="true" outlineLevel="0" collapsed="false">
      <c r="A740" s="24" t="s">
        <v>439</v>
      </c>
      <c r="B740" s="32" t="s">
        <v>5134</v>
      </c>
      <c r="C740" s="22" t="s">
        <v>5360</v>
      </c>
      <c r="D740" s="32" t="s">
        <v>5361</v>
      </c>
      <c r="E740" s="22" t="s">
        <v>3359</v>
      </c>
      <c r="F740" s="22" t="s">
        <v>3360</v>
      </c>
      <c r="G740" s="32" t="s">
        <v>5362</v>
      </c>
      <c r="H740" s="22" t="s">
        <v>5363</v>
      </c>
      <c r="I740" s="22" t="s">
        <v>3363</v>
      </c>
    </row>
    <row r="741" customFormat="false" ht="24.75" hidden="false" customHeight="true" outlineLevel="0" collapsed="false">
      <c r="A741" s="24" t="s">
        <v>439</v>
      </c>
      <c r="B741" s="32" t="s">
        <v>5138</v>
      </c>
      <c r="C741" s="22" t="s">
        <v>5364</v>
      </c>
      <c r="D741" s="32" t="s">
        <v>5365</v>
      </c>
      <c r="E741" s="22" t="s">
        <v>3389</v>
      </c>
      <c r="F741" s="22" t="s">
        <v>3360</v>
      </c>
      <c r="G741" s="32" t="s">
        <v>5366</v>
      </c>
      <c r="H741" s="22"/>
      <c r="I741" s="22" t="s">
        <v>3363</v>
      </c>
    </row>
    <row r="742" customFormat="false" ht="15" hidden="false" customHeight="true" outlineLevel="0" collapsed="false">
      <c r="A742" s="24" t="s">
        <v>439</v>
      </c>
      <c r="B742" s="32" t="s">
        <v>5367</v>
      </c>
      <c r="C742" s="22" t="s">
        <v>5368</v>
      </c>
      <c r="D742" s="32" t="s">
        <v>5369</v>
      </c>
      <c r="E742" s="22" t="s">
        <v>3359</v>
      </c>
      <c r="F742" s="22" t="s">
        <v>3360</v>
      </c>
      <c r="G742" s="32" t="s">
        <v>5370</v>
      </c>
      <c r="H742" s="22"/>
      <c r="I742" s="22" t="s">
        <v>3363</v>
      </c>
    </row>
    <row r="743" customFormat="false" ht="15" hidden="false" customHeight="true" outlineLevel="0" collapsed="false">
      <c r="A743" s="24" t="s">
        <v>439</v>
      </c>
      <c r="B743" s="32" t="s">
        <v>5371</v>
      </c>
      <c r="C743" s="22" t="s">
        <v>5372</v>
      </c>
      <c r="D743" s="32" t="s">
        <v>5373</v>
      </c>
      <c r="E743" s="22" t="s">
        <v>3359</v>
      </c>
      <c r="F743" s="22" t="s">
        <v>3378</v>
      </c>
      <c r="G743" s="32" t="s">
        <v>5374</v>
      </c>
      <c r="H743" s="22"/>
      <c r="I743" s="22" t="s">
        <v>3363</v>
      </c>
    </row>
    <row r="744" customFormat="false" ht="15" hidden="false" customHeight="true" outlineLevel="0" collapsed="false">
      <c r="A744" s="24" t="s">
        <v>439</v>
      </c>
      <c r="B744" s="32" t="s">
        <v>5375</v>
      </c>
      <c r="C744" s="22" t="s">
        <v>5376</v>
      </c>
      <c r="D744" s="32" t="s">
        <v>5377</v>
      </c>
      <c r="E744" s="22" t="s">
        <v>3437</v>
      </c>
      <c r="F744" s="22" t="s">
        <v>3360</v>
      </c>
      <c r="G744" s="32" t="s">
        <v>5378</v>
      </c>
      <c r="H744" s="22"/>
      <c r="I744" s="22" t="s">
        <v>3363</v>
      </c>
    </row>
    <row r="745" customFormat="false" ht="15" hidden="false" customHeight="true" outlineLevel="0" collapsed="false">
      <c r="A745" s="24" t="s">
        <v>439</v>
      </c>
      <c r="B745" s="32" t="s">
        <v>5379</v>
      </c>
      <c r="C745" s="22" t="s">
        <v>5380</v>
      </c>
      <c r="D745" s="32" t="s">
        <v>5381</v>
      </c>
      <c r="E745" s="22" t="s">
        <v>3437</v>
      </c>
      <c r="F745" s="22" t="s">
        <v>3360</v>
      </c>
      <c r="G745" s="32" t="s">
        <v>5382</v>
      </c>
      <c r="H745" s="22"/>
      <c r="I745" s="22" t="s">
        <v>3363</v>
      </c>
    </row>
    <row r="746" customFormat="false" ht="15" hidden="false" customHeight="true" outlineLevel="0" collapsed="false">
      <c r="A746" s="24" t="s">
        <v>439</v>
      </c>
      <c r="B746" s="32" t="s">
        <v>5383</v>
      </c>
      <c r="C746" s="22" t="s">
        <v>5384</v>
      </c>
      <c r="D746" s="32" t="s">
        <v>5385</v>
      </c>
      <c r="E746" s="22" t="s">
        <v>3437</v>
      </c>
      <c r="F746" s="22" t="s">
        <v>3360</v>
      </c>
      <c r="G746" s="32" t="s">
        <v>5382</v>
      </c>
      <c r="H746" s="22"/>
      <c r="I746" s="22" t="s">
        <v>3363</v>
      </c>
    </row>
    <row r="747" customFormat="false" ht="15" hidden="false" customHeight="true" outlineLevel="0" collapsed="false">
      <c r="A747" s="24" t="s">
        <v>439</v>
      </c>
      <c r="B747" s="32" t="s">
        <v>5386</v>
      </c>
      <c r="C747" s="22" t="s">
        <v>5387</v>
      </c>
      <c r="D747" s="32" t="s">
        <v>5388</v>
      </c>
      <c r="E747" s="22" t="s">
        <v>3359</v>
      </c>
      <c r="F747" s="22" t="s">
        <v>3360</v>
      </c>
      <c r="G747" s="32" t="s">
        <v>5370</v>
      </c>
      <c r="H747" s="22" t="s">
        <v>5389</v>
      </c>
      <c r="I747" s="22" t="s">
        <v>3363</v>
      </c>
    </row>
    <row r="748" customFormat="false" ht="15" hidden="false" customHeight="true" outlineLevel="0" collapsed="false">
      <c r="A748" s="24" t="s">
        <v>439</v>
      </c>
      <c r="B748" s="32" t="s">
        <v>5390</v>
      </c>
      <c r="C748" s="22" t="s">
        <v>5391</v>
      </c>
      <c r="D748" s="32" t="s">
        <v>5392</v>
      </c>
      <c r="E748" s="22" t="s">
        <v>3359</v>
      </c>
      <c r="F748" s="22" t="s">
        <v>3378</v>
      </c>
      <c r="G748" s="32" t="s">
        <v>5374</v>
      </c>
      <c r="H748" s="22"/>
      <c r="I748" s="22" t="s">
        <v>3363</v>
      </c>
    </row>
    <row r="749" customFormat="false" ht="15" hidden="false" customHeight="true" outlineLevel="0" collapsed="false">
      <c r="A749" s="24" t="s">
        <v>439</v>
      </c>
      <c r="B749" s="32" t="s">
        <v>5393</v>
      </c>
      <c r="C749" s="22" t="s">
        <v>5394</v>
      </c>
      <c r="D749" s="32" t="s">
        <v>5395</v>
      </c>
      <c r="E749" s="22" t="s">
        <v>3437</v>
      </c>
      <c r="F749" s="22" t="s">
        <v>3360</v>
      </c>
      <c r="G749" s="32" t="s">
        <v>5378</v>
      </c>
      <c r="H749" s="22"/>
      <c r="I749" s="22" t="s">
        <v>3363</v>
      </c>
    </row>
    <row r="750" customFormat="false" ht="15" hidden="false" customHeight="true" outlineLevel="0" collapsed="false">
      <c r="A750" s="24" t="s">
        <v>439</v>
      </c>
      <c r="B750" s="32" t="s">
        <v>5396</v>
      </c>
      <c r="C750" s="22" t="s">
        <v>5397</v>
      </c>
      <c r="D750" s="32" t="s">
        <v>5398</v>
      </c>
      <c r="E750" s="22" t="s">
        <v>3437</v>
      </c>
      <c r="F750" s="22" t="s">
        <v>3360</v>
      </c>
      <c r="G750" s="32" t="s">
        <v>5382</v>
      </c>
      <c r="H750" s="22" t="s">
        <v>5399</v>
      </c>
      <c r="I750" s="22" t="s">
        <v>3363</v>
      </c>
    </row>
    <row r="751" customFormat="false" ht="15" hidden="false" customHeight="true" outlineLevel="0" collapsed="false">
      <c r="A751" s="24" t="s">
        <v>439</v>
      </c>
      <c r="B751" s="32" t="s">
        <v>5400</v>
      </c>
      <c r="C751" s="22" t="s">
        <v>5401</v>
      </c>
      <c r="D751" s="32" t="s">
        <v>5402</v>
      </c>
      <c r="E751" s="22" t="s">
        <v>3437</v>
      </c>
      <c r="F751" s="22" t="s">
        <v>3360</v>
      </c>
      <c r="G751" s="32" t="s">
        <v>5382</v>
      </c>
      <c r="H751" s="22"/>
      <c r="I751" s="22" t="s">
        <v>3363</v>
      </c>
    </row>
    <row r="752" customFormat="false" ht="37.5" hidden="false" customHeight="true" outlineLevel="0" collapsed="false">
      <c r="A752" s="24" t="s">
        <v>439</v>
      </c>
      <c r="B752" s="32" t="s">
        <v>5403</v>
      </c>
      <c r="C752" s="22" t="s">
        <v>5404</v>
      </c>
      <c r="D752" s="32" t="s">
        <v>5405</v>
      </c>
      <c r="E752" s="22" t="s">
        <v>3377</v>
      </c>
      <c r="F752" s="22" t="s">
        <v>3360</v>
      </c>
      <c r="G752" s="32" t="s">
        <v>5406</v>
      </c>
      <c r="H752" s="22"/>
      <c r="I752" s="22" t="s">
        <v>3363</v>
      </c>
    </row>
    <row r="753" customFormat="false" ht="15" hidden="false" customHeight="true" outlineLevel="0" collapsed="false">
      <c r="A753" s="24" t="s">
        <v>439</v>
      </c>
      <c r="B753" s="32" t="s">
        <v>5407</v>
      </c>
      <c r="C753" s="22" t="s">
        <v>5408</v>
      </c>
      <c r="D753" s="32" t="s">
        <v>5409</v>
      </c>
      <c r="E753" s="22" t="s">
        <v>3394</v>
      </c>
      <c r="F753" s="22" t="s">
        <v>3378</v>
      </c>
      <c r="G753" s="32" t="s">
        <v>5410</v>
      </c>
      <c r="H753" s="22" t="s">
        <v>5411</v>
      </c>
      <c r="I753" s="22" t="s">
        <v>3363</v>
      </c>
    </row>
    <row r="754" customFormat="false" ht="15" hidden="false" customHeight="true" outlineLevel="0" collapsed="false">
      <c r="A754" s="24" t="s">
        <v>439</v>
      </c>
      <c r="B754" s="32" t="s">
        <v>5412</v>
      </c>
      <c r="C754" s="22" t="s">
        <v>3458</v>
      </c>
      <c r="D754" s="32" t="s">
        <v>5413</v>
      </c>
      <c r="E754" s="22" t="s">
        <v>3394</v>
      </c>
      <c r="F754" s="22" t="s">
        <v>3378</v>
      </c>
      <c r="G754" s="32" t="s">
        <v>5410</v>
      </c>
      <c r="H754" s="22"/>
      <c r="I754" s="22" t="s">
        <v>3363</v>
      </c>
    </row>
    <row r="755" customFormat="false" ht="15" hidden="false" customHeight="true" outlineLevel="0" collapsed="false">
      <c r="A755" s="24" t="s">
        <v>439</v>
      </c>
      <c r="B755" s="32" t="s">
        <v>5414</v>
      </c>
      <c r="C755" s="22" t="s">
        <v>3522</v>
      </c>
      <c r="D755" s="32" t="s">
        <v>5415</v>
      </c>
      <c r="E755" s="22" t="s">
        <v>3394</v>
      </c>
      <c r="F755" s="22" t="s">
        <v>3378</v>
      </c>
      <c r="G755" s="32" t="s">
        <v>5410</v>
      </c>
      <c r="H755" s="22"/>
      <c r="I755" s="22" t="s">
        <v>3363</v>
      </c>
    </row>
    <row r="756" customFormat="false" ht="15" hidden="false" customHeight="true" outlineLevel="0" collapsed="false">
      <c r="A756" s="24" t="s">
        <v>439</v>
      </c>
      <c r="B756" s="32" t="s">
        <v>5416</v>
      </c>
      <c r="C756" s="22" t="s">
        <v>3453</v>
      </c>
      <c r="D756" s="32" t="s">
        <v>5417</v>
      </c>
      <c r="E756" s="22" t="s">
        <v>3394</v>
      </c>
      <c r="F756" s="22" t="s">
        <v>3378</v>
      </c>
      <c r="G756" s="32" t="s">
        <v>5410</v>
      </c>
      <c r="H756" s="22"/>
      <c r="I756" s="22" t="s">
        <v>3363</v>
      </c>
    </row>
    <row r="757" customFormat="false" ht="15" hidden="false" customHeight="true" outlineLevel="0" collapsed="false">
      <c r="A757" s="24" t="s">
        <v>439</v>
      </c>
      <c r="B757" s="32" t="s">
        <v>5418</v>
      </c>
      <c r="C757" s="22" t="s">
        <v>3495</v>
      </c>
      <c r="D757" s="32" t="s">
        <v>5419</v>
      </c>
      <c r="E757" s="22" t="s">
        <v>3394</v>
      </c>
      <c r="F757" s="22" t="s">
        <v>3378</v>
      </c>
      <c r="G757" s="32" t="s">
        <v>5410</v>
      </c>
      <c r="H757" s="22"/>
      <c r="I757" s="22" t="s">
        <v>3363</v>
      </c>
    </row>
    <row r="758" customFormat="false" ht="15" hidden="false" customHeight="true" outlineLevel="0" collapsed="false">
      <c r="A758" s="24" t="s">
        <v>439</v>
      </c>
      <c r="B758" s="32" t="s">
        <v>5420</v>
      </c>
      <c r="C758" s="22" t="s">
        <v>5421</v>
      </c>
      <c r="D758" s="32" t="s">
        <v>5422</v>
      </c>
      <c r="E758" s="22" t="s">
        <v>3394</v>
      </c>
      <c r="F758" s="22" t="s">
        <v>3378</v>
      </c>
      <c r="G758" s="32" t="s">
        <v>5410</v>
      </c>
      <c r="H758" s="22"/>
      <c r="I758" s="22" t="s">
        <v>3363</v>
      </c>
    </row>
    <row r="759" customFormat="false" ht="15" hidden="false" customHeight="true" outlineLevel="0" collapsed="false">
      <c r="A759" s="24" t="s">
        <v>439</v>
      </c>
      <c r="B759" s="32" t="s">
        <v>5423</v>
      </c>
      <c r="C759" s="22" t="s">
        <v>5424</v>
      </c>
      <c r="D759" s="32" t="s">
        <v>5425</v>
      </c>
      <c r="E759" s="22" t="s">
        <v>3394</v>
      </c>
      <c r="F759" s="22" t="s">
        <v>3378</v>
      </c>
      <c r="G759" s="32" t="s">
        <v>5410</v>
      </c>
      <c r="H759" s="22"/>
      <c r="I759" s="22" t="s">
        <v>3363</v>
      </c>
    </row>
    <row r="760" customFormat="false" ht="15" hidden="false" customHeight="true" outlineLevel="0" collapsed="false">
      <c r="A760" s="24" t="s">
        <v>439</v>
      </c>
      <c r="B760" s="32" t="s">
        <v>5426</v>
      </c>
      <c r="C760" s="22" t="s">
        <v>5427</v>
      </c>
      <c r="D760" s="32" t="s">
        <v>5428</v>
      </c>
      <c r="E760" s="22" t="s">
        <v>3394</v>
      </c>
      <c r="F760" s="22" t="s">
        <v>3360</v>
      </c>
      <c r="G760" s="32" t="s">
        <v>5410</v>
      </c>
      <c r="H760" s="22" t="s">
        <v>5429</v>
      </c>
      <c r="I760" s="22" t="s">
        <v>3363</v>
      </c>
    </row>
    <row r="761" customFormat="false" ht="15" hidden="false" customHeight="true" outlineLevel="0" collapsed="false">
      <c r="A761" s="24" t="s">
        <v>439</v>
      </c>
      <c r="B761" s="32" t="s">
        <v>5181</v>
      </c>
      <c r="C761" s="22" t="s">
        <v>5430</v>
      </c>
      <c r="D761" s="32" t="s">
        <v>5431</v>
      </c>
      <c r="E761" s="22" t="s">
        <v>3437</v>
      </c>
      <c r="F761" s="22" t="s">
        <v>3360</v>
      </c>
      <c r="G761" s="32" t="s">
        <v>5432</v>
      </c>
      <c r="H761" s="22"/>
      <c r="I761" s="22" t="s">
        <v>3363</v>
      </c>
    </row>
    <row r="762" customFormat="false" ht="15" hidden="false" customHeight="true" outlineLevel="0" collapsed="false">
      <c r="A762" s="24" t="s">
        <v>439</v>
      </c>
      <c r="B762" s="32" t="s">
        <v>5433</v>
      </c>
      <c r="C762" s="22" t="s">
        <v>5434</v>
      </c>
      <c r="D762" s="32" t="s">
        <v>5435</v>
      </c>
      <c r="E762" s="22" t="s">
        <v>3359</v>
      </c>
      <c r="F762" s="22" t="s">
        <v>3378</v>
      </c>
      <c r="G762" s="32" t="s">
        <v>5374</v>
      </c>
      <c r="H762" s="22"/>
      <c r="I762" s="22" t="s">
        <v>3363</v>
      </c>
    </row>
    <row r="763" customFormat="false" ht="15" hidden="false" customHeight="true" outlineLevel="0" collapsed="false">
      <c r="A763" s="24" t="s">
        <v>439</v>
      </c>
      <c r="B763" s="32" t="s">
        <v>5436</v>
      </c>
      <c r="C763" s="22" t="s">
        <v>3714</v>
      </c>
      <c r="D763" s="32" t="s">
        <v>5437</v>
      </c>
      <c r="E763" s="22" t="s">
        <v>3394</v>
      </c>
      <c r="F763" s="22" t="s">
        <v>3378</v>
      </c>
      <c r="G763" s="32" t="s">
        <v>3394</v>
      </c>
      <c r="H763" s="22" t="s">
        <v>5438</v>
      </c>
      <c r="I763" s="22" t="s">
        <v>3363</v>
      </c>
    </row>
    <row r="764" customFormat="false" ht="15" hidden="false" customHeight="true" outlineLevel="0" collapsed="false">
      <c r="A764" s="24" t="s">
        <v>439</v>
      </c>
      <c r="B764" s="32" t="s">
        <v>5439</v>
      </c>
      <c r="C764" s="22" t="s">
        <v>5190</v>
      </c>
      <c r="D764" s="32" t="s">
        <v>5440</v>
      </c>
      <c r="E764" s="22" t="s">
        <v>3359</v>
      </c>
      <c r="F764" s="22" t="s">
        <v>3378</v>
      </c>
      <c r="G764" s="32" t="s">
        <v>5441</v>
      </c>
      <c r="H764" s="22"/>
      <c r="I764" s="22" t="s">
        <v>3363</v>
      </c>
    </row>
    <row r="765" customFormat="false" ht="15" hidden="false" customHeight="true" outlineLevel="0" collapsed="false">
      <c r="A765" s="24" t="s">
        <v>439</v>
      </c>
      <c r="B765" s="32" t="s">
        <v>5442</v>
      </c>
      <c r="C765" s="22" t="s">
        <v>5443</v>
      </c>
      <c r="D765" s="32" t="s">
        <v>5444</v>
      </c>
      <c r="E765" s="22" t="s">
        <v>3394</v>
      </c>
      <c r="F765" s="22" t="s">
        <v>3360</v>
      </c>
      <c r="G765" s="32" t="s">
        <v>5410</v>
      </c>
      <c r="H765" s="22"/>
      <c r="I765" s="22" t="s">
        <v>3363</v>
      </c>
    </row>
    <row r="766" customFormat="false" ht="15" hidden="false" customHeight="true" outlineLevel="0" collapsed="false">
      <c r="A766" s="24" t="s">
        <v>439</v>
      </c>
      <c r="B766" s="32" t="s">
        <v>5445</v>
      </c>
      <c r="C766" s="22" t="s">
        <v>5446</v>
      </c>
      <c r="D766" s="32" t="s">
        <v>5447</v>
      </c>
      <c r="E766" s="22" t="s">
        <v>3394</v>
      </c>
      <c r="F766" s="22" t="s">
        <v>3378</v>
      </c>
      <c r="G766" s="32" t="s">
        <v>5448</v>
      </c>
      <c r="H766" s="22" t="s">
        <v>5449</v>
      </c>
      <c r="I766" s="22" t="s">
        <v>3363</v>
      </c>
    </row>
    <row r="767" customFormat="false" ht="24.75" hidden="false" customHeight="true" outlineLevel="0" collapsed="false">
      <c r="A767" s="24" t="s">
        <v>439</v>
      </c>
      <c r="B767" s="32" t="s">
        <v>5450</v>
      </c>
      <c r="C767" s="22" t="s">
        <v>5451</v>
      </c>
      <c r="D767" s="32" t="s">
        <v>5452</v>
      </c>
      <c r="E767" s="22" t="s">
        <v>3377</v>
      </c>
      <c r="F767" s="22" t="s">
        <v>3378</v>
      </c>
      <c r="G767" s="32" t="s">
        <v>5453</v>
      </c>
      <c r="H767" s="22"/>
      <c r="I767" s="22" t="s">
        <v>3363</v>
      </c>
    </row>
    <row r="768" customFormat="false" ht="15" hidden="false" customHeight="true" outlineLevel="0" collapsed="false">
      <c r="A768" s="24" t="s">
        <v>439</v>
      </c>
      <c r="B768" s="32" t="s">
        <v>5454</v>
      </c>
      <c r="C768" s="22" t="s">
        <v>5455</v>
      </c>
      <c r="D768" s="32" t="s">
        <v>5456</v>
      </c>
      <c r="E768" s="22" t="s">
        <v>3437</v>
      </c>
      <c r="F768" s="22" t="s">
        <v>3360</v>
      </c>
      <c r="G768" s="32" t="s">
        <v>5457</v>
      </c>
      <c r="H768" s="22" t="s">
        <v>5458</v>
      </c>
      <c r="I768" s="22" t="s">
        <v>3363</v>
      </c>
    </row>
    <row r="769" customFormat="false" ht="15" hidden="false" customHeight="true" outlineLevel="0" collapsed="false">
      <c r="A769" s="24" t="s">
        <v>439</v>
      </c>
      <c r="B769" s="32" t="s">
        <v>5459</v>
      </c>
      <c r="C769" s="22" t="s">
        <v>5323</v>
      </c>
      <c r="D769" s="32" t="s">
        <v>5460</v>
      </c>
      <c r="E769" s="22" t="s">
        <v>3359</v>
      </c>
      <c r="F769" s="22" t="s">
        <v>3378</v>
      </c>
      <c r="G769" s="32" t="s">
        <v>5461</v>
      </c>
      <c r="H769" s="22"/>
      <c r="I769" s="22" t="s">
        <v>3363</v>
      </c>
    </row>
    <row r="770" customFormat="false" ht="15" hidden="false" customHeight="true" outlineLevel="0" collapsed="false">
      <c r="A770" s="24" t="s">
        <v>439</v>
      </c>
      <c r="B770" s="32" t="s">
        <v>5462</v>
      </c>
      <c r="C770" s="22" t="s">
        <v>5463</v>
      </c>
      <c r="D770" s="32" t="s">
        <v>5464</v>
      </c>
      <c r="E770" s="22" t="s">
        <v>3359</v>
      </c>
      <c r="F770" s="22" t="s">
        <v>3378</v>
      </c>
      <c r="G770" s="32" t="s">
        <v>5374</v>
      </c>
      <c r="H770" s="22"/>
      <c r="I770" s="22" t="s">
        <v>3363</v>
      </c>
    </row>
    <row r="771" customFormat="false" ht="15" hidden="false" customHeight="true" outlineLevel="0" collapsed="false">
      <c r="A771" s="24" t="s">
        <v>439</v>
      </c>
      <c r="B771" s="32" t="s">
        <v>5465</v>
      </c>
      <c r="C771" s="22" t="s">
        <v>5466</v>
      </c>
      <c r="D771" s="32" t="s">
        <v>5467</v>
      </c>
      <c r="E771" s="22" t="s">
        <v>3359</v>
      </c>
      <c r="F771" s="22" t="s">
        <v>3378</v>
      </c>
      <c r="G771" s="32" t="s">
        <v>5468</v>
      </c>
      <c r="H771" s="22"/>
      <c r="I771" s="22" t="s">
        <v>3363</v>
      </c>
    </row>
    <row r="772" customFormat="false" ht="15" hidden="false" customHeight="true" outlineLevel="0" collapsed="false">
      <c r="A772" s="24" t="s">
        <v>439</v>
      </c>
      <c r="B772" s="32" t="s">
        <v>5469</v>
      </c>
      <c r="C772" s="22" t="s">
        <v>5470</v>
      </c>
      <c r="D772" s="32" t="s">
        <v>5471</v>
      </c>
      <c r="E772" s="22" t="s">
        <v>3389</v>
      </c>
      <c r="F772" s="22" t="s">
        <v>3378</v>
      </c>
      <c r="G772" s="32" t="s">
        <v>5140</v>
      </c>
      <c r="H772" s="22"/>
      <c r="I772" s="22" t="s">
        <v>3363</v>
      </c>
    </row>
    <row r="773" customFormat="false" ht="24.75" hidden="false" customHeight="true" outlineLevel="0" collapsed="false">
      <c r="A773" s="24" t="s">
        <v>439</v>
      </c>
      <c r="B773" s="32" t="s">
        <v>5472</v>
      </c>
      <c r="C773" s="22" t="s">
        <v>5473</v>
      </c>
      <c r="D773" s="32" t="s">
        <v>5474</v>
      </c>
      <c r="E773" s="22" t="s">
        <v>3359</v>
      </c>
      <c r="F773" s="22" t="s">
        <v>3378</v>
      </c>
      <c r="G773" s="32" t="s">
        <v>5475</v>
      </c>
      <c r="H773" s="22"/>
      <c r="I773" s="22" t="s">
        <v>3363</v>
      </c>
    </row>
    <row r="774" customFormat="false" ht="24.75" hidden="false" customHeight="true" outlineLevel="0" collapsed="false">
      <c r="A774" s="24" t="s">
        <v>439</v>
      </c>
      <c r="B774" s="32" t="s">
        <v>5476</v>
      </c>
      <c r="C774" s="22" t="s">
        <v>5477</v>
      </c>
      <c r="D774" s="32" t="s">
        <v>5478</v>
      </c>
      <c r="E774" s="22" t="s">
        <v>3377</v>
      </c>
      <c r="F774" s="22" t="s">
        <v>3378</v>
      </c>
      <c r="G774" s="32" t="s">
        <v>5479</v>
      </c>
      <c r="H774" s="22" t="s">
        <v>5480</v>
      </c>
      <c r="I774" s="22" t="s">
        <v>3363</v>
      </c>
    </row>
    <row r="775" customFormat="false" ht="15" hidden="false" customHeight="true" outlineLevel="0" collapsed="false">
      <c r="A775" s="24" t="s">
        <v>439</v>
      </c>
      <c r="B775" s="32" t="s">
        <v>5481</v>
      </c>
      <c r="C775" s="22" t="s">
        <v>5482</v>
      </c>
      <c r="D775" s="32" t="s">
        <v>5483</v>
      </c>
      <c r="E775" s="22" t="s">
        <v>3389</v>
      </c>
      <c r="F775" s="22" t="s">
        <v>3378</v>
      </c>
      <c r="G775" s="32" t="s">
        <v>5343</v>
      </c>
      <c r="H775" s="22" t="s">
        <v>5484</v>
      </c>
      <c r="I775" s="22" t="s">
        <v>3363</v>
      </c>
    </row>
    <row r="776" customFormat="false" ht="15" hidden="false" customHeight="true" outlineLevel="0" collapsed="false">
      <c r="A776" s="24" t="s">
        <v>439</v>
      </c>
      <c r="B776" s="32" t="s">
        <v>5485</v>
      </c>
      <c r="C776" s="22" t="s">
        <v>5486</v>
      </c>
      <c r="D776" s="32" t="s">
        <v>5487</v>
      </c>
      <c r="E776" s="22" t="s">
        <v>3437</v>
      </c>
      <c r="F776" s="22" t="s">
        <v>3378</v>
      </c>
      <c r="G776" s="32" t="s">
        <v>3438</v>
      </c>
      <c r="H776" s="22" t="s">
        <v>5488</v>
      </c>
      <c r="I776" s="22" t="s">
        <v>3363</v>
      </c>
    </row>
    <row r="777" customFormat="false" ht="15" hidden="false" customHeight="true" outlineLevel="0" collapsed="false">
      <c r="A777" s="24" t="s">
        <v>439</v>
      </c>
      <c r="B777" s="32" t="s">
        <v>5489</v>
      </c>
      <c r="C777" s="22" t="s">
        <v>5490</v>
      </c>
      <c r="D777" s="32" t="s">
        <v>5491</v>
      </c>
      <c r="E777" s="22" t="s">
        <v>3437</v>
      </c>
      <c r="F777" s="22" t="s">
        <v>3378</v>
      </c>
      <c r="G777" s="32" t="s">
        <v>3749</v>
      </c>
      <c r="H777" s="22"/>
      <c r="I777" s="22" t="s">
        <v>3363</v>
      </c>
    </row>
    <row r="778" customFormat="false" ht="24.75" hidden="false" customHeight="true" outlineLevel="0" collapsed="false">
      <c r="A778" s="24" t="s">
        <v>439</v>
      </c>
      <c r="B778" s="32" t="s">
        <v>5492</v>
      </c>
      <c r="C778" s="22" t="s">
        <v>5104</v>
      </c>
      <c r="D778" s="32" t="s">
        <v>5492</v>
      </c>
      <c r="E778" s="22" t="s">
        <v>3377</v>
      </c>
      <c r="F778" s="22" t="s">
        <v>3360</v>
      </c>
      <c r="G778" s="32" t="s">
        <v>5493</v>
      </c>
      <c r="H778" s="22" t="s">
        <v>5494</v>
      </c>
      <c r="I778" s="22" t="s">
        <v>3363</v>
      </c>
    </row>
    <row r="779" customFormat="false" ht="15" hidden="false" customHeight="true" outlineLevel="0" collapsed="false">
      <c r="A779" s="24" t="s">
        <v>439</v>
      </c>
      <c r="B779" s="32" t="s">
        <v>5495</v>
      </c>
      <c r="C779" s="22" t="s">
        <v>5496</v>
      </c>
      <c r="D779" s="32" t="s">
        <v>5497</v>
      </c>
      <c r="E779" s="22" t="s">
        <v>3377</v>
      </c>
      <c r="F779" s="22" t="s">
        <v>3378</v>
      </c>
      <c r="G779" s="32" t="s">
        <v>3379</v>
      </c>
      <c r="H779" s="22"/>
      <c r="I779" s="22" t="s">
        <v>3363</v>
      </c>
    </row>
    <row r="780" customFormat="false" ht="62.25" hidden="false" customHeight="true" outlineLevel="0" collapsed="false">
      <c r="A780" s="24" t="s">
        <v>749</v>
      </c>
      <c r="B780" s="32" t="s">
        <v>3356</v>
      </c>
      <c r="C780" s="22" t="s">
        <v>3828</v>
      </c>
      <c r="D780" s="32" t="s">
        <v>5498</v>
      </c>
      <c r="E780" s="22" t="s">
        <v>3359</v>
      </c>
      <c r="F780" s="22" t="s">
        <v>3360</v>
      </c>
      <c r="G780" s="32" t="s">
        <v>3361</v>
      </c>
      <c r="H780" s="22"/>
      <c r="I780" s="22" t="s">
        <v>3363</v>
      </c>
    </row>
    <row r="781" customFormat="false" ht="24.75" hidden="false" customHeight="true" outlineLevel="0" collapsed="false">
      <c r="A781" s="24" t="s">
        <v>749</v>
      </c>
      <c r="B781" s="32" t="s">
        <v>5499</v>
      </c>
      <c r="C781" s="22" t="s">
        <v>5500</v>
      </c>
      <c r="D781" s="32" t="s">
        <v>5501</v>
      </c>
      <c r="E781" s="22" t="s">
        <v>3389</v>
      </c>
      <c r="F781" s="22" t="s">
        <v>3360</v>
      </c>
      <c r="G781" s="32" t="s">
        <v>5140</v>
      </c>
      <c r="H781" s="22" t="s">
        <v>5502</v>
      </c>
      <c r="I781" s="22" t="s">
        <v>3363</v>
      </c>
    </row>
    <row r="782" customFormat="false" ht="15" hidden="false" customHeight="true" outlineLevel="0" collapsed="false">
      <c r="A782" s="24" t="s">
        <v>749</v>
      </c>
      <c r="B782" s="32" t="s">
        <v>5503</v>
      </c>
      <c r="C782" s="22" t="s">
        <v>5504</v>
      </c>
      <c r="D782" s="32" t="s">
        <v>5505</v>
      </c>
      <c r="E782" s="22" t="s">
        <v>3389</v>
      </c>
      <c r="F782" s="22" t="s">
        <v>3360</v>
      </c>
      <c r="G782" s="32" t="s">
        <v>5140</v>
      </c>
      <c r="H782" s="22"/>
      <c r="I782" s="22" t="s">
        <v>3363</v>
      </c>
    </row>
    <row r="783" customFormat="false" ht="15" hidden="false" customHeight="true" outlineLevel="0" collapsed="false">
      <c r="A783" s="24" t="s">
        <v>749</v>
      </c>
      <c r="B783" s="32" t="s">
        <v>5506</v>
      </c>
      <c r="C783" s="22" t="s">
        <v>3694</v>
      </c>
      <c r="D783" s="32" t="s">
        <v>5507</v>
      </c>
      <c r="E783" s="22" t="s">
        <v>3437</v>
      </c>
      <c r="F783" s="22" t="s">
        <v>3378</v>
      </c>
      <c r="G783" s="32" t="s">
        <v>3438</v>
      </c>
      <c r="H783" s="22"/>
      <c r="I783" s="22" t="s">
        <v>3363</v>
      </c>
    </row>
    <row r="784" customFormat="false" ht="24.75" hidden="false" customHeight="true" outlineLevel="0" collapsed="false">
      <c r="A784" s="24" t="s">
        <v>749</v>
      </c>
      <c r="B784" s="32" t="s">
        <v>5508</v>
      </c>
      <c r="C784" s="22" t="s">
        <v>5509</v>
      </c>
      <c r="D784" s="32" t="s">
        <v>5510</v>
      </c>
      <c r="E784" s="22" t="s">
        <v>3389</v>
      </c>
      <c r="F784" s="22" t="s">
        <v>3360</v>
      </c>
      <c r="G784" s="32" t="s">
        <v>5140</v>
      </c>
      <c r="H784" s="22"/>
      <c r="I784" s="22" t="s">
        <v>3363</v>
      </c>
    </row>
    <row r="785" customFormat="false" ht="24.75" hidden="false" customHeight="true" outlineLevel="0" collapsed="false">
      <c r="A785" s="24" t="s">
        <v>749</v>
      </c>
      <c r="B785" s="32" t="s">
        <v>5511</v>
      </c>
      <c r="C785" s="22" t="s">
        <v>5512</v>
      </c>
      <c r="D785" s="32" t="s">
        <v>5513</v>
      </c>
      <c r="E785" s="22" t="s">
        <v>3359</v>
      </c>
      <c r="F785" s="22" t="s">
        <v>3360</v>
      </c>
      <c r="G785" s="32" t="s">
        <v>5514</v>
      </c>
      <c r="H785" s="22" t="s">
        <v>5515</v>
      </c>
      <c r="I785" s="22" t="s">
        <v>3363</v>
      </c>
    </row>
    <row r="786" customFormat="false" ht="24.75" hidden="false" customHeight="true" outlineLevel="0" collapsed="false">
      <c r="A786" s="24" t="s">
        <v>749</v>
      </c>
      <c r="B786" s="32" t="s">
        <v>5516</v>
      </c>
      <c r="C786" s="22" t="s">
        <v>5517</v>
      </c>
      <c r="D786" s="32" t="s">
        <v>5518</v>
      </c>
      <c r="E786" s="22" t="s">
        <v>3359</v>
      </c>
      <c r="F786" s="22" t="s">
        <v>3378</v>
      </c>
      <c r="G786" s="32" t="s">
        <v>3367</v>
      </c>
      <c r="H786" s="22"/>
      <c r="I786" s="22" t="s">
        <v>3363</v>
      </c>
    </row>
    <row r="787" customFormat="false" ht="15" hidden="false" customHeight="true" outlineLevel="0" collapsed="false">
      <c r="A787" s="24" t="s">
        <v>749</v>
      </c>
      <c r="B787" s="32" t="s">
        <v>5519</v>
      </c>
      <c r="C787" s="22" t="s">
        <v>3354</v>
      </c>
      <c r="D787" s="32" t="s">
        <v>5520</v>
      </c>
      <c r="E787" s="22" t="s">
        <v>3359</v>
      </c>
      <c r="F787" s="22" t="s">
        <v>3378</v>
      </c>
      <c r="G787" s="32"/>
      <c r="H787" s="22"/>
      <c r="I787" s="22" t="s">
        <v>3363</v>
      </c>
    </row>
    <row r="788" customFormat="false" ht="37.5" hidden="false" customHeight="true" outlineLevel="0" collapsed="false">
      <c r="A788" s="24" t="s">
        <v>749</v>
      </c>
      <c r="B788" s="32" t="s">
        <v>5521</v>
      </c>
      <c r="C788" s="22" t="s">
        <v>5522</v>
      </c>
      <c r="D788" s="32" t="s">
        <v>5523</v>
      </c>
      <c r="E788" s="22" t="s">
        <v>3377</v>
      </c>
      <c r="F788" s="22" t="s">
        <v>3360</v>
      </c>
      <c r="G788" s="32" t="s">
        <v>5524</v>
      </c>
      <c r="H788" s="22"/>
      <c r="I788" s="22" t="s">
        <v>3363</v>
      </c>
    </row>
    <row r="789" customFormat="false" ht="15" hidden="false" customHeight="true" outlineLevel="0" collapsed="false">
      <c r="A789" s="24" t="s">
        <v>749</v>
      </c>
      <c r="B789" s="32" t="s">
        <v>5525</v>
      </c>
      <c r="C789" s="22" t="s">
        <v>5526</v>
      </c>
      <c r="D789" s="32" t="s">
        <v>5527</v>
      </c>
      <c r="E789" s="22" t="s">
        <v>3359</v>
      </c>
      <c r="F789" s="22" t="s">
        <v>3378</v>
      </c>
      <c r="G789" s="32" t="s">
        <v>5528</v>
      </c>
      <c r="H789" s="22"/>
      <c r="I789" s="22" t="s">
        <v>3363</v>
      </c>
    </row>
    <row r="790" customFormat="false" ht="15" hidden="false" customHeight="true" outlineLevel="0" collapsed="false">
      <c r="A790" s="24" t="s">
        <v>749</v>
      </c>
      <c r="B790" s="32" t="s">
        <v>5529</v>
      </c>
      <c r="C790" s="22" t="s">
        <v>5530</v>
      </c>
      <c r="D790" s="32" t="s">
        <v>5531</v>
      </c>
      <c r="E790" s="22" t="s">
        <v>3389</v>
      </c>
      <c r="F790" s="22" t="s">
        <v>3378</v>
      </c>
      <c r="G790" s="32" t="s">
        <v>5140</v>
      </c>
      <c r="H790" s="22"/>
      <c r="I790" s="22" t="s">
        <v>3363</v>
      </c>
    </row>
    <row r="791" customFormat="false" ht="15" hidden="false" customHeight="true" outlineLevel="0" collapsed="false">
      <c r="A791" s="24" t="s">
        <v>749</v>
      </c>
      <c r="B791" s="32" t="s">
        <v>5532</v>
      </c>
      <c r="C791" s="22" t="s">
        <v>5533</v>
      </c>
      <c r="D791" s="32" t="s">
        <v>5534</v>
      </c>
      <c r="E791" s="22" t="s">
        <v>3359</v>
      </c>
      <c r="F791" s="22" t="s">
        <v>3378</v>
      </c>
      <c r="G791" s="32" t="s">
        <v>5535</v>
      </c>
      <c r="H791" s="22" t="s">
        <v>5536</v>
      </c>
      <c r="I791" s="22" t="s">
        <v>3363</v>
      </c>
    </row>
    <row r="792" customFormat="false" ht="24.75" hidden="false" customHeight="true" outlineLevel="0" collapsed="false">
      <c r="A792" s="24" t="s">
        <v>749</v>
      </c>
      <c r="B792" s="32" t="s">
        <v>5537</v>
      </c>
      <c r="C792" s="22" t="s">
        <v>5538</v>
      </c>
      <c r="D792" s="32" t="s">
        <v>5539</v>
      </c>
      <c r="E792" s="22" t="s">
        <v>3359</v>
      </c>
      <c r="F792" s="22" t="s">
        <v>3378</v>
      </c>
      <c r="G792" s="32" t="s">
        <v>5540</v>
      </c>
      <c r="H792" s="22" t="s">
        <v>5541</v>
      </c>
      <c r="I792" s="22" t="s">
        <v>3363</v>
      </c>
    </row>
    <row r="793" customFormat="false" ht="15" hidden="false" customHeight="true" outlineLevel="0" collapsed="false">
      <c r="A793" s="24" t="s">
        <v>749</v>
      </c>
      <c r="B793" s="32" t="s">
        <v>5542</v>
      </c>
      <c r="C793" s="22" t="s">
        <v>5543</v>
      </c>
      <c r="D793" s="32" t="s">
        <v>5539</v>
      </c>
      <c r="E793" s="22" t="s">
        <v>3359</v>
      </c>
      <c r="F793" s="22" t="s">
        <v>3378</v>
      </c>
      <c r="G793" s="32"/>
      <c r="H793" s="22" t="s">
        <v>5544</v>
      </c>
      <c r="I793" s="22" t="s">
        <v>3363</v>
      </c>
    </row>
    <row r="794" customFormat="false" ht="24.75" hidden="false" customHeight="true" outlineLevel="0" collapsed="false">
      <c r="A794" s="24" t="s">
        <v>749</v>
      </c>
      <c r="B794" s="32" t="s">
        <v>5545</v>
      </c>
      <c r="C794" s="22" t="s">
        <v>5546</v>
      </c>
      <c r="D794" s="32" t="s">
        <v>5547</v>
      </c>
      <c r="E794" s="22" t="s">
        <v>3394</v>
      </c>
      <c r="F794" s="22" t="s">
        <v>3378</v>
      </c>
      <c r="G794" s="32" t="s">
        <v>3395</v>
      </c>
      <c r="H794" s="22"/>
      <c r="I794" s="22" t="s">
        <v>3363</v>
      </c>
    </row>
    <row r="795" customFormat="false" ht="15" hidden="false" customHeight="true" outlineLevel="0" collapsed="false">
      <c r="A795" s="24" t="s">
        <v>749</v>
      </c>
      <c r="B795" s="32" t="s">
        <v>5548</v>
      </c>
      <c r="C795" s="22" t="s">
        <v>5549</v>
      </c>
      <c r="D795" s="32" t="s">
        <v>5550</v>
      </c>
      <c r="E795" s="22" t="s">
        <v>3394</v>
      </c>
      <c r="F795" s="22" t="s">
        <v>3378</v>
      </c>
      <c r="G795" s="32" t="s">
        <v>3395</v>
      </c>
      <c r="H795" s="22" t="s">
        <v>5551</v>
      </c>
      <c r="I795" s="22" t="s">
        <v>3363</v>
      </c>
    </row>
    <row r="796" customFormat="false" ht="49.5" hidden="false" customHeight="true" outlineLevel="0" collapsed="false">
      <c r="A796" s="24" t="s">
        <v>749</v>
      </c>
      <c r="B796" s="32" t="s">
        <v>5552</v>
      </c>
      <c r="C796" s="22" t="s">
        <v>5553</v>
      </c>
      <c r="D796" s="32" t="s">
        <v>5554</v>
      </c>
      <c r="E796" s="22" t="s">
        <v>3394</v>
      </c>
      <c r="F796" s="22" t="s">
        <v>3378</v>
      </c>
      <c r="G796" s="32" t="s">
        <v>5555</v>
      </c>
      <c r="H796" s="22" t="s">
        <v>5556</v>
      </c>
      <c r="I796" s="22" t="s">
        <v>3363</v>
      </c>
    </row>
    <row r="797" customFormat="false" ht="49.5" hidden="false" customHeight="true" outlineLevel="0" collapsed="false">
      <c r="A797" s="24" t="s">
        <v>749</v>
      </c>
      <c r="B797" s="32" t="s">
        <v>5557</v>
      </c>
      <c r="C797" s="22" t="s">
        <v>5558</v>
      </c>
      <c r="D797" s="32" t="s">
        <v>5559</v>
      </c>
      <c r="E797" s="22" t="s">
        <v>3394</v>
      </c>
      <c r="F797" s="22" t="s">
        <v>3378</v>
      </c>
      <c r="G797" s="32" t="s">
        <v>5555</v>
      </c>
      <c r="H797" s="22" t="s">
        <v>5556</v>
      </c>
      <c r="I797" s="22" t="s">
        <v>3363</v>
      </c>
    </row>
    <row r="798" customFormat="false" ht="49.5" hidden="false" customHeight="true" outlineLevel="0" collapsed="false">
      <c r="A798" s="24" t="s">
        <v>749</v>
      </c>
      <c r="B798" s="32" t="s">
        <v>5560</v>
      </c>
      <c r="C798" s="22" t="s">
        <v>5561</v>
      </c>
      <c r="D798" s="32" t="s">
        <v>5562</v>
      </c>
      <c r="E798" s="22" t="s">
        <v>3394</v>
      </c>
      <c r="F798" s="22" t="s">
        <v>3378</v>
      </c>
      <c r="G798" s="32" t="s">
        <v>5555</v>
      </c>
      <c r="H798" s="22" t="s">
        <v>5556</v>
      </c>
      <c r="I798" s="22" t="s">
        <v>3363</v>
      </c>
    </row>
    <row r="799" customFormat="false" ht="49.5" hidden="false" customHeight="true" outlineLevel="0" collapsed="false">
      <c r="A799" s="24" t="s">
        <v>749</v>
      </c>
      <c r="B799" s="32" t="s">
        <v>5563</v>
      </c>
      <c r="C799" s="22" t="s">
        <v>5564</v>
      </c>
      <c r="D799" s="32" t="s">
        <v>5565</v>
      </c>
      <c r="E799" s="22" t="s">
        <v>3394</v>
      </c>
      <c r="F799" s="22" t="s">
        <v>3378</v>
      </c>
      <c r="G799" s="32" t="s">
        <v>5555</v>
      </c>
      <c r="H799" s="22" t="s">
        <v>5556</v>
      </c>
      <c r="I799" s="22" t="s">
        <v>3363</v>
      </c>
    </row>
    <row r="800" customFormat="false" ht="37.5" hidden="false" customHeight="true" outlineLevel="0" collapsed="false">
      <c r="A800" s="24" t="s">
        <v>749</v>
      </c>
      <c r="B800" s="32" t="s">
        <v>5566</v>
      </c>
      <c r="C800" s="22" t="s">
        <v>5553</v>
      </c>
      <c r="D800" s="32" t="s">
        <v>5567</v>
      </c>
      <c r="E800" s="22" t="s">
        <v>3394</v>
      </c>
      <c r="F800" s="22" t="s">
        <v>3378</v>
      </c>
      <c r="G800" s="32" t="s">
        <v>5555</v>
      </c>
      <c r="H800" s="22" t="s">
        <v>5556</v>
      </c>
      <c r="I800" s="22" t="s">
        <v>3363</v>
      </c>
    </row>
    <row r="801" customFormat="false" ht="37.5" hidden="false" customHeight="true" outlineLevel="0" collapsed="false">
      <c r="A801" s="24" t="s">
        <v>749</v>
      </c>
      <c r="B801" s="32" t="s">
        <v>5568</v>
      </c>
      <c r="C801" s="22" t="s">
        <v>5558</v>
      </c>
      <c r="D801" s="32" t="s">
        <v>5569</v>
      </c>
      <c r="E801" s="22" t="s">
        <v>3394</v>
      </c>
      <c r="F801" s="22" t="s">
        <v>3378</v>
      </c>
      <c r="G801" s="32" t="s">
        <v>5555</v>
      </c>
      <c r="H801" s="22" t="s">
        <v>5556</v>
      </c>
      <c r="I801" s="22" t="s">
        <v>3363</v>
      </c>
    </row>
    <row r="802" customFormat="false" ht="37.5" hidden="false" customHeight="true" outlineLevel="0" collapsed="false">
      <c r="A802" s="24" t="s">
        <v>749</v>
      </c>
      <c r="B802" s="32" t="s">
        <v>5570</v>
      </c>
      <c r="C802" s="22" t="s">
        <v>5561</v>
      </c>
      <c r="D802" s="32" t="s">
        <v>5571</v>
      </c>
      <c r="E802" s="22" t="s">
        <v>3394</v>
      </c>
      <c r="F802" s="22" t="s">
        <v>3378</v>
      </c>
      <c r="G802" s="32" t="s">
        <v>5555</v>
      </c>
      <c r="H802" s="22" t="s">
        <v>5556</v>
      </c>
      <c r="I802" s="22" t="s">
        <v>3363</v>
      </c>
    </row>
    <row r="803" customFormat="false" ht="37.5" hidden="false" customHeight="true" outlineLevel="0" collapsed="false">
      <c r="A803" s="24" t="s">
        <v>749</v>
      </c>
      <c r="B803" s="32" t="s">
        <v>5572</v>
      </c>
      <c r="C803" s="22" t="s">
        <v>5564</v>
      </c>
      <c r="D803" s="32" t="s">
        <v>5573</v>
      </c>
      <c r="E803" s="22" t="s">
        <v>3394</v>
      </c>
      <c r="F803" s="22" t="s">
        <v>3378</v>
      </c>
      <c r="G803" s="32" t="s">
        <v>5555</v>
      </c>
      <c r="H803" s="22" t="s">
        <v>5556</v>
      </c>
      <c r="I803" s="22" t="s">
        <v>3363</v>
      </c>
    </row>
    <row r="804" customFormat="false" ht="62.25" hidden="false" customHeight="true" outlineLevel="0" collapsed="false">
      <c r="A804" s="24" t="s">
        <v>750</v>
      </c>
      <c r="B804" s="32" t="s">
        <v>3356</v>
      </c>
      <c r="C804" s="22" t="s">
        <v>3828</v>
      </c>
      <c r="D804" s="32" t="s">
        <v>5498</v>
      </c>
      <c r="E804" s="22" t="s">
        <v>3359</v>
      </c>
      <c r="F804" s="22" t="s">
        <v>3360</v>
      </c>
      <c r="G804" s="32" t="s">
        <v>3361</v>
      </c>
      <c r="H804" s="22"/>
      <c r="I804" s="22" t="s">
        <v>3363</v>
      </c>
    </row>
    <row r="805" customFormat="false" ht="24.75" hidden="false" customHeight="true" outlineLevel="0" collapsed="false">
      <c r="A805" s="24" t="s">
        <v>750</v>
      </c>
      <c r="B805" s="32" t="s">
        <v>5499</v>
      </c>
      <c r="C805" s="22" t="s">
        <v>5500</v>
      </c>
      <c r="D805" s="32" t="s">
        <v>5501</v>
      </c>
      <c r="E805" s="22" t="s">
        <v>3389</v>
      </c>
      <c r="F805" s="22" t="s">
        <v>3360</v>
      </c>
      <c r="G805" s="32" t="s">
        <v>5140</v>
      </c>
      <c r="H805" s="22" t="s">
        <v>5502</v>
      </c>
      <c r="I805" s="22" t="s">
        <v>3363</v>
      </c>
    </row>
    <row r="806" customFormat="false" ht="15" hidden="false" customHeight="true" outlineLevel="0" collapsed="false">
      <c r="A806" s="24" t="s">
        <v>750</v>
      </c>
      <c r="B806" s="32" t="s">
        <v>5503</v>
      </c>
      <c r="C806" s="22" t="s">
        <v>5504</v>
      </c>
      <c r="D806" s="32" t="s">
        <v>5505</v>
      </c>
      <c r="E806" s="22" t="s">
        <v>3389</v>
      </c>
      <c r="F806" s="22" t="s">
        <v>3360</v>
      </c>
      <c r="G806" s="32" t="s">
        <v>5140</v>
      </c>
      <c r="H806" s="22"/>
      <c r="I806" s="22" t="s">
        <v>3363</v>
      </c>
    </row>
    <row r="807" customFormat="false" ht="15" hidden="false" customHeight="true" outlineLevel="0" collapsed="false">
      <c r="A807" s="24" t="s">
        <v>750</v>
      </c>
      <c r="B807" s="32" t="s">
        <v>5506</v>
      </c>
      <c r="C807" s="22" t="s">
        <v>3694</v>
      </c>
      <c r="D807" s="32" t="s">
        <v>5574</v>
      </c>
      <c r="E807" s="22" t="s">
        <v>3437</v>
      </c>
      <c r="F807" s="22" t="s">
        <v>3378</v>
      </c>
      <c r="G807" s="32" t="s">
        <v>3438</v>
      </c>
      <c r="H807" s="22"/>
      <c r="I807" s="22" t="s">
        <v>3363</v>
      </c>
    </row>
    <row r="808" customFormat="false" ht="24.75" hidden="false" customHeight="true" outlineLevel="0" collapsed="false">
      <c r="A808" s="24" t="s">
        <v>750</v>
      </c>
      <c r="B808" s="32" t="s">
        <v>5508</v>
      </c>
      <c r="C808" s="22" t="s">
        <v>5509</v>
      </c>
      <c r="D808" s="32" t="s">
        <v>5575</v>
      </c>
      <c r="E808" s="22" t="s">
        <v>3389</v>
      </c>
      <c r="F808" s="22" t="s">
        <v>3360</v>
      </c>
      <c r="G808" s="32" t="s">
        <v>5140</v>
      </c>
      <c r="H808" s="22"/>
      <c r="I808" s="22" t="s">
        <v>3363</v>
      </c>
    </row>
    <row r="809" customFormat="false" ht="24.75" hidden="false" customHeight="true" outlineLevel="0" collapsed="false">
      <c r="A809" s="24" t="s">
        <v>750</v>
      </c>
      <c r="B809" s="32" t="s">
        <v>5511</v>
      </c>
      <c r="C809" s="22" t="s">
        <v>5512</v>
      </c>
      <c r="D809" s="32" t="s">
        <v>5576</v>
      </c>
      <c r="E809" s="22" t="s">
        <v>3359</v>
      </c>
      <c r="F809" s="22" t="s">
        <v>3360</v>
      </c>
      <c r="G809" s="32" t="s">
        <v>5514</v>
      </c>
      <c r="H809" s="22" t="s">
        <v>5515</v>
      </c>
      <c r="I809" s="22" t="s">
        <v>3363</v>
      </c>
    </row>
    <row r="810" customFormat="false" ht="24.75" hidden="false" customHeight="true" outlineLevel="0" collapsed="false">
      <c r="A810" s="24" t="s">
        <v>750</v>
      </c>
      <c r="B810" s="32" t="s">
        <v>5516</v>
      </c>
      <c r="C810" s="22" t="s">
        <v>5517</v>
      </c>
      <c r="D810" s="32" t="s">
        <v>5577</v>
      </c>
      <c r="E810" s="22" t="s">
        <v>3359</v>
      </c>
      <c r="F810" s="22" t="s">
        <v>3378</v>
      </c>
      <c r="G810" s="32" t="s">
        <v>3367</v>
      </c>
      <c r="H810" s="22"/>
      <c r="I810" s="22" t="s">
        <v>3363</v>
      </c>
    </row>
    <row r="811" customFormat="false" ht="15" hidden="false" customHeight="true" outlineLevel="0" collapsed="false">
      <c r="A811" s="24" t="s">
        <v>750</v>
      </c>
      <c r="B811" s="32" t="s">
        <v>5519</v>
      </c>
      <c r="C811" s="22" t="s">
        <v>3354</v>
      </c>
      <c r="D811" s="32" t="s">
        <v>5578</v>
      </c>
      <c r="E811" s="22" t="s">
        <v>3359</v>
      </c>
      <c r="F811" s="22" t="s">
        <v>3378</v>
      </c>
      <c r="G811" s="32"/>
      <c r="H811" s="22"/>
      <c r="I811" s="22" t="s">
        <v>3363</v>
      </c>
    </row>
    <row r="812" customFormat="false" ht="37.5" hidden="false" customHeight="true" outlineLevel="0" collapsed="false">
      <c r="A812" s="24" t="s">
        <v>750</v>
      </c>
      <c r="B812" s="32" t="s">
        <v>5521</v>
      </c>
      <c r="C812" s="22" t="s">
        <v>5522</v>
      </c>
      <c r="D812" s="32" t="s">
        <v>5579</v>
      </c>
      <c r="E812" s="22" t="s">
        <v>3377</v>
      </c>
      <c r="F812" s="22" t="s">
        <v>3360</v>
      </c>
      <c r="G812" s="32" t="s">
        <v>5524</v>
      </c>
      <c r="H812" s="22"/>
      <c r="I812" s="22" t="s">
        <v>3363</v>
      </c>
    </row>
    <row r="813" customFormat="false" ht="24.75" hidden="false" customHeight="true" outlineLevel="0" collapsed="false">
      <c r="A813" s="24" t="s">
        <v>750</v>
      </c>
      <c r="B813" s="32" t="s">
        <v>5580</v>
      </c>
      <c r="C813" s="22" t="s">
        <v>5581</v>
      </c>
      <c r="D813" s="32" t="s">
        <v>5582</v>
      </c>
      <c r="E813" s="22" t="s">
        <v>3394</v>
      </c>
      <c r="F813" s="22" t="s">
        <v>3378</v>
      </c>
      <c r="G813" s="32" t="s">
        <v>3395</v>
      </c>
      <c r="H813" s="22" t="s">
        <v>5583</v>
      </c>
      <c r="I813" s="22" t="s">
        <v>3363</v>
      </c>
    </row>
    <row r="814" customFormat="false" ht="15" hidden="false" customHeight="true" outlineLevel="0" collapsed="false">
      <c r="A814" s="24" t="s">
        <v>750</v>
      </c>
      <c r="B814" s="32" t="s">
        <v>5584</v>
      </c>
      <c r="C814" s="22" t="s">
        <v>5585</v>
      </c>
      <c r="D814" s="32" t="s">
        <v>5582</v>
      </c>
      <c r="E814" s="22" t="s">
        <v>3394</v>
      </c>
      <c r="F814" s="22" t="s">
        <v>3378</v>
      </c>
      <c r="G814" s="32" t="s">
        <v>3395</v>
      </c>
      <c r="H814" s="22"/>
      <c r="I814" s="22" t="s">
        <v>3363</v>
      </c>
    </row>
    <row r="815" customFormat="false" ht="15" hidden="false" customHeight="true" outlineLevel="0" collapsed="false">
      <c r="A815" s="24" t="s">
        <v>750</v>
      </c>
      <c r="B815" s="32" t="s">
        <v>5586</v>
      </c>
      <c r="C815" s="22" t="s">
        <v>5587</v>
      </c>
      <c r="D815" s="32" t="s">
        <v>5582</v>
      </c>
      <c r="E815" s="22" t="s">
        <v>3394</v>
      </c>
      <c r="F815" s="22" t="s">
        <v>3378</v>
      </c>
      <c r="G815" s="32" t="s">
        <v>3395</v>
      </c>
      <c r="H815" s="22"/>
      <c r="I815" s="22" t="s">
        <v>3363</v>
      </c>
    </row>
    <row r="816" customFormat="false" ht="15" hidden="false" customHeight="true" outlineLevel="0" collapsed="false">
      <c r="A816" s="24" t="s">
        <v>750</v>
      </c>
      <c r="B816" s="32" t="s">
        <v>5588</v>
      </c>
      <c r="C816" s="22" t="s">
        <v>5589</v>
      </c>
      <c r="D816" s="32" t="s">
        <v>5582</v>
      </c>
      <c r="E816" s="22" t="s">
        <v>3394</v>
      </c>
      <c r="F816" s="22" t="s">
        <v>3378</v>
      </c>
      <c r="G816" s="32" t="s">
        <v>3395</v>
      </c>
      <c r="H816" s="22"/>
      <c r="I816" s="22" t="s">
        <v>3363</v>
      </c>
    </row>
    <row r="817" customFormat="false" ht="15" hidden="false" customHeight="true" outlineLevel="0" collapsed="false">
      <c r="A817" s="24" t="s">
        <v>750</v>
      </c>
      <c r="B817" s="32" t="s">
        <v>5590</v>
      </c>
      <c r="C817" s="22" t="s">
        <v>5591</v>
      </c>
      <c r="D817" s="32" t="s">
        <v>5582</v>
      </c>
      <c r="E817" s="22" t="s">
        <v>3394</v>
      </c>
      <c r="F817" s="22" t="s">
        <v>3378</v>
      </c>
      <c r="G817" s="32" t="s">
        <v>3395</v>
      </c>
      <c r="H817" s="22"/>
      <c r="I817" s="22" t="s">
        <v>3363</v>
      </c>
    </row>
    <row r="818" customFormat="false" ht="15" hidden="false" customHeight="true" outlineLevel="0" collapsed="false">
      <c r="A818" s="24" t="s">
        <v>750</v>
      </c>
      <c r="B818" s="32" t="s">
        <v>5566</v>
      </c>
      <c r="C818" s="22" t="s">
        <v>5592</v>
      </c>
      <c r="D818" s="32" t="s">
        <v>5593</v>
      </c>
      <c r="E818" s="22" t="s">
        <v>3394</v>
      </c>
      <c r="F818" s="22" t="s">
        <v>3378</v>
      </c>
      <c r="G818" s="32" t="s">
        <v>3395</v>
      </c>
      <c r="H818" s="22"/>
      <c r="I818" s="22" t="s">
        <v>3363</v>
      </c>
    </row>
    <row r="819" customFormat="false" ht="15" hidden="false" customHeight="true" outlineLevel="0" collapsed="false">
      <c r="A819" s="24" t="s">
        <v>750</v>
      </c>
      <c r="B819" s="32" t="s">
        <v>5568</v>
      </c>
      <c r="C819" s="22" t="s">
        <v>5594</v>
      </c>
      <c r="D819" s="32" t="s">
        <v>5593</v>
      </c>
      <c r="E819" s="22" t="s">
        <v>3394</v>
      </c>
      <c r="F819" s="22" t="s">
        <v>3378</v>
      </c>
      <c r="G819" s="32" t="s">
        <v>3395</v>
      </c>
      <c r="H819" s="22"/>
      <c r="I819" s="22" t="s">
        <v>3363</v>
      </c>
    </row>
    <row r="820" customFormat="false" ht="15" hidden="false" customHeight="true" outlineLevel="0" collapsed="false">
      <c r="A820" s="24" t="s">
        <v>750</v>
      </c>
      <c r="B820" s="32" t="s">
        <v>5570</v>
      </c>
      <c r="C820" s="22" t="s">
        <v>5595</v>
      </c>
      <c r="D820" s="32" t="s">
        <v>5593</v>
      </c>
      <c r="E820" s="22" t="s">
        <v>3394</v>
      </c>
      <c r="F820" s="22" t="s">
        <v>3378</v>
      </c>
      <c r="G820" s="32" t="s">
        <v>3395</v>
      </c>
      <c r="H820" s="22"/>
      <c r="I820" s="22" t="s">
        <v>3363</v>
      </c>
    </row>
    <row r="821" customFormat="false" ht="15" hidden="false" customHeight="true" outlineLevel="0" collapsed="false">
      <c r="A821" s="24" t="s">
        <v>750</v>
      </c>
      <c r="B821" s="32" t="s">
        <v>5572</v>
      </c>
      <c r="C821" s="22" t="s">
        <v>5596</v>
      </c>
      <c r="D821" s="32" t="s">
        <v>5593</v>
      </c>
      <c r="E821" s="22" t="s">
        <v>3394</v>
      </c>
      <c r="F821" s="22" t="s">
        <v>3378</v>
      </c>
      <c r="G821" s="32" t="s">
        <v>3395</v>
      </c>
      <c r="H821" s="22"/>
      <c r="I821" s="22" t="s">
        <v>3363</v>
      </c>
    </row>
    <row r="822" customFormat="false" ht="15" hidden="false" customHeight="true" outlineLevel="0" collapsed="false">
      <c r="A822" s="24" t="s">
        <v>750</v>
      </c>
      <c r="B822" s="32" t="s">
        <v>5597</v>
      </c>
      <c r="C822" s="22" t="s">
        <v>5598</v>
      </c>
      <c r="D822" s="32" t="s">
        <v>5593</v>
      </c>
      <c r="E822" s="22" t="s">
        <v>3394</v>
      </c>
      <c r="F822" s="22" t="s">
        <v>3378</v>
      </c>
      <c r="G822" s="32" t="s">
        <v>3395</v>
      </c>
      <c r="H822" s="22"/>
      <c r="I822" s="22" t="s">
        <v>3363</v>
      </c>
    </row>
    <row r="823" customFormat="false" ht="24.75" hidden="false" customHeight="true" outlineLevel="0" collapsed="false">
      <c r="A823" s="24" t="s">
        <v>750</v>
      </c>
      <c r="B823" s="32" t="s">
        <v>5599</v>
      </c>
      <c r="C823" s="22" t="s">
        <v>5600</v>
      </c>
      <c r="D823" s="32" t="s">
        <v>5601</v>
      </c>
      <c r="E823" s="22" t="s">
        <v>5602</v>
      </c>
      <c r="F823" s="22" t="s">
        <v>3378</v>
      </c>
      <c r="G823" s="32"/>
      <c r="H823" s="22"/>
      <c r="I823" s="22" t="s">
        <v>3363</v>
      </c>
    </row>
    <row r="824" customFormat="false" ht="62.25" hidden="false" customHeight="true" outlineLevel="0" collapsed="false">
      <c r="A824" s="24" t="s">
        <v>778</v>
      </c>
      <c r="B824" s="32" t="s">
        <v>3356</v>
      </c>
      <c r="C824" s="22" t="s">
        <v>3828</v>
      </c>
      <c r="D824" s="32" t="s">
        <v>5498</v>
      </c>
      <c r="E824" s="22" t="s">
        <v>3359</v>
      </c>
      <c r="F824" s="22" t="s">
        <v>3360</v>
      </c>
      <c r="G824" s="32" t="s">
        <v>3361</v>
      </c>
      <c r="H824" s="22"/>
      <c r="I824" s="22" t="s">
        <v>3363</v>
      </c>
    </row>
    <row r="825" customFormat="false" ht="24.75" hidden="false" customHeight="true" outlineLevel="0" collapsed="false">
      <c r="A825" s="24" t="s">
        <v>778</v>
      </c>
      <c r="B825" s="32" t="s">
        <v>5499</v>
      </c>
      <c r="C825" s="22" t="s">
        <v>5500</v>
      </c>
      <c r="D825" s="32" t="s">
        <v>5501</v>
      </c>
      <c r="E825" s="22" t="s">
        <v>3389</v>
      </c>
      <c r="F825" s="22" t="s">
        <v>3360</v>
      </c>
      <c r="G825" s="32" t="s">
        <v>5140</v>
      </c>
      <c r="H825" s="22" t="s">
        <v>5502</v>
      </c>
      <c r="I825" s="22" t="s">
        <v>3363</v>
      </c>
    </row>
    <row r="826" customFormat="false" ht="15" hidden="false" customHeight="true" outlineLevel="0" collapsed="false">
      <c r="A826" s="24" t="s">
        <v>778</v>
      </c>
      <c r="B826" s="32" t="s">
        <v>5503</v>
      </c>
      <c r="C826" s="22" t="s">
        <v>5504</v>
      </c>
      <c r="D826" s="32" t="s">
        <v>5505</v>
      </c>
      <c r="E826" s="22" t="s">
        <v>3389</v>
      </c>
      <c r="F826" s="22" t="s">
        <v>3360</v>
      </c>
      <c r="G826" s="32" t="s">
        <v>5140</v>
      </c>
      <c r="H826" s="22"/>
      <c r="I826" s="22" t="s">
        <v>3363</v>
      </c>
    </row>
    <row r="827" customFormat="false" ht="15" hidden="false" customHeight="true" outlineLevel="0" collapsed="false">
      <c r="A827" s="24" t="s">
        <v>778</v>
      </c>
      <c r="B827" s="32" t="s">
        <v>5506</v>
      </c>
      <c r="C827" s="22" t="s">
        <v>3694</v>
      </c>
      <c r="D827" s="32" t="s">
        <v>5603</v>
      </c>
      <c r="E827" s="22" t="s">
        <v>3437</v>
      </c>
      <c r="F827" s="22" t="s">
        <v>3378</v>
      </c>
      <c r="G827" s="32" t="s">
        <v>3438</v>
      </c>
      <c r="H827" s="22"/>
      <c r="I827" s="22" t="s">
        <v>3363</v>
      </c>
    </row>
    <row r="828" customFormat="false" ht="24.75" hidden="false" customHeight="true" outlineLevel="0" collapsed="false">
      <c r="A828" s="24" t="s">
        <v>778</v>
      </c>
      <c r="B828" s="32" t="s">
        <v>5508</v>
      </c>
      <c r="C828" s="22" t="s">
        <v>5509</v>
      </c>
      <c r="D828" s="32" t="s">
        <v>5604</v>
      </c>
      <c r="E828" s="22" t="s">
        <v>3389</v>
      </c>
      <c r="F828" s="22" t="s">
        <v>3360</v>
      </c>
      <c r="G828" s="32" t="s">
        <v>5140</v>
      </c>
      <c r="H828" s="22"/>
      <c r="I828" s="22" t="s">
        <v>3363</v>
      </c>
    </row>
    <row r="829" customFormat="false" ht="24.75" hidden="false" customHeight="true" outlineLevel="0" collapsed="false">
      <c r="A829" s="24" t="s">
        <v>778</v>
      </c>
      <c r="B829" s="32" t="s">
        <v>5511</v>
      </c>
      <c r="C829" s="22" t="s">
        <v>5512</v>
      </c>
      <c r="D829" s="32" t="s">
        <v>5605</v>
      </c>
      <c r="E829" s="22" t="s">
        <v>3359</v>
      </c>
      <c r="F829" s="22" t="s">
        <v>3360</v>
      </c>
      <c r="G829" s="32" t="s">
        <v>5514</v>
      </c>
      <c r="H829" s="22" t="s">
        <v>5515</v>
      </c>
      <c r="I829" s="22" t="s">
        <v>3363</v>
      </c>
    </row>
    <row r="830" customFormat="false" ht="24.75" hidden="false" customHeight="true" outlineLevel="0" collapsed="false">
      <c r="A830" s="24" t="s">
        <v>778</v>
      </c>
      <c r="B830" s="32" t="s">
        <v>5516</v>
      </c>
      <c r="C830" s="22" t="s">
        <v>5517</v>
      </c>
      <c r="D830" s="32" t="s">
        <v>5606</v>
      </c>
      <c r="E830" s="22" t="s">
        <v>3359</v>
      </c>
      <c r="F830" s="22" t="s">
        <v>3378</v>
      </c>
      <c r="G830" s="32" t="s">
        <v>3367</v>
      </c>
      <c r="H830" s="22"/>
      <c r="I830" s="22" t="s">
        <v>3363</v>
      </c>
    </row>
    <row r="831" customFormat="false" ht="15" hidden="false" customHeight="true" outlineLevel="0" collapsed="false">
      <c r="A831" s="24" t="s">
        <v>778</v>
      </c>
      <c r="B831" s="32" t="s">
        <v>5519</v>
      </c>
      <c r="C831" s="22" t="s">
        <v>3354</v>
      </c>
      <c r="D831" s="32" t="s">
        <v>5607</v>
      </c>
      <c r="E831" s="22" t="s">
        <v>3359</v>
      </c>
      <c r="F831" s="22" t="s">
        <v>3378</v>
      </c>
      <c r="G831" s="32"/>
      <c r="H831" s="22"/>
      <c r="I831" s="22" t="s">
        <v>3363</v>
      </c>
    </row>
    <row r="832" customFormat="false" ht="37.5" hidden="false" customHeight="true" outlineLevel="0" collapsed="false">
      <c r="A832" s="24" t="s">
        <v>778</v>
      </c>
      <c r="B832" s="32" t="s">
        <v>5521</v>
      </c>
      <c r="C832" s="22" t="s">
        <v>5522</v>
      </c>
      <c r="D832" s="32" t="s">
        <v>5608</v>
      </c>
      <c r="E832" s="22" t="s">
        <v>3377</v>
      </c>
      <c r="F832" s="22" t="s">
        <v>3360</v>
      </c>
      <c r="G832" s="32" t="s">
        <v>5524</v>
      </c>
      <c r="H832" s="22"/>
      <c r="I832" s="22" t="s">
        <v>3363</v>
      </c>
    </row>
    <row r="833" customFormat="false" ht="24.75" hidden="false" customHeight="true" outlineLevel="0" collapsed="false">
      <c r="A833" s="24" t="s">
        <v>778</v>
      </c>
      <c r="B833" s="32" t="s">
        <v>5609</v>
      </c>
      <c r="C833" s="22" t="s">
        <v>5610</v>
      </c>
      <c r="D833" s="32" t="s">
        <v>5611</v>
      </c>
      <c r="E833" s="22" t="s">
        <v>3377</v>
      </c>
      <c r="F833" s="22" t="s">
        <v>3360</v>
      </c>
      <c r="G833" s="32" t="s">
        <v>5612</v>
      </c>
      <c r="H833" s="22"/>
      <c r="I833" s="22" t="s">
        <v>3363</v>
      </c>
    </row>
    <row r="834" customFormat="false" ht="24.75" hidden="false" customHeight="true" outlineLevel="0" collapsed="false">
      <c r="A834" s="24" t="s">
        <v>778</v>
      </c>
      <c r="B834" s="32" t="s">
        <v>5613</v>
      </c>
      <c r="C834" s="22" t="s">
        <v>5614</v>
      </c>
      <c r="D834" s="32" t="s">
        <v>5615</v>
      </c>
      <c r="E834" s="22" t="s">
        <v>3377</v>
      </c>
      <c r="F834" s="22" t="s">
        <v>3378</v>
      </c>
      <c r="G834" s="32" t="s">
        <v>5616</v>
      </c>
      <c r="H834" s="22"/>
      <c r="I834" s="22" t="s">
        <v>3363</v>
      </c>
    </row>
    <row r="835" customFormat="false" ht="15" hidden="false" customHeight="true" outlineLevel="0" collapsed="false">
      <c r="A835" s="24" t="s">
        <v>778</v>
      </c>
      <c r="B835" s="32" t="s">
        <v>5617</v>
      </c>
      <c r="C835" s="22" t="s">
        <v>5618</v>
      </c>
      <c r="D835" s="32" t="s">
        <v>5619</v>
      </c>
      <c r="E835" s="22" t="s">
        <v>3359</v>
      </c>
      <c r="F835" s="22" t="s">
        <v>3378</v>
      </c>
      <c r="G835" s="32"/>
      <c r="H835" s="22" t="s">
        <v>5620</v>
      </c>
      <c r="I835" s="22" t="s">
        <v>3363</v>
      </c>
    </row>
    <row r="836" customFormat="false" ht="15" hidden="false" customHeight="true" outlineLevel="0" collapsed="false">
      <c r="A836" s="24" t="s">
        <v>778</v>
      </c>
      <c r="B836" s="32" t="s">
        <v>5621</v>
      </c>
      <c r="C836" s="22" t="s">
        <v>5622</v>
      </c>
      <c r="D836" s="32" t="s">
        <v>5619</v>
      </c>
      <c r="E836" s="22" t="s">
        <v>3389</v>
      </c>
      <c r="F836" s="22" t="s">
        <v>3378</v>
      </c>
      <c r="G836" s="32" t="s">
        <v>5140</v>
      </c>
      <c r="H836" s="22"/>
      <c r="I836" s="22" t="s">
        <v>3363</v>
      </c>
    </row>
    <row r="837" customFormat="false" ht="15" hidden="false" customHeight="true" outlineLevel="0" collapsed="false">
      <c r="A837" s="24" t="s">
        <v>778</v>
      </c>
      <c r="B837" s="32" t="s">
        <v>5623</v>
      </c>
      <c r="C837" s="22" t="s">
        <v>5624</v>
      </c>
      <c r="D837" s="32" t="s">
        <v>5625</v>
      </c>
      <c r="E837" s="22" t="s">
        <v>3377</v>
      </c>
      <c r="F837" s="22" t="s">
        <v>3378</v>
      </c>
      <c r="G837" s="32" t="s">
        <v>5626</v>
      </c>
      <c r="H837" s="22"/>
      <c r="I837" s="22" t="s">
        <v>3363</v>
      </c>
    </row>
    <row r="838" customFormat="false" ht="15" hidden="false" customHeight="true" outlineLevel="0" collapsed="false">
      <c r="A838" s="24" t="s">
        <v>778</v>
      </c>
      <c r="B838" s="32" t="s">
        <v>5627</v>
      </c>
      <c r="C838" s="22" t="s">
        <v>5628</v>
      </c>
      <c r="D838" s="32" t="s">
        <v>5619</v>
      </c>
      <c r="E838" s="22" t="s">
        <v>3377</v>
      </c>
      <c r="F838" s="22" t="s">
        <v>3378</v>
      </c>
      <c r="G838" s="32" t="s">
        <v>5629</v>
      </c>
      <c r="H838" s="22"/>
      <c r="I838" s="22" t="s">
        <v>3363</v>
      </c>
    </row>
    <row r="839" customFormat="false" ht="49.5" hidden="false" customHeight="true" outlineLevel="0" collapsed="false">
      <c r="A839" s="24" t="s">
        <v>778</v>
      </c>
      <c r="B839" s="32" t="s">
        <v>5552</v>
      </c>
      <c r="C839" s="22" t="s">
        <v>5553</v>
      </c>
      <c r="D839" s="32" t="s">
        <v>5630</v>
      </c>
      <c r="E839" s="22" t="s">
        <v>3394</v>
      </c>
      <c r="F839" s="22" t="s">
        <v>3378</v>
      </c>
      <c r="G839" s="32" t="s">
        <v>5555</v>
      </c>
      <c r="H839" s="22" t="s">
        <v>5556</v>
      </c>
      <c r="I839" s="22" t="s">
        <v>3363</v>
      </c>
    </row>
    <row r="840" customFormat="false" ht="49.5" hidden="false" customHeight="true" outlineLevel="0" collapsed="false">
      <c r="A840" s="24" t="s">
        <v>778</v>
      </c>
      <c r="B840" s="32" t="s">
        <v>5557</v>
      </c>
      <c r="C840" s="22" t="s">
        <v>5558</v>
      </c>
      <c r="D840" s="32" t="s">
        <v>5631</v>
      </c>
      <c r="E840" s="22" t="s">
        <v>3394</v>
      </c>
      <c r="F840" s="22" t="s">
        <v>3378</v>
      </c>
      <c r="G840" s="32" t="s">
        <v>5555</v>
      </c>
      <c r="H840" s="22" t="s">
        <v>5556</v>
      </c>
      <c r="I840" s="22" t="s">
        <v>3363</v>
      </c>
    </row>
    <row r="841" customFormat="false" ht="49.5" hidden="false" customHeight="true" outlineLevel="0" collapsed="false">
      <c r="A841" s="24" t="s">
        <v>778</v>
      </c>
      <c r="B841" s="32" t="s">
        <v>5560</v>
      </c>
      <c r="C841" s="22" t="s">
        <v>5561</v>
      </c>
      <c r="D841" s="32" t="s">
        <v>5632</v>
      </c>
      <c r="E841" s="22" t="s">
        <v>3394</v>
      </c>
      <c r="F841" s="22" t="s">
        <v>3378</v>
      </c>
      <c r="G841" s="32" t="s">
        <v>5555</v>
      </c>
      <c r="H841" s="22" t="s">
        <v>5556</v>
      </c>
      <c r="I841" s="22" t="s">
        <v>3363</v>
      </c>
    </row>
    <row r="842" customFormat="false" ht="49.5" hidden="false" customHeight="true" outlineLevel="0" collapsed="false">
      <c r="A842" s="24" t="s">
        <v>778</v>
      </c>
      <c r="B842" s="32" t="s">
        <v>5563</v>
      </c>
      <c r="C842" s="22" t="s">
        <v>5564</v>
      </c>
      <c r="D842" s="32" t="s">
        <v>5633</v>
      </c>
      <c r="E842" s="22" t="s">
        <v>3394</v>
      </c>
      <c r="F842" s="22" t="s">
        <v>3378</v>
      </c>
      <c r="G842" s="32" t="s">
        <v>5555</v>
      </c>
      <c r="H842" s="22" t="s">
        <v>5556</v>
      </c>
      <c r="I842" s="22" t="s">
        <v>3363</v>
      </c>
    </row>
    <row r="843" customFormat="false" ht="49.5" hidden="false" customHeight="true" outlineLevel="0" collapsed="false">
      <c r="A843" s="24" t="s">
        <v>778</v>
      </c>
      <c r="B843" s="32" t="s">
        <v>5634</v>
      </c>
      <c r="C843" s="22" t="s">
        <v>5553</v>
      </c>
      <c r="D843" s="32" t="s">
        <v>5635</v>
      </c>
      <c r="E843" s="22" t="s">
        <v>3394</v>
      </c>
      <c r="F843" s="22" t="s">
        <v>3378</v>
      </c>
      <c r="G843" s="32" t="s">
        <v>5555</v>
      </c>
      <c r="H843" s="22" t="s">
        <v>5556</v>
      </c>
      <c r="I843" s="22" t="s">
        <v>3363</v>
      </c>
    </row>
    <row r="844" customFormat="false" ht="49.5" hidden="false" customHeight="true" outlineLevel="0" collapsed="false">
      <c r="A844" s="24" t="s">
        <v>778</v>
      </c>
      <c r="B844" s="32" t="s">
        <v>5636</v>
      </c>
      <c r="C844" s="22" t="s">
        <v>5558</v>
      </c>
      <c r="D844" s="32" t="s">
        <v>5637</v>
      </c>
      <c r="E844" s="22" t="s">
        <v>3394</v>
      </c>
      <c r="F844" s="22" t="s">
        <v>3378</v>
      </c>
      <c r="G844" s="32" t="s">
        <v>5555</v>
      </c>
      <c r="H844" s="22" t="s">
        <v>5556</v>
      </c>
      <c r="I844" s="22" t="s">
        <v>3363</v>
      </c>
    </row>
    <row r="845" customFormat="false" ht="49.5" hidden="false" customHeight="true" outlineLevel="0" collapsed="false">
      <c r="A845" s="24" t="s">
        <v>778</v>
      </c>
      <c r="B845" s="32" t="s">
        <v>5638</v>
      </c>
      <c r="C845" s="22" t="s">
        <v>5561</v>
      </c>
      <c r="D845" s="32" t="s">
        <v>5639</v>
      </c>
      <c r="E845" s="22" t="s">
        <v>3394</v>
      </c>
      <c r="F845" s="22" t="s">
        <v>3378</v>
      </c>
      <c r="G845" s="32" t="s">
        <v>5555</v>
      </c>
      <c r="H845" s="22" t="s">
        <v>5556</v>
      </c>
      <c r="I845" s="22" t="s">
        <v>3363</v>
      </c>
    </row>
    <row r="846" customFormat="false" ht="49.5" hidden="false" customHeight="true" outlineLevel="0" collapsed="false">
      <c r="A846" s="24" t="s">
        <v>778</v>
      </c>
      <c r="B846" s="32" t="s">
        <v>5640</v>
      </c>
      <c r="C846" s="22" t="s">
        <v>5564</v>
      </c>
      <c r="D846" s="32" t="s">
        <v>5641</v>
      </c>
      <c r="E846" s="22" t="s">
        <v>3394</v>
      </c>
      <c r="F846" s="22" t="s">
        <v>3378</v>
      </c>
      <c r="G846" s="32" t="s">
        <v>5555</v>
      </c>
      <c r="H846" s="22" t="s">
        <v>5556</v>
      </c>
      <c r="I846" s="22" t="s">
        <v>3363</v>
      </c>
    </row>
    <row r="847" customFormat="false" ht="62.25" hidden="false" customHeight="true" outlineLevel="0" collapsed="false">
      <c r="A847" s="24" t="s">
        <v>555</v>
      </c>
      <c r="B847" s="32" t="s">
        <v>3356</v>
      </c>
      <c r="C847" s="22" t="s">
        <v>3828</v>
      </c>
      <c r="D847" s="32" t="s">
        <v>4045</v>
      </c>
      <c r="E847" s="22" t="s">
        <v>3359</v>
      </c>
      <c r="F847" s="22" t="s">
        <v>3360</v>
      </c>
      <c r="G847" s="32" t="s">
        <v>3361</v>
      </c>
      <c r="H847" s="22"/>
      <c r="I847" s="22" t="s">
        <v>3363</v>
      </c>
    </row>
    <row r="848" customFormat="false" ht="15" hidden="false" customHeight="true" outlineLevel="0" collapsed="false">
      <c r="A848" s="24" t="s">
        <v>555</v>
      </c>
      <c r="B848" s="32" t="s">
        <v>3364</v>
      </c>
      <c r="C848" s="22" t="s">
        <v>5642</v>
      </c>
      <c r="D848" s="32" t="s">
        <v>5643</v>
      </c>
      <c r="E848" s="22" t="s">
        <v>3359</v>
      </c>
      <c r="F848" s="22" t="s">
        <v>3360</v>
      </c>
      <c r="G848" s="32" t="s">
        <v>3367</v>
      </c>
      <c r="H848" s="22"/>
      <c r="I848" s="22" t="s">
        <v>3363</v>
      </c>
    </row>
    <row r="849" customFormat="false" ht="15" hidden="false" customHeight="true" outlineLevel="0" collapsed="false">
      <c r="A849" s="24" t="s">
        <v>555</v>
      </c>
      <c r="B849" s="32" t="s">
        <v>5508</v>
      </c>
      <c r="C849" s="22" t="s">
        <v>5644</v>
      </c>
      <c r="D849" s="32" t="s">
        <v>5645</v>
      </c>
      <c r="E849" s="22" t="s">
        <v>3389</v>
      </c>
      <c r="F849" s="22" t="s">
        <v>3378</v>
      </c>
      <c r="G849" s="32" t="s">
        <v>5140</v>
      </c>
      <c r="H849" s="22"/>
      <c r="I849" s="22" t="s">
        <v>3363</v>
      </c>
    </row>
    <row r="850" customFormat="false" ht="15" hidden="false" customHeight="true" outlineLevel="0" collapsed="false">
      <c r="A850" s="24" t="s">
        <v>555</v>
      </c>
      <c r="B850" s="32" t="s">
        <v>5511</v>
      </c>
      <c r="C850" s="22" t="s">
        <v>5646</v>
      </c>
      <c r="D850" s="32" t="s">
        <v>5645</v>
      </c>
      <c r="E850" s="22" t="s">
        <v>3359</v>
      </c>
      <c r="F850" s="22" t="s">
        <v>3378</v>
      </c>
      <c r="G850" s="32"/>
      <c r="H850" s="22"/>
      <c r="I850" s="22" t="s">
        <v>3363</v>
      </c>
    </row>
    <row r="851" customFormat="false" ht="24.75" hidden="false" customHeight="true" outlineLevel="0" collapsed="false">
      <c r="A851" s="24" t="s">
        <v>555</v>
      </c>
      <c r="B851" s="32" t="s">
        <v>5519</v>
      </c>
      <c r="C851" s="22" t="s">
        <v>5647</v>
      </c>
      <c r="D851" s="32" t="s">
        <v>5645</v>
      </c>
      <c r="E851" s="22" t="s">
        <v>3359</v>
      </c>
      <c r="F851" s="22" t="s">
        <v>3360</v>
      </c>
      <c r="G851" s="32"/>
      <c r="H851" s="22"/>
      <c r="I851" s="22" t="s">
        <v>3363</v>
      </c>
    </row>
    <row r="852" customFormat="false" ht="15" hidden="false" customHeight="true" outlineLevel="0" collapsed="false">
      <c r="A852" s="24" t="s">
        <v>555</v>
      </c>
      <c r="B852" s="32" t="s">
        <v>5648</v>
      </c>
      <c r="C852" s="22" t="s">
        <v>5649</v>
      </c>
      <c r="D852" s="32" t="s">
        <v>5650</v>
      </c>
      <c r="E852" s="22" t="s">
        <v>3394</v>
      </c>
      <c r="F852" s="22" t="s">
        <v>3378</v>
      </c>
      <c r="G852" s="32" t="s">
        <v>3395</v>
      </c>
      <c r="H852" s="22" t="s">
        <v>5651</v>
      </c>
      <c r="I852" s="22" t="s">
        <v>3363</v>
      </c>
    </row>
    <row r="853" customFormat="false" ht="24.75" hidden="false" customHeight="true" outlineLevel="0" collapsed="false">
      <c r="A853" s="24" t="s">
        <v>555</v>
      </c>
      <c r="B853" s="32" t="s">
        <v>5652</v>
      </c>
      <c r="C853" s="22" t="s">
        <v>5653</v>
      </c>
      <c r="D853" s="32" t="s">
        <v>5645</v>
      </c>
      <c r="E853" s="22" t="s">
        <v>3394</v>
      </c>
      <c r="F853" s="22" t="s">
        <v>3378</v>
      </c>
      <c r="G853" s="32" t="s">
        <v>3395</v>
      </c>
      <c r="H853" s="22" t="s">
        <v>5654</v>
      </c>
      <c r="I853" s="22" t="s">
        <v>3363</v>
      </c>
    </row>
    <row r="854" customFormat="false" ht="24.75" hidden="false" customHeight="true" outlineLevel="0" collapsed="false">
      <c r="A854" s="24" t="s">
        <v>555</v>
      </c>
      <c r="B854" s="32" t="s">
        <v>5655</v>
      </c>
      <c r="C854" s="22" t="s">
        <v>5656</v>
      </c>
      <c r="D854" s="32" t="s">
        <v>5645</v>
      </c>
      <c r="E854" s="22" t="s">
        <v>3394</v>
      </c>
      <c r="F854" s="22" t="s">
        <v>3378</v>
      </c>
      <c r="G854" s="32" t="s">
        <v>3395</v>
      </c>
      <c r="H854" s="22" t="s">
        <v>5657</v>
      </c>
      <c r="I854" s="22" t="s">
        <v>3363</v>
      </c>
    </row>
    <row r="855" customFormat="false" ht="24.75" hidden="false" customHeight="true" outlineLevel="0" collapsed="false">
      <c r="A855" s="24" t="s">
        <v>555</v>
      </c>
      <c r="B855" s="32" t="s">
        <v>5658</v>
      </c>
      <c r="C855" s="22" t="s">
        <v>5659</v>
      </c>
      <c r="D855" s="32" t="s">
        <v>5645</v>
      </c>
      <c r="E855" s="22" t="s">
        <v>3394</v>
      </c>
      <c r="F855" s="22" t="s">
        <v>3360</v>
      </c>
      <c r="G855" s="32" t="s">
        <v>5660</v>
      </c>
      <c r="H855" s="22" t="s">
        <v>5661</v>
      </c>
      <c r="I855" s="22" t="s">
        <v>3363</v>
      </c>
    </row>
    <row r="856" customFormat="false" ht="62.25" hidden="false" customHeight="true" outlineLevel="0" collapsed="false">
      <c r="A856" s="24" t="s">
        <v>779</v>
      </c>
      <c r="B856" s="32" t="s">
        <v>3356</v>
      </c>
      <c r="C856" s="22" t="s">
        <v>3828</v>
      </c>
      <c r="D856" s="32" t="s">
        <v>4045</v>
      </c>
      <c r="E856" s="22" t="s">
        <v>3359</v>
      </c>
      <c r="F856" s="22" t="s">
        <v>3360</v>
      </c>
      <c r="G856" s="32" t="s">
        <v>3361</v>
      </c>
      <c r="H856" s="22"/>
      <c r="I856" s="22" t="s">
        <v>3363</v>
      </c>
    </row>
    <row r="857" customFormat="false" ht="15" hidden="false" customHeight="true" outlineLevel="0" collapsed="false">
      <c r="A857" s="24" t="s">
        <v>779</v>
      </c>
      <c r="B857" s="32" t="s">
        <v>3819</v>
      </c>
      <c r="C857" s="22" t="s">
        <v>3820</v>
      </c>
      <c r="D857" s="32" t="s">
        <v>5662</v>
      </c>
      <c r="E857" s="22" t="s">
        <v>3359</v>
      </c>
      <c r="F857" s="22" t="s">
        <v>3360</v>
      </c>
      <c r="G857" s="32"/>
      <c r="H857" s="22" t="s">
        <v>5663</v>
      </c>
      <c r="I857" s="22" t="s">
        <v>3363</v>
      </c>
    </row>
    <row r="858" customFormat="false" ht="15" hidden="false" customHeight="true" outlineLevel="0" collapsed="false">
      <c r="A858" s="24" t="s">
        <v>779</v>
      </c>
      <c r="B858" s="32" t="s">
        <v>4975</v>
      </c>
      <c r="C858" s="22" t="s">
        <v>3825</v>
      </c>
      <c r="D858" s="32" t="s">
        <v>5662</v>
      </c>
      <c r="E858" s="22" t="s">
        <v>3389</v>
      </c>
      <c r="F858" s="22" t="s">
        <v>3360</v>
      </c>
      <c r="G858" s="32" t="s">
        <v>5140</v>
      </c>
      <c r="H858" s="22"/>
      <c r="I858" s="22" t="s">
        <v>3363</v>
      </c>
    </row>
    <row r="859" customFormat="false" ht="124.5" hidden="false" customHeight="true" outlineLevel="0" collapsed="false">
      <c r="A859" s="24" t="s">
        <v>779</v>
      </c>
      <c r="B859" s="32" t="s">
        <v>5664</v>
      </c>
      <c r="C859" s="22" t="s">
        <v>5665</v>
      </c>
      <c r="D859" s="32" t="s">
        <v>5666</v>
      </c>
      <c r="E859" s="22" t="s">
        <v>3377</v>
      </c>
      <c r="F859" s="22" t="s">
        <v>3360</v>
      </c>
      <c r="G859" s="32" t="s">
        <v>5667</v>
      </c>
      <c r="H859" s="22" t="s">
        <v>5668</v>
      </c>
      <c r="I859" s="22" t="s">
        <v>3363</v>
      </c>
    </row>
    <row r="860" customFormat="false" ht="24.75" hidden="false" customHeight="true" outlineLevel="0" collapsed="false">
      <c r="A860" s="24" t="s">
        <v>779</v>
      </c>
      <c r="B860" s="32" t="s">
        <v>3831</v>
      </c>
      <c r="C860" s="22" t="s">
        <v>5669</v>
      </c>
      <c r="D860" s="32" t="s">
        <v>5666</v>
      </c>
      <c r="E860" s="22" t="s">
        <v>3359</v>
      </c>
      <c r="F860" s="22" t="s">
        <v>3360</v>
      </c>
      <c r="G860" s="32" t="s">
        <v>5670</v>
      </c>
      <c r="H860" s="22"/>
      <c r="I860" s="22" t="s">
        <v>3363</v>
      </c>
    </row>
    <row r="861" customFormat="false" ht="15" hidden="false" customHeight="true" outlineLevel="0" collapsed="false">
      <c r="A861" s="24" t="s">
        <v>779</v>
      </c>
      <c r="B861" s="32" t="s">
        <v>4400</v>
      </c>
      <c r="C861" s="22" t="s">
        <v>4401</v>
      </c>
      <c r="D861" s="32" t="s">
        <v>5671</v>
      </c>
      <c r="E861" s="22" t="s">
        <v>3359</v>
      </c>
      <c r="F861" s="22" t="s">
        <v>3360</v>
      </c>
      <c r="G861" s="32" t="s">
        <v>4692</v>
      </c>
      <c r="H861" s="22"/>
      <c r="I861" s="22" t="s">
        <v>3363</v>
      </c>
    </row>
    <row r="862" customFormat="false" ht="15" hidden="false" customHeight="true" outlineLevel="0" collapsed="false">
      <c r="A862" s="24" t="s">
        <v>779</v>
      </c>
      <c r="B862" s="32" t="s">
        <v>5672</v>
      </c>
      <c r="C862" s="22" t="s">
        <v>5673</v>
      </c>
      <c r="D862" s="32" t="s">
        <v>5671</v>
      </c>
      <c r="E862" s="22" t="s">
        <v>3359</v>
      </c>
      <c r="F862" s="22" t="s">
        <v>3360</v>
      </c>
      <c r="G862" s="32" t="s">
        <v>3367</v>
      </c>
      <c r="H862" s="22"/>
      <c r="I862" s="22" t="s">
        <v>3363</v>
      </c>
    </row>
    <row r="863" customFormat="false" ht="15" hidden="false" customHeight="true" outlineLevel="0" collapsed="false">
      <c r="A863" s="24" t="s">
        <v>779</v>
      </c>
      <c r="B863" s="32" t="s">
        <v>5674</v>
      </c>
      <c r="C863" s="22" t="s">
        <v>5675</v>
      </c>
      <c r="D863" s="32" t="s">
        <v>5671</v>
      </c>
      <c r="E863" s="22" t="s">
        <v>3359</v>
      </c>
      <c r="F863" s="22" t="s">
        <v>3360</v>
      </c>
      <c r="G863" s="32" t="s">
        <v>3367</v>
      </c>
      <c r="H863" s="22"/>
      <c r="I863" s="22" t="s">
        <v>3363</v>
      </c>
    </row>
    <row r="864" customFormat="false" ht="24.75" hidden="false" customHeight="true" outlineLevel="0" collapsed="false">
      <c r="A864" s="24" t="s">
        <v>779</v>
      </c>
      <c r="B864" s="32" t="s">
        <v>5511</v>
      </c>
      <c r="C864" s="22" t="s">
        <v>5676</v>
      </c>
      <c r="D864" s="32" t="s">
        <v>5677</v>
      </c>
      <c r="E864" s="22" t="s">
        <v>3359</v>
      </c>
      <c r="F864" s="22" t="s">
        <v>3378</v>
      </c>
      <c r="G864" s="32" t="s">
        <v>5678</v>
      </c>
      <c r="H864" s="22"/>
      <c r="I864" s="22" t="s">
        <v>3363</v>
      </c>
    </row>
    <row r="865" customFormat="false" ht="15" hidden="false" customHeight="true" outlineLevel="0" collapsed="false">
      <c r="A865" s="24" t="s">
        <v>779</v>
      </c>
      <c r="B865" s="32" t="s">
        <v>5679</v>
      </c>
      <c r="C865" s="22" t="s">
        <v>5680</v>
      </c>
      <c r="D865" s="32" t="s">
        <v>5677</v>
      </c>
      <c r="E865" s="22" t="s">
        <v>3389</v>
      </c>
      <c r="F865" s="22" t="s">
        <v>3378</v>
      </c>
      <c r="G865" s="32" t="s">
        <v>5140</v>
      </c>
      <c r="H865" s="22"/>
      <c r="I865" s="22" t="s">
        <v>3363</v>
      </c>
    </row>
    <row r="866" customFormat="false" ht="15" hidden="false" customHeight="true" outlineLevel="0" collapsed="false">
      <c r="A866" s="24" t="s">
        <v>779</v>
      </c>
      <c r="B866" s="32" t="s">
        <v>5681</v>
      </c>
      <c r="C866" s="22" t="s">
        <v>5682</v>
      </c>
      <c r="D866" s="32" t="s">
        <v>5677</v>
      </c>
      <c r="E866" s="22" t="s">
        <v>3359</v>
      </c>
      <c r="F866" s="22" t="s">
        <v>3378</v>
      </c>
      <c r="G866" s="32" t="s">
        <v>5683</v>
      </c>
      <c r="H866" s="22"/>
      <c r="I866" s="22" t="s">
        <v>3363</v>
      </c>
    </row>
    <row r="867" customFormat="false" ht="24.75" hidden="false" customHeight="true" outlineLevel="0" collapsed="false">
      <c r="A867" s="24" t="s">
        <v>779</v>
      </c>
      <c r="B867" s="32" t="s">
        <v>5684</v>
      </c>
      <c r="C867" s="22" t="s">
        <v>5685</v>
      </c>
      <c r="D867" s="32" t="s">
        <v>5686</v>
      </c>
      <c r="E867" s="22" t="s">
        <v>3394</v>
      </c>
      <c r="F867" s="22" t="s">
        <v>3378</v>
      </c>
      <c r="G867" s="32" t="s">
        <v>3395</v>
      </c>
      <c r="H867" s="22" t="s">
        <v>5687</v>
      </c>
      <c r="I867" s="22" t="s">
        <v>3363</v>
      </c>
    </row>
    <row r="868" customFormat="false" ht="15" hidden="false" customHeight="true" outlineLevel="0" collapsed="false">
      <c r="A868" s="24" t="s">
        <v>779</v>
      </c>
      <c r="B868" s="32" t="s">
        <v>5688</v>
      </c>
      <c r="C868" s="22" t="s">
        <v>5689</v>
      </c>
      <c r="D868" s="32" t="s">
        <v>5686</v>
      </c>
      <c r="E868" s="22" t="s">
        <v>3394</v>
      </c>
      <c r="F868" s="22" t="s">
        <v>3378</v>
      </c>
      <c r="G868" s="32" t="s">
        <v>3395</v>
      </c>
      <c r="H868" s="22"/>
      <c r="I868" s="22" t="s">
        <v>3363</v>
      </c>
    </row>
    <row r="869" customFormat="false" ht="15" hidden="false" customHeight="true" outlineLevel="0" collapsed="false">
      <c r="A869" s="24" t="s">
        <v>779</v>
      </c>
      <c r="B869" s="32" t="s">
        <v>5690</v>
      </c>
      <c r="C869" s="22" t="s">
        <v>5691</v>
      </c>
      <c r="D869" s="32" t="s">
        <v>5686</v>
      </c>
      <c r="E869" s="22" t="s">
        <v>3394</v>
      </c>
      <c r="F869" s="22" t="s">
        <v>3378</v>
      </c>
      <c r="G869" s="32" t="s">
        <v>3395</v>
      </c>
      <c r="H869" s="22"/>
      <c r="I869" s="22" t="s">
        <v>3363</v>
      </c>
    </row>
    <row r="870" customFormat="false" ht="15" hidden="false" customHeight="true" outlineLevel="0" collapsed="false">
      <c r="A870" s="24" t="s">
        <v>779</v>
      </c>
      <c r="B870" s="32" t="s">
        <v>5692</v>
      </c>
      <c r="C870" s="22" t="s">
        <v>5693</v>
      </c>
      <c r="D870" s="32" t="s">
        <v>5686</v>
      </c>
      <c r="E870" s="22" t="s">
        <v>3394</v>
      </c>
      <c r="F870" s="22" t="s">
        <v>3378</v>
      </c>
      <c r="G870" s="32" t="s">
        <v>3395</v>
      </c>
      <c r="H870" s="22"/>
      <c r="I870" s="22" t="s">
        <v>3363</v>
      </c>
    </row>
    <row r="871" customFormat="false" ht="15" hidden="false" customHeight="true" outlineLevel="0" collapsed="false">
      <c r="A871" s="24" t="s">
        <v>779</v>
      </c>
      <c r="B871" s="32" t="s">
        <v>5694</v>
      </c>
      <c r="C871" s="22" t="s">
        <v>5695</v>
      </c>
      <c r="D871" s="32" t="s">
        <v>5696</v>
      </c>
      <c r="E871" s="22" t="s">
        <v>3394</v>
      </c>
      <c r="F871" s="22" t="s">
        <v>3378</v>
      </c>
      <c r="G871" s="32" t="s">
        <v>3395</v>
      </c>
      <c r="H871" s="22" t="s">
        <v>5697</v>
      </c>
      <c r="I871" s="22" t="s">
        <v>3363</v>
      </c>
    </row>
    <row r="872" customFormat="false" ht="15" hidden="false" customHeight="true" outlineLevel="0" collapsed="false">
      <c r="A872" s="24" t="s">
        <v>779</v>
      </c>
      <c r="B872" s="32" t="s">
        <v>5698</v>
      </c>
      <c r="C872" s="22" t="s">
        <v>5699</v>
      </c>
      <c r="D872" s="32" t="s">
        <v>5696</v>
      </c>
      <c r="E872" s="22" t="s">
        <v>3394</v>
      </c>
      <c r="F872" s="22" t="s">
        <v>3378</v>
      </c>
      <c r="G872" s="32" t="s">
        <v>3395</v>
      </c>
      <c r="H872" s="22"/>
      <c r="I872" s="22" t="s">
        <v>3363</v>
      </c>
    </row>
    <row r="873" customFormat="false" ht="15" hidden="false" customHeight="true" outlineLevel="0" collapsed="false">
      <c r="A873" s="24" t="s">
        <v>779</v>
      </c>
      <c r="B873" s="32" t="s">
        <v>5700</v>
      </c>
      <c r="C873" s="22" t="s">
        <v>5701</v>
      </c>
      <c r="D873" s="32" t="s">
        <v>5696</v>
      </c>
      <c r="E873" s="22" t="s">
        <v>3394</v>
      </c>
      <c r="F873" s="22" t="s">
        <v>3378</v>
      </c>
      <c r="G873" s="32" t="s">
        <v>3395</v>
      </c>
      <c r="H873" s="22"/>
      <c r="I873" s="22" t="s">
        <v>3363</v>
      </c>
    </row>
    <row r="874" customFormat="false" ht="15" hidden="false" customHeight="true" outlineLevel="0" collapsed="false">
      <c r="A874" s="24" t="s">
        <v>779</v>
      </c>
      <c r="B874" s="32" t="s">
        <v>5702</v>
      </c>
      <c r="C874" s="22" t="s">
        <v>5703</v>
      </c>
      <c r="D874" s="32" t="s">
        <v>5696</v>
      </c>
      <c r="E874" s="22" t="s">
        <v>3394</v>
      </c>
      <c r="F874" s="22" t="s">
        <v>3378</v>
      </c>
      <c r="G874" s="32" t="s">
        <v>3395</v>
      </c>
      <c r="H874" s="22"/>
      <c r="I874" s="22" t="s">
        <v>3363</v>
      </c>
    </row>
    <row r="875" customFormat="false" ht="15" hidden="false" customHeight="true" outlineLevel="0" collapsed="false">
      <c r="A875" s="24" t="s">
        <v>779</v>
      </c>
      <c r="B875" s="32" t="s">
        <v>5704</v>
      </c>
      <c r="C875" s="22" t="s">
        <v>5705</v>
      </c>
      <c r="D875" s="32" t="s">
        <v>5706</v>
      </c>
      <c r="E875" s="22" t="s">
        <v>3394</v>
      </c>
      <c r="F875" s="22" t="s">
        <v>3378</v>
      </c>
      <c r="G875" s="32" t="s">
        <v>3395</v>
      </c>
      <c r="H875" s="22" t="s">
        <v>5707</v>
      </c>
      <c r="I875" s="22" t="s">
        <v>3363</v>
      </c>
    </row>
    <row r="876" customFormat="false" ht="24.75" hidden="false" customHeight="true" outlineLevel="0" collapsed="false">
      <c r="A876" s="24" t="s">
        <v>779</v>
      </c>
      <c r="B876" s="32" t="s">
        <v>5708</v>
      </c>
      <c r="C876" s="22" t="s">
        <v>5709</v>
      </c>
      <c r="D876" s="32" t="s">
        <v>5706</v>
      </c>
      <c r="E876" s="22" t="s">
        <v>3394</v>
      </c>
      <c r="F876" s="22" t="s">
        <v>3378</v>
      </c>
      <c r="G876" s="32" t="s">
        <v>3395</v>
      </c>
      <c r="H876" s="22" t="s">
        <v>5710</v>
      </c>
      <c r="I876" s="22" t="s">
        <v>3363</v>
      </c>
    </row>
    <row r="877" customFormat="false" ht="15" hidden="false" customHeight="true" outlineLevel="0" collapsed="false">
      <c r="A877" s="24" t="s">
        <v>779</v>
      </c>
      <c r="B877" s="32" t="s">
        <v>5711</v>
      </c>
      <c r="C877" s="22" t="s">
        <v>5712</v>
      </c>
      <c r="D877" s="32" t="s">
        <v>5713</v>
      </c>
      <c r="E877" s="22" t="s">
        <v>3359</v>
      </c>
      <c r="F877" s="22" t="s">
        <v>3378</v>
      </c>
      <c r="G877" s="32"/>
      <c r="H877" s="22"/>
      <c r="I877" s="22" t="s">
        <v>3363</v>
      </c>
    </row>
    <row r="878" customFormat="false" ht="15" hidden="false" customHeight="true" outlineLevel="0" collapsed="false">
      <c r="A878" s="24" t="s">
        <v>779</v>
      </c>
      <c r="B878" s="32" t="s">
        <v>5714</v>
      </c>
      <c r="C878" s="22" t="s">
        <v>5715</v>
      </c>
      <c r="D878" s="32" t="s">
        <v>5716</v>
      </c>
      <c r="E878" s="22" t="s">
        <v>3359</v>
      </c>
      <c r="F878" s="22" t="s">
        <v>3378</v>
      </c>
      <c r="G878" s="32"/>
      <c r="H878" s="22" t="s">
        <v>5717</v>
      </c>
      <c r="I878" s="22" t="s">
        <v>3363</v>
      </c>
    </row>
    <row r="879" customFormat="false" ht="24.75" hidden="false" customHeight="true" outlineLevel="0" collapsed="false">
      <c r="A879" s="24" t="s">
        <v>1650</v>
      </c>
      <c r="B879" s="32" t="s">
        <v>5718</v>
      </c>
      <c r="C879" s="22" t="s">
        <v>5719</v>
      </c>
      <c r="D879" s="32" t="s">
        <v>5720</v>
      </c>
      <c r="E879" s="22" t="s">
        <v>3359</v>
      </c>
      <c r="F879" s="22" t="s">
        <v>3360</v>
      </c>
      <c r="G879" s="32" t="s">
        <v>5721</v>
      </c>
      <c r="H879" s="22" t="s">
        <v>5722</v>
      </c>
      <c r="I879" s="22" t="s">
        <v>3363</v>
      </c>
    </row>
    <row r="880" customFormat="false" ht="15" hidden="false" customHeight="true" outlineLevel="0" collapsed="false">
      <c r="A880" s="24" t="s">
        <v>1650</v>
      </c>
      <c r="B880" s="32" t="s">
        <v>5723</v>
      </c>
      <c r="C880" s="22" t="s">
        <v>5724</v>
      </c>
      <c r="D880" s="32" t="s">
        <v>5720</v>
      </c>
      <c r="E880" s="22" t="s">
        <v>3359</v>
      </c>
      <c r="F880" s="22" t="s">
        <v>3360</v>
      </c>
      <c r="G880" s="32" t="s">
        <v>5725</v>
      </c>
      <c r="H880" s="22" t="s">
        <v>5726</v>
      </c>
      <c r="I880" s="22" t="s">
        <v>3363</v>
      </c>
    </row>
    <row r="881" customFormat="false" ht="15" hidden="false" customHeight="true" outlineLevel="0" collapsed="false">
      <c r="A881" s="24" t="s">
        <v>1650</v>
      </c>
      <c r="B881" s="32" t="s">
        <v>4400</v>
      </c>
      <c r="C881" s="22" t="s">
        <v>4401</v>
      </c>
      <c r="D881" s="32" t="s">
        <v>5720</v>
      </c>
      <c r="E881" s="22" t="s">
        <v>3359</v>
      </c>
      <c r="F881" s="22" t="s">
        <v>3360</v>
      </c>
      <c r="G881" s="32" t="s">
        <v>5727</v>
      </c>
      <c r="H881" s="22" t="s">
        <v>5728</v>
      </c>
      <c r="I881" s="22" t="s">
        <v>3363</v>
      </c>
    </row>
    <row r="882" customFormat="false" ht="15" hidden="false" customHeight="true" outlineLevel="0" collapsed="false">
      <c r="A882" s="24" t="s">
        <v>1650</v>
      </c>
      <c r="B882" s="32" t="s">
        <v>5729</v>
      </c>
      <c r="C882" s="22" t="s">
        <v>5730</v>
      </c>
      <c r="D882" s="32" t="s">
        <v>5720</v>
      </c>
      <c r="E882" s="22" t="s">
        <v>3359</v>
      </c>
      <c r="F882" s="22" t="s">
        <v>3360</v>
      </c>
      <c r="G882" s="32" t="s">
        <v>5727</v>
      </c>
      <c r="H882" s="22" t="s">
        <v>5731</v>
      </c>
      <c r="I882" s="22" t="s">
        <v>3363</v>
      </c>
    </row>
    <row r="883" customFormat="false" ht="15" hidden="false" customHeight="true" outlineLevel="0" collapsed="false">
      <c r="A883" s="24" t="s">
        <v>1650</v>
      </c>
      <c r="B883" s="32" t="s">
        <v>5732</v>
      </c>
      <c r="C883" s="22" t="s">
        <v>5733</v>
      </c>
      <c r="D883" s="32" t="s">
        <v>5720</v>
      </c>
      <c r="E883" s="22" t="s">
        <v>3377</v>
      </c>
      <c r="F883" s="22" t="s">
        <v>3378</v>
      </c>
      <c r="G883" s="32" t="s">
        <v>5734</v>
      </c>
      <c r="H883" s="22" t="s">
        <v>5735</v>
      </c>
      <c r="I883" s="22" t="s">
        <v>3363</v>
      </c>
    </row>
    <row r="884" customFormat="false" ht="37.5" hidden="false" customHeight="true" outlineLevel="0" collapsed="false">
      <c r="A884" s="24" t="s">
        <v>1650</v>
      </c>
      <c r="B884" s="32" t="s">
        <v>5736</v>
      </c>
      <c r="C884" s="22" t="s">
        <v>5737</v>
      </c>
      <c r="D884" s="32" t="s">
        <v>5738</v>
      </c>
      <c r="E884" s="22" t="s">
        <v>3377</v>
      </c>
      <c r="F884" s="22" t="s">
        <v>3360</v>
      </c>
      <c r="G884" s="32" t="s">
        <v>5739</v>
      </c>
      <c r="H884" s="22" t="s">
        <v>5740</v>
      </c>
      <c r="I884" s="22" t="s">
        <v>3363</v>
      </c>
    </row>
    <row r="885" customFormat="false" ht="24.75" hidden="false" customHeight="true" outlineLevel="0" collapsed="false">
      <c r="A885" s="24" t="s">
        <v>1650</v>
      </c>
      <c r="B885" s="32" t="s">
        <v>5741</v>
      </c>
      <c r="C885" s="22" t="s">
        <v>3694</v>
      </c>
      <c r="D885" s="32" t="s">
        <v>5742</v>
      </c>
      <c r="E885" s="22" t="s">
        <v>3437</v>
      </c>
      <c r="F885" s="22" t="s">
        <v>3360</v>
      </c>
      <c r="G885" s="32" t="s">
        <v>3438</v>
      </c>
      <c r="H885" s="22" t="s">
        <v>5743</v>
      </c>
      <c r="I885" s="22" t="s">
        <v>3363</v>
      </c>
    </row>
    <row r="886" customFormat="false" ht="24.75" hidden="false" customHeight="true" outlineLevel="0" collapsed="false">
      <c r="A886" s="24" t="s">
        <v>1650</v>
      </c>
      <c r="B886" s="32" t="s">
        <v>5744</v>
      </c>
      <c r="C886" s="22" t="s">
        <v>5745</v>
      </c>
      <c r="D886" s="32" t="s">
        <v>5742</v>
      </c>
      <c r="E886" s="22" t="s">
        <v>3359</v>
      </c>
      <c r="F886" s="22" t="s">
        <v>3360</v>
      </c>
      <c r="G886" s="32" t="s">
        <v>5725</v>
      </c>
      <c r="H886" s="22" t="s">
        <v>5746</v>
      </c>
      <c r="I886" s="22" t="s">
        <v>3363</v>
      </c>
    </row>
    <row r="887" customFormat="false" ht="24.75" hidden="false" customHeight="true" outlineLevel="0" collapsed="false">
      <c r="A887" s="24" t="s">
        <v>1650</v>
      </c>
      <c r="B887" s="32" t="s">
        <v>5747</v>
      </c>
      <c r="C887" s="22" t="s">
        <v>5748</v>
      </c>
      <c r="D887" s="32" t="s">
        <v>5742</v>
      </c>
      <c r="E887" s="22" t="s">
        <v>3359</v>
      </c>
      <c r="F887" s="22" t="s">
        <v>3360</v>
      </c>
      <c r="G887" s="32" t="s">
        <v>5749</v>
      </c>
      <c r="H887" s="22" t="s">
        <v>5750</v>
      </c>
      <c r="I887" s="22" t="s">
        <v>3363</v>
      </c>
    </row>
    <row r="888" customFormat="false" ht="24.75" hidden="false" customHeight="true" outlineLevel="0" collapsed="false">
      <c r="A888" s="24" t="s">
        <v>1650</v>
      </c>
      <c r="B888" s="32" t="s">
        <v>5751</v>
      </c>
      <c r="C888" s="22" t="s">
        <v>5752</v>
      </c>
      <c r="D888" s="32" t="s">
        <v>5742</v>
      </c>
      <c r="E888" s="22" t="s">
        <v>3394</v>
      </c>
      <c r="F888" s="22" t="s">
        <v>3360</v>
      </c>
      <c r="G888" s="32" t="s">
        <v>5753</v>
      </c>
      <c r="H888" s="22" t="s">
        <v>5754</v>
      </c>
      <c r="I888" s="22" t="s">
        <v>3363</v>
      </c>
    </row>
    <row r="889" customFormat="false" ht="24.75" hidden="false" customHeight="true" outlineLevel="0" collapsed="false">
      <c r="A889" s="24" t="s">
        <v>1650</v>
      </c>
      <c r="B889" s="32" t="s">
        <v>5755</v>
      </c>
      <c r="C889" s="22" t="s">
        <v>5756</v>
      </c>
      <c r="D889" s="32" t="s">
        <v>5742</v>
      </c>
      <c r="E889" s="22" t="s">
        <v>3394</v>
      </c>
      <c r="F889" s="22" t="s">
        <v>3360</v>
      </c>
      <c r="G889" s="32" t="s">
        <v>5753</v>
      </c>
      <c r="H889" s="22" t="s">
        <v>5757</v>
      </c>
      <c r="I889" s="22" t="s">
        <v>3363</v>
      </c>
    </row>
    <row r="890" customFormat="false" ht="24.75" hidden="false" customHeight="true" outlineLevel="0" collapsed="false">
      <c r="A890" s="24" t="s">
        <v>1650</v>
      </c>
      <c r="B890" s="32" t="s">
        <v>5758</v>
      </c>
      <c r="C890" s="22" t="s">
        <v>5759</v>
      </c>
      <c r="D890" s="32" t="s">
        <v>5742</v>
      </c>
      <c r="E890" s="22" t="s">
        <v>3394</v>
      </c>
      <c r="F890" s="22" t="s">
        <v>3360</v>
      </c>
      <c r="G890" s="32" t="s">
        <v>5753</v>
      </c>
      <c r="H890" s="22" t="s">
        <v>5760</v>
      </c>
      <c r="I890" s="22" t="s">
        <v>3363</v>
      </c>
    </row>
    <row r="891" customFormat="false" ht="15" hidden="false" customHeight="true" outlineLevel="0" collapsed="false">
      <c r="A891" s="24" t="s">
        <v>1650</v>
      </c>
      <c r="B891" s="32" t="s">
        <v>5761</v>
      </c>
      <c r="C891" s="22" t="s">
        <v>3694</v>
      </c>
      <c r="D891" s="32" t="s">
        <v>5762</v>
      </c>
      <c r="E891" s="22" t="s">
        <v>3437</v>
      </c>
      <c r="F891" s="22" t="s">
        <v>3360</v>
      </c>
      <c r="G891" s="32" t="s">
        <v>3438</v>
      </c>
      <c r="H891" s="22" t="s">
        <v>5763</v>
      </c>
      <c r="I891" s="22" t="s">
        <v>3363</v>
      </c>
    </row>
    <row r="892" customFormat="false" ht="49.5" hidden="false" customHeight="true" outlineLevel="0" collapsed="false">
      <c r="A892" s="24" t="s">
        <v>1650</v>
      </c>
      <c r="B892" s="32" t="s">
        <v>5764</v>
      </c>
      <c r="C892" s="22" t="s">
        <v>5765</v>
      </c>
      <c r="D892" s="32" t="s">
        <v>5762</v>
      </c>
      <c r="E892" s="22" t="s">
        <v>3359</v>
      </c>
      <c r="F892" s="22" t="s">
        <v>3360</v>
      </c>
      <c r="G892" s="32" t="s">
        <v>5766</v>
      </c>
      <c r="H892" s="22" t="s">
        <v>5767</v>
      </c>
      <c r="I892" s="22" t="s">
        <v>3363</v>
      </c>
    </row>
    <row r="893" customFormat="false" ht="24.75" hidden="false" customHeight="true" outlineLevel="0" collapsed="false">
      <c r="A893" s="24" t="s">
        <v>1650</v>
      </c>
      <c r="B893" s="32" t="s">
        <v>5768</v>
      </c>
      <c r="C893" s="22" t="s">
        <v>5769</v>
      </c>
      <c r="D893" s="32" t="s">
        <v>5762</v>
      </c>
      <c r="E893" s="22" t="s">
        <v>3389</v>
      </c>
      <c r="F893" s="22" t="s">
        <v>3360</v>
      </c>
      <c r="G893" s="32" t="s">
        <v>5770</v>
      </c>
      <c r="H893" s="22" t="s">
        <v>5771</v>
      </c>
      <c r="I893" s="22" t="s">
        <v>3363</v>
      </c>
    </row>
    <row r="894" customFormat="false" ht="37.5" hidden="false" customHeight="true" outlineLevel="0" collapsed="false">
      <c r="A894" s="24" t="s">
        <v>1650</v>
      </c>
      <c r="B894" s="32" t="s">
        <v>5772</v>
      </c>
      <c r="C894" s="22" t="s">
        <v>5773</v>
      </c>
      <c r="D894" s="32" t="s">
        <v>5774</v>
      </c>
      <c r="E894" s="22" t="s">
        <v>3377</v>
      </c>
      <c r="F894" s="22" t="s">
        <v>3360</v>
      </c>
      <c r="G894" s="32" t="s">
        <v>5775</v>
      </c>
      <c r="H894" s="22" t="s">
        <v>5776</v>
      </c>
      <c r="I894" s="22" t="s">
        <v>3363</v>
      </c>
    </row>
    <row r="895" customFormat="false" ht="24.75" hidden="false" customHeight="true" outlineLevel="0" collapsed="false">
      <c r="A895" s="24" t="s">
        <v>1650</v>
      </c>
      <c r="B895" s="32" t="s">
        <v>5777</v>
      </c>
      <c r="C895" s="22" t="s">
        <v>5778</v>
      </c>
      <c r="D895" s="32" t="s">
        <v>5762</v>
      </c>
      <c r="E895" s="22" t="s">
        <v>3389</v>
      </c>
      <c r="F895" s="22" t="s">
        <v>3378</v>
      </c>
      <c r="G895" s="32" t="s">
        <v>5779</v>
      </c>
      <c r="H895" s="22" t="s">
        <v>5780</v>
      </c>
      <c r="I895" s="22" t="s">
        <v>3363</v>
      </c>
    </row>
    <row r="896" customFormat="false" ht="75" hidden="false" customHeight="true" outlineLevel="0" collapsed="false">
      <c r="A896" s="24" t="s">
        <v>1650</v>
      </c>
      <c r="B896" s="32" t="s">
        <v>4281</v>
      </c>
      <c r="C896" s="22" t="s">
        <v>5781</v>
      </c>
      <c r="D896" s="32" t="s">
        <v>5762</v>
      </c>
      <c r="E896" s="22" t="s">
        <v>3377</v>
      </c>
      <c r="F896" s="22" t="s">
        <v>3378</v>
      </c>
      <c r="G896" s="32" t="s">
        <v>5782</v>
      </c>
      <c r="H896" s="22" t="s">
        <v>5783</v>
      </c>
      <c r="I896" s="22" t="s">
        <v>3363</v>
      </c>
    </row>
    <row r="897" customFormat="false" ht="24.75" hidden="false" customHeight="true" outlineLevel="0" collapsed="false">
      <c r="A897" s="24" t="s">
        <v>1650</v>
      </c>
      <c r="B897" s="32" t="s">
        <v>5784</v>
      </c>
      <c r="C897" s="22" t="s">
        <v>5785</v>
      </c>
      <c r="D897" s="32" t="s">
        <v>5762</v>
      </c>
      <c r="E897" s="22" t="s">
        <v>3394</v>
      </c>
      <c r="F897" s="22" t="s">
        <v>3360</v>
      </c>
      <c r="G897" s="32" t="s">
        <v>5753</v>
      </c>
      <c r="H897" s="22" t="s">
        <v>5786</v>
      </c>
      <c r="I897" s="22" t="s">
        <v>3363</v>
      </c>
    </row>
    <row r="898" customFormat="false" ht="24.75" hidden="false" customHeight="true" outlineLevel="0" collapsed="false">
      <c r="A898" s="24" t="s">
        <v>1650</v>
      </c>
      <c r="B898" s="32" t="s">
        <v>5787</v>
      </c>
      <c r="C898" s="22" t="s">
        <v>5788</v>
      </c>
      <c r="D898" s="32" t="s">
        <v>5762</v>
      </c>
      <c r="E898" s="22" t="s">
        <v>3394</v>
      </c>
      <c r="F898" s="22" t="s">
        <v>3360</v>
      </c>
      <c r="G898" s="32" t="s">
        <v>5753</v>
      </c>
      <c r="H898" s="22" t="s">
        <v>5789</v>
      </c>
      <c r="I898" s="22" t="s">
        <v>3363</v>
      </c>
    </row>
    <row r="899" customFormat="false" ht="24.75" hidden="false" customHeight="true" outlineLevel="0" collapsed="false">
      <c r="A899" s="24" t="s">
        <v>1650</v>
      </c>
      <c r="B899" s="32" t="s">
        <v>5790</v>
      </c>
      <c r="C899" s="22" t="s">
        <v>5791</v>
      </c>
      <c r="D899" s="32" t="s">
        <v>5762</v>
      </c>
      <c r="E899" s="22" t="s">
        <v>3394</v>
      </c>
      <c r="F899" s="22" t="s">
        <v>3360</v>
      </c>
      <c r="G899" s="32" t="s">
        <v>5753</v>
      </c>
      <c r="H899" s="22" t="s">
        <v>5792</v>
      </c>
      <c r="I899" s="22" t="s">
        <v>3363</v>
      </c>
    </row>
    <row r="900" customFormat="false" ht="37.5" hidden="false" customHeight="true" outlineLevel="0" collapsed="false">
      <c r="A900" s="24" t="s">
        <v>1650</v>
      </c>
      <c r="B900" s="32" t="s">
        <v>5793</v>
      </c>
      <c r="C900" s="22" t="s">
        <v>5794</v>
      </c>
      <c r="D900" s="32" t="s">
        <v>5795</v>
      </c>
      <c r="E900" s="22" t="s">
        <v>3359</v>
      </c>
      <c r="F900" s="22" t="s">
        <v>3378</v>
      </c>
      <c r="G900" s="32" t="s">
        <v>5721</v>
      </c>
      <c r="H900" s="22" t="s">
        <v>5796</v>
      </c>
      <c r="I900" s="22" t="s">
        <v>3363</v>
      </c>
    </row>
    <row r="901" customFormat="false" ht="24.75" hidden="false" customHeight="true" outlineLevel="0" collapsed="false">
      <c r="A901" s="24" t="s">
        <v>1650</v>
      </c>
      <c r="B901" s="32" t="s">
        <v>5797</v>
      </c>
      <c r="C901" s="22" t="s">
        <v>5798</v>
      </c>
      <c r="D901" s="32" t="s">
        <v>5799</v>
      </c>
      <c r="E901" s="22" t="s">
        <v>3359</v>
      </c>
      <c r="F901" s="22" t="s">
        <v>3378</v>
      </c>
      <c r="G901" s="32" t="s">
        <v>5800</v>
      </c>
      <c r="H901" s="22" t="s">
        <v>5801</v>
      </c>
      <c r="I901" s="22" t="s">
        <v>3363</v>
      </c>
    </row>
    <row r="902" customFormat="false" ht="24.75" hidden="false" customHeight="true" outlineLevel="0" collapsed="false">
      <c r="A902" s="24" t="s">
        <v>1650</v>
      </c>
      <c r="B902" s="32" t="s">
        <v>5802</v>
      </c>
      <c r="C902" s="22" t="s">
        <v>5803</v>
      </c>
      <c r="D902" s="32" t="s">
        <v>5795</v>
      </c>
      <c r="E902" s="22" t="s">
        <v>3394</v>
      </c>
      <c r="F902" s="22" t="s">
        <v>3378</v>
      </c>
      <c r="G902" s="32" t="s">
        <v>5753</v>
      </c>
      <c r="H902" s="22" t="s">
        <v>5804</v>
      </c>
      <c r="I902" s="22" t="s">
        <v>3363</v>
      </c>
    </row>
    <row r="903" customFormat="false" ht="15" hidden="false" customHeight="true" outlineLevel="0" collapsed="false">
      <c r="A903" s="24" t="s">
        <v>1650</v>
      </c>
      <c r="B903" s="32" t="s">
        <v>5805</v>
      </c>
      <c r="C903" s="22" t="s">
        <v>5730</v>
      </c>
      <c r="D903" s="32" t="s">
        <v>5806</v>
      </c>
      <c r="E903" s="22" t="s">
        <v>3359</v>
      </c>
      <c r="F903" s="22" t="s">
        <v>3378</v>
      </c>
      <c r="G903" s="32" t="s">
        <v>5727</v>
      </c>
      <c r="H903" s="22" t="s">
        <v>5807</v>
      </c>
      <c r="I903" s="22" t="s">
        <v>3363</v>
      </c>
    </row>
    <row r="904" customFormat="false" ht="15" hidden="false" customHeight="true" outlineLevel="0" collapsed="false">
      <c r="A904" s="24" t="s">
        <v>1650</v>
      </c>
      <c r="B904" s="32" t="s">
        <v>5808</v>
      </c>
      <c r="C904" s="22" t="s">
        <v>5451</v>
      </c>
      <c r="D904" s="32" t="s">
        <v>5806</v>
      </c>
      <c r="E904" s="22" t="s">
        <v>3359</v>
      </c>
      <c r="F904" s="22" t="s">
        <v>3378</v>
      </c>
      <c r="G904" s="32" t="s">
        <v>5809</v>
      </c>
      <c r="H904" s="22" t="s">
        <v>5810</v>
      </c>
      <c r="I904" s="22" t="s">
        <v>3363</v>
      </c>
    </row>
    <row r="905" customFormat="false" ht="15" hidden="false" customHeight="true" outlineLevel="0" collapsed="false">
      <c r="A905" s="24" t="s">
        <v>1650</v>
      </c>
      <c r="B905" s="32" t="s">
        <v>5811</v>
      </c>
      <c r="C905" s="22" t="s">
        <v>5812</v>
      </c>
      <c r="D905" s="32" t="s">
        <v>5806</v>
      </c>
      <c r="E905" s="22" t="s">
        <v>3394</v>
      </c>
      <c r="F905" s="22" t="s">
        <v>3378</v>
      </c>
      <c r="G905" s="32" t="s">
        <v>5753</v>
      </c>
      <c r="H905" s="22" t="s">
        <v>5813</v>
      </c>
      <c r="I905" s="22" t="s">
        <v>3363</v>
      </c>
    </row>
    <row r="906" customFormat="false" ht="24.75" hidden="false" customHeight="true" outlineLevel="0" collapsed="false">
      <c r="A906" s="24" t="s">
        <v>1650</v>
      </c>
      <c r="B906" s="32" t="s">
        <v>5814</v>
      </c>
      <c r="C906" s="22" t="s">
        <v>5815</v>
      </c>
      <c r="D906" s="32" t="s">
        <v>5806</v>
      </c>
      <c r="E906" s="22" t="s">
        <v>3394</v>
      </c>
      <c r="F906" s="22" t="s">
        <v>3378</v>
      </c>
      <c r="G906" s="32" t="s">
        <v>5753</v>
      </c>
      <c r="H906" s="22" t="s">
        <v>5816</v>
      </c>
      <c r="I906" s="22" t="s">
        <v>3363</v>
      </c>
    </row>
    <row r="907" customFormat="false" ht="24.75" hidden="false" customHeight="true" outlineLevel="0" collapsed="false">
      <c r="A907" s="24" t="s">
        <v>1650</v>
      </c>
      <c r="B907" s="32" t="s">
        <v>5817</v>
      </c>
      <c r="C907" s="22" t="s">
        <v>5818</v>
      </c>
      <c r="D907" s="32" t="s">
        <v>5806</v>
      </c>
      <c r="E907" s="22" t="s">
        <v>3389</v>
      </c>
      <c r="F907" s="22" t="s">
        <v>3378</v>
      </c>
      <c r="G907" s="32" t="s">
        <v>5779</v>
      </c>
      <c r="H907" s="22" t="s">
        <v>5819</v>
      </c>
      <c r="I907" s="22" t="s">
        <v>3363</v>
      </c>
    </row>
    <row r="908" customFormat="false" ht="24.75" hidden="false" customHeight="true" outlineLevel="0" collapsed="false">
      <c r="A908" s="24" t="s">
        <v>1650</v>
      </c>
      <c r="B908" s="32" t="s">
        <v>5820</v>
      </c>
      <c r="C908" s="22" t="s">
        <v>4401</v>
      </c>
      <c r="D908" s="32" t="s">
        <v>5821</v>
      </c>
      <c r="E908" s="22" t="s">
        <v>3359</v>
      </c>
      <c r="F908" s="22" t="s">
        <v>3378</v>
      </c>
      <c r="G908" s="32" t="s">
        <v>5727</v>
      </c>
      <c r="H908" s="22" t="s">
        <v>5822</v>
      </c>
      <c r="I908" s="22" t="s">
        <v>3363</v>
      </c>
    </row>
    <row r="909" customFormat="false" ht="24.75" hidden="false" customHeight="true" outlineLevel="0" collapsed="false">
      <c r="A909" s="24" t="s">
        <v>1650</v>
      </c>
      <c r="B909" s="32" t="s">
        <v>5823</v>
      </c>
      <c r="C909" s="22" t="s">
        <v>5824</v>
      </c>
      <c r="D909" s="32" t="s">
        <v>5821</v>
      </c>
      <c r="E909" s="22" t="s">
        <v>3394</v>
      </c>
      <c r="F909" s="22" t="s">
        <v>3378</v>
      </c>
      <c r="G909" s="32" t="s">
        <v>5753</v>
      </c>
      <c r="H909" s="22" t="s">
        <v>5825</v>
      </c>
      <c r="I909" s="22" t="s">
        <v>3363</v>
      </c>
    </row>
    <row r="910" customFormat="false" ht="15" hidden="false" customHeight="true" outlineLevel="0" collapsed="false">
      <c r="A910" s="24" t="s">
        <v>1650</v>
      </c>
      <c r="B910" s="32" t="s">
        <v>5826</v>
      </c>
      <c r="C910" s="22" t="s">
        <v>5827</v>
      </c>
      <c r="D910" s="32" t="s">
        <v>5821</v>
      </c>
      <c r="E910" s="22" t="s">
        <v>3394</v>
      </c>
      <c r="F910" s="22" t="s">
        <v>3378</v>
      </c>
      <c r="G910" s="32" t="s">
        <v>5753</v>
      </c>
      <c r="H910" s="22"/>
      <c r="I910" s="22" t="s">
        <v>3363</v>
      </c>
    </row>
    <row r="911" customFormat="false" ht="15" hidden="false" customHeight="true" outlineLevel="0" collapsed="false">
      <c r="A911" s="24" t="s">
        <v>1650</v>
      </c>
      <c r="B911" s="32" t="s">
        <v>5828</v>
      </c>
      <c r="C911" s="22" t="s">
        <v>5829</v>
      </c>
      <c r="D911" s="32" t="s">
        <v>5821</v>
      </c>
      <c r="E911" s="22" t="s">
        <v>3394</v>
      </c>
      <c r="F911" s="22" t="s">
        <v>3378</v>
      </c>
      <c r="G911" s="32" t="s">
        <v>5753</v>
      </c>
      <c r="H911" s="22"/>
      <c r="I911" s="22" t="s">
        <v>3363</v>
      </c>
    </row>
    <row r="912" customFormat="false" ht="15" hidden="false" customHeight="true" outlineLevel="0" collapsed="false">
      <c r="A912" s="24" t="s">
        <v>1650</v>
      </c>
      <c r="B912" s="32" t="s">
        <v>5830</v>
      </c>
      <c r="C912" s="22" t="s">
        <v>5831</v>
      </c>
      <c r="D912" s="32" t="s">
        <v>5821</v>
      </c>
      <c r="E912" s="22" t="s">
        <v>3394</v>
      </c>
      <c r="F912" s="22" t="s">
        <v>3378</v>
      </c>
      <c r="G912" s="32" t="s">
        <v>5753</v>
      </c>
      <c r="H912" s="22"/>
      <c r="I912" s="22" t="s">
        <v>3363</v>
      </c>
    </row>
    <row r="913" customFormat="false" ht="15" hidden="false" customHeight="true" outlineLevel="0" collapsed="false">
      <c r="A913" s="24" t="s">
        <v>1650</v>
      </c>
      <c r="B913" s="32" t="s">
        <v>5832</v>
      </c>
      <c r="C913" s="22" t="s">
        <v>5833</v>
      </c>
      <c r="D913" s="32" t="s">
        <v>5821</v>
      </c>
      <c r="E913" s="22" t="s">
        <v>3394</v>
      </c>
      <c r="F913" s="22" t="s">
        <v>3378</v>
      </c>
      <c r="G913" s="32" t="s">
        <v>5753</v>
      </c>
      <c r="H913" s="22"/>
      <c r="I913" s="22" t="s">
        <v>3363</v>
      </c>
    </row>
    <row r="914" customFormat="false" ht="15" hidden="false" customHeight="true" outlineLevel="0" collapsed="false">
      <c r="A914" s="24" t="s">
        <v>1650</v>
      </c>
      <c r="B914" s="32" t="s">
        <v>5834</v>
      </c>
      <c r="C914" s="22" t="s">
        <v>5835</v>
      </c>
      <c r="D914" s="32" t="s">
        <v>5821</v>
      </c>
      <c r="E914" s="22" t="s">
        <v>3394</v>
      </c>
      <c r="F914" s="22" t="s">
        <v>3378</v>
      </c>
      <c r="G914" s="32" t="s">
        <v>5753</v>
      </c>
      <c r="H914" s="22"/>
      <c r="I914" s="22" t="s">
        <v>3363</v>
      </c>
    </row>
    <row r="915" customFormat="false" ht="15" hidden="false" customHeight="true" outlineLevel="0" collapsed="false">
      <c r="A915" s="24" t="s">
        <v>1650</v>
      </c>
      <c r="B915" s="32" t="s">
        <v>5836</v>
      </c>
      <c r="C915" s="22" t="s">
        <v>5837</v>
      </c>
      <c r="D915" s="32" t="s">
        <v>5821</v>
      </c>
      <c r="E915" s="22" t="s">
        <v>3394</v>
      </c>
      <c r="F915" s="22" t="s">
        <v>3378</v>
      </c>
      <c r="G915" s="32" t="s">
        <v>5753</v>
      </c>
      <c r="H915" s="22"/>
      <c r="I915" s="22" t="s">
        <v>3363</v>
      </c>
    </row>
    <row r="916" customFormat="false" ht="15" hidden="false" customHeight="true" outlineLevel="0" collapsed="false">
      <c r="A916" s="24" t="s">
        <v>1651</v>
      </c>
      <c r="B916" s="32" t="s">
        <v>5718</v>
      </c>
      <c r="C916" s="22" t="s">
        <v>5838</v>
      </c>
      <c r="D916" s="32" t="s">
        <v>5839</v>
      </c>
      <c r="E916" s="22" t="s">
        <v>3359</v>
      </c>
      <c r="F916" s="22" t="s">
        <v>3360</v>
      </c>
      <c r="G916" s="32" t="s">
        <v>5721</v>
      </c>
      <c r="H916" s="22" t="s">
        <v>5840</v>
      </c>
      <c r="I916" s="22" t="s">
        <v>3363</v>
      </c>
    </row>
    <row r="917" customFormat="false" ht="15" hidden="false" customHeight="true" outlineLevel="0" collapsed="false">
      <c r="A917" s="24" t="s">
        <v>1651</v>
      </c>
      <c r="B917" s="32" t="s">
        <v>4400</v>
      </c>
      <c r="C917" s="22" t="s">
        <v>4401</v>
      </c>
      <c r="D917" s="32" t="s">
        <v>5720</v>
      </c>
      <c r="E917" s="22" t="s">
        <v>3359</v>
      </c>
      <c r="F917" s="22" t="s">
        <v>3360</v>
      </c>
      <c r="G917" s="32" t="s">
        <v>5727</v>
      </c>
      <c r="H917" s="22"/>
      <c r="I917" s="22" t="s">
        <v>3363</v>
      </c>
    </row>
    <row r="918" customFormat="false" ht="24.75" hidden="false" customHeight="true" outlineLevel="0" collapsed="false">
      <c r="A918" s="24" t="s">
        <v>1651</v>
      </c>
      <c r="B918" s="32" t="s">
        <v>5841</v>
      </c>
      <c r="C918" s="22" t="s">
        <v>5842</v>
      </c>
      <c r="D918" s="32" t="s">
        <v>5843</v>
      </c>
      <c r="E918" s="22" t="s">
        <v>3377</v>
      </c>
      <c r="F918" s="22" t="s">
        <v>3360</v>
      </c>
      <c r="G918" s="32" t="s">
        <v>5844</v>
      </c>
      <c r="H918" s="22" t="s">
        <v>5845</v>
      </c>
      <c r="I918" s="22" t="s">
        <v>3363</v>
      </c>
    </row>
    <row r="919" customFormat="false" ht="49.5" hidden="false" customHeight="true" outlineLevel="0" collapsed="false">
      <c r="A919" s="24" t="s">
        <v>1651</v>
      </c>
      <c r="B919" s="32" t="s">
        <v>5846</v>
      </c>
      <c r="C919" s="22" t="s">
        <v>5847</v>
      </c>
      <c r="D919" s="32" t="s">
        <v>5843</v>
      </c>
      <c r="E919" s="22" t="s">
        <v>3359</v>
      </c>
      <c r="F919" s="22" t="s">
        <v>3360</v>
      </c>
      <c r="G919" s="32" t="s">
        <v>5848</v>
      </c>
      <c r="H919" s="22" t="s">
        <v>5849</v>
      </c>
      <c r="I919" s="22" t="s">
        <v>3363</v>
      </c>
    </row>
    <row r="920" customFormat="false" ht="24.75" hidden="false" customHeight="true" outlineLevel="0" collapsed="false">
      <c r="A920" s="24" t="s">
        <v>1651</v>
      </c>
      <c r="B920" s="32" t="s">
        <v>5850</v>
      </c>
      <c r="C920" s="22" t="s">
        <v>5851</v>
      </c>
      <c r="D920" s="32" t="s">
        <v>5843</v>
      </c>
      <c r="E920" s="22" t="s">
        <v>3359</v>
      </c>
      <c r="F920" s="22" t="s">
        <v>3360</v>
      </c>
      <c r="G920" s="32" t="s">
        <v>5725</v>
      </c>
      <c r="H920" s="22" t="s">
        <v>5852</v>
      </c>
      <c r="I920" s="22" t="s">
        <v>3363</v>
      </c>
    </row>
    <row r="921" customFormat="false" ht="15" hidden="false" customHeight="true" outlineLevel="0" collapsed="false">
      <c r="A921" s="24" t="s">
        <v>1651</v>
      </c>
      <c r="B921" s="32" t="s">
        <v>5853</v>
      </c>
      <c r="C921" s="22" t="s">
        <v>5854</v>
      </c>
      <c r="D921" s="32" t="s">
        <v>5843</v>
      </c>
      <c r="E921" s="22" t="s">
        <v>3359</v>
      </c>
      <c r="F921" s="22" t="s">
        <v>3360</v>
      </c>
      <c r="G921" s="32" t="s">
        <v>5855</v>
      </c>
      <c r="H921" s="22" t="s">
        <v>5856</v>
      </c>
      <c r="I921" s="22" t="s">
        <v>3363</v>
      </c>
    </row>
    <row r="922" customFormat="false" ht="15" hidden="false" customHeight="true" outlineLevel="0" collapsed="false">
      <c r="A922" s="24" t="s">
        <v>1651</v>
      </c>
      <c r="B922" s="32" t="s">
        <v>5857</v>
      </c>
      <c r="C922" s="22" t="s">
        <v>5858</v>
      </c>
      <c r="D922" s="32" t="s">
        <v>5843</v>
      </c>
      <c r="E922" s="22" t="s">
        <v>3437</v>
      </c>
      <c r="F922" s="22" t="s">
        <v>3378</v>
      </c>
      <c r="G922" s="32" t="s">
        <v>3749</v>
      </c>
      <c r="H922" s="22" t="s">
        <v>5859</v>
      </c>
      <c r="I922" s="22" t="s">
        <v>3363</v>
      </c>
    </row>
    <row r="923" customFormat="false" ht="24.75" hidden="false" customHeight="true" outlineLevel="0" collapsed="false">
      <c r="A923" s="24" t="s">
        <v>1651</v>
      </c>
      <c r="B923" s="32" t="s">
        <v>5860</v>
      </c>
      <c r="C923" s="22" t="s">
        <v>5861</v>
      </c>
      <c r="D923" s="32" t="s">
        <v>5843</v>
      </c>
      <c r="E923" s="22" t="s">
        <v>3394</v>
      </c>
      <c r="F923" s="22" t="s">
        <v>3360</v>
      </c>
      <c r="G923" s="32" t="s">
        <v>5753</v>
      </c>
      <c r="H923" s="22" t="s">
        <v>5862</v>
      </c>
      <c r="I923" s="22" t="s">
        <v>3363</v>
      </c>
    </row>
    <row r="924" customFormat="false" ht="15" hidden="false" customHeight="true" outlineLevel="0" collapsed="false">
      <c r="A924" s="24" t="s">
        <v>1651</v>
      </c>
      <c r="B924" s="32" t="s">
        <v>5863</v>
      </c>
      <c r="C924" s="22" t="s">
        <v>5864</v>
      </c>
      <c r="D924" s="32" t="s">
        <v>5843</v>
      </c>
      <c r="E924" s="22" t="s">
        <v>3394</v>
      </c>
      <c r="F924" s="22" t="s">
        <v>3378</v>
      </c>
      <c r="G924" s="32" t="s">
        <v>5753</v>
      </c>
      <c r="H924" s="22" t="s">
        <v>5865</v>
      </c>
      <c r="I924" s="22" t="s">
        <v>3363</v>
      </c>
    </row>
    <row r="925" customFormat="false" ht="24.75" hidden="false" customHeight="true" outlineLevel="0" collapsed="false">
      <c r="A925" s="24" t="s">
        <v>1651</v>
      </c>
      <c r="B925" s="32" t="s">
        <v>5492</v>
      </c>
      <c r="C925" s="22" t="s">
        <v>5104</v>
      </c>
      <c r="D925" s="32" t="s">
        <v>5843</v>
      </c>
      <c r="E925" s="22" t="s">
        <v>3377</v>
      </c>
      <c r="F925" s="22" t="s">
        <v>3378</v>
      </c>
      <c r="G925" s="32" t="s">
        <v>5866</v>
      </c>
      <c r="H925" s="22" t="s">
        <v>5867</v>
      </c>
      <c r="I925" s="22" t="s">
        <v>3363</v>
      </c>
    </row>
    <row r="926" customFormat="false" ht="62.25" hidden="false" customHeight="true" outlineLevel="0" collapsed="false">
      <c r="A926" s="24" t="s">
        <v>1651</v>
      </c>
      <c r="B926" s="32" t="s">
        <v>5868</v>
      </c>
      <c r="C926" s="22" t="s">
        <v>5869</v>
      </c>
      <c r="D926" s="32" t="s">
        <v>5843</v>
      </c>
      <c r="E926" s="22" t="s">
        <v>3377</v>
      </c>
      <c r="F926" s="22" t="s">
        <v>3378</v>
      </c>
      <c r="G926" s="32" t="s">
        <v>5870</v>
      </c>
      <c r="H926" s="22" t="s">
        <v>5871</v>
      </c>
      <c r="I926" s="22" t="s">
        <v>3363</v>
      </c>
    </row>
    <row r="927" customFormat="false" ht="15" hidden="false" customHeight="true" outlineLevel="0" collapsed="false">
      <c r="A927" s="24" t="s">
        <v>1651</v>
      </c>
      <c r="B927" s="32" t="s">
        <v>5872</v>
      </c>
      <c r="C927" s="22" t="s">
        <v>4978</v>
      </c>
      <c r="D927" s="32" t="s">
        <v>5873</v>
      </c>
      <c r="E927" s="22" t="s">
        <v>3377</v>
      </c>
      <c r="F927" s="22" t="s">
        <v>3378</v>
      </c>
      <c r="G927" s="32" t="s">
        <v>5874</v>
      </c>
      <c r="H927" s="22" t="s">
        <v>5875</v>
      </c>
      <c r="I927" s="22" t="s">
        <v>3363</v>
      </c>
    </row>
    <row r="928" customFormat="false" ht="24.75" hidden="false" customHeight="true" outlineLevel="0" collapsed="false">
      <c r="A928" s="24" t="s">
        <v>1651</v>
      </c>
      <c r="B928" s="32" t="s">
        <v>5508</v>
      </c>
      <c r="C928" s="22" t="s">
        <v>5876</v>
      </c>
      <c r="D928" s="32" t="s">
        <v>5873</v>
      </c>
      <c r="E928" s="22" t="s">
        <v>3389</v>
      </c>
      <c r="F928" s="22" t="s">
        <v>3378</v>
      </c>
      <c r="G928" s="32" t="s">
        <v>5779</v>
      </c>
      <c r="H928" s="22" t="s">
        <v>5877</v>
      </c>
      <c r="I928" s="22" t="s">
        <v>3363</v>
      </c>
    </row>
    <row r="929" customFormat="false" ht="15" hidden="false" customHeight="true" outlineLevel="0" collapsed="false">
      <c r="A929" s="24" t="s">
        <v>1651</v>
      </c>
      <c r="B929" s="32" t="s">
        <v>5784</v>
      </c>
      <c r="C929" s="22" t="s">
        <v>5878</v>
      </c>
      <c r="D929" s="32" t="s">
        <v>5879</v>
      </c>
      <c r="E929" s="22" t="s">
        <v>3394</v>
      </c>
      <c r="F929" s="22" t="s">
        <v>3378</v>
      </c>
      <c r="G929" s="32" t="s">
        <v>5753</v>
      </c>
      <c r="H929" s="22" t="s">
        <v>5880</v>
      </c>
      <c r="I929" s="22" t="s">
        <v>3363</v>
      </c>
    </row>
    <row r="930" customFormat="false" ht="15" hidden="false" customHeight="true" outlineLevel="0" collapsed="false">
      <c r="A930" s="24" t="s">
        <v>1651</v>
      </c>
      <c r="B930" s="32" t="s">
        <v>5881</v>
      </c>
      <c r="C930" s="22" t="s">
        <v>5882</v>
      </c>
      <c r="D930" s="32" t="s">
        <v>5879</v>
      </c>
      <c r="E930" s="22" t="s">
        <v>3394</v>
      </c>
      <c r="F930" s="22" t="s">
        <v>3378</v>
      </c>
      <c r="G930" s="32" t="s">
        <v>5753</v>
      </c>
      <c r="H930" s="22"/>
      <c r="I930" s="22" t="s">
        <v>3363</v>
      </c>
    </row>
    <row r="931" customFormat="false" ht="15" hidden="false" customHeight="true" outlineLevel="0" collapsed="false">
      <c r="A931" s="24" t="s">
        <v>1651</v>
      </c>
      <c r="B931" s="32" t="s">
        <v>5790</v>
      </c>
      <c r="C931" s="22" t="s">
        <v>5883</v>
      </c>
      <c r="D931" s="32" t="s">
        <v>5879</v>
      </c>
      <c r="E931" s="22" t="s">
        <v>3394</v>
      </c>
      <c r="F931" s="22" t="s">
        <v>3378</v>
      </c>
      <c r="G931" s="32" t="s">
        <v>5753</v>
      </c>
      <c r="H931" s="22"/>
      <c r="I931" s="22" t="s">
        <v>3363</v>
      </c>
    </row>
    <row r="932" customFormat="false" ht="15" hidden="false" customHeight="true" outlineLevel="0" collapsed="false">
      <c r="A932" s="24" t="s">
        <v>1651</v>
      </c>
      <c r="B932" s="32" t="s">
        <v>5884</v>
      </c>
      <c r="C932" s="22" t="s">
        <v>5885</v>
      </c>
      <c r="D932" s="32" t="s">
        <v>5886</v>
      </c>
      <c r="E932" s="22" t="s">
        <v>3359</v>
      </c>
      <c r="F932" s="22" t="s">
        <v>3378</v>
      </c>
      <c r="G932" s="32" t="s">
        <v>5887</v>
      </c>
      <c r="H932" s="22" t="s">
        <v>5888</v>
      </c>
      <c r="I932" s="22" t="s">
        <v>3363</v>
      </c>
    </row>
    <row r="933" customFormat="false" ht="15" hidden="false" customHeight="true" outlineLevel="0" collapsed="false">
      <c r="A933" s="24" t="s">
        <v>1651</v>
      </c>
      <c r="B933" s="32" t="s">
        <v>5889</v>
      </c>
      <c r="C933" s="22" t="s">
        <v>5890</v>
      </c>
      <c r="D933" s="32" t="s">
        <v>5891</v>
      </c>
      <c r="E933" s="22" t="s">
        <v>3359</v>
      </c>
      <c r="F933" s="22" t="s">
        <v>3378</v>
      </c>
      <c r="G933" s="32" t="s">
        <v>5892</v>
      </c>
      <c r="H933" s="22"/>
      <c r="I933" s="22" t="s">
        <v>3363</v>
      </c>
    </row>
    <row r="934" customFormat="false" ht="15" hidden="false" customHeight="true" outlineLevel="0" collapsed="false">
      <c r="A934" s="24" t="s">
        <v>1651</v>
      </c>
      <c r="B934" s="32" t="s">
        <v>5893</v>
      </c>
      <c r="C934" s="22" t="s">
        <v>5894</v>
      </c>
      <c r="D934" s="32" t="s">
        <v>5895</v>
      </c>
      <c r="E934" s="22" t="s">
        <v>3359</v>
      </c>
      <c r="F934" s="22" t="s">
        <v>3378</v>
      </c>
      <c r="G934" s="32" t="s">
        <v>5896</v>
      </c>
      <c r="H934" s="22" t="s">
        <v>5897</v>
      </c>
      <c r="I934" s="22" t="s">
        <v>3363</v>
      </c>
    </row>
    <row r="935" customFormat="false" ht="24.75" hidden="false" customHeight="true" outlineLevel="0" collapsed="false">
      <c r="A935" s="24" t="s">
        <v>1651</v>
      </c>
      <c r="B935" s="32" t="s">
        <v>5898</v>
      </c>
      <c r="C935" s="22" t="s">
        <v>5899</v>
      </c>
      <c r="D935" s="32" t="s">
        <v>5895</v>
      </c>
      <c r="E935" s="22" t="s">
        <v>3389</v>
      </c>
      <c r="F935" s="22" t="s">
        <v>3378</v>
      </c>
      <c r="G935" s="32" t="s">
        <v>5779</v>
      </c>
      <c r="H935" s="22"/>
      <c r="I935" s="22" t="s">
        <v>3363</v>
      </c>
    </row>
    <row r="936" customFormat="false" ht="24.75" hidden="false" customHeight="true" outlineLevel="0" collapsed="false">
      <c r="A936" s="24" t="s">
        <v>1651</v>
      </c>
      <c r="B936" s="32" t="s">
        <v>5900</v>
      </c>
      <c r="C936" s="22" t="s">
        <v>5901</v>
      </c>
      <c r="D936" s="32" t="s">
        <v>5895</v>
      </c>
      <c r="E936" s="22" t="s">
        <v>3359</v>
      </c>
      <c r="F936" s="22" t="s">
        <v>3378</v>
      </c>
      <c r="G936" s="32" t="s">
        <v>5902</v>
      </c>
      <c r="H936" s="22"/>
      <c r="I936" s="22" t="s">
        <v>3363</v>
      </c>
    </row>
    <row r="937" customFormat="false" ht="15" hidden="false" customHeight="true" outlineLevel="0" collapsed="false">
      <c r="A937" s="24" t="s">
        <v>1651</v>
      </c>
      <c r="B937" s="32" t="s">
        <v>5903</v>
      </c>
      <c r="C937" s="22" t="s">
        <v>5904</v>
      </c>
      <c r="D937" s="32" t="s">
        <v>5895</v>
      </c>
      <c r="E937" s="22" t="s">
        <v>3359</v>
      </c>
      <c r="F937" s="22" t="s">
        <v>3378</v>
      </c>
      <c r="G937" s="32" t="s">
        <v>5905</v>
      </c>
      <c r="H937" s="22"/>
      <c r="I937" s="22" t="s">
        <v>3363</v>
      </c>
    </row>
    <row r="938" customFormat="false" ht="24.75" hidden="false" customHeight="true" outlineLevel="0" collapsed="false">
      <c r="A938" s="24" t="s">
        <v>1651</v>
      </c>
      <c r="B938" s="32" t="s">
        <v>5906</v>
      </c>
      <c r="C938" s="22" t="s">
        <v>5907</v>
      </c>
      <c r="D938" s="32" t="s">
        <v>5895</v>
      </c>
      <c r="E938" s="22" t="s">
        <v>3359</v>
      </c>
      <c r="F938" s="22" t="s">
        <v>3378</v>
      </c>
      <c r="G938" s="32" t="s">
        <v>5908</v>
      </c>
      <c r="H938" s="22" t="s">
        <v>5909</v>
      </c>
      <c r="I938" s="22" t="s">
        <v>3363</v>
      </c>
    </row>
    <row r="939" customFormat="false" ht="15" hidden="false" customHeight="true" outlineLevel="0" collapsed="false">
      <c r="A939" s="24" t="s">
        <v>1651</v>
      </c>
      <c r="B939" s="32" t="s">
        <v>5910</v>
      </c>
      <c r="C939" s="22" t="s">
        <v>5911</v>
      </c>
      <c r="D939" s="32" t="s">
        <v>5895</v>
      </c>
      <c r="E939" s="22" t="s">
        <v>3394</v>
      </c>
      <c r="F939" s="22" t="s">
        <v>3378</v>
      </c>
      <c r="G939" s="32" t="s">
        <v>5753</v>
      </c>
      <c r="H939" s="22"/>
      <c r="I939" s="22" t="s">
        <v>3363</v>
      </c>
    </row>
    <row r="940" customFormat="false" ht="24.75" hidden="false" customHeight="true" outlineLevel="0" collapsed="false">
      <c r="A940" s="24" t="s">
        <v>1651</v>
      </c>
      <c r="B940" s="32" t="s">
        <v>5912</v>
      </c>
      <c r="C940" s="22" t="s">
        <v>5913</v>
      </c>
      <c r="D940" s="32" t="s">
        <v>5914</v>
      </c>
      <c r="E940" s="22" t="s">
        <v>3394</v>
      </c>
      <c r="F940" s="22" t="s">
        <v>3378</v>
      </c>
      <c r="G940" s="32" t="s">
        <v>5753</v>
      </c>
      <c r="H940" s="22" t="s">
        <v>5915</v>
      </c>
      <c r="I940" s="22" t="s">
        <v>3363</v>
      </c>
    </row>
    <row r="941" customFormat="false" ht="15" hidden="false" customHeight="true" outlineLevel="0" collapsed="false">
      <c r="A941" s="24" t="s">
        <v>1737</v>
      </c>
      <c r="B941" s="32" t="s">
        <v>5718</v>
      </c>
      <c r="C941" s="22" t="s">
        <v>5838</v>
      </c>
      <c r="D941" s="32" t="s">
        <v>5720</v>
      </c>
      <c r="E941" s="22" t="s">
        <v>3359</v>
      </c>
      <c r="F941" s="22" t="s">
        <v>3360</v>
      </c>
      <c r="G941" s="32" t="s">
        <v>5721</v>
      </c>
      <c r="H941" s="22"/>
      <c r="I941" s="22" t="s">
        <v>3363</v>
      </c>
    </row>
    <row r="942" customFormat="false" ht="15" hidden="false" customHeight="true" outlineLevel="0" collapsed="false">
      <c r="A942" s="24" t="s">
        <v>1737</v>
      </c>
      <c r="B942" s="32" t="s">
        <v>4400</v>
      </c>
      <c r="C942" s="22" t="s">
        <v>4401</v>
      </c>
      <c r="D942" s="32" t="s">
        <v>5720</v>
      </c>
      <c r="E942" s="22" t="s">
        <v>3359</v>
      </c>
      <c r="F942" s="22" t="s">
        <v>3360</v>
      </c>
      <c r="G942" s="32" t="s">
        <v>5727</v>
      </c>
      <c r="H942" s="22"/>
      <c r="I942" s="22" t="s">
        <v>3363</v>
      </c>
    </row>
    <row r="943" customFormat="false" ht="15" hidden="false" customHeight="true" outlineLevel="0" collapsed="false">
      <c r="A943" s="24" t="s">
        <v>1737</v>
      </c>
      <c r="B943" s="32" t="s">
        <v>5916</v>
      </c>
      <c r="C943" s="22" t="s">
        <v>5917</v>
      </c>
      <c r="D943" s="32" t="s">
        <v>5918</v>
      </c>
      <c r="E943" s="22" t="s">
        <v>3359</v>
      </c>
      <c r="F943" s="22" t="s">
        <v>3360</v>
      </c>
      <c r="G943" s="32" t="s">
        <v>5919</v>
      </c>
      <c r="H943" s="22" t="s">
        <v>5920</v>
      </c>
      <c r="I943" s="22" t="s">
        <v>3363</v>
      </c>
    </row>
    <row r="944" customFormat="false" ht="15" hidden="false" customHeight="true" outlineLevel="0" collapsed="false">
      <c r="A944" s="24" t="s">
        <v>1737</v>
      </c>
      <c r="B944" s="32" t="s">
        <v>5921</v>
      </c>
      <c r="C944" s="22" t="s">
        <v>5922</v>
      </c>
      <c r="D944" s="32" t="s">
        <v>5918</v>
      </c>
      <c r="E944" s="22" t="s">
        <v>3394</v>
      </c>
      <c r="F944" s="22" t="s">
        <v>3360</v>
      </c>
      <c r="G944" s="32" t="s">
        <v>5753</v>
      </c>
      <c r="H944" s="22" t="s">
        <v>5923</v>
      </c>
      <c r="I944" s="22" t="s">
        <v>3363</v>
      </c>
    </row>
    <row r="945" customFormat="false" ht="24.75" hidden="false" customHeight="true" outlineLevel="0" collapsed="false">
      <c r="A945" s="24" t="s">
        <v>1737</v>
      </c>
      <c r="B945" s="32" t="s">
        <v>5924</v>
      </c>
      <c r="C945" s="22" t="s">
        <v>5925</v>
      </c>
      <c r="D945" s="32" t="s">
        <v>5918</v>
      </c>
      <c r="E945" s="22" t="s">
        <v>3394</v>
      </c>
      <c r="F945" s="22" t="s">
        <v>3360</v>
      </c>
      <c r="G945" s="32" t="s">
        <v>5753</v>
      </c>
      <c r="H945" s="22" t="s">
        <v>5926</v>
      </c>
      <c r="I945" s="22" t="s">
        <v>3363</v>
      </c>
    </row>
    <row r="946" customFormat="false" ht="15" hidden="false" customHeight="true" outlineLevel="0" collapsed="false">
      <c r="A946" s="24" t="s">
        <v>1737</v>
      </c>
      <c r="B946" s="32" t="s">
        <v>5927</v>
      </c>
      <c r="C946" s="22" t="s">
        <v>5928</v>
      </c>
      <c r="D946" s="32" t="s">
        <v>5929</v>
      </c>
      <c r="E946" s="22" t="s">
        <v>3394</v>
      </c>
      <c r="F946" s="22" t="s">
        <v>3378</v>
      </c>
      <c r="G946" s="32" t="s">
        <v>5753</v>
      </c>
      <c r="H946" s="22" t="s">
        <v>5930</v>
      </c>
      <c r="I946" s="22" t="s">
        <v>3363</v>
      </c>
    </row>
    <row r="947" customFormat="false" ht="15" hidden="false" customHeight="true" outlineLevel="0" collapsed="false">
      <c r="A947" s="24" t="s">
        <v>1680</v>
      </c>
      <c r="B947" s="32" t="s">
        <v>5718</v>
      </c>
      <c r="C947" s="22" t="s">
        <v>5838</v>
      </c>
      <c r="D947" s="32" t="s">
        <v>5931</v>
      </c>
      <c r="E947" s="22" t="s">
        <v>3359</v>
      </c>
      <c r="F947" s="22" t="s">
        <v>3360</v>
      </c>
      <c r="G947" s="32" t="s">
        <v>5721</v>
      </c>
      <c r="H947" s="22"/>
      <c r="I947" s="22" t="s">
        <v>3363</v>
      </c>
    </row>
    <row r="948" customFormat="false" ht="15" hidden="false" customHeight="true" outlineLevel="0" collapsed="false">
      <c r="A948" s="24" t="s">
        <v>1680</v>
      </c>
      <c r="B948" s="32" t="s">
        <v>5729</v>
      </c>
      <c r="C948" s="22" t="s">
        <v>5730</v>
      </c>
      <c r="D948" s="32" t="s">
        <v>5932</v>
      </c>
      <c r="E948" s="22" t="s">
        <v>3359</v>
      </c>
      <c r="F948" s="22" t="s">
        <v>3360</v>
      </c>
      <c r="G948" s="32" t="s">
        <v>5933</v>
      </c>
      <c r="H948" s="22"/>
      <c r="I948" s="22" t="s">
        <v>3363</v>
      </c>
    </row>
    <row r="949" customFormat="false" ht="24.75" hidden="false" customHeight="true" outlineLevel="0" collapsed="false">
      <c r="A949" s="24" t="s">
        <v>1680</v>
      </c>
      <c r="B949" s="32" t="s">
        <v>5934</v>
      </c>
      <c r="C949" s="22" t="s">
        <v>5935</v>
      </c>
      <c r="D949" s="32" t="s">
        <v>5932</v>
      </c>
      <c r="E949" s="22" t="s">
        <v>3377</v>
      </c>
      <c r="F949" s="22" t="s">
        <v>3360</v>
      </c>
      <c r="G949" s="32" t="s">
        <v>5936</v>
      </c>
      <c r="H949" s="22"/>
      <c r="I949" s="22" t="s">
        <v>3363</v>
      </c>
    </row>
    <row r="950" customFormat="false" ht="24.75" hidden="false" customHeight="true" outlineLevel="0" collapsed="false">
      <c r="A950" s="24" t="s">
        <v>1680</v>
      </c>
      <c r="B950" s="32" t="s">
        <v>5937</v>
      </c>
      <c r="C950" s="22" t="s">
        <v>5938</v>
      </c>
      <c r="D950" s="32" t="s">
        <v>5939</v>
      </c>
      <c r="E950" s="22" t="s">
        <v>3377</v>
      </c>
      <c r="F950" s="22" t="s">
        <v>3360</v>
      </c>
      <c r="G950" s="32" t="s">
        <v>5940</v>
      </c>
      <c r="H950" s="22"/>
      <c r="I950" s="22" t="s">
        <v>3363</v>
      </c>
    </row>
    <row r="951" customFormat="false" ht="15" hidden="false" customHeight="true" outlineLevel="0" collapsed="false">
      <c r="A951" s="24" t="s">
        <v>1680</v>
      </c>
      <c r="B951" s="32" t="s">
        <v>5094</v>
      </c>
      <c r="C951" s="22" t="s">
        <v>5095</v>
      </c>
      <c r="D951" s="32" t="s">
        <v>5941</v>
      </c>
      <c r="E951" s="22" t="s">
        <v>3359</v>
      </c>
      <c r="F951" s="22" t="s">
        <v>3360</v>
      </c>
      <c r="G951" s="32" t="s">
        <v>5942</v>
      </c>
      <c r="H951" s="22"/>
      <c r="I951" s="22" t="s">
        <v>3363</v>
      </c>
    </row>
    <row r="952" customFormat="false" ht="15" hidden="false" customHeight="true" outlineLevel="0" collapsed="false">
      <c r="A952" s="24" t="s">
        <v>1680</v>
      </c>
      <c r="B952" s="32" t="s">
        <v>3824</v>
      </c>
      <c r="C952" s="22" t="s">
        <v>3825</v>
      </c>
      <c r="D952" s="32" t="s">
        <v>5941</v>
      </c>
      <c r="E952" s="22" t="s">
        <v>3389</v>
      </c>
      <c r="F952" s="22" t="s">
        <v>3360</v>
      </c>
      <c r="G952" s="32" t="s">
        <v>5943</v>
      </c>
      <c r="H952" s="22" t="s">
        <v>5944</v>
      </c>
      <c r="I952" s="22" t="s">
        <v>3363</v>
      </c>
    </row>
    <row r="953" customFormat="false" ht="24.75" hidden="false" customHeight="true" outlineLevel="0" collapsed="false">
      <c r="A953" s="24" t="s">
        <v>1680</v>
      </c>
      <c r="B953" s="32" t="s">
        <v>5945</v>
      </c>
      <c r="C953" s="22" t="s">
        <v>5946</v>
      </c>
      <c r="D953" s="32" t="s">
        <v>5931</v>
      </c>
      <c r="E953" s="22" t="s">
        <v>3377</v>
      </c>
      <c r="F953" s="22" t="s">
        <v>3360</v>
      </c>
      <c r="G953" s="32" t="s">
        <v>5947</v>
      </c>
      <c r="H953" s="22"/>
      <c r="I953" s="22" t="s">
        <v>3363</v>
      </c>
    </row>
    <row r="954" customFormat="false" ht="15" hidden="false" customHeight="true" outlineLevel="0" collapsed="false">
      <c r="A954" s="24" t="s">
        <v>1680</v>
      </c>
      <c r="B954" s="32" t="s">
        <v>5948</v>
      </c>
      <c r="C954" s="22" t="s">
        <v>5949</v>
      </c>
      <c r="D954" s="32" t="s">
        <v>5950</v>
      </c>
      <c r="E954" s="22" t="s">
        <v>3377</v>
      </c>
      <c r="F954" s="22" t="s">
        <v>3378</v>
      </c>
      <c r="G954" s="32" t="s">
        <v>5947</v>
      </c>
      <c r="H954" s="22"/>
      <c r="I954" s="22" t="s">
        <v>3363</v>
      </c>
    </row>
    <row r="955" customFormat="false" ht="15" hidden="false" customHeight="true" outlineLevel="0" collapsed="false">
      <c r="A955" s="24" t="s">
        <v>1680</v>
      </c>
      <c r="B955" s="32" t="s">
        <v>5951</v>
      </c>
      <c r="C955" s="22" t="s">
        <v>5952</v>
      </c>
      <c r="D955" s="32" t="s">
        <v>5953</v>
      </c>
      <c r="E955" s="22" t="s">
        <v>3389</v>
      </c>
      <c r="F955" s="22" t="s">
        <v>3378</v>
      </c>
      <c r="G955" s="32" t="s">
        <v>5943</v>
      </c>
      <c r="H955" s="22" t="s">
        <v>5954</v>
      </c>
      <c r="I955" s="22" t="s">
        <v>3363</v>
      </c>
    </row>
    <row r="956" customFormat="false" ht="15" hidden="false" customHeight="true" outlineLevel="0" collapsed="false">
      <c r="A956" s="24" t="s">
        <v>1680</v>
      </c>
      <c r="B956" s="32" t="s">
        <v>5955</v>
      </c>
      <c r="C956" s="22" t="s">
        <v>5956</v>
      </c>
      <c r="D956" s="32" t="s">
        <v>5957</v>
      </c>
      <c r="E956" s="22" t="s">
        <v>3394</v>
      </c>
      <c r="F956" s="22" t="s">
        <v>3378</v>
      </c>
      <c r="G956" s="32" t="s">
        <v>5753</v>
      </c>
      <c r="H956" s="22" t="s">
        <v>5958</v>
      </c>
      <c r="I956" s="22" t="s">
        <v>3363</v>
      </c>
    </row>
    <row r="957" customFormat="false" ht="15" hidden="false" customHeight="true" outlineLevel="0" collapsed="false">
      <c r="A957" s="24" t="s">
        <v>1680</v>
      </c>
      <c r="B957" s="32" t="s">
        <v>5959</v>
      </c>
      <c r="C957" s="22" t="s">
        <v>5960</v>
      </c>
      <c r="D957" s="32" t="s">
        <v>5961</v>
      </c>
      <c r="E957" s="22" t="s">
        <v>3394</v>
      </c>
      <c r="F957" s="22" t="s">
        <v>3378</v>
      </c>
      <c r="G957" s="32" t="s">
        <v>5753</v>
      </c>
      <c r="H957" s="22" t="s">
        <v>5962</v>
      </c>
      <c r="I957" s="22" t="s">
        <v>3363</v>
      </c>
    </row>
    <row r="958" customFormat="false" ht="24.75" hidden="false" customHeight="true" outlineLevel="0" collapsed="false">
      <c r="A958" s="24" t="s">
        <v>1680</v>
      </c>
      <c r="B958" s="32" t="s">
        <v>5963</v>
      </c>
      <c r="C958" s="22" t="s">
        <v>5964</v>
      </c>
      <c r="D958" s="32" t="s">
        <v>5965</v>
      </c>
      <c r="E958" s="22" t="s">
        <v>3394</v>
      </c>
      <c r="F958" s="22" t="s">
        <v>3378</v>
      </c>
      <c r="G958" s="32" t="s">
        <v>5753</v>
      </c>
      <c r="H958" s="22" t="s">
        <v>5966</v>
      </c>
      <c r="I958" s="22" t="s">
        <v>3363</v>
      </c>
    </row>
    <row r="959" customFormat="false" ht="15" hidden="false" customHeight="true" outlineLevel="0" collapsed="false">
      <c r="A959" s="24" t="s">
        <v>1680</v>
      </c>
      <c r="B959" s="32" t="s">
        <v>5967</v>
      </c>
      <c r="C959" s="22" t="s">
        <v>5968</v>
      </c>
      <c r="D959" s="32" t="s">
        <v>5965</v>
      </c>
      <c r="E959" s="22" t="s">
        <v>3394</v>
      </c>
      <c r="F959" s="22" t="s">
        <v>3378</v>
      </c>
      <c r="G959" s="32" t="s">
        <v>5753</v>
      </c>
      <c r="H959" s="22" t="s">
        <v>5969</v>
      </c>
      <c r="I959" s="22" t="s">
        <v>3363</v>
      </c>
    </row>
    <row r="960" customFormat="false" ht="15" hidden="false" customHeight="true" outlineLevel="0" collapsed="false">
      <c r="A960" s="24" t="s">
        <v>1680</v>
      </c>
      <c r="B960" s="32" t="s">
        <v>5970</v>
      </c>
      <c r="C960" s="22" t="s">
        <v>5971</v>
      </c>
      <c r="D960" s="32" t="s">
        <v>5965</v>
      </c>
      <c r="E960" s="22" t="s">
        <v>3394</v>
      </c>
      <c r="F960" s="22" t="s">
        <v>3378</v>
      </c>
      <c r="G960" s="32" t="s">
        <v>5753</v>
      </c>
      <c r="H960" s="22"/>
      <c r="I960" s="22" t="s">
        <v>3363</v>
      </c>
    </row>
    <row r="961" customFormat="false" ht="15" hidden="false" customHeight="true" outlineLevel="0" collapsed="false">
      <c r="A961" s="24" t="s">
        <v>1680</v>
      </c>
      <c r="B961" s="32" t="s">
        <v>5972</v>
      </c>
      <c r="C961" s="22" t="s">
        <v>5973</v>
      </c>
      <c r="D961" s="32" t="s">
        <v>5974</v>
      </c>
      <c r="E961" s="22" t="s">
        <v>3394</v>
      </c>
      <c r="F961" s="22" t="s">
        <v>3360</v>
      </c>
      <c r="G961" s="32" t="s">
        <v>5753</v>
      </c>
      <c r="H961" s="22"/>
      <c r="I961" s="22" t="s">
        <v>3363</v>
      </c>
    </row>
    <row r="962" customFormat="false" ht="15" hidden="false" customHeight="true" outlineLevel="0" collapsed="false">
      <c r="A962" s="24" t="s">
        <v>1680</v>
      </c>
      <c r="B962" s="32" t="s">
        <v>5975</v>
      </c>
      <c r="C962" s="22" t="s">
        <v>5976</v>
      </c>
      <c r="D962" s="32" t="s">
        <v>5974</v>
      </c>
      <c r="E962" s="22" t="s">
        <v>3394</v>
      </c>
      <c r="F962" s="22" t="s">
        <v>3378</v>
      </c>
      <c r="G962" s="32" t="s">
        <v>5753</v>
      </c>
      <c r="H962" s="22"/>
      <c r="I962" s="22" t="s">
        <v>3363</v>
      </c>
    </row>
    <row r="963" customFormat="false" ht="24.75" hidden="false" customHeight="true" outlineLevel="0" collapsed="false">
      <c r="A963" s="24" t="s">
        <v>1680</v>
      </c>
      <c r="B963" s="32" t="s">
        <v>5977</v>
      </c>
      <c r="C963" s="22" t="s">
        <v>5978</v>
      </c>
      <c r="D963" s="32" t="s">
        <v>5974</v>
      </c>
      <c r="E963" s="22" t="s">
        <v>3394</v>
      </c>
      <c r="F963" s="22" t="s">
        <v>3360</v>
      </c>
      <c r="G963" s="32" t="s">
        <v>5979</v>
      </c>
      <c r="H963" s="22"/>
      <c r="I963" s="22" t="s">
        <v>3363</v>
      </c>
    </row>
    <row r="964" customFormat="false" ht="15" hidden="false" customHeight="true" outlineLevel="0" collapsed="false">
      <c r="A964" s="24" t="s">
        <v>1680</v>
      </c>
      <c r="B964" s="32" t="s">
        <v>5980</v>
      </c>
      <c r="C964" s="22" t="s">
        <v>5981</v>
      </c>
      <c r="D964" s="32" t="s">
        <v>5982</v>
      </c>
      <c r="E964" s="22" t="s">
        <v>3394</v>
      </c>
      <c r="F964" s="22" t="s">
        <v>3360</v>
      </c>
      <c r="G964" s="32" t="s">
        <v>5753</v>
      </c>
      <c r="H964" s="22"/>
      <c r="I964" s="22" t="s">
        <v>3363</v>
      </c>
    </row>
    <row r="965" customFormat="false" ht="15" hidden="false" customHeight="true" outlineLevel="0" collapsed="false">
      <c r="A965" s="24" t="s">
        <v>1680</v>
      </c>
      <c r="B965" s="32" t="s">
        <v>5983</v>
      </c>
      <c r="C965" s="22" t="s">
        <v>5984</v>
      </c>
      <c r="D965" s="32" t="s">
        <v>5982</v>
      </c>
      <c r="E965" s="22" t="s">
        <v>3394</v>
      </c>
      <c r="F965" s="22" t="s">
        <v>3378</v>
      </c>
      <c r="G965" s="32" t="s">
        <v>5753</v>
      </c>
      <c r="H965" s="22"/>
      <c r="I965" s="22" t="s">
        <v>3363</v>
      </c>
    </row>
    <row r="966" customFormat="false" ht="15" hidden="false" customHeight="true" outlineLevel="0" collapsed="false">
      <c r="A966" s="24" t="s">
        <v>1680</v>
      </c>
      <c r="B966" s="32" t="s">
        <v>5985</v>
      </c>
      <c r="C966" s="22" t="s">
        <v>5986</v>
      </c>
      <c r="D966" s="32" t="s">
        <v>5982</v>
      </c>
      <c r="E966" s="22" t="s">
        <v>3394</v>
      </c>
      <c r="F966" s="22" t="s">
        <v>3378</v>
      </c>
      <c r="G966" s="32" t="s">
        <v>5753</v>
      </c>
      <c r="H966" s="22"/>
      <c r="I966" s="22" t="s">
        <v>3363</v>
      </c>
    </row>
    <row r="967" customFormat="false" ht="15" hidden="false" customHeight="true" outlineLevel="0" collapsed="false">
      <c r="A967" s="24" t="s">
        <v>1680</v>
      </c>
      <c r="B967" s="32" t="s">
        <v>5987</v>
      </c>
      <c r="C967" s="22" t="s">
        <v>5988</v>
      </c>
      <c r="D967" s="32" t="s">
        <v>5982</v>
      </c>
      <c r="E967" s="22" t="s">
        <v>3394</v>
      </c>
      <c r="F967" s="22" t="s">
        <v>3360</v>
      </c>
      <c r="G967" s="32" t="s">
        <v>5753</v>
      </c>
      <c r="H967" s="22"/>
      <c r="I967" s="22" t="s">
        <v>3363</v>
      </c>
    </row>
    <row r="968" customFormat="false" ht="15" hidden="false" customHeight="true" outlineLevel="0" collapsed="false">
      <c r="A968" s="24" t="s">
        <v>1680</v>
      </c>
      <c r="B968" s="32" t="s">
        <v>5989</v>
      </c>
      <c r="C968" s="22" t="s">
        <v>5990</v>
      </c>
      <c r="D968" s="32" t="s">
        <v>5982</v>
      </c>
      <c r="E968" s="22" t="s">
        <v>3394</v>
      </c>
      <c r="F968" s="22" t="s">
        <v>3378</v>
      </c>
      <c r="G968" s="32" t="s">
        <v>5753</v>
      </c>
      <c r="H968" s="22"/>
      <c r="I968" s="22" t="s">
        <v>3363</v>
      </c>
    </row>
    <row r="969" customFormat="false" ht="15" hidden="false" customHeight="true" outlineLevel="0" collapsed="false">
      <c r="A969" s="24" t="s">
        <v>1680</v>
      </c>
      <c r="B969" s="32" t="s">
        <v>5991</v>
      </c>
      <c r="C969" s="22" t="s">
        <v>5992</v>
      </c>
      <c r="D969" s="32" t="s">
        <v>5982</v>
      </c>
      <c r="E969" s="22" t="s">
        <v>3394</v>
      </c>
      <c r="F969" s="22" t="s">
        <v>3378</v>
      </c>
      <c r="G969" s="32" t="s">
        <v>5753</v>
      </c>
      <c r="H969" s="22"/>
      <c r="I969" s="22" t="s">
        <v>3363</v>
      </c>
    </row>
    <row r="970" customFormat="false" ht="15" hidden="false" customHeight="true" outlineLevel="0" collapsed="false">
      <c r="A970" s="24" t="s">
        <v>1680</v>
      </c>
      <c r="B970" s="32" t="s">
        <v>5993</v>
      </c>
      <c r="C970" s="22" t="s">
        <v>5994</v>
      </c>
      <c r="D970" s="32" t="s">
        <v>5982</v>
      </c>
      <c r="E970" s="22" t="s">
        <v>3394</v>
      </c>
      <c r="F970" s="22" t="s">
        <v>3378</v>
      </c>
      <c r="G970" s="32" t="s">
        <v>5753</v>
      </c>
      <c r="H970" s="22"/>
      <c r="I970" s="22" t="s">
        <v>3363</v>
      </c>
    </row>
    <row r="971" customFormat="false" ht="15" hidden="false" customHeight="true" outlineLevel="0" collapsed="false">
      <c r="A971" s="24" t="s">
        <v>1680</v>
      </c>
      <c r="B971" s="32" t="s">
        <v>5995</v>
      </c>
      <c r="C971" s="22" t="s">
        <v>5996</v>
      </c>
      <c r="D971" s="32" t="s">
        <v>5982</v>
      </c>
      <c r="E971" s="22" t="s">
        <v>3394</v>
      </c>
      <c r="F971" s="22" t="s">
        <v>3378</v>
      </c>
      <c r="G971" s="32" t="s">
        <v>5753</v>
      </c>
      <c r="H971" s="22"/>
      <c r="I971" s="22" t="s">
        <v>3363</v>
      </c>
    </row>
    <row r="972" customFormat="false" ht="15" hidden="false" customHeight="true" outlineLevel="0" collapsed="false">
      <c r="A972" s="24" t="s">
        <v>1680</v>
      </c>
      <c r="B972" s="32" t="s">
        <v>5997</v>
      </c>
      <c r="C972" s="22" t="s">
        <v>5998</v>
      </c>
      <c r="D972" s="32" t="s">
        <v>5982</v>
      </c>
      <c r="E972" s="22" t="s">
        <v>3394</v>
      </c>
      <c r="F972" s="22" t="s">
        <v>3378</v>
      </c>
      <c r="G972" s="32" t="s">
        <v>5753</v>
      </c>
      <c r="H972" s="22"/>
      <c r="I972" s="22" t="s">
        <v>3363</v>
      </c>
    </row>
    <row r="973" customFormat="false" ht="15" hidden="false" customHeight="true" outlineLevel="0" collapsed="false">
      <c r="A973" s="24" t="s">
        <v>1680</v>
      </c>
      <c r="B973" s="32" t="s">
        <v>5999</v>
      </c>
      <c r="C973" s="22" t="s">
        <v>6000</v>
      </c>
      <c r="D973" s="32" t="s">
        <v>6001</v>
      </c>
      <c r="E973" s="22" t="s">
        <v>3394</v>
      </c>
      <c r="F973" s="22" t="s">
        <v>3378</v>
      </c>
      <c r="G973" s="32" t="s">
        <v>5753</v>
      </c>
      <c r="H973" s="22" t="s">
        <v>6002</v>
      </c>
      <c r="I973" s="22" t="s">
        <v>3363</v>
      </c>
    </row>
    <row r="974" customFormat="false" ht="15" hidden="false" customHeight="true" outlineLevel="0" collapsed="false">
      <c r="A974" s="24" t="s">
        <v>1680</v>
      </c>
      <c r="B974" s="32" t="s">
        <v>6003</v>
      </c>
      <c r="C974" s="22" t="s">
        <v>56</v>
      </c>
      <c r="D974" s="32" t="s">
        <v>6001</v>
      </c>
      <c r="E974" s="22" t="s">
        <v>3394</v>
      </c>
      <c r="F974" s="22" t="s">
        <v>3378</v>
      </c>
      <c r="G974" s="32" t="s">
        <v>5753</v>
      </c>
      <c r="H974" s="22" t="s">
        <v>6004</v>
      </c>
      <c r="I974" s="22" t="s">
        <v>3363</v>
      </c>
    </row>
    <row r="975" customFormat="false" ht="15" hidden="false" customHeight="true" outlineLevel="0" collapsed="false">
      <c r="A975" s="24" t="s">
        <v>1680</v>
      </c>
      <c r="B975" s="32" t="s">
        <v>6005</v>
      </c>
      <c r="C975" s="22" t="s">
        <v>58</v>
      </c>
      <c r="D975" s="32" t="s">
        <v>6001</v>
      </c>
      <c r="E975" s="22" t="s">
        <v>3394</v>
      </c>
      <c r="F975" s="22" t="s">
        <v>3378</v>
      </c>
      <c r="G975" s="32" t="s">
        <v>5753</v>
      </c>
      <c r="H975" s="22"/>
      <c r="I975" s="22" t="s">
        <v>3363</v>
      </c>
    </row>
    <row r="976" customFormat="false" ht="15" hidden="false" customHeight="true" outlineLevel="0" collapsed="false">
      <c r="A976" s="24" t="s">
        <v>1680</v>
      </c>
      <c r="B976" s="32" t="s">
        <v>6006</v>
      </c>
      <c r="C976" s="22" t="s">
        <v>6007</v>
      </c>
      <c r="D976" s="32" t="s">
        <v>6001</v>
      </c>
      <c r="E976" s="22" t="s">
        <v>3394</v>
      </c>
      <c r="F976" s="22" t="s">
        <v>3378</v>
      </c>
      <c r="G976" s="32" t="s">
        <v>5753</v>
      </c>
      <c r="H976" s="22"/>
      <c r="I976" s="22" t="s">
        <v>3363</v>
      </c>
    </row>
    <row r="977" customFormat="false" ht="15" hidden="false" customHeight="true" outlineLevel="0" collapsed="false">
      <c r="A977" s="24" t="s">
        <v>1680</v>
      </c>
      <c r="B977" s="32" t="s">
        <v>6008</v>
      </c>
      <c r="C977" s="22" t="s">
        <v>6009</v>
      </c>
      <c r="D977" s="32" t="s">
        <v>5982</v>
      </c>
      <c r="E977" s="22" t="s">
        <v>3394</v>
      </c>
      <c r="F977" s="22" t="s">
        <v>3360</v>
      </c>
      <c r="G977" s="32" t="s">
        <v>6010</v>
      </c>
      <c r="H977" s="22"/>
      <c r="I977" s="22" t="s">
        <v>3363</v>
      </c>
    </row>
    <row r="978" customFormat="false" ht="15" hidden="false" customHeight="true" outlineLevel="0" collapsed="false">
      <c r="A978" s="24" t="s">
        <v>1680</v>
      </c>
      <c r="B978" s="32" t="s">
        <v>6011</v>
      </c>
      <c r="C978" s="22" t="s">
        <v>6012</v>
      </c>
      <c r="D978" s="32" t="s">
        <v>6013</v>
      </c>
      <c r="E978" s="22" t="s">
        <v>3359</v>
      </c>
      <c r="F978" s="22" t="s">
        <v>3378</v>
      </c>
      <c r="G978" s="32" t="s">
        <v>5896</v>
      </c>
      <c r="H978" s="22" t="s">
        <v>6014</v>
      </c>
      <c r="I978" s="22" t="s">
        <v>3363</v>
      </c>
    </row>
    <row r="979" customFormat="false" ht="15" hidden="false" customHeight="true" outlineLevel="0" collapsed="false">
      <c r="A979" s="24" t="s">
        <v>1680</v>
      </c>
      <c r="B979" s="32" t="s">
        <v>6015</v>
      </c>
      <c r="C979" s="22" t="s">
        <v>6016</v>
      </c>
      <c r="D979" s="32" t="s">
        <v>6013</v>
      </c>
      <c r="E979" s="22" t="s">
        <v>3389</v>
      </c>
      <c r="F979" s="22" t="s">
        <v>3378</v>
      </c>
      <c r="G979" s="32" t="s">
        <v>5943</v>
      </c>
      <c r="H979" s="22"/>
      <c r="I979" s="22" t="s">
        <v>3363</v>
      </c>
    </row>
    <row r="980" customFormat="false" ht="24.75" hidden="false" customHeight="true" outlineLevel="0" collapsed="false">
      <c r="A980" s="24" t="s">
        <v>1680</v>
      </c>
      <c r="B980" s="32" t="s">
        <v>6017</v>
      </c>
      <c r="C980" s="22" t="s">
        <v>6018</v>
      </c>
      <c r="D980" s="32" t="s">
        <v>6013</v>
      </c>
      <c r="E980" s="22" t="s">
        <v>3359</v>
      </c>
      <c r="F980" s="22" t="s">
        <v>3378</v>
      </c>
      <c r="G980" s="32" t="s">
        <v>5902</v>
      </c>
      <c r="H980" s="22"/>
      <c r="I980" s="22" t="s">
        <v>3363</v>
      </c>
    </row>
    <row r="981" customFormat="false" ht="15" hidden="false" customHeight="true" outlineLevel="0" collapsed="false">
      <c r="A981" s="24" t="s">
        <v>1680</v>
      </c>
      <c r="B981" s="32" t="s">
        <v>6019</v>
      </c>
      <c r="C981" s="22" t="s">
        <v>6020</v>
      </c>
      <c r="D981" s="32" t="s">
        <v>6013</v>
      </c>
      <c r="E981" s="22" t="s">
        <v>3394</v>
      </c>
      <c r="F981" s="22" t="s">
        <v>3378</v>
      </c>
      <c r="G981" s="32" t="s">
        <v>5753</v>
      </c>
      <c r="H981" s="22"/>
      <c r="I981" s="22" t="s">
        <v>3363</v>
      </c>
    </row>
    <row r="982" customFormat="false" ht="15" hidden="false" customHeight="true" outlineLevel="0" collapsed="false">
      <c r="A982" s="24" t="s">
        <v>1680</v>
      </c>
      <c r="B982" s="32" t="s">
        <v>6021</v>
      </c>
      <c r="C982" s="22" t="s">
        <v>6022</v>
      </c>
      <c r="D982" s="32" t="s">
        <v>6023</v>
      </c>
      <c r="E982" s="22" t="s">
        <v>3359</v>
      </c>
      <c r="F982" s="22" t="s">
        <v>3378</v>
      </c>
      <c r="G982" s="32" t="s">
        <v>5749</v>
      </c>
      <c r="H982" s="22"/>
      <c r="I982" s="22" t="s">
        <v>3363</v>
      </c>
    </row>
    <row r="983" customFormat="false" ht="15" hidden="false" customHeight="true" outlineLevel="0" collapsed="false">
      <c r="A983" s="24" t="s">
        <v>1680</v>
      </c>
      <c r="B983" s="32" t="s">
        <v>6024</v>
      </c>
      <c r="C983" s="22" t="s">
        <v>6025</v>
      </c>
      <c r="D983" s="32" t="s">
        <v>6023</v>
      </c>
      <c r="E983" s="22" t="s">
        <v>3394</v>
      </c>
      <c r="F983" s="22" t="s">
        <v>3378</v>
      </c>
      <c r="G983" s="32" t="s">
        <v>5753</v>
      </c>
      <c r="H983" s="22" t="s">
        <v>6026</v>
      </c>
      <c r="I983" s="22" t="s">
        <v>3363</v>
      </c>
    </row>
    <row r="984" customFormat="false" ht="15" hidden="false" customHeight="true" outlineLevel="0" collapsed="false">
      <c r="A984" s="24" t="s">
        <v>1680</v>
      </c>
      <c r="B984" s="32" t="s">
        <v>6027</v>
      </c>
      <c r="C984" s="22" t="s">
        <v>6028</v>
      </c>
      <c r="D984" s="32" t="s">
        <v>6023</v>
      </c>
      <c r="E984" s="22" t="s">
        <v>3394</v>
      </c>
      <c r="F984" s="22" t="s">
        <v>3378</v>
      </c>
      <c r="G984" s="32" t="s">
        <v>5753</v>
      </c>
      <c r="H984" s="22"/>
      <c r="I984" s="22" t="s">
        <v>3363</v>
      </c>
    </row>
    <row r="985" customFormat="false" ht="24.75" hidden="false" customHeight="true" outlineLevel="0" collapsed="false">
      <c r="A985" s="24" t="s">
        <v>1680</v>
      </c>
      <c r="B985" s="32" t="s">
        <v>6029</v>
      </c>
      <c r="C985" s="22" t="s">
        <v>6030</v>
      </c>
      <c r="D985" s="32" t="s">
        <v>6031</v>
      </c>
      <c r="E985" s="22" t="s">
        <v>3359</v>
      </c>
      <c r="F985" s="22" t="s">
        <v>3378</v>
      </c>
      <c r="G985" s="32" t="s">
        <v>6032</v>
      </c>
      <c r="H985" s="22"/>
      <c r="I985" s="22" t="s">
        <v>3363</v>
      </c>
    </row>
    <row r="986" customFormat="false" ht="24.75" hidden="false" customHeight="true" outlineLevel="0" collapsed="false">
      <c r="A986" s="24" t="s">
        <v>1680</v>
      </c>
      <c r="B986" s="32" t="s">
        <v>6033</v>
      </c>
      <c r="C986" s="22" t="s">
        <v>6034</v>
      </c>
      <c r="D986" s="32" t="s">
        <v>6035</v>
      </c>
      <c r="E986" s="22" t="s">
        <v>3359</v>
      </c>
      <c r="F986" s="22" t="s">
        <v>3378</v>
      </c>
      <c r="G986" s="32" t="s">
        <v>6036</v>
      </c>
      <c r="H986" s="22" t="s">
        <v>6037</v>
      </c>
      <c r="I986" s="22" t="s">
        <v>3363</v>
      </c>
    </row>
    <row r="987" customFormat="false" ht="15" hidden="false" customHeight="true" outlineLevel="0" collapsed="false">
      <c r="A987" s="24" t="s">
        <v>1680</v>
      </c>
      <c r="B987" s="32" t="s">
        <v>6038</v>
      </c>
      <c r="C987" s="22" t="s">
        <v>6039</v>
      </c>
      <c r="D987" s="32" t="s">
        <v>6031</v>
      </c>
      <c r="E987" s="22" t="s">
        <v>3359</v>
      </c>
      <c r="F987" s="22" t="s">
        <v>3378</v>
      </c>
      <c r="G987" s="32" t="s">
        <v>5727</v>
      </c>
      <c r="H987" s="22"/>
      <c r="I987" s="22" t="s">
        <v>3363</v>
      </c>
    </row>
    <row r="988" customFormat="false" ht="24.75" hidden="false" customHeight="true" outlineLevel="0" collapsed="false">
      <c r="A988" s="24" t="s">
        <v>1680</v>
      </c>
      <c r="B988" s="32" t="s">
        <v>6040</v>
      </c>
      <c r="C988" s="22" t="s">
        <v>6041</v>
      </c>
      <c r="D988" s="32" t="s">
        <v>6031</v>
      </c>
      <c r="E988" s="22" t="s">
        <v>3394</v>
      </c>
      <c r="F988" s="22" t="s">
        <v>3378</v>
      </c>
      <c r="G988" s="32" t="s">
        <v>5753</v>
      </c>
      <c r="H988" s="22"/>
      <c r="I988" s="22" t="s">
        <v>3363</v>
      </c>
    </row>
    <row r="989" customFormat="false" ht="24.75" hidden="false" customHeight="true" outlineLevel="0" collapsed="false">
      <c r="A989" s="24" t="s">
        <v>1680</v>
      </c>
      <c r="B989" s="32" t="s">
        <v>6042</v>
      </c>
      <c r="C989" s="22" t="s">
        <v>6043</v>
      </c>
      <c r="D989" s="32" t="s">
        <v>6031</v>
      </c>
      <c r="E989" s="22" t="s">
        <v>3394</v>
      </c>
      <c r="F989" s="22" t="s">
        <v>3378</v>
      </c>
      <c r="G989" s="32" t="s">
        <v>5753</v>
      </c>
      <c r="H989" s="22"/>
      <c r="I989" s="22" t="s">
        <v>3363</v>
      </c>
    </row>
    <row r="990" customFormat="false" ht="24.75" hidden="false" customHeight="true" outlineLevel="0" collapsed="false">
      <c r="A990" s="24" t="s">
        <v>1680</v>
      </c>
      <c r="B990" s="32" t="s">
        <v>6044</v>
      </c>
      <c r="C990" s="22" t="s">
        <v>6045</v>
      </c>
      <c r="D990" s="32" t="s">
        <v>6031</v>
      </c>
      <c r="E990" s="22" t="s">
        <v>3394</v>
      </c>
      <c r="F990" s="22" t="s">
        <v>3378</v>
      </c>
      <c r="G990" s="32" t="s">
        <v>5753</v>
      </c>
      <c r="H990" s="22" t="s">
        <v>6046</v>
      </c>
      <c r="I990" s="22" t="s">
        <v>3363</v>
      </c>
    </row>
    <row r="991" customFormat="false" ht="24.75" hidden="false" customHeight="true" outlineLevel="0" collapsed="false">
      <c r="A991" s="24" t="s">
        <v>1680</v>
      </c>
      <c r="B991" s="32" t="s">
        <v>6047</v>
      </c>
      <c r="C991" s="22" t="s">
        <v>6048</v>
      </c>
      <c r="D991" s="32" t="s">
        <v>6031</v>
      </c>
      <c r="E991" s="22" t="s">
        <v>3394</v>
      </c>
      <c r="F991" s="22" t="s">
        <v>3378</v>
      </c>
      <c r="G991" s="32" t="s">
        <v>5753</v>
      </c>
      <c r="H991" s="22" t="s">
        <v>6049</v>
      </c>
      <c r="I991" s="22" t="s">
        <v>3363</v>
      </c>
    </row>
    <row r="992" customFormat="false" ht="15" hidden="false" customHeight="true" outlineLevel="0" collapsed="false">
      <c r="A992" s="24" t="s">
        <v>1680</v>
      </c>
      <c r="B992" s="32" t="s">
        <v>6050</v>
      </c>
      <c r="C992" s="22" t="s">
        <v>6051</v>
      </c>
      <c r="D992" s="32" t="s">
        <v>6031</v>
      </c>
      <c r="E992" s="22" t="s">
        <v>3377</v>
      </c>
      <c r="F992" s="22" t="s">
        <v>3378</v>
      </c>
      <c r="G992" s="32" t="s">
        <v>6052</v>
      </c>
      <c r="H992" s="22"/>
      <c r="I992" s="22" t="s">
        <v>3363</v>
      </c>
    </row>
    <row r="993" customFormat="false" ht="15" hidden="false" customHeight="true" outlineLevel="0" collapsed="false">
      <c r="A993" s="24" t="s">
        <v>1680</v>
      </c>
      <c r="B993" s="32" t="s">
        <v>6053</v>
      </c>
      <c r="C993" s="22" t="s">
        <v>6054</v>
      </c>
      <c r="D993" s="32" t="s">
        <v>6031</v>
      </c>
      <c r="E993" s="22" t="s">
        <v>3394</v>
      </c>
      <c r="F993" s="22" t="s">
        <v>3378</v>
      </c>
      <c r="G993" s="32" t="s">
        <v>5753</v>
      </c>
      <c r="H993" s="22"/>
      <c r="I993" s="22" t="s">
        <v>3363</v>
      </c>
    </row>
    <row r="994" customFormat="false" ht="15" hidden="false" customHeight="true" outlineLevel="0" collapsed="false">
      <c r="A994" s="24" t="s">
        <v>1680</v>
      </c>
      <c r="B994" s="32" t="s">
        <v>6055</v>
      </c>
      <c r="C994" s="22" t="s">
        <v>6056</v>
      </c>
      <c r="D994" s="32" t="s">
        <v>6057</v>
      </c>
      <c r="E994" s="22" t="s">
        <v>3359</v>
      </c>
      <c r="F994" s="22" t="s">
        <v>3378</v>
      </c>
      <c r="G994" s="32" t="s">
        <v>5749</v>
      </c>
      <c r="H994" s="22"/>
      <c r="I994" s="22" t="s">
        <v>3363</v>
      </c>
    </row>
    <row r="995" customFormat="false" ht="15" hidden="false" customHeight="true" outlineLevel="0" collapsed="false">
      <c r="A995" s="24" t="s">
        <v>1680</v>
      </c>
      <c r="B995" s="32" t="s">
        <v>6058</v>
      </c>
      <c r="C995" s="22" t="s">
        <v>6059</v>
      </c>
      <c r="D995" s="32" t="s">
        <v>6057</v>
      </c>
      <c r="E995" s="22" t="s">
        <v>3394</v>
      </c>
      <c r="F995" s="22" t="s">
        <v>3378</v>
      </c>
      <c r="G995" s="32" t="s">
        <v>5753</v>
      </c>
      <c r="H995" s="22"/>
      <c r="I995" s="22" t="s">
        <v>3363</v>
      </c>
    </row>
    <row r="996" customFormat="false" ht="15" hidden="false" customHeight="true" outlineLevel="0" collapsed="false">
      <c r="A996" s="24" t="s">
        <v>3039</v>
      </c>
      <c r="B996" s="32" t="s">
        <v>6060</v>
      </c>
      <c r="C996" s="22" t="s">
        <v>6061</v>
      </c>
      <c r="D996" s="32" t="s">
        <v>6062</v>
      </c>
      <c r="E996" s="22" t="s">
        <v>3359</v>
      </c>
      <c r="F996" s="22" t="s">
        <v>3360</v>
      </c>
      <c r="G996" s="32" t="s">
        <v>6063</v>
      </c>
      <c r="H996" s="22" t="s">
        <v>6064</v>
      </c>
      <c r="I996" s="22" t="s">
        <v>3363</v>
      </c>
    </row>
    <row r="997" customFormat="false" ht="15" hidden="false" customHeight="true" outlineLevel="0" collapsed="false">
      <c r="A997" s="24" t="s">
        <v>3039</v>
      </c>
      <c r="B997" s="32" t="s">
        <v>6065</v>
      </c>
      <c r="C997" s="22" t="s">
        <v>6066</v>
      </c>
      <c r="D997" s="32" t="s">
        <v>5839</v>
      </c>
      <c r="E997" s="22" t="s">
        <v>3359</v>
      </c>
      <c r="F997" s="22" t="s">
        <v>3360</v>
      </c>
      <c r="G997" s="32" t="s">
        <v>5749</v>
      </c>
      <c r="H997" s="22"/>
      <c r="I997" s="22" t="s">
        <v>3363</v>
      </c>
    </row>
    <row r="998" customFormat="false" ht="15" hidden="false" customHeight="true" outlineLevel="0" collapsed="false">
      <c r="A998" s="24" t="s">
        <v>3039</v>
      </c>
      <c r="B998" s="32" t="s">
        <v>6067</v>
      </c>
      <c r="C998" s="22" t="s">
        <v>6068</v>
      </c>
      <c r="D998" s="32" t="s">
        <v>5839</v>
      </c>
      <c r="E998" s="22" t="s">
        <v>3359</v>
      </c>
      <c r="F998" s="22" t="s">
        <v>3360</v>
      </c>
      <c r="G998" s="32" t="s">
        <v>5721</v>
      </c>
      <c r="H998" s="22"/>
      <c r="I998" s="22" t="s">
        <v>3363</v>
      </c>
    </row>
    <row r="999" customFormat="false" ht="15" hidden="false" customHeight="true" outlineLevel="0" collapsed="false">
      <c r="A999" s="24" t="s">
        <v>3039</v>
      </c>
      <c r="B999" s="32" t="s">
        <v>6069</v>
      </c>
      <c r="C999" s="22" t="s">
        <v>6070</v>
      </c>
      <c r="D999" s="32" t="s">
        <v>5839</v>
      </c>
      <c r="E999" s="22" t="s">
        <v>3359</v>
      </c>
      <c r="F999" s="22" t="s">
        <v>3360</v>
      </c>
      <c r="G999" s="32" t="s">
        <v>5721</v>
      </c>
      <c r="H999" s="22" t="s">
        <v>6071</v>
      </c>
      <c r="I999" s="22" t="s">
        <v>3363</v>
      </c>
    </row>
    <row r="1000" customFormat="false" ht="15" hidden="false" customHeight="true" outlineLevel="0" collapsed="false">
      <c r="A1000" s="24" t="s">
        <v>3039</v>
      </c>
      <c r="B1000" s="32" t="s">
        <v>6072</v>
      </c>
      <c r="C1000" s="22" t="s">
        <v>6073</v>
      </c>
      <c r="D1000" s="32" t="s">
        <v>5839</v>
      </c>
      <c r="E1000" s="22" t="s">
        <v>3359</v>
      </c>
      <c r="F1000" s="22" t="s">
        <v>3360</v>
      </c>
      <c r="G1000" s="32"/>
      <c r="H1000" s="22"/>
      <c r="I1000" s="22" t="s">
        <v>3363</v>
      </c>
    </row>
    <row r="1001" customFormat="false" ht="15" hidden="false" customHeight="true" outlineLevel="0" collapsed="false">
      <c r="A1001" s="24" t="s">
        <v>3039</v>
      </c>
      <c r="B1001" s="32" t="s">
        <v>5729</v>
      </c>
      <c r="C1001" s="22" t="s">
        <v>6074</v>
      </c>
      <c r="D1001" s="32" t="s">
        <v>5839</v>
      </c>
      <c r="E1001" s="22" t="s">
        <v>3359</v>
      </c>
      <c r="F1001" s="22" t="s">
        <v>3360</v>
      </c>
      <c r="G1001" s="32" t="s">
        <v>5727</v>
      </c>
      <c r="H1001" s="22"/>
      <c r="I1001" s="22" t="s">
        <v>3363</v>
      </c>
    </row>
    <row r="1002" customFormat="false" ht="24.75" hidden="false" customHeight="true" outlineLevel="0" collapsed="false">
      <c r="A1002" s="24" t="s">
        <v>3039</v>
      </c>
      <c r="B1002" s="32" t="s">
        <v>5672</v>
      </c>
      <c r="C1002" s="22" t="s">
        <v>6075</v>
      </c>
      <c r="D1002" s="32" t="s">
        <v>5839</v>
      </c>
      <c r="E1002" s="22" t="s">
        <v>3389</v>
      </c>
      <c r="F1002" s="22" t="s">
        <v>3360</v>
      </c>
      <c r="G1002" s="32" t="s">
        <v>5779</v>
      </c>
      <c r="H1002" s="22"/>
      <c r="I1002" s="22" t="s">
        <v>3363</v>
      </c>
    </row>
    <row r="1003" customFormat="false" ht="24.75" hidden="false" customHeight="true" outlineLevel="0" collapsed="false">
      <c r="A1003" s="24" t="s">
        <v>3039</v>
      </c>
      <c r="B1003" s="32" t="s">
        <v>5674</v>
      </c>
      <c r="C1003" s="22" t="s">
        <v>6076</v>
      </c>
      <c r="D1003" s="32" t="s">
        <v>5839</v>
      </c>
      <c r="E1003" s="22" t="s">
        <v>3389</v>
      </c>
      <c r="F1003" s="22" t="s">
        <v>3360</v>
      </c>
      <c r="G1003" s="32" t="s">
        <v>5779</v>
      </c>
      <c r="H1003" s="22"/>
      <c r="I1003" s="22" t="s">
        <v>3363</v>
      </c>
    </row>
    <row r="1004" customFormat="false" ht="15" hidden="false" customHeight="true" outlineLevel="0" collapsed="false">
      <c r="A1004" s="24" t="s">
        <v>3039</v>
      </c>
      <c r="B1004" s="32" t="s">
        <v>1535</v>
      </c>
      <c r="C1004" s="22" t="s">
        <v>6077</v>
      </c>
      <c r="D1004" s="32" t="s">
        <v>6078</v>
      </c>
      <c r="E1004" s="22" t="s">
        <v>3377</v>
      </c>
      <c r="F1004" s="22" t="s">
        <v>3360</v>
      </c>
      <c r="G1004" s="32" t="s">
        <v>5874</v>
      </c>
      <c r="H1004" s="22"/>
      <c r="I1004" s="22" t="s">
        <v>3363</v>
      </c>
    </row>
    <row r="1005" customFormat="false" ht="24.75" hidden="false" customHeight="true" outlineLevel="0" collapsed="false">
      <c r="A1005" s="24" t="s">
        <v>3039</v>
      </c>
      <c r="B1005" s="32" t="s">
        <v>6079</v>
      </c>
      <c r="C1005" s="22" t="s">
        <v>6080</v>
      </c>
      <c r="D1005" s="32" t="s">
        <v>6078</v>
      </c>
      <c r="E1005" s="22" t="s">
        <v>3359</v>
      </c>
      <c r="F1005" s="22" t="s">
        <v>3360</v>
      </c>
      <c r="G1005" s="32" t="s">
        <v>6081</v>
      </c>
      <c r="H1005" s="22" t="s">
        <v>6082</v>
      </c>
      <c r="I1005" s="22" t="s">
        <v>3363</v>
      </c>
    </row>
    <row r="1006" customFormat="false" ht="15" hidden="false" customHeight="true" outlineLevel="0" collapsed="false">
      <c r="A1006" s="24" t="s">
        <v>3039</v>
      </c>
      <c r="B1006" s="32" t="s">
        <v>5784</v>
      </c>
      <c r="C1006" s="22" t="s">
        <v>5878</v>
      </c>
      <c r="D1006" s="32" t="s">
        <v>6078</v>
      </c>
      <c r="E1006" s="22" t="s">
        <v>3394</v>
      </c>
      <c r="F1006" s="22" t="s">
        <v>3360</v>
      </c>
      <c r="G1006" s="32" t="s">
        <v>5753</v>
      </c>
      <c r="H1006" s="22" t="s">
        <v>6083</v>
      </c>
      <c r="I1006" s="22" t="s">
        <v>3363</v>
      </c>
    </row>
    <row r="1007" customFormat="false" ht="15" hidden="false" customHeight="true" outlineLevel="0" collapsed="false">
      <c r="A1007" s="24" t="s">
        <v>3039</v>
      </c>
      <c r="B1007" s="32" t="s">
        <v>5787</v>
      </c>
      <c r="C1007" s="22" t="s">
        <v>6084</v>
      </c>
      <c r="D1007" s="32" t="s">
        <v>6078</v>
      </c>
      <c r="E1007" s="22" t="s">
        <v>3394</v>
      </c>
      <c r="F1007" s="22" t="s">
        <v>3360</v>
      </c>
      <c r="G1007" s="32" t="s">
        <v>5753</v>
      </c>
      <c r="H1007" s="22"/>
      <c r="I1007" s="22" t="s">
        <v>3363</v>
      </c>
    </row>
    <row r="1008" customFormat="false" ht="15" hidden="false" customHeight="true" outlineLevel="0" collapsed="false">
      <c r="A1008" s="24" t="s">
        <v>3039</v>
      </c>
      <c r="B1008" s="32" t="s">
        <v>6085</v>
      </c>
      <c r="C1008" s="22" t="s">
        <v>6086</v>
      </c>
      <c r="D1008" s="32" t="s">
        <v>6078</v>
      </c>
      <c r="E1008" s="22" t="s">
        <v>3394</v>
      </c>
      <c r="F1008" s="22" t="s">
        <v>3360</v>
      </c>
      <c r="G1008" s="32" t="s">
        <v>5753</v>
      </c>
      <c r="H1008" s="22"/>
      <c r="I1008" s="22" t="s">
        <v>3363</v>
      </c>
    </row>
    <row r="1009" customFormat="false" ht="15" hidden="false" customHeight="true" outlineLevel="0" collapsed="false">
      <c r="A1009" s="24" t="s">
        <v>3039</v>
      </c>
      <c r="B1009" s="32" t="s">
        <v>6087</v>
      </c>
      <c r="C1009" s="22" t="s">
        <v>6088</v>
      </c>
      <c r="D1009" s="32" t="s">
        <v>6089</v>
      </c>
      <c r="E1009" s="22" t="s">
        <v>3359</v>
      </c>
      <c r="F1009" s="22" t="s">
        <v>3378</v>
      </c>
      <c r="G1009" s="32" t="s">
        <v>5896</v>
      </c>
      <c r="H1009" s="22"/>
      <c r="I1009" s="22" t="s">
        <v>3363</v>
      </c>
    </row>
    <row r="1010" customFormat="false" ht="24.75" hidden="false" customHeight="true" outlineLevel="0" collapsed="false">
      <c r="A1010" s="24" t="s">
        <v>3039</v>
      </c>
      <c r="B1010" s="32" t="s">
        <v>6090</v>
      </c>
      <c r="C1010" s="22" t="s">
        <v>6091</v>
      </c>
      <c r="D1010" s="32" t="s">
        <v>6089</v>
      </c>
      <c r="E1010" s="22" t="s">
        <v>3389</v>
      </c>
      <c r="F1010" s="22" t="s">
        <v>3378</v>
      </c>
      <c r="G1010" s="32" t="s">
        <v>5779</v>
      </c>
      <c r="H1010" s="22"/>
      <c r="I1010" s="22" t="s">
        <v>3363</v>
      </c>
    </row>
    <row r="1011" customFormat="false" ht="24.75" hidden="false" customHeight="true" outlineLevel="0" collapsed="false">
      <c r="A1011" s="24" t="s">
        <v>3039</v>
      </c>
      <c r="B1011" s="32" t="s">
        <v>6092</v>
      </c>
      <c r="C1011" s="22" t="s">
        <v>6093</v>
      </c>
      <c r="D1011" s="32" t="s">
        <v>6089</v>
      </c>
      <c r="E1011" s="22" t="s">
        <v>3359</v>
      </c>
      <c r="F1011" s="22" t="s">
        <v>3378</v>
      </c>
      <c r="G1011" s="32" t="s">
        <v>5902</v>
      </c>
      <c r="H1011" s="22"/>
      <c r="I1011" s="22" t="s">
        <v>3363</v>
      </c>
    </row>
    <row r="1012" customFormat="false" ht="24.75" hidden="false" customHeight="true" outlineLevel="0" collapsed="false">
      <c r="A1012" s="24" t="s">
        <v>3039</v>
      </c>
      <c r="B1012" s="32" t="s">
        <v>6094</v>
      </c>
      <c r="C1012" s="22" t="s">
        <v>6095</v>
      </c>
      <c r="D1012" s="32" t="s">
        <v>6089</v>
      </c>
      <c r="E1012" s="22" t="s">
        <v>3394</v>
      </c>
      <c r="F1012" s="22" t="s">
        <v>3378</v>
      </c>
      <c r="G1012" s="32" t="s">
        <v>5753</v>
      </c>
      <c r="H1012" s="22"/>
      <c r="I1012" s="22" t="s">
        <v>3363</v>
      </c>
    </row>
    <row r="1013" customFormat="false" ht="15" hidden="false" customHeight="true" outlineLevel="0" collapsed="false">
      <c r="A1013" s="24" t="s">
        <v>3039</v>
      </c>
      <c r="B1013" s="32" t="s">
        <v>6096</v>
      </c>
      <c r="C1013" s="22" t="s">
        <v>6097</v>
      </c>
      <c r="D1013" s="32" t="s">
        <v>6089</v>
      </c>
      <c r="E1013" s="22" t="s">
        <v>3377</v>
      </c>
      <c r="F1013" s="22" t="s">
        <v>3378</v>
      </c>
      <c r="G1013" s="32" t="s">
        <v>6098</v>
      </c>
      <c r="H1013" s="22" t="s">
        <v>6099</v>
      </c>
      <c r="I1013" s="22" t="s">
        <v>3363</v>
      </c>
    </row>
    <row r="1014" customFormat="false" ht="15" hidden="false" customHeight="true" outlineLevel="0" collapsed="false">
      <c r="A1014" s="24" t="s">
        <v>1534</v>
      </c>
      <c r="B1014" s="32" t="s">
        <v>6060</v>
      </c>
      <c r="C1014" s="22" t="s">
        <v>6061</v>
      </c>
      <c r="D1014" s="32" t="s">
        <v>5720</v>
      </c>
      <c r="E1014" s="22" t="s">
        <v>3359</v>
      </c>
      <c r="F1014" s="22" t="s">
        <v>3360</v>
      </c>
      <c r="G1014" s="32" t="s">
        <v>5800</v>
      </c>
      <c r="H1014" s="22"/>
      <c r="I1014" s="22" t="s">
        <v>3363</v>
      </c>
    </row>
    <row r="1015" customFormat="false" ht="24.75" hidden="false" customHeight="true" outlineLevel="0" collapsed="false">
      <c r="A1015" s="24" t="s">
        <v>1534</v>
      </c>
      <c r="B1015" s="32" t="s">
        <v>6100</v>
      </c>
      <c r="C1015" s="22" t="s">
        <v>6101</v>
      </c>
      <c r="D1015" s="32" t="s">
        <v>5720</v>
      </c>
      <c r="E1015" s="22" t="s">
        <v>3389</v>
      </c>
      <c r="F1015" s="22" t="s">
        <v>3378</v>
      </c>
      <c r="G1015" s="32" t="s">
        <v>5779</v>
      </c>
      <c r="H1015" s="22"/>
      <c r="I1015" s="22" t="s">
        <v>3363</v>
      </c>
    </row>
    <row r="1016" customFormat="false" ht="15" hidden="false" customHeight="true" outlineLevel="0" collapsed="false">
      <c r="A1016" s="24" t="s">
        <v>1534</v>
      </c>
      <c r="B1016" s="32" t="s">
        <v>5747</v>
      </c>
      <c r="C1016" s="22" t="s">
        <v>6066</v>
      </c>
      <c r="D1016" s="32" t="s">
        <v>5720</v>
      </c>
      <c r="E1016" s="22" t="s">
        <v>3359</v>
      </c>
      <c r="F1016" s="22" t="s">
        <v>3360</v>
      </c>
      <c r="G1016" s="32" t="s">
        <v>5749</v>
      </c>
      <c r="H1016" s="22" t="s">
        <v>6102</v>
      </c>
      <c r="I1016" s="22" t="s">
        <v>3363</v>
      </c>
    </row>
    <row r="1017" customFormat="false" ht="15" hidden="false" customHeight="true" outlineLevel="0" collapsed="false">
      <c r="A1017" s="24" t="s">
        <v>1534</v>
      </c>
      <c r="B1017" s="32" t="s">
        <v>6103</v>
      </c>
      <c r="C1017" s="22" t="s">
        <v>6068</v>
      </c>
      <c r="D1017" s="32" t="s">
        <v>5720</v>
      </c>
      <c r="E1017" s="22" t="s">
        <v>3359</v>
      </c>
      <c r="F1017" s="22" t="s">
        <v>3360</v>
      </c>
      <c r="G1017" s="32" t="s">
        <v>5721</v>
      </c>
      <c r="H1017" s="22"/>
      <c r="I1017" s="22" t="s">
        <v>3363</v>
      </c>
    </row>
    <row r="1018" customFormat="false" ht="15" hidden="false" customHeight="true" outlineLevel="0" collapsed="false">
      <c r="A1018" s="24" t="s">
        <v>1534</v>
      </c>
      <c r="B1018" s="32" t="s">
        <v>6104</v>
      </c>
      <c r="C1018" s="22" t="s">
        <v>6105</v>
      </c>
      <c r="D1018" s="32" t="s">
        <v>5720</v>
      </c>
      <c r="E1018" s="22" t="s">
        <v>3359</v>
      </c>
      <c r="F1018" s="22" t="s">
        <v>3360</v>
      </c>
      <c r="G1018" s="32" t="s">
        <v>5721</v>
      </c>
      <c r="H1018" s="22"/>
      <c r="I1018" s="22" t="s">
        <v>3363</v>
      </c>
    </row>
    <row r="1019" customFormat="false" ht="15" hidden="false" customHeight="true" outlineLevel="0" collapsed="false">
      <c r="A1019" s="24" t="s">
        <v>1534</v>
      </c>
      <c r="B1019" s="32" t="s">
        <v>4400</v>
      </c>
      <c r="C1019" s="22" t="s">
        <v>6074</v>
      </c>
      <c r="D1019" s="32" t="s">
        <v>5720</v>
      </c>
      <c r="E1019" s="22" t="s">
        <v>3359</v>
      </c>
      <c r="F1019" s="22" t="s">
        <v>3360</v>
      </c>
      <c r="G1019" s="32" t="s">
        <v>5727</v>
      </c>
      <c r="H1019" s="22"/>
      <c r="I1019" s="22" t="s">
        <v>3363</v>
      </c>
    </row>
    <row r="1020" customFormat="false" ht="24.75" hidden="false" customHeight="true" outlineLevel="0" collapsed="false">
      <c r="A1020" s="24" t="s">
        <v>1534</v>
      </c>
      <c r="B1020" s="32" t="s">
        <v>5672</v>
      </c>
      <c r="C1020" s="22" t="s">
        <v>6106</v>
      </c>
      <c r="D1020" s="32" t="s">
        <v>5720</v>
      </c>
      <c r="E1020" s="22" t="s">
        <v>3389</v>
      </c>
      <c r="F1020" s="22" t="s">
        <v>3360</v>
      </c>
      <c r="G1020" s="32" t="s">
        <v>5779</v>
      </c>
      <c r="H1020" s="22"/>
      <c r="I1020" s="22" t="s">
        <v>3363</v>
      </c>
    </row>
    <row r="1021" customFormat="false" ht="24.75" hidden="false" customHeight="true" outlineLevel="0" collapsed="false">
      <c r="A1021" s="24" t="s">
        <v>1534</v>
      </c>
      <c r="B1021" s="32" t="s">
        <v>5674</v>
      </c>
      <c r="C1021" s="22" t="s">
        <v>6107</v>
      </c>
      <c r="D1021" s="32" t="s">
        <v>5720</v>
      </c>
      <c r="E1021" s="22" t="s">
        <v>3389</v>
      </c>
      <c r="F1021" s="22" t="s">
        <v>3360</v>
      </c>
      <c r="G1021" s="32" t="s">
        <v>5779</v>
      </c>
      <c r="H1021" s="22"/>
      <c r="I1021" s="22" t="s">
        <v>3363</v>
      </c>
    </row>
    <row r="1022" customFormat="false" ht="15" hidden="false" customHeight="true" outlineLevel="0" collapsed="false">
      <c r="A1022" s="24" t="s">
        <v>1534</v>
      </c>
      <c r="B1022" s="32" t="s">
        <v>1535</v>
      </c>
      <c r="C1022" s="22" t="s">
        <v>4978</v>
      </c>
      <c r="D1022" s="32" t="s">
        <v>6108</v>
      </c>
      <c r="E1022" s="22" t="s">
        <v>3377</v>
      </c>
      <c r="F1022" s="22" t="s">
        <v>3360</v>
      </c>
      <c r="G1022" s="32" t="s">
        <v>5874</v>
      </c>
      <c r="H1022" s="22"/>
      <c r="I1022" s="22" t="s">
        <v>3363</v>
      </c>
    </row>
    <row r="1023" customFormat="false" ht="24.75" hidden="false" customHeight="true" outlineLevel="0" collapsed="false">
      <c r="A1023" s="24" t="s">
        <v>1534</v>
      </c>
      <c r="B1023" s="32" t="s">
        <v>6079</v>
      </c>
      <c r="C1023" s="22" t="s">
        <v>6109</v>
      </c>
      <c r="D1023" s="32" t="s">
        <v>5918</v>
      </c>
      <c r="E1023" s="22" t="s">
        <v>3359</v>
      </c>
      <c r="F1023" s="22" t="s">
        <v>3360</v>
      </c>
      <c r="G1023" s="32"/>
      <c r="H1023" s="22"/>
      <c r="I1023" s="22" t="s">
        <v>3363</v>
      </c>
    </row>
    <row r="1024" customFormat="false" ht="15" hidden="false" customHeight="true" outlineLevel="0" collapsed="false">
      <c r="A1024" s="24" t="s">
        <v>1534</v>
      </c>
      <c r="B1024" s="32" t="s">
        <v>5784</v>
      </c>
      <c r="C1024" s="22" t="s">
        <v>5878</v>
      </c>
      <c r="D1024" s="32" t="s">
        <v>6108</v>
      </c>
      <c r="E1024" s="22" t="s">
        <v>3394</v>
      </c>
      <c r="F1024" s="22" t="s">
        <v>3360</v>
      </c>
      <c r="G1024" s="32" t="s">
        <v>5753</v>
      </c>
      <c r="H1024" s="22"/>
      <c r="I1024" s="22" t="s">
        <v>3363</v>
      </c>
    </row>
    <row r="1025" customFormat="false" ht="15" hidden="false" customHeight="true" outlineLevel="0" collapsed="false">
      <c r="A1025" s="24" t="s">
        <v>1534</v>
      </c>
      <c r="B1025" s="32" t="s">
        <v>6110</v>
      </c>
      <c r="C1025" s="22" t="s">
        <v>6111</v>
      </c>
      <c r="D1025" s="32" t="s">
        <v>6108</v>
      </c>
      <c r="E1025" s="22" t="s">
        <v>3359</v>
      </c>
      <c r="F1025" s="22" t="s">
        <v>3360</v>
      </c>
      <c r="G1025" s="32" t="s">
        <v>6112</v>
      </c>
      <c r="H1025" s="22"/>
      <c r="I1025" s="22" t="s">
        <v>3363</v>
      </c>
    </row>
    <row r="1026" customFormat="false" ht="24.75" hidden="false" customHeight="true" outlineLevel="0" collapsed="false">
      <c r="A1026" s="24" t="s">
        <v>1534</v>
      </c>
      <c r="B1026" s="32" t="s">
        <v>6113</v>
      </c>
      <c r="C1026" s="22" t="s">
        <v>6114</v>
      </c>
      <c r="D1026" s="32" t="s">
        <v>6108</v>
      </c>
      <c r="E1026" s="22" t="s">
        <v>3389</v>
      </c>
      <c r="F1026" s="22" t="s">
        <v>3360</v>
      </c>
      <c r="G1026" s="32" t="s">
        <v>5779</v>
      </c>
      <c r="H1026" s="22"/>
      <c r="I1026" s="22" t="s">
        <v>3363</v>
      </c>
    </row>
    <row r="1027" customFormat="false" ht="15" hidden="false" customHeight="true" outlineLevel="0" collapsed="false">
      <c r="A1027" s="24" t="s">
        <v>1534</v>
      </c>
      <c r="B1027" s="32" t="s">
        <v>5787</v>
      </c>
      <c r="C1027" s="22" t="s">
        <v>6084</v>
      </c>
      <c r="D1027" s="32" t="s">
        <v>5918</v>
      </c>
      <c r="E1027" s="22" t="s">
        <v>3394</v>
      </c>
      <c r="F1027" s="22" t="s">
        <v>3360</v>
      </c>
      <c r="G1027" s="32" t="s">
        <v>5753</v>
      </c>
      <c r="H1027" s="22"/>
      <c r="I1027" s="22" t="s">
        <v>3363</v>
      </c>
    </row>
    <row r="1028" customFormat="false" ht="15" hidden="false" customHeight="true" outlineLevel="0" collapsed="false">
      <c r="A1028" s="24" t="s">
        <v>1534</v>
      </c>
      <c r="B1028" s="32" t="s">
        <v>6085</v>
      </c>
      <c r="C1028" s="22" t="s">
        <v>6086</v>
      </c>
      <c r="D1028" s="32" t="s">
        <v>5918</v>
      </c>
      <c r="E1028" s="22" t="s">
        <v>3394</v>
      </c>
      <c r="F1028" s="22" t="s">
        <v>3360</v>
      </c>
      <c r="G1028" s="32" t="s">
        <v>5753</v>
      </c>
      <c r="H1028" s="22"/>
      <c r="I1028" s="22" t="s">
        <v>3363</v>
      </c>
    </row>
    <row r="1029" customFormat="false" ht="15" hidden="false" customHeight="true" outlineLevel="0" collapsed="false">
      <c r="A1029" s="24" t="s">
        <v>1534</v>
      </c>
      <c r="B1029" s="32" t="s">
        <v>6087</v>
      </c>
      <c r="C1029" s="22" t="s">
        <v>6088</v>
      </c>
      <c r="D1029" s="32" t="s">
        <v>6115</v>
      </c>
      <c r="E1029" s="22" t="s">
        <v>3359</v>
      </c>
      <c r="F1029" s="22" t="s">
        <v>3378</v>
      </c>
      <c r="G1029" s="32" t="s">
        <v>5896</v>
      </c>
      <c r="H1029" s="22"/>
      <c r="I1029" s="22" t="s">
        <v>3363</v>
      </c>
    </row>
    <row r="1030" customFormat="false" ht="24.75" hidden="false" customHeight="true" outlineLevel="0" collapsed="false">
      <c r="A1030" s="24" t="s">
        <v>1534</v>
      </c>
      <c r="B1030" s="32" t="s">
        <v>6090</v>
      </c>
      <c r="C1030" s="22" t="s">
        <v>6091</v>
      </c>
      <c r="D1030" s="32" t="s">
        <v>6115</v>
      </c>
      <c r="E1030" s="22" t="s">
        <v>3389</v>
      </c>
      <c r="F1030" s="22" t="s">
        <v>3378</v>
      </c>
      <c r="G1030" s="32" t="s">
        <v>5779</v>
      </c>
      <c r="H1030" s="22"/>
      <c r="I1030" s="22" t="s">
        <v>3363</v>
      </c>
    </row>
    <row r="1031" customFormat="false" ht="24.75" hidden="false" customHeight="true" outlineLevel="0" collapsed="false">
      <c r="A1031" s="24" t="s">
        <v>1534</v>
      </c>
      <c r="B1031" s="32" t="s">
        <v>6092</v>
      </c>
      <c r="C1031" s="22" t="s">
        <v>6093</v>
      </c>
      <c r="D1031" s="32" t="s">
        <v>6115</v>
      </c>
      <c r="E1031" s="22" t="s">
        <v>3359</v>
      </c>
      <c r="F1031" s="22" t="s">
        <v>3378</v>
      </c>
      <c r="G1031" s="32" t="s">
        <v>5902</v>
      </c>
      <c r="H1031" s="22"/>
      <c r="I1031" s="22" t="s">
        <v>3363</v>
      </c>
    </row>
    <row r="1032" customFormat="false" ht="15" hidden="false" customHeight="true" outlineLevel="0" collapsed="false">
      <c r="A1032" s="24" t="s">
        <v>1534</v>
      </c>
      <c r="B1032" s="32" t="s">
        <v>6116</v>
      </c>
      <c r="C1032" s="22" t="s">
        <v>6097</v>
      </c>
      <c r="D1032" s="32" t="s">
        <v>6115</v>
      </c>
      <c r="E1032" s="22" t="s">
        <v>3377</v>
      </c>
      <c r="F1032" s="22" t="s">
        <v>3378</v>
      </c>
      <c r="G1032" s="32" t="s">
        <v>6098</v>
      </c>
      <c r="H1032" s="22"/>
      <c r="I1032" s="22" t="s">
        <v>3363</v>
      </c>
    </row>
    <row r="1033" customFormat="false" ht="15" hidden="false" customHeight="true" outlineLevel="0" collapsed="false">
      <c r="A1033" s="24" t="s">
        <v>1564</v>
      </c>
      <c r="B1033" s="32" t="s">
        <v>6117</v>
      </c>
      <c r="C1033" s="22" t="s">
        <v>6118</v>
      </c>
      <c r="D1033" s="32" t="s">
        <v>6119</v>
      </c>
      <c r="E1033" s="22" t="s">
        <v>3359</v>
      </c>
      <c r="F1033" s="22" t="s">
        <v>3360</v>
      </c>
      <c r="G1033" s="32" t="s">
        <v>5749</v>
      </c>
      <c r="H1033" s="22" t="s">
        <v>6120</v>
      </c>
      <c r="I1033" s="22" t="s">
        <v>3363</v>
      </c>
    </row>
    <row r="1034" customFormat="false" ht="15" hidden="false" customHeight="true" outlineLevel="0" collapsed="false">
      <c r="A1034" s="24" t="s">
        <v>1564</v>
      </c>
      <c r="B1034" s="32" t="s">
        <v>6103</v>
      </c>
      <c r="C1034" s="22" t="s">
        <v>6121</v>
      </c>
      <c r="D1034" s="32" t="s">
        <v>6122</v>
      </c>
      <c r="E1034" s="22" t="s">
        <v>3359</v>
      </c>
      <c r="F1034" s="22" t="s">
        <v>3360</v>
      </c>
      <c r="G1034" s="32" t="s">
        <v>6123</v>
      </c>
      <c r="H1034" s="22"/>
      <c r="I1034" s="22" t="s">
        <v>3363</v>
      </c>
    </row>
    <row r="1035" customFormat="false" ht="15" hidden="false" customHeight="true" outlineLevel="0" collapsed="false">
      <c r="A1035" s="24" t="s">
        <v>1564</v>
      </c>
      <c r="B1035" s="32" t="s">
        <v>6124</v>
      </c>
      <c r="C1035" s="22" t="s">
        <v>6125</v>
      </c>
      <c r="D1035" s="32" t="s">
        <v>6126</v>
      </c>
      <c r="E1035" s="22" t="s">
        <v>3377</v>
      </c>
      <c r="F1035" s="22" t="s">
        <v>3360</v>
      </c>
      <c r="G1035" s="32" t="s">
        <v>6127</v>
      </c>
      <c r="H1035" s="22"/>
      <c r="I1035" s="22" t="s">
        <v>3363</v>
      </c>
    </row>
    <row r="1036" customFormat="false" ht="24.75" hidden="false" customHeight="true" outlineLevel="0" collapsed="false">
      <c r="A1036" s="24" t="s">
        <v>1564</v>
      </c>
      <c r="B1036" s="32" t="s">
        <v>4400</v>
      </c>
      <c r="C1036" s="22" t="s">
        <v>6128</v>
      </c>
      <c r="D1036" s="32" t="s">
        <v>6129</v>
      </c>
      <c r="E1036" s="22" t="s">
        <v>3359</v>
      </c>
      <c r="F1036" s="22" t="s">
        <v>3360</v>
      </c>
      <c r="G1036" s="32" t="s">
        <v>6130</v>
      </c>
      <c r="H1036" s="22"/>
      <c r="I1036" s="22" t="s">
        <v>3363</v>
      </c>
    </row>
    <row r="1037" customFormat="false" ht="15" hidden="false" customHeight="true" outlineLevel="0" collapsed="false">
      <c r="A1037" s="24" t="s">
        <v>1564</v>
      </c>
      <c r="B1037" s="32" t="s">
        <v>5729</v>
      </c>
      <c r="C1037" s="22" t="s">
        <v>6131</v>
      </c>
      <c r="D1037" s="32" t="s">
        <v>6132</v>
      </c>
      <c r="E1037" s="22" t="s">
        <v>3359</v>
      </c>
      <c r="F1037" s="22" t="s">
        <v>3378</v>
      </c>
      <c r="G1037" s="32" t="s">
        <v>6133</v>
      </c>
      <c r="H1037" s="22" t="s">
        <v>6134</v>
      </c>
      <c r="I1037" s="22" t="s">
        <v>3363</v>
      </c>
    </row>
    <row r="1038" customFormat="false" ht="15" hidden="false" customHeight="true" outlineLevel="0" collapsed="false">
      <c r="A1038" s="24" t="s">
        <v>1564</v>
      </c>
      <c r="B1038" s="32" t="s">
        <v>1535</v>
      </c>
      <c r="C1038" s="22" t="s">
        <v>3873</v>
      </c>
      <c r="D1038" s="32" t="s">
        <v>6135</v>
      </c>
      <c r="E1038" s="22" t="s">
        <v>3377</v>
      </c>
      <c r="F1038" s="22" t="s">
        <v>3360</v>
      </c>
      <c r="G1038" s="32" t="s">
        <v>5874</v>
      </c>
      <c r="H1038" s="22"/>
      <c r="I1038" s="22" t="s">
        <v>3363</v>
      </c>
    </row>
    <row r="1039" customFormat="false" ht="15" hidden="false" customHeight="true" outlineLevel="0" collapsed="false">
      <c r="A1039" s="24" t="s">
        <v>1564</v>
      </c>
      <c r="B1039" s="32" t="s">
        <v>6136</v>
      </c>
      <c r="C1039" s="22" t="s">
        <v>6137</v>
      </c>
      <c r="D1039" s="32" t="s">
        <v>5720</v>
      </c>
      <c r="E1039" s="22" t="s">
        <v>3377</v>
      </c>
      <c r="F1039" s="22" t="s">
        <v>3360</v>
      </c>
      <c r="G1039" s="32" t="s">
        <v>6138</v>
      </c>
      <c r="H1039" s="22" t="s">
        <v>6139</v>
      </c>
      <c r="I1039" s="22" t="s">
        <v>3363</v>
      </c>
    </row>
    <row r="1040" customFormat="false" ht="24.75" hidden="false" customHeight="true" outlineLevel="0" collapsed="false">
      <c r="A1040" s="24" t="s">
        <v>1564</v>
      </c>
      <c r="B1040" s="32" t="s">
        <v>6140</v>
      </c>
      <c r="C1040" s="22" t="s">
        <v>6141</v>
      </c>
      <c r="D1040" s="32" t="s">
        <v>6142</v>
      </c>
      <c r="E1040" s="22" t="s">
        <v>3359</v>
      </c>
      <c r="F1040" s="22" t="s">
        <v>3378</v>
      </c>
      <c r="G1040" s="32" t="s">
        <v>5942</v>
      </c>
      <c r="H1040" s="22" t="s">
        <v>6143</v>
      </c>
      <c r="I1040" s="22" t="s">
        <v>3363</v>
      </c>
    </row>
    <row r="1041" customFormat="false" ht="15" hidden="false" customHeight="true" outlineLevel="0" collapsed="false">
      <c r="A1041" s="24" t="s">
        <v>1564</v>
      </c>
      <c r="B1041" s="32" t="s">
        <v>5744</v>
      </c>
      <c r="C1041" s="22" t="s">
        <v>6144</v>
      </c>
      <c r="D1041" s="32" t="s">
        <v>6145</v>
      </c>
      <c r="E1041" s="22" t="s">
        <v>3359</v>
      </c>
      <c r="F1041" s="22" t="s">
        <v>3360</v>
      </c>
      <c r="G1041" s="32" t="s">
        <v>5725</v>
      </c>
      <c r="H1041" s="22"/>
      <c r="I1041" s="22" t="s">
        <v>3363</v>
      </c>
    </row>
    <row r="1042" customFormat="false" ht="24.75" hidden="false" customHeight="true" outlineLevel="0" collapsed="false">
      <c r="A1042" s="24" t="s">
        <v>1564</v>
      </c>
      <c r="B1042" s="32" t="s">
        <v>6146</v>
      </c>
      <c r="C1042" s="22" t="s">
        <v>6147</v>
      </c>
      <c r="D1042" s="32" t="s">
        <v>6148</v>
      </c>
      <c r="E1042" s="22" t="s">
        <v>3359</v>
      </c>
      <c r="F1042" s="22" t="s">
        <v>3360</v>
      </c>
      <c r="G1042" s="32" t="s">
        <v>6149</v>
      </c>
      <c r="H1042" s="22"/>
      <c r="I1042" s="22" t="s">
        <v>3363</v>
      </c>
    </row>
    <row r="1043" customFormat="false" ht="24.75" hidden="false" customHeight="true" outlineLevel="0" collapsed="false">
      <c r="A1043" s="24" t="s">
        <v>1564</v>
      </c>
      <c r="B1043" s="32" t="s">
        <v>6150</v>
      </c>
      <c r="C1043" s="22" t="s">
        <v>6151</v>
      </c>
      <c r="D1043" s="32" t="s">
        <v>6152</v>
      </c>
      <c r="E1043" s="22" t="s">
        <v>3394</v>
      </c>
      <c r="F1043" s="22" t="s">
        <v>3360</v>
      </c>
      <c r="G1043" s="32" t="s">
        <v>6153</v>
      </c>
      <c r="H1043" s="22" t="s">
        <v>6154</v>
      </c>
      <c r="I1043" s="22" t="s">
        <v>3363</v>
      </c>
    </row>
    <row r="1044" customFormat="false" ht="24.75" hidden="false" customHeight="true" outlineLevel="0" collapsed="false">
      <c r="A1044" s="24" t="s">
        <v>1564</v>
      </c>
      <c r="B1044" s="32" t="s">
        <v>6155</v>
      </c>
      <c r="C1044" s="22" t="s">
        <v>6156</v>
      </c>
      <c r="D1044" s="32" t="s">
        <v>6157</v>
      </c>
      <c r="E1044" s="22" t="s">
        <v>3437</v>
      </c>
      <c r="F1044" s="22" t="s">
        <v>3360</v>
      </c>
      <c r="G1044" s="32" t="s">
        <v>3749</v>
      </c>
      <c r="H1044" s="22"/>
      <c r="I1044" s="22" t="s">
        <v>3363</v>
      </c>
    </row>
    <row r="1045" customFormat="false" ht="24.75" hidden="false" customHeight="true" outlineLevel="0" collapsed="false">
      <c r="A1045" s="24" t="s">
        <v>1564</v>
      </c>
      <c r="B1045" s="32" t="s">
        <v>6158</v>
      </c>
      <c r="C1045" s="22" t="s">
        <v>6159</v>
      </c>
      <c r="D1045" s="32" t="s">
        <v>6160</v>
      </c>
      <c r="E1045" s="22" t="s">
        <v>3437</v>
      </c>
      <c r="F1045" s="22" t="s">
        <v>3360</v>
      </c>
      <c r="G1045" s="32" t="s">
        <v>3438</v>
      </c>
      <c r="H1045" s="22" t="s">
        <v>6161</v>
      </c>
      <c r="I1045" s="22" t="s">
        <v>3363</v>
      </c>
    </row>
    <row r="1046" customFormat="false" ht="15" hidden="false" customHeight="true" outlineLevel="0" collapsed="false">
      <c r="A1046" s="24" t="s">
        <v>1564</v>
      </c>
      <c r="B1046" s="32" t="s">
        <v>6162</v>
      </c>
      <c r="C1046" s="22" t="s">
        <v>6163</v>
      </c>
      <c r="D1046" s="32" t="s">
        <v>6164</v>
      </c>
      <c r="E1046" s="22" t="s">
        <v>3437</v>
      </c>
      <c r="F1046" s="22" t="s">
        <v>3360</v>
      </c>
      <c r="G1046" s="32" t="s">
        <v>3749</v>
      </c>
      <c r="H1046" s="22"/>
      <c r="I1046" s="22" t="s">
        <v>3363</v>
      </c>
    </row>
    <row r="1047" customFormat="false" ht="15" hidden="false" customHeight="true" outlineLevel="0" collapsed="false">
      <c r="A1047" s="24" t="s">
        <v>1564</v>
      </c>
      <c r="B1047" s="32" t="s">
        <v>6165</v>
      </c>
      <c r="C1047" s="22" t="s">
        <v>6166</v>
      </c>
      <c r="D1047" s="32" t="s">
        <v>6167</v>
      </c>
      <c r="E1047" s="22" t="s">
        <v>3377</v>
      </c>
      <c r="F1047" s="22" t="s">
        <v>3360</v>
      </c>
      <c r="G1047" s="32" t="s">
        <v>5947</v>
      </c>
      <c r="H1047" s="22" t="s">
        <v>6168</v>
      </c>
      <c r="I1047" s="22" t="s">
        <v>3363</v>
      </c>
    </row>
    <row r="1048" customFormat="false" ht="24.75" hidden="false" customHeight="true" outlineLevel="0" collapsed="false">
      <c r="A1048" s="24" t="s">
        <v>1564</v>
      </c>
      <c r="B1048" s="32" t="s">
        <v>6169</v>
      </c>
      <c r="C1048" s="22" t="s">
        <v>6170</v>
      </c>
      <c r="D1048" s="32" t="s">
        <v>6171</v>
      </c>
      <c r="E1048" s="22" t="s">
        <v>3359</v>
      </c>
      <c r="F1048" s="22" t="s">
        <v>3360</v>
      </c>
      <c r="G1048" s="32" t="s">
        <v>6172</v>
      </c>
      <c r="H1048" s="22" t="s">
        <v>6173</v>
      </c>
      <c r="I1048" s="22" t="s">
        <v>3363</v>
      </c>
    </row>
    <row r="1049" customFormat="false" ht="24.75" hidden="false" customHeight="true" outlineLevel="0" collapsed="false">
      <c r="A1049" s="24" t="s">
        <v>1564</v>
      </c>
      <c r="B1049" s="32" t="s">
        <v>6174</v>
      </c>
      <c r="C1049" s="22" t="s">
        <v>6175</v>
      </c>
      <c r="D1049" s="32" t="s">
        <v>6176</v>
      </c>
      <c r="E1049" s="22" t="s">
        <v>3359</v>
      </c>
      <c r="F1049" s="22" t="s">
        <v>3360</v>
      </c>
      <c r="G1049" s="32" t="s">
        <v>5902</v>
      </c>
      <c r="H1049" s="22" t="s">
        <v>6177</v>
      </c>
      <c r="I1049" s="22" t="s">
        <v>3363</v>
      </c>
    </row>
    <row r="1050" customFormat="false" ht="24.75" hidden="false" customHeight="true" outlineLevel="0" collapsed="false">
      <c r="A1050" s="24" t="s">
        <v>1564</v>
      </c>
      <c r="B1050" s="32" t="s">
        <v>6090</v>
      </c>
      <c r="C1050" s="22" t="s">
        <v>6178</v>
      </c>
      <c r="D1050" s="32" t="s">
        <v>6179</v>
      </c>
      <c r="E1050" s="22" t="s">
        <v>3389</v>
      </c>
      <c r="F1050" s="22" t="s">
        <v>3360</v>
      </c>
      <c r="G1050" s="32" t="s">
        <v>6180</v>
      </c>
      <c r="H1050" s="22" t="s">
        <v>6181</v>
      </c>
      <c r="I1050" s="22" t="s">
        <v>3363</v>
      </c>
    </row>
    <row r="1051" customFormat="false" ht="24.75" hidden="false" customHeight="true" outlineLevel="0" collapsed="false">
      <c r="A1051" s="24" t="s">
        <v>1564</v>
      </c>
      <c r="B1051" s="32" t="s">
        <v>6182</v>
      </c>
      <c r="C1051" s="22" t="s">
        <v>6183</v>
      </c>
      <c r="D1051" s="32" t="s">
        <v>6184</v>
      </c>
      <c r="E1051" s="22" t="s">
        <v>3377</v>
      </c>
      <c r="F1051" s="22" t="s">
        <v>3360</v>
      </c>
      <c r="G1051" s="32" t="s">
        <v>6185</v>
      </c>
      <c r="H1051" s="22" t="s">
        <v>6186</v>
      </c>
      <c r="I1051" s="22" t="s">
        <v>3363</v>
      </c>
    </row>
    <row r="1052" customFormat="false" ht="15" hidden="false" customHeight="true" outlineLevel="0" collapsed="false">
      <c r="A1052" s="24" t="s">
        <v>1564</v>
      </c>
      <c r="B1052" s="32" t="s">
        <v>6187</v>
      </c>
      <c r="C1052" s="22" t="s">
        <v>6188</v>
      </c>
      <c r="D1052" s="32" t="s">
        <v>6189</v>
      </c>
      <c r="E1052" s="22" t="s">
        <v>3394</v>
      </c>
      <c r="F1052" s="22" t="s">
        <v>3360</v>
      </c>
      <c r="G1052" s="32" t="s">
        <v>6190</v>
      </c>
      <c r="H1052" s="22"/>
      <c r="I1052" s="22" t="s">
        <v>3363</v>
      </c>
    </row>
    <row r="1053" customFormat="false" ht="24.75" hidden="false" customHeight="true" outlineLevel="0" collapsed="false">
      <c r="A1053" s="24" t="s">
        <v>1564</v>
      </c>
      <c r="B1053" s="32" t="s">
        <v>6191</v>
      </c>
      <c r="C1053" s="22" t="s">
        <v>6192</v>
      </c>
      <c r="D1053" s="32" t="s">
        <v>6193</v>
      </c>
      <c r="E1053" s="22" t="s">
        <v>3394</v>
      </c>
      <c r="F1053" s="22" t="s">
        <v>3378</v>
      </c>
      <c r="G1053" s="32" t="s">
        <v>6194</v>
      </c>
      <c r="H1053" s="22" t="s">
        <v>6195</v>
      </c>
      <c r="I1053" s="22" t="s">
        <v>3363</v>
      </c>
    </row>
    <row r="1054" customFormat="false" ht="15" hidden="false" customHeight="true" outlineLevel="0" collapsed="false">
      <c r="A1054" s="24" t="s">
        <v>1564</v>
      </c>
      <c r="B1054" s="32" t="s">
        <v>6196</v>
      </c>
      <c r="C1054" s="22" t="s">
        <v>6197</v>
      </c>
      <c r="D1054" s="32" t="s">
        <v>6198</v>
      </c>
      <c r="E1054" s="22" t="s">
        <v>3394</v>
      </c>
      <c r="F1054" s="22" t="s">
        <v>3378</v>
      </c>
      <c r="G1054" s="32" t="s">
        <v>6199</v>
      </c>
      <c r="H1054" s="22" t="s">
        <v>6195</v>
      </c>
      <c r="I1054" s="22" t="s">
        <v>3363</v>
      </c>
    </row>
    <row r="1055" customFormat="false" ht="24.75" hidden="false" customHeight="true" outlineLevel="0" collapsed="false">
      <c r="A1055" s="24" t="s">
        <v>1564</v>
      </c>
      <c r="B1055" s="32" t="s">
        <v>6200</v>
      </c>
      <c r="C1055" s="22" t="s">
        <v>6201</v>
      </c>
      <c r="D1055" s="32" t="s">
        <v>6202</v>
      </c>
      <c r="E1055" s="22" t="s">
        <v>3394</v>
      </c>
      <c r="F1055" s="22" t="s">
        <v>3360</v>
      </c>
      <c r="G1055" s="32" t="s">
        <v>6203</v>
      </c>
      <c r="H1055" s="22" t="s">
        <v>6204</v>
      </c>
      <c r="I1055" s="22" t="s">
        <v>3363</v>
      </c>
    </row>
    <row r="1056" customFormat="false" ht="24.75" hidden="false" customHeight="true" outlineLevel="0" collapsed="false">
      <c r="A1056" s="24" t="s">
        <v>1564</v>
      </c>
      <c r="B1056" s="32" t="s">
        <v>6205</v>
      </c>
      <c r="C1056" s="22" t="s">
        <v>6206</v>
      </c>
      <c r="D1056" s="32" t="s">
        <v>6207</v>
      </c>
      <c r="E1056" s="22" t="s">
        <v>3394</v>
      </c>
      <c r="F1056" s="22" t="s">
        <v>3360</v>
      </c>
      <c r="G1056" s="32" t="s">
        <v>6203</v>
      </c>
      <c r="H1056" s="22" t="s">
        <v>6208</v>
      </c>
      <c r="I1056" s="22" t="s">
        <v>3363</v>
      </c>
    </row>
    <row r="1057" customFormat="false" ht="24.75" hidden="false" customHeight="true" outlineLevel="0" collapsed="false">
      <c r="A1057" s="24" t="s">
        <v>1564</v>
      </c>
      <c r="B1057" s="32" t="s">
        <v>6209</v>
      </c>
      <c r="C1057" s="22" t="s">
        <v>6210</v>
      </c>
      <c r="D1057" s="32" t="s">
        <v>6211</v>
      </c>
      <c r="E1057" s="22" t="s">
        <v>3394</v>
      </c>
      <c r="F1057" s="22" t="s">
        <v>3378</v>
      </c>
      <c r="G1057" s="32" t="s">
        <v>6212</v>
      </c>
      <c r="H1057" s="22"/>
      <c r="I1057" s="22" t="s">
        <v>3363</v>
      </c>
    </row>
    <row r="1058" customFormat="false" ht="24.75" hidden="false" customHeight="true" outlineLevel="0" collapsed="false">
      <c r="A1058" s="24" t="s">
        <v>1564</v>
      </c>
      <c r="B1058" s="32" t="s">
        <v>6213</v>
      </c>
      <c r="C1058" s="22" t="s">
        <v>6214</v>
      </c>
      <c r="D1058" s="32" t="s">
        <v>6215</v>
      </c>
      <c r="E1058" s="22" t="s">
        <v>3394</v>
      </c>
      <c r="F1058" s="22" t="s">
        <v>3360</v>
      </c>
      <c r="G1058" s="32" t="s">
        <v>6216</v>
      </c>
      <c r="H1058" s="22" t="s">
        <v>6217</v>
      </c>
      <c r="I1058" s="22" t="s">
        <v>3363</v>
      </c>
    </row>
    <row r="1059" customFormat="false" ht="24.75" hidden="false" customHeight="true" outlineLevel="0" collapsed="false">
      <c r="A1059" s="24" t="s">
        <v>1564</v>
      </c>
      <c r="B1059" s="32" t="s">
        <v>6218</v>
      </c>
      <c r="C1059" s="22" t="s">
        <v>6219</v>
      </c>
      <c r="D1059" s="32" t="s">
        <v>6220</v>
      </c>
      <c r="E1059" s="22" t="s">
        <v>3394</v>
      </c>
      <c r="F1059" s="22" t="s">
        <v>3360</v>
      </c>
      <c r="G1059" s="32" t="s">
        <v>6221</v>
      </c>
      <c r="H1059" s="22" t="s">
        <v>6222</v>
      </c>
      <c r="I1059" s="22" t="s">
        <v>3363</v>
      </c>
    </row>
    <row r="1060" customFormat="false" ht="24.75" hidden="false" customHeight="true" outlineLevel="0" collapsed="false">
      <c r="A1060" s="24" t="s">
        <v>1564</v>
      </c>
      <c r="B1060" s="32" t="s">
        <v>6223</v>
      </c>
      <c r="C1060" s="22" t="s">
        <v>6224</v>
      </c>
      <c r="D1060" s="32" t="s">
        <v>6225</v>
      </c>
      <c r="E1060" s="22" t="s">
        <v>3394</v>
      </c>
      <c r="F1060" s="22" t="s">
        <v>3378</v>
      </c>
      <c r="G1060" s="32" t="s">
        <v>5753</v>
      </c>
      <c r="H1060" s="22" t="s">
        <v>6226</v>
      </c>
      <c r="I1060" s="22" t="s">
        <v>3363</v>
      </c>
    </row>
    <row r="1061" customFormat="false" ht="24.75" hidden="false" customHeight="true" outlineLevel="0" collapsed="false">
      <c r="A1061" s="24" t="s">
        <v>1564</v>
      </c>
      <c r="B1061" s="32" t="s">
        <v>6227</v>
      </c>
      <c r="C1061" s="22" t="s">
        <v>6228</v>
      </c>
      <c r="D1061" s="32" t="s">
        <v>6225</v>
      </c>
      <c r="E1061" s="22" t="s">
        <v>3394</v>
      </c>
      <c r="F1061" s="22" t="s">
        <v>3378</v>
      </c>
      <c r="G1061" s="32" t="s">
        <v>5753</v>
      </c>
      <c r="H1061" s="22" t="s">
        <v>6226</v>
      </c>
      <c r="I1061" s="22" t="s">
        <v>3363</v>
      </c>
    </row>
    <row r="1062" customFormat="false" ht="24.75" hidden="false" customHeight="true" outlineLevel="0" collapsed="false">
      <c r="A1062" s="24" t="s">
        <v>1564</v>
      </c>
      <c r="B1062" s="32" t="s">
        <v>6229</v>
      </c>
      <c r="C1062" s="22" t="s">
        <v>6230</v>
      </c>
      <c r="D1062" s="32" t="s">
        <v>6231</v>
      </c>
      <c r="E1062" s="22" t="s">
        <v>3377</v>
      </c>
      <c r="F1062" s="22" t="s">
        <v>3360</v>
      </c>
      <c r="G1062" s="32" t="s">
        <v>6232</v>
      </c>
      <c r="H1062" s="22" t="s">
        <v>6233</v>
      </c>
      <c r="I1062" s="22" t="s">
        <v>3363</v>
      </c>
    </row>
    <row r="1063" customFormat="false" ht="15" hidden="false" customHeight="true" outlineLevel="0" collapsed="false">
      <c r="A1063" s="24" t="s">
        <v>1564</v>
      </c>
      <c r="B1063" s="32" t="s">
        <v>6234</v>
      </c>
      <c r="C1063" s="22" t="s">
        <v>6235</v>
      </c>
      <c r="D1063" s="32" t="s">
        <v>6236</v>
      </c>
      <c r="E1063" s="22" t="s">
        <v>3437</v>
      </c>
      <c r="F1063" s="22" t="s">
        <v>3360</v>
      </c>
      <c r="G1063" s="32" t="s">
        <v>3438</v>
      </c>
      <c r="H1063" s="22"/>
      <c r="I1063" s="22" t="s">
        <v>3363</v>
      </c>
    </row>
    <row r="1064" customFormat="false" ht="15" hidden="false" customHeight="true" outlineLevel="0" collapsed="false">
      <c r="A1064" s="24" t="s">
        <v>1564</v>
      </c>
      <c r="B1064" s="32" t="s">
        <v>6237</v>
      </c>
      <c r="C1064" s="22" t="s">
        <v>6238</v>
      </c>
      <c r="D1064" s="32" t="s">
        <v>6239</v>
      </c>
      <c r="E1064" s="22" t="s">
        <v>3437</v>
      </c>
      <c r="F1064" s="22" t="s">
        <v>3360</v>
      </c>
      <c r="G1064" s="32" t="s">
        <v>6240</v>
      </c>
      <c r="H1064" s="22" t="s">
        <v>6241</v>
      </c>
      <c r="I1064" s="22" t="s">
        <v>3363</v>
      </c>
    </row>
    <row r="1065" customFormat="false" ht="15" hidden="false" customHeight="true" outlineLevel="0" collapsed="false">
      <c r="A1065" s="24" t="s">
        <v>1564</v>
      </c>
      <c r="B1065" s="32" t="s">
        <v>6242</v>
      </c>
      <c r="C1065" s="22" t="s">
        <v>6243</v>
      </c>
      <c r="D1065" s="32" t="s">
        <v>6244</v>
      </c>
      <c r="E1065" s="22" t="s">
        <v>3377</v>
      </c>
      <c r="F1065" s="22" t="s">
        <v>3360</v>
      </c>
      <c r="G1065" s="32" t="s">
        <v>6245</v>
      </c>
      <c r="H1065" s="22"/>
      <c r="I1065" s="22" t="s">
        <v>3363</v>
      </c>
    </row>
    <row r="1066" customFormat="false" ht="24.75" hidden="false" customHeight="true" outlineLevel="0" collapsed="false">
      <c r="A1066" s="24" t="s">
        <v>1564</v>
      </c>
      <c r="B1066" s="32" t="s">
        <v>6104</v>
      </c>
      <c r="C1066" s="22" t="s">
        <v>6246</v>
      </c>
      <c r="D1066" s="32" t="s">
        <v>6247</v>
      </c>
      <c r="E1066" s="22" t="s">
        <v>3359</v>
      </c>
      <c r="F1066" s="22" t="s">
        <v>3360</v>
      </c>
      <c r="G1066" s="32" t="s">
        <v>6248</v>
      </c>
      <c r="H1066" s="22" t="s">
        <v>6249</v>
      </c>
      <c r="I1066" s="22" t="s">
        <v>3363</v>
      </c>
    </row>
    <row r="1067" customFormat="false" ht="15" hidden="false" customHeight="true" outlineLevel="0" collapsed="false">
      <c r="A1067" s="24" t="s">
        <v>1564</v>
      </c>
      <c r="B1067" s="32" t="s">
        <v>6250</v>
      </c>
      <c r="C1067" s="22" t="s">
        <v>6251</v>
      </c>
      <c r="D1067" s="32" t="s">
        <v>6252</v>
      </c>
      <c r="E1067" s="22" t="s">
        <v>3359</v>
      </c>
      <c r="F1067" s="22" t="s">
        <v>3378</v>
      </c>
      <c r="G1067" s="32" t="s">
        <v>6253</v>
      </c>
      <c r="H1067" s="22" t="s">
        <v>6254</v>
      </c>
      <c r="I1067" s="22" t="s">
        <v>3363</v>
      </c>
    </row>
    <row r="1068" customFormat="false" ht="15" hidden="false" customHeight="true" outlineLevel="0" collapsed="false">
      <c r="A1068" s="24" t="s">
        <v>1564</v>
      </c>
      <c r="B1068" s="32" t="s">
        <v>6255</v>
      </c>
      <c r="C1068" s="22" t="s">
        <v>6256</v>
      </c>
      <c r="D1068" s="32" t="s">
        <v>6257</v>
      </c>
      <c r="E1068" s="22" t="s">
        <v>3359</v>
      </c>
      <c r="F1068" s="22" t="s">
        <v>3360</v>
      </c>
      <c r="G1068" s="32" t="s">
        <v>5725</v>
      </c>
      <c r="H1068" s="22"/>
      <c r="I1068" s="22" t="s">
        <v>3363</v>
      </c>
    </row>
    <row r="1069" customFormat="false" ht="24.75" hidden="false" customHeight="true" outlineLevel="0" collapsed="false">
      <c r="A1069" s="24" t="s">
        <v>1564</v>
      </c>
      <c r="B1069" s="32" t="s">
        <v>6258</v>
      </c>
      <c r="C1069" s="22" t="s">
        <v>6259</v>
      </c>
      <c r="D1069" s="32" t="s">
        <v>6260</v>
      </c>
      <c r="E1069" s="22" t="s">
        <v>3394</v>
      </c>
      <c r="F1069" s="22" t="s">
        <v>3360</v>
      </c>
      <c r="G1069" s="32" t="s">
        <v>6261</v>
      </c>
      <c r="H1069" s="22" t="s">
        <v>6262</v>
      </c>
      <c r="I1069" s="22" t="s">
        <v>3363</v>
      </c>
    </row>
    <row r="1070" customFormat="false" ht="15" hidden="false" customHeight="true" outlineLevel="0" collapsed="false">
      <c r="A1070" s="24" t="s">
        <v>1564</v>
      </c>
      <c r="B1070" s="32" t="s">
        <v>6263</v>
      </c>
      <c r="C1070" s="22" t="s">
        <v>6264</v>
      </c>
      <c r="D1070" s="32" t="s">
        <v>6265</v>
      </c>
      <c r="E1070" s="22" t="s">
        <v>3394</v>
      </c>
      <c r="F1070" s="22" t="s">
        <v>3378</v>
      </c>
      <c r="G1070" s="32" t="s">
        <v>6261</v>
      </c>
      <c r="H1070" s="22"/>
      <c r="I1070" s="22" t="s">
        <v>3363</v>
      </c>
    </row>
    <row r="1071" customFormat="false" ht="15" hidden="false" customHeight="true" outlineLevel="0" collapsed="false">
      <c r="A1071" s="24" t="s">
        <v>1564</v>
      </c>
      <c r="B1071" s="32" t="s">
        <v>6266</v>
      </c>
      <c r="C1071" s="22" t="s">
        <v>6267</v>
      </c>
      <c r="D1071" s="32" t="s">
        <v>6268</v>
      </c>
      <c r="E1071" s="22" t="s">
        <v>3394</v>
      </c>
      <c r="F1071" s="22" t="s">
        <v>3378</v>
      </c>
      <c r="G1071" s="32" t="s">
        <v>6261</v>
      </c>
      <c r="H1071" s="22"/>
      <c r="I1071" s="22" t="s">
        <v>3363</v>
      </c>
    </row>
    <row r="1072" customFormat="false" ht="24.75" hidden="false" customHeight="true" outlineLevel="0" collapsed="false">
      <c r="A1072" s="24" t="s">
        <v>1564</v>
      </c>
      <c r="B1072" s="32" t="s">
        <v>5787</v>
      </c>
      <c r="C1072" s="22" t="s">
        <v>6269</v>
      </c>
      <c r="D1072" s="32" t="s">
        <v>6270</v>
      </c>
      <c r="E1072" s="22" t="s">
        <v>3394</v>
      </c>
      <c r="F1072" s="22" t="s">
        <v>3360</v>
      </c>
      <c r="G1072" s="32" t="s">
        <v>6271</v>
      </c>
      <c r="H1072" s="22"/>
      <c r="I1072" s="22" t="s">
        <v>3363</v>
      </c>
    </row>
    <row r="1073" customFormat="false" ht="15" hidden="false" customHeight="true" outlineLevel="0" collapsed="false">
      <c r="A1073" s="24" t="s">
        <v>1564</v>
      </c>
      <c r="B1073" s="32" t="s">
        <v>6085</v>
      </c>
      <c r="C1073" s="22" t="s">
        <v>6272</v>
      </c>
      <c r="D1073" s="32" t="s">
        <v>6273</v>
      </c>
      <c r="E1073" s="22" t="s">
        <v>3394</v>
      </c>
      <c r="F1073" s="22" t="s">
        <v>3360</v>
      </c>
      <c r="G1073" s="32" t="s">
        <v>6274</v>
      </c>
      <c r="H1073" s="22"/>
      <c r="I1073" s="22" t="s">
        <v>3363</v>
      </c>
    </row>
    <row r="1074" customFormat="false" ht="15" hidden="false" customHeight="true" outlineLevel="0" collapsed="false">
      <c r="A1074" s="24" t="s">
        <v>1564</v>
      </c>
      <c r="B1074" s="32" t="s">
        <v>5784</v>
      </c>
      <c r="C1074" s="22" t="s">
        <v>6275</v>
      </c>
      <c r="D1074" s="32" t="s">
        <v>6276</v>
      </c>
      <c r="E1074" s="22" t="s">
        <v>3394</v>
      </c>
      <c r="F1074" s="22" t="s">
        <v>3360</v>
      </c>
      <c r="G1074" s="32" t="s">
        <v>6277</v>
      </c>
      <c r="H1074" s="22" t="s">
        <v>6278</v>
      </c>
      <c r="I1074" s="22" t="s">
        <v>3363</v>
      </c>
    </row>
    <row r="1075" customFormat="false" ht="24.75" hidden="false" customHeight="true" outlineLevel="0" collapsed="false">
      <c r="A1075" s="24" t="s">
        <v>1564</v>
      </c>
      <c r="B1075" s="32" t="s">
        <v>6113</v>
      </c>
      <c r="C1075" s="22" t="s">
        <v>6279</v>
      </c>
      <c r="D1075" s="32" t="s">
        <v>6280</v>
      </c>
      <c r="E1075" s="22" t="s">
        <v>3389</v>
      </c>
      <c r="F1075" s="22" t="s">
        <v>3360</v>
      </c>
      <c r="G1075" s="32" t="s">
        <v>6281</v>
      </c>
      <c r="H1075" s="22" t="s">
        <v>6282</v>
      </c>
      <c r="I1075" s="22" t="s">
        <v>3363</v>
      </c>
    </row>
    <row r="1076" customFormat="false" ht="24.75" hidden="false" customHeight="true" outlineLevel="0" collapsed="false">
      <c r="A1076" s="24" t="s">
        <v>1564</v>
      </c>
      <c r="B1076" s="32" t="s">
        <v>6283</v>
      </c>
      <c r="C1076" s="22" t="s">
        <v>6284</v>
      </c>
      <c r="D1076" s="32" t="s">
        <v>6285</v>
      </c>
      <c r="E1076" s="22" t="s">
        <v>3389</v>
      </c>
      <c r="F1076" s="22" t="s">
        <v>6286</v>
      </c>
      <c r="G1076" s="32" t="s">
        <v>6287</v>
      </c>
      <c r="H1076" s="22"/>
      <c r="I1076" s="22" t="s">
        <v>3363</v>
      </c>
    </row>
    <row r="1077" customFormat="false" ht="24.75" hidden="false" customHeight="true" outlineLevel="0" collapsed="false">
      <c r="A1077" s="24" t="s">
        <v>1564</v>
      </c>
      <c r="B1077" s="32" t="s">
        <v>6288</v>
      </c>
      <c r="C1077" s="22" t="s">
        <v>6289</v>
      </c>
      <c r="D1077" s="32" t="s">
        <v>6290</v>
      </c>
      <c r="E1077" s="22" t="s">
        <v>3394</v>
      </c>
      <c r="F1077" s="22" t="s">
        <v>3360</v>
      </c>
      <c r="G1077" s="32" t="s">
        <v>6291</v>
      </c>
      <c r="H1077" s="22" t="s">
        <v>6292</v>
      </c>
      <c r="I1077" s="22" t="s">
        <v>3363</v>
      </c>
    </row>
    <row r="1078" customFormat="false" ht="137.25" hidden="false" customHeight="true" outlineLevel="0" collapsed="false">
      <c r="A1078" s="24" t="s">
        <v>1564</v>
      </c>
      <c r="B1078" s="32" t="s">
        <v>6293</v>
      </c>
      <c r="C1078" s="22" t="s">
        <v>6294</v>
      </c>
      <c r="D1078" s="32" t="s">
        <v>6295</v>
      </c>
      <c r="E1078" s="22" t="s">
        <v>3377</v>
      </c>
      <c r="F1078" s="22" t="s">
        <v>3378</v>
      </c>
      <c r="G1078" s="32" t="s">
        <v>6296</v>
      </c>
      <c r="H1078" s="22" t="s">
        <v>6297</v>
      </c>
      <c r="I1078" s="22" t="s">
        <v>3363</v>
      </c>
    </row>
    <row r="1079" customFormat="false" ht="49.5" hidden="false" customHeight="true" outlineLevel="0" collapsed="false">
      <c r="A1079" s="24" t="s">
        <v>1564</v>
      </c>
      <c r="B1079" s="32" t="s">
        <v>5764</v>
      </c>
      <c r="C1079" s="22" t="s">
        <v>6298</v>
      </c>
      <c r="D1079" s="32" t="s">
        <v>6299</v>
      </c>
      <c r="E1079" s="22" t="s">
        <v>3359</v>
      </c>
      <c r="F1079" s="22" t="s">
        <v>3360</v>
      </c>
      <c r="G1079" s="32" t="s">
        <v>6300</v>
      </c>
      <c r="H1079" s="22" t="s">
        <v>6301</v>
      </c>
      <c r="I1079" s="22" t="s">
        <v>3363</v>
      </c>
    </row>
    <row r="1080" customFormat="false" ht="24.75" hidden="false" customHeight="true" outlineLevel="0" collapsed="false">
      <c r="A1080" s="24" t="s">
        <v>1564</v>
      </c>
      <c r="B1080" s="32" t="s">
        <v>6302</v>
      </c>
      <c r="C1080" s="22" t="s">
        <v>6303</v>
      </c>
      <c r="D1080" s="32" t="s">
        <v>6304</v>
      </c>
      <c r="E1080" s="22" t="s">
        <v>3359</v>
      </c>
      <c r="F1080" s="22" t="s">
        <v>6286</v>
      </c>
      <c r="G1080" s="32" t="s">
        <v>6305</v>
      </c>
      <c r="H1080" s="22" t="s">
        <v>6306</v>
      </c>
      <c r="I1080" s="22" t="s">
        <v>3363</v>
      </c>
    </row>
    <row r="1081" customFormat="false" ht="15" hidden="false" customHeight="true" outlineLevel="0" collapsed="false">
      <c r="A1081" s="24" t="s">
        <v>1564</v>
      </c>
      <c r="B1081" s="32" t="s">
        <v>6307</v>
      </c>
      <c r="C1081" s="22" t="s">
        <v>6308</v>
      </c>
      <c r="D1081" s="32" t="s">
        <v>6309</v>
      </c>
      <c r="E1081" s="22" t="s">
        <v>3359</v>
      </c>
      <c r="F1081" s="22" t="s">
        <v>3378</v>
      </c>
      <c r="G1081" s="32" t="s">
        <v>5800</v>
      </c>
      <c r="H1081" s="22" t="s">
        <v>6310</v>
      </c>
      <c r="I1081" s="22" t="s">
        <v>3363</v>
      </c>
    </row>
    <row r="1082" customFormat="false" ht="24.75" hidden="false" customHeight="true" outlineLevel="0" collapsed="false">
      <c r="A1082" s="24" t="s">
        <v>1564</v>
      </c>
      <c r="B1082" s="32" t="s">
        <v>6311</v>
      </c>
      <c r="C1082" s="22" t="s">
        <v>6312</v>
      </c>
      <c r="D1082" s="32" t="s">
        <v>6313</v>
      </c>
      <c r="E1082" s="22" t="s">
        <v>3359</v>
      </c>
      <c r="F1082" s="22" t="s">
        <v>3360</v>
      </c>
      <c r="G1082" s="32" t="s">
        <v>5721</v>
      </c>
      <c r="H1082" s="22" t="s">
        <v>6314</v>
      </c>
      <c r="I1082" s="22" t="s">
        <v>3363</v>
      </c>
    </row>
    <row r="1083" customFormat="false" ht="15" hidden="false" customHeight="true" outlineLevel="0" collapsed="false">
      <c r="A1083" s="24" t="s">
        <v>1564</v>
      </c>
      <c r="B1083" s="32" t="s">
        <v>6315</v>
      </c>
      <c r="C1083" s="22" t="s">
        <v>6316</v>
      </c>
      <c r="D1083" s="32" t="s">
        <v>6317</v>
      </c>
      <c r="E1083" s="22" t="s">
        <v>3359</v>
      </c>
      <c r="F1083" s="22" t="s">
        <v>3360</v>
      </c>
      <c r="G1083" s="32"/>
      <c r="H1083" s="22"/>
      <c r="I1083" s="22" t="s">
        <v>3363</v>
      </c>
    </row>
    <row r="1084" customFormat="false" ht="24.75" hidden="false" customHeight="true" outlineLevel="0" collapsed="false">
      <c r="A1084" s="24" t="s">
        <v>1564</v>
      </c>
      <c r="B1084" s="32" t="s">
        <v>6318</v>
      </c>
      <c r="C1084" s="22" t="s">
        <v>6319</v>
      </c>
      <c r="D1084" s="32" t="s">
        <v>6317</v>
      </c>
      <c r="E1084" s="22" t="s">
        <v>3377</v>
      </c>
      <c r="F1084" s="22" t="s">
        <v>3378</v>
      </c>
      <c r="G1084" s="32" t="s">
        <v>6320</v>
      </c>
      <c r="H1084" s="22"/>
      <c r="I1084" s="22" t="s">
        <v>3363</v>
      </c>
    </row>
    <row r="1085" customFormat="false" ht="24.75" hidden="false" customHeight="true" outlineLevel="0" collapsed="false">
      <c r="A1085" s="24" t="s">
        <v>1564</v>
      </c>
      <c r="B1085" s="32" t="s">
        <v>6321</v>
      </c>
      <c r="C1085" s="22" t="s">
        <v>6322</v>
      </c>
      <c r="D1085" s="32" t="s">
        <v>6317</v>
      </c>
      <c r="E1085" s="22" t="s">
        <v>3389</v>
      </c>
      <c r="F1085" s="22" t="s">
        <v>3360</v>
      </c>
      <c r="G1085" s="32" t="s">
        <v>5779</v>
      </c>
      <c r="H1085" s="22"/>
      <c r="I1085" s="22" t="s">
        <v>3363</v>
      </c>
    </row>
    <row r="1086" customFormat="false" ht="24.75" hidden="false" customHeight="true" outlineLevel="0" collapsed="false">
      <c r="A1086" s="24" t="s">
        <v>1564</v>
      </c>
      <c r="B1086" s="32" t="s">
        <v>6323</v>
      </c>
      <c r="C1086" s="22" t="s">
        <v>6324</v>
      </c>
      <c r="D1086" s="32" t="s">
        <v>6317</v>
      </c>
      <c r="E1086" s="22" t="s">
        <v>3389</v>
      </c>
      <c r="F1086" s="22" t="s">
        <v>3360</v>
      </c>
      <c r="G1086" s="32" t="s">
        <v>5779</v>
      </c>
      <c r="H1086" s="22"/>
      <c r="I1086" s="22" t="s">
        <v>3363</v>
      </c>
    </row>
    <row r="1087" customFormat="false" ht="37.5" hidden="false" customHeight="true" outlineLevel="0" collapsed="false">
      <c r="A1087" s="24" t="s">
        <v>1564</v>
      </c>
      <c r="B1087" s="32" t="s">
        <v>6325</v>
      </c>
      <c r="C1087" s="22" t="s">
        <v>6326</v>
      </c>
      <c r="D1087" s="32" t="s">
        <v>6317</v>
      </c>
      <c r="E1087" s="22" t="s">
        <v>3377</v>
      </c>
      <c r="F1087" s="22" t="s">
        <v>3360</v>
      </c>
      <c r="G1087" s="32" t="s">
        <v>5947</v>
      </c>
      <c r="H1087" s="22" t="s">
        <v>6327</v>
      </c>
      <c r="I1087" s="22" t="s">
        <v>3363</v>
      </c>
    </row>
    <row r="1088" customFormat="false" ht="15" hidden="false" customHeight="true" outlineLevel="0" collapsed="false">
      <c r="A1088" s="24" t="s">
        <v>1564</v>
      </c>
      <c r="B1088" s="32" t="s">
        <v>6328</v>
      </c>
      <c r="C1088" s="22" t="s">
        <v>6329</v>
      </c>
      <c r="D1088" s="32" t="s">
        <v>6317</v>
      </c>
      <c r="E1088" s="22" t="s">
        <v>3394</v>
      </c>
      <c r="F1088" s="22" t="s">
        <v>3360</v>
      </c>
      <c r="G1088" s="32" t="s">
        <v>5753</v>
      </c>
      <c r="H1088" s="22"/>
      <c r="I1088" s="22" t="s">
        <v>3363</v>
      </c>
    </row>
    <row r="1089" customFormat="false" ht="15" hidden="false" customHeight="true" outlineLevel="0" collapsed="false">
      <c r="A1089" s="24" t="s">
        <v>1564</v>
      </c>
      <c r="B1089" s="32" t="s">
        <v>6330</v>
      </c>
      <c r="C1089" s="22" t="s">
        <v>6331</v>
      </c>
      <c r="D1089" s="32" t="s">
        <v>6317</v>
      </c>
      <c r="E1089" s="22" t="s">
        <v>3394</v>
      </c>
      <c r="F1089" s="22" t="s">
        <v>3378</v>
      </c>
      <c r="G1089" s="32" t="s">
        <v>5753</v>
      </c>
      <c r="H1089" s="22"/>
      <c r="I1089" s="22" t="s">
        <v>3363</v>
      </c>
    </row>
    <row r="1090" customFormat="false" ht="24.75" hidden="false" customHeight="true" outlineLevel="0" collapsed="false">
      <c r="A1090" s="24" t="s">
        <v>1564</v>
      </c>
      <c r="B1090" s="32" t="s">
        <v>6332</v>
      </c>
      <c r="C1090" s="22" t="s">
        <v>6333</v>
      </c>
      <c r="D1090" s="32" t="s">
        <v>6317</v>
      </c>
      <c r="E1090" s="22" t="s">
        <v>3394</v>
      </c>
      <c r="F1090" s="22" t="s">
        <v>3378</v>
      </c>
      <c r="G1090" s="32" t="s">
        <v>5753</v>
      </c>
      <c r="H1090" s="22"/>
      <c r="I1090" s="22" t="s">
        <v>3363</v>
      </c>
    </row>
    <row r="1091" customFormat="false" ht="24.75" hidden="false" customHeight="true" outlineLevel="0" collapsed="false">
      <c r="A1091" s="24" t="s">
        <v>1564</v>
      </c>
      <c r="B1091" s="32" t="s">
        <v>6334</v>
      </c>
      <c r="C1091" s="22" t="s">
        <v>6335</v>
      </c>
      <c r="D1091" s="32" t="s">
        <v>6317</v>
      </c>
      <c r="E1091" s="22" t="s">
        <v>3394</v>
      </c>
      <c r="F1091" s="22" t="s">
        <v>3360</v>
      </c>
      <c r="G1091" s="32" t="s">
        <v>5753</v>
      </c>
      <c r="H1091" s="22"/>
      <c r="I1091" s="22" t="s">
        <v>3363</v>
      </c>
    </row>
    <row r="1092" customFormat="false" ht="15" hidden="false" customHeight="true" outlineLevel="0" collapsed="false">
      <c r="A1092" s="24" t="s">
        <v>1564</v>
      </c>
      <c r="B1092" s="32" t="s">
        <v>6336</v>
      </c>
      <c r="C1092" s="22" t="s">
        <v>6337</v>
      </c>
      <c r="D1092" s="32" t="s">
        <v>6317</v>
      </c>
      <c r="E1092" s="22" t="s">
        <v>3394</v>
      </c>
      <c r="F1092" s="22" t="s">
        <v>3378</v>
      </c>
      <c r="G1092" s="32" t="s">
        <v>5753</v>
      </c>
      <c r="H1092" s="22"/>
      <c r="I1092" s="22" t="s">
        <v>3363</v>
      </c>
    </row>
    <row r="1093" customFormat="false" ht="15" hidden="false" customHeight="true" outlineLevel="0" collapsed="false">
      <c r="A1093" s="24" t="s">
        <v>1564</v>
      </c>
      <c r="B1093" s="32" t="s">
        <v>6338</v>
      </c>
      <c r="C1093" s="22" t="s">
        <v>6339</v>
      </c>
      <c r="D1093" s="32" t="s">
        <v>6317</v>
      </c>
      <c r="E1093" s="22" t="s">
        <v>3394</v>
      </c>
      <c r="F1093" s="22" t="s">
        <v>3360</v>
      </c>
      <c r="G1093" s="32" t="s">
        <v>5753</v>
      </c>
      <c r="H1093" s="22" t="s">
        <v>6340</v>
      </c>
      <c r="I1093" s="22" t="s">
        <v>3363</v>
      </c>
    </row>
    <row r="1094" customFormat="false" ht="15" hidden="false" customHeight="true" outlineLevel="0" collapsed="false">
      <c r="A1094" s="24" t="s">
        <v>1564</v>
      </c>
      <c r="B1094" s="32" t="s">
        <v>6341</v>
      </c>
      <c r="C1094" s="22" t="s">
        <v>6342</v>
      </c>
      <c r="D1094" s="32" t="s">
        <v>6317</v>
      </c>
      <c r="E1094" s="22" t="s">
        <v>3394</v>
      </c>
      <c r="F1094" s="22" t="s">
        <v>3378</v>
      </c>
      <c r="G1094" s="32" t="s">
        <v>5753</v>
      </c>
      <c r="H1094" s="22" t="s">
        <v>6343</v>
      </c>
      <c r="I1094" s="22" t="s">
        <v>3363</v>
      </c>
    </row>
    <row r="1095" customFormat="false" ht="24.75" hidden="false" customHeight="true" outlineLevel="0" collapsed="false">
      <c r="A1095" s="24" t="s">
        <v>1564</v>
      </c>
      <c r="B1095" s="32" t="s">
        <v>6344</v>
      </c>
      <c r="C1095" s="22" t="s">
        <v>6345</v>
      </c>
      <c r="D1095" s="32" t="s">
        <v>6317</v>
      </c>
      <c r="E1095" s="22" t="s">
        <v>3394</v>
      </c>
      <c r="F1095" s="22" t="s">
        <v>3360</v>
      </c>
      <c r="G1095" s="32" t="s">
        <v>5753</v>
      </c>
      <c r="H1095" s="22"/>
      <c r="I1095" s="22" t="s">
        <v>3363</v>
      </c>
    </row>
    <row r="1096" customFormat="false" ht="24.75" hidden="false" customHeight="true" outlineLevel="0" collapsed="false">
      <c r="A1096" s="24" t="s">
        <v>1564</v>
      </c>
      <c r="B1096" s="32" t="s">
        <v>6346</v>
      </c>
      <c r="C1096" s="22" t="s">
        <v>6347</v>
      </c>
      <c r="D1096" s="32" t="s">
        <v>6317</v>
      </c>
      <c r="E1096" s="22" t="s">
        <v>3394</v>
      </c>
      <c r="F1096" s="22" t="s">
        <v>3378</v>
      </c>
      <c r="G1096" s="32" t="s">
        <v>5753</v>
      </c>
      <c r="H1096" s="22"/>
      <c r="I1096" s="22" t="s">
        <v>3363</v>
      </c>
    </row>
    <row r="1097" customFormat="false" ht="15" hidden="false" customHeight="true" outlineLevel="0" collapsed="false">
      <c r="A1097" s="24" t="s">
        <v>1564</v>
      </c>
      <c r="B1097" s="32" t="s">
        <v>6348</v>
      </c>
      <c r="C1097" s="22" t="s">
        <v>6349</v>
      </c>
      <c r="D1097" s="32" t="s">
        <v>6317</v>
      </c>
      <c r="E1097" s="22" t="s">
        <v>3394</v>
      </c>
      <c r="F1097" s="22" t="s">
        <v>3360</v>
      </c>
      <c r="G1097" s="32" t="s">
        <v>5753</v>
      </c>
      <c r="H1097" s="22"/>
      <c r="I1097" s="22" t="s">
        <v>3363</v>
      </c>
    </row>
    <row r="1098" customFormat="false" ht="24.75" hidden="false" customHeight="true" outlineLevel="0" collapsed="false">
      <c r="A1098" s="24" t="s">
        <v>1564</v>
      </c>
      <c r="B1098" s="32" t="s">
        <v>6350</v>
      </c>
      <c r="C1098" s="22" t="s">
        <v>6351</v>
      </c>
      <c r="D1098" s="32" t="s">
        <v>6317</v>
      </c>
      <c r="E1098" s="22" t="s">
        <v>3394</v>
      </c>
      <c r="F1098" s="22" t="s">
        <v>3378</v>
      </c>
      <c r="G1098" s="32" t="s">
        <v>5753</v>
      </c>
      <c r="H1098" s="22" t="s">
        <v>6352</v>
      </c>
      <c r="I1098" s="22" t="s">
        <v>3363</v>
      </c>
    </row>
    <row r="1099" customFormat="false" ht="15" hidden="false" customHeight="true" outlineLevel="0" collapsed="false">
      <c r="A1099" s="24" t="s">
        <v>1564</v>
      </c>
      <c r="B1099" s="32" t="s">
        <v>6353</v>
      </c>
      <c r="C1099" s="22" t="s">
        <v>6354</v>
      </c>
      <c r="D1099" s="32" t="s">
        <v>6317</v>
      </c>
      <c r="E1099" s="22" t="s">
        <v>3394</v>
      </c>
      <c r="F1099" s="22" t="s">
        <v>3360</v>
      </c>
      <c r="G1099" s="32" t="s">
        <v>5753</v>
      </c>
      <c r="H1099" s="22"/>
      <c r="I1099" s="22" t="s">
        <v>3363</v>
      </c>
    </row>
    <row r="1100" customFormat="false" ht="15" hidden="false" customHeight="true" outlineLevel="0" collapsed="false">
      <c r="A1100" s="24" t="s">
        <v>1564</v>
      </c>
      <c r="B1100" s="32" t="s">
        <v>6355</v>
      </c>
      <c r="C1100" s="22" t="s">
        <v>6356</v>
      </c>
      <c r="D1100" s="32" t="s">
        <v>6317</v>
      </c>
      <c r="E1100" s="22" t="s">
        <v>3394</v>
      </c>
      <c r="F1100" s="22" t="s">
        <v>3360</v>
      </c>
      <c r="G1100" s="32" t="s">
        <v>5753</v>
      </c>
      <c r="H1100" s="22"/>
      <c r="I1100" s="22" t="s">
        <v>3363</v>
      </c>
    </row>
    <row r="1101" customFormat="false" ht="15" hidden="false" customHeight="true" outlineLevel="0" collapsed="false">
      <c r="A1101" s="24" t="s">
        <v>1564</v>
      </c>
      <c r="B1101" s="32" t="s">
        <v>6357</v>
      </c>
      <c r="C1101" s="22" t="s">
        <v>6358</v>
      </c>
      <c r="D1101" s="32" t="s">
        <v>6317</v>
      </c>
      <c r="E1101" s="22" t="s">
        <v>3394</v>
      </c>
      <c r="F1101" s="22" t="s">
        <v>3378</v>
      </c>
      <c r="G1101" s="32" t="s">
        <v>5753</v>
      </c>
      <c r="H1101" s="22"/>
      <c r="I1101" s="22" t="s">
        <v>3363</v>
      </c>
    </row>
    <row r="1102" customFormat="false" ht="15" hidden="false" customHeight="true" outlineLevel="0" collapsed="false">
      <c r="A1102" s="24" t="s">
        <v>1564</v>
      </c>
      <c r="B1102" s="32" t="s">
        <v>6359</v>
      </c>
      <c r="C1102" s="22" t="s">
        <v>5986</v>
      </c>
      <c r="D1102" s="32" t="s">
        <v>6317</v>
      </c>
      <c r="E1102" s="22" t="s">
        <v>3394</v>
      </c>
      <c r="F1102" s="22" t="s">
        <v>3378</v>
      </c>
      <c r="G1102" s="32" t="s">
        <v>5753</v>
      </c>
      <c r="H1102" s="22"/>
      <c r="I1102" s="22" t="s">
        <v>3363</v>
      </c>
    </row>
    <row r="1103" customFormat="false" ht="15" hidden="false" customHeight="true" outlineLevel="0" collapsed="false">
      <c r="A1103" s="24" t="s">
        <v>1564</v>
      </c>
      <c r="B1103" s="32" t="s">
        <v>6360</v>
      </c>
      <c r="C1103" s="22" t="s">
        <v>6361</v>
      </c>
      <c r="D1103" s="32" t="s">
        <v>6317</v>
      </c>
      <c r="E1103" s="22" t="s">
        <v>3394</v>
      </c>
      <c r="F1103" s="22" t="s">
        <v>3360</v>
      </c>
      <c r="G1103" s="32" t="s">
        <v>5753</v>
      </c>
      <c r="H1103" s="22"/>
      <c r="I1103" s="22" t="s">
        <v>3363</v>
      </c>
    </row>
    <row r="1104" customFormat="false" ht="15" hidden="false" customHeight="true" outlineLevel="0" collapsed="false">
      <c r="A1104" s="24" t="s">
        <v>1564</v>
      </c>
      <c r="B1104" s="32" t="s">
        <v>6362</v>
      </c>
      <c r="C1104" s="22" t="s">
        <v>6363</v>
      </c>
      <c r="D1104" s="32" t="s">
        <v>6317</v>
      </c>
      <c r="E1104" s="22" t="s">
        <v>3394</v>
      </c>
      <c r="F1104" s="22" t="s">
        <v>3378</v>
      </c>
      <c r="G1104" s="32" t="s">
        <v>5753</v>
      </c>
      <c r="H1104" s="22"/>
      <c r="I1104" s="22" t="s">
        <v>3363</v>
      </c>
    </row>
    <row r="1105" customFormat="false" ht="15" hidden="false" customHeight="true" outlineLevel="0" collapsed="false">
      <c r="A1105" s="24" t="s">
        <v>1564</v>
      </c>
      <c r="B1105" s="32" t="s">
        <v>6364</v>
      </c>
      <c r="C1105" s="22" t="s">
        <v>6365</v>
      </c>
      <c r="D1105" s="32" t="s">
        <v>6317</v>
      </c>
      <c r="E1105" s="22" t="s">
        <v>3394</v>
      </c>
      <c r="F1105" s="22" t="s">
        <v>3360</v>
      </c>
      <c r="G1105" s="32" t="s">
        <v>5753</v>
      </c>
      <c r="H1105" s="22"/>
      <c r="I1105" s="22" t="s">
        <v>3363</v>
      </c>
    </row>
    <row r="1106" customFormat="false" ht="37.5" hidden="false" customHeight="true" outlineLevel="0" collapsed="false">
      <c r="A1106" s="24" t="s">
        <v>1564</v>
      </c>
      <c r="B1106" s="32" t="s">
        <v>6366</v>
      </c>
      <c r="C1106" s="22" t="s">
        <v>6367</v>
      </c>
      <c r="D1106" s="32" t="s">
        <v>6317</v>
      </c>
      <c r="E1106" s="22" t="s">
        <v>3394</v>
      </c>
      <c r="F1106" s="22" t="s">
        <v>3360</v>
      </c>
      <c r="G1106" s="32" t="s">
        <v>5753</v>
      </c>
      <c r="H1106" s="22" t="s">
        <v>6368</v>
      </c>
      <c r="I1106" s="22" t="s">
        <v>3363</v>
      </c>
    </row>
    <row r="1107" customFormat="false" ht="15" hidden="false" customHeight="true" outlineLevel="0" collapsed="false">
      <c r="A1107" s="24" t="s">
        <v>1564</v>
      </c>
      <c r="B1107" s="32" t="s">
        <v>6369</v>
      </c>
      <c r="C1107" s="22" t="s">
        <v>6370</v>
      </c>
      <c r="D1107" s="32" t="s">
        <v>6317</v>
      </c>
      <c r="E1107" s="22" t="s">
        <v>3394</v>
      </c>
      <c r="F1107" s="22" t="s">
        <v>3378</v>
      </c>
      <c r="G1107" s="32" t="s">
        <v>5753</v>
      </c>
      <c r="H1107" s="22"/>
      <c r="I1107" s="22" t="s">
        <v>3363</v>
      </c>
    </row>
    <row r="1108" customFormat="false" ht="24.75" hidden="false" customHeight="true" outlineLevel="0" collapsed="false">
      <c r="A1108" s="24" t="s">
        <v>1564</v>
      </c>
      <c r="B1108" s="32" t="s">
        <v>6371</v>
      </c>
      <c r="C1108" s="22" t="s">
        <v>6372</v>
      </c>
      <c r="D1108" s="32" t="s">
        <v>6317</v>
      </c>
      <c r="E1108" s="22" t="s">
        <v>3394</v>
      </c>
      <c r="F1108" s="22" t="s">
        <v>3360</v>
      </c>
      <c r="G1108" s="32" t="s">
        <v>6373</v>
      </c>
      <c r="H1108" s="22" t="s">
        <v>6374</v>
      </c>
      <c r="I1108" s="22" t="s">
        <v>3363</v>
      </c>
    </row>
    <row r="1109" customFormat="false" ht="15" hidden="false" customHeight="true" outlineLevel="0" collapsed="false">
      <c r="A1109" s="24" t="s">
        <v>1564</v>
      </c>
      <c r="B1109" s="32" t="s">
        <v>6375</v>
      </c>
      <c r="C1109" s="22" t="s">
        <v>6376</v>
      </c>
      <c r="D1109" s="32" t="s">
        <v>6317</v>
      </c>
      <c r="E1109" s="22" t="s">
        <v>3359</v>
      </c>
      <c r="F1109" s="22" t="s">
        <v>3378</v>
      </c>
      <c r="G1109" s="32" t="s">
        <v>5721</v>
      </c>
      <c r="H1109" s="22" t="s">
        <v>6377</v>
      </c>
      <c r="I1109" s="22" t="s">
        <v>3363</v>
      </c>
    </row>
    <row r="1110" customFormat="false" ht="24.75" hidden="false" customHeight="true" outlineLevel="0" collapsed="false">
      <c r="A1110" s="24" t="s">
        <v>1564</v>
      </c>
      <c r="B1110" s="32" t="s">
        <v>6378</v>
      </c>
      <c r="C1110" s="22" t="s">
        <v>6379</v>
      </c>
      <c r="D1110" s="32" t="s">
        <v>6317</v>
      </c>
      <c r="E1110" s="22" t="s">
        <v>3359</v>
      </c>
      <c r="F1110" s="22" t="s">
        <v>3378</v>
      </c>
      <c r="G1110" s="32" t="s">
        <v>5721</v>
      </c>
      <c r="H1110" s="22"/>
      <c r="I1110" s="22" t="s">
        <v>3363</v>
      </c>
    </row>
    <row r="1111" customFormat="false" ht="15" hidden="false" customHeight="true" outlineLevel="0" collapsed="false">
      <c r="A1111" s="24" t="s">
        <v>1307</v>
      </c>
      <c r="B1111" s="32" t="s">
        <v>6117</v>
      </c>
      <c r="C1111" s="22" t="s">
        <v>6118</v>
      </c>
      <c r="D1111" s="32" t="s">
        <v>6119</v>
      </c>
      <c r="E1111" s="22" t="s">
        <v>3359</v>
      </c>
      <c r="F1111" s="22" t="s">
        <v>3360</v>
      </c>
      <c r="G1111" s="32" t="s">
        <v>5749</v>
      </c>
      <c r="H1111" s="22" t="s">
        <v>6120</v>
      </c>
      <c r="I1111" s="22" t="s">
        <v>3363</v>
      </c>
    </row>
    <row r="1112" customFormat="false" ht="15" hidden="false" customHeight="true" outlineLevel="0" collapsed="false">
      <c r="A1112" s="24" t="s">
        <v>1307</v>
      </c>
      <c r="B1112" s="32" t="s">
        <v>6103</v>
      </c>
      <c r="C1112" s="22" t="s">
        <v>6121</v>
      </c>
      <c r="D1112" s="32" t="s">
        <v>6122</v>
      </c>
      <c r="E1112" s="22" t="s">
        <v>3359</v>
      </c>
      <c r="F1112" s="22" t="s">
        <v>3360</v>
      </c>
      <c r="G1112" s="32" t="s">
        <v>6123</v>
      </c>
      <c r="H1112" s="22"/>
      <c r="I1112" s="22" t="s">
        <v>3363</v>
      </c>
    </row>
    <row r="1113" customFormat="false" ht="15" hidden="false" customHeight="true" outlineLevel="0" collapsed="false">
      <c r="A1113" s="24" t="s">
        <v>1307</v>
      </c>
      <c r="B1113" s="32" t="s">
        <v>6124</v>
      </c>
      <c r="C1113" s="22" t="s">
        <v>6125</v>
      </c>
      <c r="D1113" s="32" t="s">
        <v>6126</v>
      </c>
      <c r="E1113" s="22" t="s">
        <v>3377</v>
      </c>
      <c r="F1113" s="22" t="s">
        <v>3360</v>
      </c>
      <c r="G1113" s="32" t="s">
        <v>6127</v>
      </c>
      <c r="H1113" s="22"/>
      <c r="I1113" s="22" t="s">
        <v>3363</v>
      </c>
    </row>
    <row r="1114" customFormat="false" ht="24.75" hidden="false" customHeight="true" outlineLevel="0" collapsed="false">
      <c r="A1114" s="24" t="s">
        <v>1307</v>
      </c>
      <c r="B1114" s="32" t="s">
        <v>4400</v>
      </c>
      <c r="C1114" s="22" t="s">
        <v>6128</v>
      </c>
      <c r="D1114" s="32" t="s">
        <v>6129</v>
      </c>
      <c r="E1114" s="22" t="s">
        <v>3359</v>
      </c>
      <c r="F1114" s="22" t="s">
        <v>3360</v>
      </c>
      <c r="G1114" s="32" t="s">
        <v>6130</v>
      </c>
      <c r="H1114" s="22"/>
      <c r="I1114" s="22" t="s">
        <v>3363</v>
      </c>
    </row>
    <row r="1115" customFormat="false" ht="15" hidden="false" customHeight="true" outlineLevel="0" collapsed="false">
      <c r="A1115" s="24" t="s">
        <v>1307</v>
      </c>
      <c r="B1115" s="32" t="s">
        <v>5729</v>
      </c>
      <c r="C1115" s="22" t="s">
        <v>6131</v>
      </c>
      <c r="D1115" s="32" t="s">
        <v>6132</v>
      </c>
      <c r="E1115" s="22" t="s">
        <v>3359</v>
      </c>
      <c r="F1115" s="22" t="s">
        <v>3378</v>
      </c>
      <c r="G1115" s="32" t="s">
        <v>6133</v>
      </c>
      <c r="H1115" s="22" t="s">
        <v>6134</v>
      </c>
      <c r="I1115" s="22" t="s">
        <v>3363</v>
      </c>
    </row>
    <row r="1116" customFormat="false" ht="15" hidden="false" customHeight="true" outlineLevel="0" collapsed="false">
      <c r="A1116" s="24" t="s">
        <v>1307</v>
      </c>
      <c r="B1116" s="32" t="s">
        <v>1535</v>
      </c>
      <c r="C1116" s="22" t="s">
        <v>3873</v>
      </c>
      <c r="D1116" s="32" t="s">
        <v>6135</v>
      </c>
      <c r="E1116" s="22" t="s">
        <v>3377</v>
      </c>
      <c r="F1116" s="22" t="s">
        <v>3360</v>
      </c>
      <c r="G1116" s="32" t="s">
        <v>5874</v>
      </c>
      <c r="H1116" s="22"/>
      <c r="I1116" s="22" t="s">
        <v>3363</v>
      </c>
    </row>
    <row r="1117" customFormat="false" ht="15" hidden="false" customHeight="true" outlineLevel="0" collapsed="false">
      <c r="A1117" s="24" t="s">
        <v>1307</v>
      </c>
      <c r="B1117" s="32" t="s">
        <v>6136</v>
      </c>
      <c r="C1117" s="22" t="s">
        <v>6137</v>
      </c>
      <c r="D1117" s="32" t="s">
        <v>5720</v>
      </c>
      <c r="E1117" s="22" t="s">
        <v>3377</v>
      </c>
      <c r="F1117" s="22" t="s">
        <v>3360</v>
      </c>
      <c r="G1117" s="32" t="s">
        <v>6138</v>
      </c>
      <c r="H1117" s="22" t="s">
        <v>6139</v>
      </c>
      <c r="I1117" s="22" t="s">
        <v>3363</v>
      </c>
    </row>
    <row r="1118" customFormat="false" ht="24.75" hidden="false" customHeight="true" outlineLevel="0" collapsed="false">
      <c r="A1118" s="24" t="s">
        <v>1307</v>
      </c>
      <c r="B1118" s="32" t="s">
        <v>6140</v>
      </c>
      <c r="C1118" s="22" t="s">
        <v>6141</v>
      </c>
      <c r="D1118" s="32" t="s">
        <v>6142</v>
      </c>
      <c r="E1118" s="22" t="s">
        <v>3359</v>
      </c>
      <c r="F1118" s="22" t="s">
        <v>3378</v>
      </c>
      <c r="G1118" s="32" t="s">
        <v>5942</v>
      </c>
      <c r="H1118" s="22" t="s">
        <v>6143</v>
      </c>
      <c r="I1118" s="22" t="s">
        <v>3363</v>
      </c>
    </row>
    <row r="1119" customFormat="false" ht="15" hidden="false" customHeight="true" outlineLevel="0" collapsed="false">
      <c r="A1119" s="24" t="s">
        <v>1307</v>
      </c>
      <c r="B1119" s="32" t="s">
        <v>5744</v>
      </c>
      <c r="C1119" s="22" t="s">
        <v>6144</v>
      </c>
      <c r="D1119" s="32" t="s">
        <v>6145</v>
      </c>
      <c r="E1119" s="22" t="s">
        <v>3359</v>
      </c>
      <c r="F1119" s="22" t="s">
        <v>3360</v>
      </c>
      <c r="G1119" s="32" t="s">
        <v>5725</v>
      </c>
      <c r="H1119" s="22"/>
      <c r="I1119" s="22" t="s">
        <v>3363</v>
      </c>
    </row>
    <row r="1120" customFormat="false" ht="24.75" hidden="false" customHeight="true" outlineLevel="0" collapsed="false">
      <c r="A1120" s="24" t="s">
        <v>1307</v>
      </c>
      <c r="B1120" s="32" t="s">
        <v>6146</v>
      </c>
      <c r="C1120" s="22" t="s">
        <v>6147</v>
      </c>
      <c r="D1120" s="32" t="s">
        <v>6148</v>
      </c>
      <c r="E1120" s="22" t="s">
        <v>3359</v>
      </c>
      <c r="F1120" s="22" t="s">
        <v>3360</v>
      </c>
      <c r="G1120" s="32" t="s">
        <v>6149</v>
      </c>
      <c r="H1120" s="22"/>
      <c r="I1120" s="22" t="s">
        <v>3363</v>
      </c>
    </row>
    <row r="1121" customFormat="false" ht="24.75" hidden="false" customHeight="true" outlineLevel="0" collapsed="false">
      <c r="A1121" s="24" t="s">
        <v>1307</v>
      </c>
      <c r="B1121" s="32" t="s">
        <v>6150</v>
      </c>
      <c r="C1121" s="22" t="s">
        <v>6151</v>
      </c>
      <c r="D1121" s="32" t="s">
        <v>6152</v>
      </c>
      <c r="E1121" s="22" t="s">
        <v>3394</v>
      </c>
      <c r="F1121" s="22" t="s">
        <v>3360</v>
      </c>
      <c r="G1121" s="32" t="s">
        <v>6153</v>
      </c>
      <c r="H1121" s="22" t="s">
        <v>6154</v>
      </c>
      <c r="I1121" s="22" t="s">
        <v>3363</v>
      </c>
    </row>
    <row r="1122" customFormat="false" ht="24.75" hidden="false" customHeight="true" outlineLevel="0" collapsed="false">
      <c r="A1122" s="24" t="s">
        <v>1307</v>
      </c>
      <c r="B1122" s="32" t="s">
        <v>6155</v>
      </c>
      <c r="C1122" s="22" t="s">
        <v>6156</v>
      </c>
      <c r="D1122" s="32" t="s">
        <v>6157</v>
      </c>
      <c r="E1122" s="22" t="s">
        <v>3437</v>
      </c>
      <c r="F1122" s="22" t="s">
        <v>3360</v>
      </c>
      <c r="G1122" s="32" t="s">
        <v>3749</v>
      </c>
      <c r="H1122" s="22"/>
      <c r="I1122" s="22" t="s">
        <v>3363</v>
      </c>
    </row>
    <row r="1123" customFormat="false" ht="24.75" hidden="false" customHeight="true" outlineLevel="0" collapsed="false">
      <c r="A1123" s="24" t="s">
        <v>1307</v>
      </c>
      <c r="B1123" s="32" t="s">
        <v>6158</v>
      </c>
      <c r="C1123" s="22" t="s">
        <v>6159</v>
      </c>
      <c r="D1123" s="32" t="s">
        <v>6380</v>
      </c>
      <c r="E1123" s="22" t="s">
        <v>3437</v>
      </c>
      <c r="F1123" s="22" t="s">
        <v>3360</v>
      </c>
      <c r="G1123" s="32" t="s">
        <v>3438</v>
      </c>
      <c r="H1123" s="22" t="s">
        <v>6161</v>
      </c>
      <c r="I1123" s="22" t="s">
        <v>3363</v>
      </c>
    </row>
    <row r="1124" customFormat="false" ht="15" hidden="false" customHeight="true" outlineLevel="0" collapsed="false">
      <c r="A1124" s="24" t="s">
        <v>1307</v>
      </c>
      <c r="B1124" s="32" t="s">
        <v>6162</v>
      </c>
      <c r="C1124" s="22" t="s">
        <v>6163</v>
      </c>
      <c r="D1124" s="32" t="s">
        <v>6381</v>
      </c>
      <c r="E1124" s="22" t="s">
        <v>3437</v>
      </c>
      <c r="F1124" s="22" t="s">
        <v>3360</v>
      </c>
      <c r="G1124" s="32" t="s">
        <v>3749</v>
      </c>
      <c r="H1124" s="22"/>
      <c r="I1124" s="22" t="s">
        <v>3363</v>
      </c>
    </row>
    <row r="1125" customFormat="false" ht="15" hidden="false" customHeight="true" outlineLevel="0" collapsed="false">
      <c r="A1125" s="24" t="s">
        <v>1307</v>
      </c>
      <c r="B1125" s="32" t="s">
        <v>6165</v>
      </c>
      <c r="C1125" s="22" t="s">
        <v>6166</v>
      </c>
      <c r="D1125" s="32" t="s">
        <v>6382</v>
      </c>
      <c r="E1125" s="22" t="s">
        <v>3377</v>
      </c>
      <c r="F1125" s="22" t="s">
        <v>3360</v>
      </c>
      <c r="G1125" s="32" t="s">
        <v>5947</v>
      </c>
      <c r="H1125" s="22" t="s">
        <v>6168</v>
      </c>
      <c r="I1125" s="22" t="s">
        <v>3363</v>
      </c>
    </row>
    <row r="1126" customFormat="false" ht="24.75" hidden="false" customHeight="true" outlineLevel="0" collapsed="false">
      <c r="A1126" s="24" t="s">
        <v>1307</v>
      </c>
      <c r="B1126" s="32" t="s">
        <v>6169</v>
      </c>
      <c r="C1126" s="22" t="s">
        <v>6170</v>
      </c>
      <c r="D1126" s="32" t="s">
        <v>6383</v>
      </c>
      <c r="E1126" s="22" t="s">
        <v>3359</v>
      </c>
      <c r="F1126" s="22" t="s">
        <v>3360</v>
      </c>
      <c r="G1126" s="32" t="s">
        <v>6172</v>
      </c>
      <c r="H1126" s="22" t="s">
        <v>6173</v>
      </c>
      <c r="I1126" s="22" t="s">
        <v>3363</v>
      </c>
    </row>
    <row r="1127" customFormat="false" ht="24.75" hidden="false" customHeight="true" outlineLevel="0" collapsed="false">
      <c r="A1127" s="24" t="s">
        <v>1307</v>
      </c>
      <c r="B1127" s="32" t="s">
        <v>6174</v>
      </c>
      <c r="C1127" s="22" t="s">
        <v>6175</v>
      </c>
      <c r="D1127" s="32" t="s">
        <v>6384</v>
      </c>
      <c r="E1127" s="22" t="s">
        <v>3359</v>
      </c>
      <c r="F1127" s="22" t="s">
        <v>3360</v>
      </c>
      <c r="G1127" s="32" t="s">
        <v>5902</v>
      </c>
      <c r="H1127" s="22" t="s">
        <v>6177</v>
      </c>
      <c r="I1127" s="22" t="s">
        <v>3363</v>
      </c>
    </row>
    <row r="1128" customFormat="false" ht="24.75" hidden="false" customHeight="true" outlineLevel="0" collapsed="false">
      <c r="A1128" s="24" t="s">
        <v>1307</v>
      </c>
      <c r="B1128" s="32" t="s">
        <v>6090</v>
      </c>
      <c r="C1128" s="22" t="s">
        <v>6178</v>
      </c>
      <c r="D1128" s="32" t="s">
        <v>6385</v>
      </c>
      <c r="E1128" s="22" t="s">
        <v>3389</v>
      </c>
      <c r="F1128" s="22" t="s">
        <v>3360</v>
      </c>
      <c r="G1128" s="32" t="s">
        <v>6180</v>
      </c>
      <c r="H1128" s="22" t="s">
        <v>6181</v>
      </c>
      <c r="I1128" s="22" t="s">
        <v>3363</v>
      </c>
    </row>
    <row r="1129" customFormat="false" ht="24.75" hidden="false" customHeight="true" outlineLevel="0" collapsed="false">
      <c r="A1129" s="24" t="s">
        <v>1307</v>
      </c>
      <c r="B1129" s="32" t="s">
        <v>6182</v>
      </c>
      <c r="C1129" s="22" t="s">
        <v>6183</v>
      </c>
      <c r="D1129" s="32" t="s">
        <v>6386</v>
      </c>
      <c r="E1129" s="22" t="s">
        <v>3377</v>
      </c>
      <c r="F1129" s="22" t="s">
        <v>3360</v>
      </c>
      <c r="G1129" s="32" t="s">
        <v>6185</v>
      </c>
      <c r="H1129" s="22" t="s">
        <v>6186</v>
      </c>
      <c r="I1129" s="22" t="s">
        <v>3363</v>
      </c>
    </row>
    <row r="1130" customFormat="false" ht="15" hidden="false" customHeight="true" outlineLevel="0" collapsed="false">
      <c r="A1130" s="24" t="s">
        <v>1307</v>
      </c>
      <c r="B1130" s="32" t="s">
        <v>6187</v>
      </c>
      <c r="C1130" s="22" t="s">
        <v>6188</v>
      </c>
      <c r="D1130" s="32" t="s">
        <v>6387</v>
      </c>
      <c r="E1130" s="22" t="s">
        <v>3394</v>
      </c>
      <c r="F1130" s="22" t="s">
        <v>3360</v>
      </c>
      <c r="G1130" s="32" t="s">
        <v>6190</v>
      </c>
      <c r="H1130" s="22"/>
      <c r="I1130" s="22" t="s">
        <v>3363</v>
      </c>
    </row>
    <row r="1131" customFormat="false" ht="24.75" hidden="false" customHeight="true" outlineLevel="0" collapsed="false">
      <c r="A1131" s="24" t="s">
        <v>1307</v>
      </c>
      <c r="B1131" s="32" t="s">
        <v>6191</v>
      </c>
      <c r="C1131" s="22" t="s">
        <v>6192</v>
      </c>
      <c r="D1131" s="32" t="s">
        <v>6388</v>
      </c>
      <c r="E1131" s="22" t="s">
        <v>3394</v>
      </c>
      <c r="F1131" s="22" t="s">
        <v>3378</v>
      </c>
      <c r="G1131" s="32" t="s">
        <v>6194</v>
      </c>
      <c r="H1131" s="22" t="s">
        <v>6195</v>
      </c>
      <c r="I1131" s="22" t="s">
        <v>3363</v>
      </c>
    </row>
    <row r="1132" customFormat="false" ht="15" hidden="false" customHeight="true" outlineLevel="0" collapsed="false">
      <c r="A1132" s="24" t="s">
        <v>1307</v>
      </c>
      <c r="B1132" s="32" t="s">
        <v>6196</v>
      </c>
      <c r="C1132" s="22" t="s">
        <v>6197</v>
      </c>
      <c r="D1132" s="32" t="s">
        <v>6389</v>
      </c>
      <c r="E1132" s="22" t="s">
        <v>3394</v>
      </c>
      <c r="F1132" s="22" t="s">
        <v>3378</v>
      </c>
      <c r="G1132" s="32" t="s">
        <v>6199</v>
      </c>
      <c r="H1132" s="22" t="s">
        <v>6195</v>
      </c>
      <c r="I1132" s="22" t="s">
        <v>3363</v>
      </c>
    </row>
    <row r="1133" customFormat="false" ht="24.75" hidden="false" customHeight="true" outlineLevel="0" collapsed="false">
      <c r="A1133" s="24" t="s">
        <v>1307</v>
      </c>
      <c r="B1133" s="32" t="s">
        <v>6200</v>
      </c>
      <c r="C1133" s="22" t="s">
        <v>6201</v>
      </c>
      <c r="D1133" s="32" t="s">
        <v>6390</v>
      </c>
      <c r="E1133" s="22" t="s">
        <v>3394</v>
      </c>
      <c r="F1133" s="22" t="s">
        <v>3360</v>
      </c>
      <c r="G1133" s="32" t="s">
        <v>6203</v>
      </c>
      <c r="H1133" s="22" t="s">
        <v>6204</v>
      </c>
      <c r="I1133" s="22" t="s">
        <v>3363</v>
      </c>
    </row>
    <row r="1134" customFormat="false" ht="24.75" hidden="false" customHeight="true" outlineLevel="0" collapsed="false">
      <c r="A1134" s="24" t="s">
        <v>1307</v>
      </c>
      <c r="B1134" s="32" t="s">
        <v>6205</v>
      </c>
      <c r="C1134" s="22" t="s">
        <v>6206</v>
      </c>
      <c r="D1134" s="32" t="s">
        <v>6391</v>
      </c>
      <c r="E1134" s="22" t="s">
        <v>3394</v>
      </c>
      <c r="F1134" s="22" t="s">
        <v>3360</v>
      </c>
      <c r="G1134" s="32" t="s">
        <v>6203</v>
      </c>
      <c r="H1134" s="22" t="s">
        <v>6208</v>
      </c>
      <c r="I1134" s="22" t="s">
        <v>3363</v>
      </c>
    </row>
    <row r="1135" customFormat="false" ht="24.75" hidden="false" customHeight="true" outlineLevel="0" collapsed="false">
      <c r="A1135" s="24" t="s">
        <v>1307</v>
      </c>
      <c r="B1135" s="32" t="s">
        <v>6209</v>
      </c>
      <c r="C1135" s="22" t="s">
        <v>6210</v>
      </c>
      <c r="D1135" s="32" t="s">
        <v>6392</v>
      </c>
      <c r="E1135" s="22" t="s">
        <v>3394</v>
      </c>
      <c r="F1135" s="22" t="s">
        <v>3378</v>
      </c>
      <c r="G1135" s="32" t="s">
        <v>6212</v>
      </c>
      <c r="H1135" s="22"/>
      <c r="I1135" s="22" t="s">
        <v>3363</v>
      </c>
    </row>
    <row r="1136" customFormat="false" ht="24.75" hidden="false" customHeight="true" outlineLevel="0" collapsed="false">
      <c r="A1136" s="24" t="s">
        <v>1307</v>
      </c>
      <c r="B1136" s="32" t="s">
        <v>6213</v>
      </c>
      <c r="C1136" s="22" t="s">
        <v>6214</v>
      </c>
      <c r="D1136" s="32" t="s">
        <v>6393</v>
      </c>
      <c r="E1136" s="22" t="s">
        <v>3394</v>
      </c>
      <c r="F1136" s="22" t="s">
        <v>3360</v>
      </c>
      <c r="G1136" s="32" t="s">
        <v>6216</v>
      </c>
      <c r="H1136" s="22" t="s">
        <v>6217</v>
      </c>
      <c r="I1136" s="22" t="s">
        <v>3363</v>
      </c>
    </row>
    <row r="1137" customFormat="false" ht="24.75" hidden="false" customHeight="true" outlineLevel="0" collapsed="false">
      <c r="A1137" s="24" t="s">
        <v>1307</v>
      </c>
      <c r="B1137" s="32" t="s">
        <v>6218</v>
      </c>
      <c r="C1137" s="22" t="s">
        <v>6219</v>
      </c>
      <c r="D1137" s="32" t="s">
        <v>6394</v>
      </c>
      <c r="E1137" s="22" t="s">
        <v>3394</v>
      </c>
      <c r="F1137" s="22" t="s">
        <v>3360</v>
      </c>
      <c r="G1137" s="32" t="s">
        <v>6221</v>
      </c>
      <c r="H1137" s="22" t="s">
        <v>6222</v>
      </c>
      <c r="I1137" s="22" t="s">
        <v>3363</v>
      </c>
    </row>
    <row r="1138" customFormat="false" ht="24.75" hidden="false" customHeight="true" outlineLevel="0" collapsed="false">
      <c r="A1138" s="24" t="s">
        <v>1307</v>
      </c>
      <c r="B1138" s="32" t="s">
        <v>6223</v>
      </c>
      <c r="C1138" s="22" t="s">
        <v>6224</v>
      </c>
      <c r="D1138" s="32" t="s">
        <v>6395</v>
      </c>
      <c r="E1138" s="22" t="s">
        <v>3394</v>
      </c>
      <c r="F1138" s="22" t="s">
        <v>3378</v>
      </c>
      <c r="G1138" s="32" t="s">
        <v>5753</v>
      </c>
      <c r="H1138" s="22" t="s">
        <v>6226</v>
      </c>
      <c r="I1138" s="22" t="s">
        <v>3363</v>
      </c>
    </row>
    <row r="1139" customFormat="false" ht="24.75" hidden="false" customHeight="true" outlineLevel="0" collapsed="false">
      <c r="A1139" s="24" t="s">
        <v>1307</v>
      </c>
      <c r="B1139" s="32" t="s">
        <v>6227</v>
      </c>
      <c r="C1139" s="22" t="s">
        <v>6228</v>
      </c>
      <c r="D1139" s="32" t="s">
        <v>6395</v>
      </c>
      <c r="E1139" s="22" t="s">
        <v>3394</v>
      </c>
      <c r="F1139" s="22" t="s">
        <v>3378</v>
      </c>
      <c r="G1139" s="32" t="s">
        <v>5753</v>
      </c>
      <c r="H1139" s="22" t="s">
        <v>6226</v>
      </c>
      <c r="I1139" s="22" t="s">
        <v>3363</v>
      </c>
    </row>
    <row r="1140" customFormat="false" ht="24.75" hidden="false" customHeight="true" outlineLevel="0" collapsed="false">
      <c r="A1140" s="24" t="s">
        <v>1307</v>
      </c>
      <c r="B1140" s="32" t="s">
        <v>6229</v>
      </c>
      <c r="C1140" s="22" t="s">
        <v>6230</v>
      </c>
      <c r="D1140" s="32" t="s">
        <v>6396</v>
      </c>
      <c r="E1140" s="22" t="s">
        <v>3377</v>
      </c>
      <c r="F1140" s="22" t="s">
        <v>3360</v>
      </c>
      <c r="G1140" s="32" t="s">
        <v>6232</v>
      </c>
      <c r="H1140" s="22" t="s">
        <v>6233</v>
      </c>
      <c r="I1140" s="22" t="s">
        <v>3363</v>
      </c>
    </row>
    <row r="1141" customFormat="false" ht="15" hidden="false" customHeight="true" outlineLevel="0" collapsed="false">
      <c r="A1141" s="24" t="s">
        <v>1307</v>
      </c>
      <c r="B1141" s="32" t="s">
        <v>6234</v>
      </c>
      <c r="C1141" s="22" t="s">
        <v>6235</v>
      </c>
      <c r="D1141" s="32" t="s">
        <v>6397</v>
      </c>
      <c r="E1141" s="22" t="s">
        <v>3437</v>
      </c>
      <c r="F1141" s="22" t="s">
        <v>3360</v>
      </c>
      <c r="G1141" s="32" t="s">
        <v>3438</v>
      </c>
      <c r="H1141" s="22"/>
      <c r="I1141" s="22" t="s">
        <v>3363</v>
      </c>
    </row>
    <row r="1142" customFormat="false" ht="15" hidden="false" customHeight="true" outlineLevel="0" collapsed="false">
      <c r="A1142" s="24" t="s">
        <v>1307</v>
      </c>
      <c r="B1142" s="32" t="s">
        <v>6237</v>
      </c>
      <c r="C1142" s="22" t="s">
        <v>6238</v>
      </c>
      <c r="D1142" s="32" t="s">
        <v>6398</v>
      </c>
      <c r="E1142" s="22" t="s">
        <v>3437</v>
      </c>
      <c r="F1142" s="22" t="s">
        <v>3360</v>
      </c>
      <c r="G1142" s="32" t="s">
        <v>6240</v>
      </c>
      <c r="H1142" s="22" t="s">
        <v>6241</v>
      </c>
      <c r="I1142" s="22" t="s">
        <v>3363</v>
      </c>
    </row>
    <row r="1143" customFormat="false" ht="15" hidden="false" customHeight="true" outlineLevel="0" collapsed="false">
      <c r="A1143" s="24" t="s">
        <v>1307</v>
      </c>
      <c r="B1143" s="32" t="s">
        <v>6242</v>
      </c>
      <c r="C1143" s="22" t="s">
        <v>6243</v>
      </c>
      <c r="D1143" s="32" t="s">
        <v>6399</v>
      </c>
      <c r="E1143" s="22" t="s">
        <v>3377</v>
      </c>
      <c r="F1143" s="22" t="s">
        <v>3360</v>
      </c>
      <c r="G1143" s="32" t="s">
        <v>6245</v>
      </c>
      <c r="H1143" s="22"/>
      <c r="I1143" s="22" t="s">
        <v>3363</v>
      </c>
    </row>
    <row r="1144" customFormat="false" ht="24.75" hidden="false" customHeight="true" outlineLevel="0" collapsed="false">
      <c r="A1144" s="24" t="s">
        <v>1307</v>
      </c>
      <c r="B1144" s="32" t="s">
        <v>6104</v>
      </c>
      <c r="C1144" s="22" t="s">
        <v>6246</v>
      </c>
      <c r="D1144" s="32" t="s">
        <v>6400</v>
      </c>
      <c r="E1144" s="22" t="s">
        <v>3359</v>
      </c>
      <c r="F1144" s="22" t="s">
        <v>3360</v>
      </c>
      <c r="G1144" s="32" t="s">
        <v>6248</v>
      </c>
      <c r="H1144" s="22" t="s">
        <v>6249</v>
      </c>
      <c r="I1144" s="22" t="s">
        <v>3363</v>
      </c>
    </row>
    <row r="1145" customFormat="false" ht="15" hidden="false" customHeight="true" outlineLevel="0" collapsed="false">
      <c r="A1145" s="24" t="s">
        <v>1307</v>
      </c>
      <c r="B1145" s="32" t="s">
        <v>6250</v>
      </c>
      <c r="C1145" s="22" t="s">
        <v>6251</v>
      </c>
      <c r="D1145" s="32" t="s">
        <v>6401</v>
      </c>
      <c r="E1145" s="22" t="s">
        <v>3359</v>
      </c>
      <c r="F1145" s="22" t="s">
        <v>3378</v>
      </c>
      <c r="G1145" s="32" t="s">
        <v>6253</v>
      </c>
      <c r="H1145" s="22" t="s">
        <v>6254</v>
      </c>
      <c r="I1145" s="22" t="s">
        <v>3363</v>
      </c>
    </row>
    <row r="1146" customFormat="false" ht="15" hidden="false" customHeight="true" outlineLevel="0" collapsed="false">
      <c r="A1146" s="24" t="s">
        <v>1307</v>
      </c>
      <c r="B1146" s="32" t="s">
        <v>6255</v>
      </c>
      <c r="C1146" s="22" t="s">
        <v>6256</v>
      </c>
      <c r="D1146" s="32" t="s">
        <v>6402</v>
      </c>
      <c r="E1146" s="22" t="s">
        <v>3359</v>
      </c>
      <c r="F1146" s="22" t="s">
        <v>3360</v>
      </c>
      <c r="G1146" s="32" t="s">
        <v>5725</v>
      </c>
      <c r="H1146" s="22"/>
      <c r="I1146" s="22" t="s">
        <v>3363</v>
      </c>
    </row>
    <row r="1147" customFormat="false" ht="24.75" hidden="false" customHeight="true" outlineLevel="0" collapsed="false">
      <c r="A1147" s="24" t="s">
        <v>1307</v>
      </c>
      <c r="B1147" s="32" t="s">
        <v>6258</v>
      </c>
      <c r="C1147" s="22" t="s">
        <v>6259</v>
      </c>
      <c r="D1147" s="32" t="s">
        <v>6403</v>
      </c>
      <c r="E1147" s="22" t="s">
        <v>3394</v>
      </c>
      <c r="F1147" s="22" t="s">
        <v>3360</v>
      </c>
      <c r="G1147" s="32" t="s">
        <v>6261</v>
      </c>
      <c r="H1147" s="22" t="s">
        <v>6262</v>
      </c>
      <c r="I1147" s="22" t="s">
        <v>3363</v>
      </c>
    </row>
    <row r="1148" customFormat="false" ht="15" hidden="false" customHeight="true" outlineLevel="0" collapsed="false">
      <c r="A1148" s="24" t="s">
        <v>1307</v>
      </c>
      <c r="B1148" s="32" t="s">
        <v>6263</v>
      </c>
      <c r="C1148" s="22" t="s">
        <v>6264</v>
      </c>
      <c r="D1148" s="32" t="s">
        <v>6404</v>
      </c>
      <c r="E1148" s="22" t="s">
        <v>3394</v>
      </c>
      <c r="F1148" s="22" t="s">
        <v>3378</v>
      </c>
      <c r="G1148" s="32" t="s">
        <v>6261</v>
      </c>
      <c r="H1148" s="22"/>
      <c r="I1148" s="22" t="s">
        <v>3363</v>
      </c>
    </row>
    <row r="1149" customFormat="false" ht="15" hidden="false" customHeight="true" outlineLevel="0" collapsed="false">
      <c r="A1149" s="24" t="s">
        <v>1307</v>
      </c>
      <c r="B1149" s="32" t="s">
        <v>6266</v>
      </c>
      <c r="C1149" s="22" t="s">
        <v>6267</v>
      </c>
      <c r="D1149" s="32" t="s">
        <v>6405</v>
      </c>
      <c r="E1149" s="22" t="s">
        <v>3394</v>
      </c>
      <c r="F1149" s="22" t="s">
        <v>3378</v>
      </c>
      <c r="G1149" s="32" t="s">
        <v>6261</v>
      </c>
      <c r="H1149" s="22"/>
      <c r="I1149" s="22" t="s">
        <v>3363</v>
      </c>
    </row>
    <row r="1150" customFormat="false" ht="24.75" hidden="false" customHeight="true" outlineLevel="0" collapsed="false">
      <c r="A1150" s="24" t="s">
        <v>1307</v>
      </c>
      <c r="B1150" s="32" t="s">
        <v>5787</v>
      </c>
      <c r="C1150" s="22" t="s">
        <v>6269</v>
      </c>
      <c r="D1150" s="32" t="s">
        <v>6406</v>
      </c>
      <c r="E1150" s="22" t="s">
        <v>3394</v>
      </c>
      <c r="F1150" s="22" t="s">
        <v>3360</v>
      </c>
      <c r="G1150" s="32" t="s">
        <v>6271</v>
      </c>
      <c r="H1150" s="22"/>
      <c r="I1150" s="22" t="s">
        <v>3363</v>
      </c>
    </row>
    <row r="1151" customFormat="false" ht="15" hidden="false" customHeight="true" outlineLevel="0" collapsed="false">
      <c r="A1151" s="24" t="s">
        <v>1307</v>
      </c>
      <c r="B1151" s="32" t="s">
        <v>6085</v>
      </c>
      <c r="C1151" s="22" t="s">
        <v>6272</v>
      </c>
      <c r="D1151" s="32" t="s">
        <v>6407</v>
      </c>
      <c r="E1151" s="22" t="s">
        <v>3394</v>
      </c>
      <c r="F1151" s="22" t="s">
        <v>3360</v>
      </c>
      <c r="G1151" s="32" t="s">
        <v>6274</v>
      </c>
      <c r="H1151" s="22"/>
      <c r="I1151" s="22" t="s">
        <v>3363</v>
      </c>
    </row>
    <row r="1152" customFormat="false" ht="15" hidden="false" customHeight="true" outlineLevel="0" collapsed="false">
      <c r="A1152" s="24" t="s">
        <v>1307</v>
      </c>
      <c r="B1152" s="32" t="s">
        <v>5784</v>
      </c>
      <c r="C1152" s="22" t="s">
        <v>6275</v>
      </c>
      <c r="D1152" s="32" t="s">
        <v>6408</v>
      </c>
      <c r="E1152" s="22" t="s">
        <v>3394</v>
      </c>
      <c r="F1152" s="22" t="s">
        <v>3360</v>
      </c>
      <c r="G1152" s="32" t="s">
        <v>6277</v>
      </c>
      <c r="H1152" s="22" t="s">
        <v>6278</v>
      </c>
      <c r="I1152" s="22" t="s">
        <v>3363</v>
      </c>
    </row>
    <row r="1153" customFormat="false" ht="24.75" hidden="false" customHeight="true" outlineLevel="0" collapsed="false">
      <c r="A1153" s="24" t="s">
        <v>1307</v>
      </c>
      <c r="B1153" s="32" t="s">
        <v>6113</v>
      </c>
      <c r="C1153" s="22" t="s">
        <v>6279</v>
      </c>
      <c r="D1153" s="32" t="s">
        <v>6409</v>
      </c>
      <c r="E1153" s="22" t="s">
        <v>3389</v>
      </c>
      <c r="F1153" s="22" t="s">
        <v>3360</v>
      </c>
      <c r="G1153" s="32" t="s">
        <v>6281</v>
      </c>
      <c r="H1153" s="22" t="s">
        <v>6282</v>
      </c>
      <c r="I1153" s="22" t="s">
        <v>3363</v>
      </c>
    </row>
    <row r="1154" customFormat="false" ht="24.75" hidden="false" customHeight="true" outlineLevel="0" collapsed="false">
      <c r="A1154" s="24" t="s">
        <v>1307</v>
      </c>
      <c r="B1154" s="32" t="s">
        <v>6283</v>
      </c>
      <c r="C1154" s="22" t="s">
        <v>6284</v>
      </c>
      <c r="D1154" s="32" t="s">
        <v>6410</v>
      </c>
      <c r="E1154" s="22" t="s">
        <v>3389</v>
      </c>
      <c r="F1154" s="22" t="s">
        <v>6286</v>
      </c>
      <c r="G1154" s="32" t="s">
        <v>6287</v>
      </c>
      <c r="H1154" s="22"/>
      <c r="I1154" s="22" t="s">
        <v>3363</v>
      </c>
    </row>
    <row r="1155" customFormat="false" ht="24.75" hidden="false" customHeight="true" outlineLevel="0" collapsed="false">
      <c r="A1155" s="24" t="s">
        <v>1307</v>
      </c>
      <c r="B1155" s="32" t="s">
        <v>6288</v>
      </c>
      <c r="C1155" s="22" t="s">
        <v>6289</v>
      </c>
      <c r="D1155" s="32" t="s">
        <v>6411</v>
      </c>
      <c r="E1155" s="22" t="s">
        <v>3394</v>
      </c>
      <c r="F1155" s="22" t="s">
        <v>3360</v>
      </c>
      <c r="G1155" s="32" t="s">
        <v>6291</v>
      </c>
      <c r="H1155" s="22" t="s">
        <v>6292</v>
      </c>
      <c r="I1155" s="22" t="s">
        <v>3363</v>
      </c>
    </row>
    <row r="1156" customFormat="false" ht="137.25" hidden="false" customHeight="true" outlineLevel="0" collapsed="false">
      <c r="A1156" s="24" t="s">
        <v>1307</v>
      </c>
      <c r="B1156" s="32" t="s">
        <v>6293</v>
      </c>
      <c r="C1156" s="22" t="s">
        <v>6294</v>
      </c>
      <c r="D1156" s="32" t="s">
        <v>6412</v>
      </c>
      <c r="E1156" s="22" t="s">
        <v>3377</v>
      </c>
      <c r="F1156" s="22" t="s">
        <v>3378</v>
      </c>
      <c r="G1156" s="32" t="s">
        <v>6296</v>
      </c>
      <c r="H1156" s="22" t="s">
        <v>6297</v>
      </c>
      <c r="I1156" s="22" t="s">
        <v>3363</v>
      </c>
    </row>
    <row r="1157" customFormat="false" ht="49.5" hidden="false" customHeight="true" outlineLevel="0" collapsed="false">
      <c r="A1157" s="24" t="s">
        <v>1307</v>
      </c>
      <c r="B1157" s="32" t="s">
        <v>5764</v>
      </c>
      <c r="C1157" s="22" t="s">
        <v>6298</v>
      </c>
      <c r="D1157" s="32" t="s">
        <v>6413</v>
      </c>
      <c r="E1157" s="22" t="s">
        <v>3359</v>
      </c>
      <c r="F1157" s="22" t="s">
        <v>3360</v>
      </c>
      <c r="G1157" s="32" t="s">
        <v>6300</v>
      </c>
      <c r="H1157" s="22" t="s">
        <v>6301</v>
      </c>
      <c r="I1157" s="22" t="s">
        <v>3363</v>
      </c>
    </row>
    <row r="1158" customFormat="false" ht="24.75" hidden="false" customHeight="true" outlineLevel="0" collapsed="false">
      <c r="A1158" s="24" t="s">
        <v>1307</v>
      </c>
      <c r="B1158" s="32" t="s">
        <v>6302</v>
      </c>
      <c r="C1158" s="22" t="s">
        <v>6303</v>
      </c>
      <c r="D1158" s="32" t="s">
        <v>6414</v>
      </c>
      <c r="E1158" s="22" t="s">
        <v>3359</v>
      </c>
      <c r="F1158" s="22" t="s">
        <v>6286</v>
      </c>
      <c r="G1158" s="32" t="s">
        <v>6305</v>
      </c>
      <c r="H1158" s="22" t="s">
        <v>6306</v>
      </c>
      <c r="I1158" s="22" t="s">
        <v>3363</v>
      </c>
    </row>
    <row r="1159" customFormat="false" ht="15" hidden="false" customHeight="true" outlineLevel="0" collapsed="false">
      <c r="A1159" s="24" t="s">
        <v>1307</v>
      </c>
      <c r="B1159" s="32" t="s">
        <v>6307</v>
      </c>
      <c r="C1159" s="22" t="s">
        <v>6308</v>
      </c>
      <c r="D1159" s="32" t="s">
        <v>6415</v>
      </c>
      <c r="E1159" s="22" t="s">
        <v>3359</v>
      </c>
      <c r="F1159" s="22" t="s">
        <v>3378</v>
      </c>
      <c r="G1159" s="32" t="s">
        <v>5800</v>
      </c>
      <c r="H1159" s="22" t="s">
        <v>6310</v>
      </c>
      <c r="I1159" s="22" t="s">
        <v>3363</v>
      </c>
    </row>
    <row r="1160" customFormat="false" ht="15" hidden="false" customHeight="true" outlineLevel="0" collapsed="false">
      <c r="A1160" s="24" t="s">
        <v>3081</v>
      </c>
      <c r="B1160" s="32" t="s">
        <v>6117</v>
      </c>
      <c r="C1160" s="22" t="s">
        <v>6118</v>
      </c>
      <c r="D1160" s="32" t="s">
        <v>6119</v>
      </c>
      <c r="E1160" s="22" t="s">
        <v>3359</v>
      </c>
      <c r="F1160" s="22" t="s">
        <v>3360</v>
      </c>
      <c r="G1160" s="32" t="s">
        <v>5749</v>
      </c>
      <c r="H1160" s="22" t="s">
        <v>6120</v>
      </c>
      <c r="I1160" s="22" t="s">
        <v>3363</v>
      </c>
    </row>
    <row r="1161" customFormat="false" ht="15" hidden="false" customHeight="true" outlineLevel="0" collapsed="false">
      <c r="A1161" s="24" t="s">
        <v>3081</v>
      </c>
      <c r="B1161" s="32" t="s">
        <v>6103</v>
      </c>
      <c r="C1161" s="22" t="s">
        <v>6121</v>
      </c>
      <c r="D1161" s="32" t="s">
        <v>6122</v>
      </c>
      <c r="E1161" s="22" t="s">
        <v>3359</v>
      </c>
      <c r="F1161" s="22" t="s">
        <v>3360</v>
      </c>
      <c r="G1161" s="32" t="s">
        <v>6123</v>
      </c>
      <c r="H1161" s="22"/>
      <c r="I1161" s="22" t="s">
        <v>3363</v>
      </c>
    </row>
    <row r="1162" customFormat="false" ht="15" hidden="false" customHeight="true" outlineLevel="0" collapsed="false">
      <c r="A1162" s="24" t="s">
        <v>3081</v>
      </c>
      <c r="B1162" s="32" t="s">
        <v>6124</v>
      </c>
      <c r="C1162" s="22" t="s">
        <v>6125</v>
      </c>
      <c r="D1162" s="32" t="s">
        <v>6126</v>
      </c>
      <c r="E1162" s="22" t="s">
        <v>3377</v>
      </c>
      <c r="F1162" s="22" t="s">
        <v>3360</v>
      </c>
      <c r="G1162" s="32" t="s">
        <v>6127</v>
      </c>
      <c r="H1162" s="22"/>
      <c r="I1162" s="22" t="s">
        <v>3363</v>
      </c>
    </row>
    <row r="1163" customFormat="false" ht="24.75" hidden="false" customHeight="true" outlineLevel="0" collapsed="false">
      <c r="A1163" s="24" t="s">
        <v>3081</v>
      </c>
      <c r="B1163" s="32" t="s">
        <v>4400</v>
      </c>
      <c r="C1163" s="22" t="s">
        <v>6128</v>
      </c>
      <c r="D1163" s="32" t="s">
        <v>6129</v>
      </c>
      <c r="E1163" s="22" t="s">
        <v>3359</v>
      </c>
      <c r="F1163" s="22" t="s">
        <v>3360</v>
      </c>
      <c r="G1163" s="32" t="s">
        <v>6130</v>
      </c>
      <c r="H1163" s="22"/>
      <c r="I1163" s="22" t="s">
        <v>3363</v>
      </c>
    </row>
    <row r="1164" customFormat="false" ht="15" hidden="false" customHeight="true" outlineLevel="0" collapsed="false">
      <c r="A1164" s="24" t="s">
        <v>3081</v>
      </c>
      <c r="B1164" s="32" t="s">
        <v>5729</v>
      </c>
      <c r="C1164" s="22" t="s">
        <v>6131</v>
      </c>
      <c r="D1164" s="32" t="s">
        <v>6132</v>
      </c>
      <c r="E1164" s="22" t="s">
        <v>3359</v>
      </c>
      <c r="F1164" s="22" t="s">
        <v>3378</v>
      </c>
      <c r="G1164" s="32" t="s">
        <v>6133</v>
      </c>
      <c r="H1164" s="22" t="s">
        <v>6134</v>
      </c>
      <c r="I1164" s="22" t="s">
        <v>3363</v>
      </c>
    </row>
    <row r="1165" customFormat="false" ht="15" hidden="false" customHeight="true" outlineLevel="0" collapsed="false">
      <c r="A1165" s="24" t="s">
        <v>3081</v>
      </c>
      <c r="B1165" s="32" t="s">
        <v>1535</v>
      </c>
      <c r="C1165" s="22" t="s">
        <v>3873</v>
      </c>
      <c r="D1165" s="32" t="s">
        <v>6135</v>
      </c>
      <c r="E1165" s="22" t="s">
        <v>3377</v>
      </c>
      <c r="F1165" s="22" t="s">
        <v>3360</v>
      </c>
      <c r="G1165" s="32" t="s">
        <v>5874</v>
      </c>
      <c r="H1165" s="22"/>
      <c r="I1165" s="22" t="s">
        <v>3363</v>
      </c>
    </row>
    <row r="1166" customFormat="false" ht="15" hidden="false" customHeight="true" outlineLevel="0" collapsed="false">
      <c r="A1166" s="24" t="s">
        <v>3081</v>
      </c>
      <c r="B1166" s="32" t="s">
        <v>6136</v>
      </c>
      <c r="C1166" s="22" t="s">
        <v>6137</v>
      </c>
      <c r="D1166" s="32" t="s">
        <v>5720</v>
      </c>
      <c r="E1166" s="22" t="s">
        <v>3377</v>
      </c>
      <c r="F1166" s="22" t="s">
        <v>3360</v>
      </c>
      <c r="G1166" s="32" t="s">
        <v>6138</v>
      </c>
      <c r="H1166" s="22" t="s">
        <v>6139</v>
      </c>
      <c r="I1166" s="22" t="s">
        <v>3363</v>
      </c>
    </row>
    <row r="1167" customFormat="false" ht="24.75" hidden="false" customHeight="true" outlineLevel="0" collapsed="false">
      <c r="A1167" s="24" t="s">
        <v>3081</v>
      </c>
      <c r="B1167" s="32" t="s">
        <v>6140</v>
      </c>
      <c r="C1167" s="22" t="s">
        <v>6141</v>
      </c>
      <c r="D1167" s="32" t="s">
        <v>6142</v>
      </c>
      <c r="E1167" s="22" t="s">
        <v>3359</v>
      </c>
      <c r="F1167" s="22" t="s">
        <v>3378</v>
      </c>
      <c r="G1167" s="32" t="s">
        <v>5942</v>
      </c>
      <c r="H1167" s="22" t="s">
        <v>6143</v>
      </c>
      <c r="I1167" s="22" t="s">
        <v>3363</v>
      </c>
    </row>
    <row r="1168" customFormat="false" ht="15" hidden="false" customHeight="true" outlineLevel="0" collapsed="false">
      <c r="A1168" s="24" t="s">
        <v>3081</v>
      </c>
      <c r="B1168" s="32" t="s">
        <v>5744</v>
      </c>
      <c r="C1168" s="22" t="s">
        <v>6144</v>
      </c>
      <c r="D1168" s="32" t="s">
        <v>6145</v>
      </c>
      <c r="E1168" s="22" t="s">
        <v>3359</v>
      </c>
      <c r="F1168" s="22" t="s">
        <v>3360</v>
      </c>
      <c r="G1168" s="32" t="s">
        <v>5725</v>
      </c>
      <c r="H1168" s="22"/>
      <c r="I1168" s="22" t="s">
        <v>3363</v>
      </c>
    </row>
    <row r="1169" customFormat="false" ht="24.75" hidden="false" customHeight="true" outlineLevel="0" collapsed="false">
      <c r="A1169" s="24" t="s">
        <v>3081</v>
      </c>
      <c r="B1169" s="32" t="s">
        <v>6146</v>
      </c>
      <c r="C1169" s="22" t="s">
        <v>6147</v>
      </c>
      <c r="D1169" s="32" t="s">
        <v>6148</v>
      </c>
      <c r="E1169" s="22" t="s">
        <v>3359</v>
      </c>
      <c r="F1169" s="22" t="s">
        <v>3360</v>
      </c>
      <c r="G1169" s="32" t="s">
        <v>6149</v>
      </c>
      <c r="H1169" s="22"/>
      <c r="I1169" s="22" t="s">
        <v>3363</v>
      </c>
    </row>
    <row r="1170" customFormat="false" ht="24.75" hidden="false" customHeight="true" outlineLevel="0" collapsed="false">
      <c r="A1170" s="24" t="s">
        <v>3081</v>
      </c>
      <c r="B1170" s="32" t="s">
        <v>6150</v>
      </c>
      <c r="C1170" s="22" t="s">
        <v>6151</v>
      </c>
      <c r="D1170" s="32" t="s">
        <v>6152</v>
      </c>
      <c r="E1170" s="22" t="s">
        <v>3394</v>
      </c>
      <c r="F1170" s="22" t="s">
        <v>3360</v>
      </c>
      <c r="G1170" s="32" t="s">
        <v>6153</v>
      </c>
      <c r="H1170" s="22" t="s">
        <v>6154</v>
      </c>
      <c r="I1170" s="22" t="s">
        <v>3363</v>
      </c>
    </row>
    <row r="1171" customFormat="false" ht="24.75" hidden="false" customHeight="true" outlineLevel="0" collapsed="false">
      <c r="A1171" s="24" t="s">
        <v>3081</v>
      </c>
      <c r="B1171" s="32" t="s">
        <v>6155</v>
      </c>
      <c r="C1171" s="22" t="s">
        <v>6156</v>
      </c>
      <c r="D1171" s="32" t="s">
        <v>6157</v>
      </c>
      <c r="E1171" s="22" t="s">
        <v>3437</v>
      </c>
      <c r="F1171" s="22" t="s">
        <v>3360</v>
      </c>
      <c r="G1171" s="32" t="s">
        <v>3749</v>
      </c>
      <c r="H1171" s="22"/>
      <c r="I1171" s="22" t="s">
        <v>3363</v>
      </c>
    </row>
    <row r="1172" customFormat="false" ht="24.75" hidden="false" customHeight="true" outlineLevel="0" collapsed="false">
      <c r="A1172" s="24" t="s">
        <v>3081</v>
      </c>
      <c r="B1172" s="32" t="s">
        <v>6158</v>
      </c>
      <c r="C1172" s="22" t="s">
        <v>6159</v>
      </c>
      <c r="D1172" s="32" t="s">
        <v>6416</v>
      </c>
      <c r="E1172" s="22" t="s">
        <v>3437</v>
      </c>
      <c r="F1172" s="22" t="s">
        <v>3360</v>
      </c>
      <c r="G1172" s="32" t="s">
        <v>3438</v>
      </c>
      <c r="H1172" s="22" t="s">
        <v>6161</v>
      </c>
      <c r="I1172" s="22" t="s">
        <v>3363</v>
      </c>
    </row>
    <row r="1173" customFormat="false" ht="15" hidden="false" customHeight="true" outlineLevel="0" collapsed="false">
      <c r="A1173" s="24" t="s">
        <v>3081</v>
      </c>
      <c r="B1173" s="32" t="s">
        <v>6162</v>
      </c>
      <c r="C1173" s="22" t="s">
        <v>6163</v>
      </c>
      <c r="D1173" s="32" t="s">
        <v>6417</v>
      </c>
      <c r="E1173" s="22" t="s">
        <v>3437</v>
      </c>
      <c r="F1173" s="22" t="s">
        <v>3360</v>
      </c>
      <c r="G1173" s="32" t="s">
        <v>3749</v>
      </c>
      <c r="H1173" s="22"/>
      <c r="I1173" s="22" t="s">
        <v>3363</v>
      </c>
    </row>
    <row r="1174" customFormat="false" ht="15" hidden="false" customHeight="true" outlineLevel="0" collapsed="false">
      <c r="A1174" s="24" t="s">
        <v>3081</v>
      </c>
      <c r="B1174" s="32" t="s">
        <v>6165</v>
      </c>
      <c r="C1174" s="22" t="s">
        <v>6166</v>
      </c>
      <c r="D1174" s="32" t="s">
        <v>6418</v>
      </c>
      <c r="E1174" s="22" t="s">
        <v>3377</v>
      </c>
      <c r="F1174" s="22" t="s">
        <v>3360</v>
      </c>
      <c r="G1174" s="32" t="s">
        <v>5947</v>
      </c>
      <c r="H1174" s="22" t="s">
        <v>6168</v>
      </c>
      <c r="I1174" s="22" t="s">
        <v>3363</v>
      </c>
    </row>
    <row r="1175" customFormat="false" ht="24.75" hidden="false" customHeight="true" outlineLevel="0" collapsed="false">
      <c r="A1175" s="24" t="s">
        <v>3081</v>
      </c>
      <c r="B1175" s="32" t="s">
        <v>6169</v>
      </c>
      <c r="C1175" s="22" t="s">
        <v>6170</v>
      </c>
      <c r="D1175" s="32" t="s">
        <v>6419</v>
      </c>
      <c r="E1175" s="22" t="s">
        <v>3359</v>
      </c>
      <c r="F1175" s="22" t="s">
        <v>3360</v>
      </c>
      <c r="G1175" s="32" t="s">
        <v>6172</v>
      </c>
      <c r="H1175" s="22" t="s">
        <v>6173</v>
      </c>
      <c r="I1175" s="22" t="s">
        <v>3363</v>
      </c>
    </row>
    <row r="1176" customFormat="false" ht="24.75" hidden="false" customHeight="true" outlineLevel="0" collapsed="false">
      <c r="A1176" s="24" t="s">
        <v>3081</v>
      </c>
      <c r="B1176" s="32" t="s">
        <v>6174</v>
      </c>
      <c r="C1176" s="22" t="s">
        <v>6175</v>
      </c>
      <c r="D1176" s="32" t="s">
        <v>6420</v>
      </c>
      <c r="E1176" s="22" t="s">
        <v>3359</v>
      </c>
      <c r="F1176" s="22" t="s">
        <v>3360</v>
      </c>
      <c r="G1176" s="32" t="s">
        <v>5902</v>
      </c>
      <c r="H1176" s="22" t="s">
        <v>6177</v>
      </c>
      <c r="I1176" s="22" t="s">
        <v>3363</v>
      </c>
    </row>
    <row r="1177" customFormat="false" ht="24.75" hidden="false" customHeight="true" outlineLevel="0" collapsed="false">
      <c r="A1177" s="24" t="s">
        <v>3081</v>
      </c>
      <c r="B1177" s="32" t="s">
        <v>6090</v>
      </c>
      <c r="C1177" s="22" t="s">
        <v>6178</v>
      </c>
      <c r="D1177" s="32" t="s">
        <v>6421</v>
      </c>
      <c r="E1177" s="22" t="s">
        <v>3389</v>
      </c>
      <c r="F1177" s="22" t="s">
        <v>3360</v>
      </c>
      <c r="G1177" s="32" t="s">
        <v>6180</v>
      </c>
      <c r="H1177" s="22" t="s">
        <v>6181</v>
      </c>
      <c r="I1177" s="22" t="s">
        <v>3363</v>
      </c>
    </row>
    <row r="1178" customFormat="false" ht="24.75" hidden="false" customHeight="true" outlineLevel="0" collapsed="false">
      <c r="A1178" s="24" t="s">
        <v>3081</v>
      </c>
      <c r="B1178" s="32" t="s">
        <v>6182</v>
      </c>
      <c r="C1178" s="22" t="s">
        <v>6183</v>
      </c>
      <c r="D1178" s="32" t="s">
        <v>6422</v>
      </c>
      <c r="E1178" s="22" t="s">
        <v>3377</v>
      </c>
      <c r="F1178" s="22" t="s">
        <v>3360</v>
      </c>
      <c r="G1178" s="32" t="s">
        <v>6185</v>
      </c>
      <c r="H1178" s="22" t="s">
        <v>6186</v>
      </c>
      <c r="I1178" s="22" t="s">
        <v>3363</v>
      </c>
    </row>
    <row r="1179" customFormat="false" ht="15" hidden="false" customHeight="true" outlineLevel="0" collapsed="false">
      <c r="A1179" s="24" t="s">
        <v>3081</v>
      </c>
      <c r="B1179" s="32" t="s">
        <v>6187</v>
      </c>
      <c r="C1179" s="22" t="s">
        <v>6188</v>
      </c>
      <c r="D1179" s="32" t="s">
        <v>6423</v>
      </c>
      <c r="E1179" s="22" t="s">
        <v>3394</v>
      </c>
      <c r="F1179" s="22" t="s">
        <v>3360</v>
      </c>
      <c r="G1179" s="32" t="s">
        <v>6190</v>
      </c>
      <c r="H1179" s="22"/>
      <c r="I1179" s="22" t="s">
        <v>3363</v>
      </c>
    </row>
    <row r="1180" customFormat="false" ht="24.75" hidden="false" customHeight="true" outlineLevel="0" collapsed="false">
      <c r="A1180" s="24" t="s">
        <v>3081</v>
      </c>
      <c r="B1180" s="32" t="s">
        <v>6191</v>
      </c>
      <c r="C1180" s="22" t="s">
        <v>6192</v>
      </c>
      <c r="D1180" s="32" t="s">
        <v>6424</v>
      </c>
      <c r="E1180" s="22" t="s">
        <v>3394</v>
      </c>
      <c r="F1180" s="22" t="s">
        <v>3378</v>
      </c>
      <c r="G1180" s="32" t="s">
        <v>6194</v>
      </c>
      <c r="H1180" s="22" t="s">
        <v>6195</v>
      </c>
      <c r="I1180" s="22" t="s">
        <v>3363</v>
      </c>
    </row>
    <row r="1181" customFormat="false" ht="15" hidden="false" customHeight="true" outlineLevel="0" collapsed="false">
      <c r="A1181" s="24" t="s">
        <v>3081</v>
      </c>
      <c r="B1181" s="32" t="s">
        <v>6196</v>
      </c>
      <c r="C1181" s="22" t="s">
        <v>6197</v>
      </c>
      <c r="D1181" s="32" t="s">
        <v>6425</v>
      </c>
      <c r="E1181" s="22" t="s">
        <v>3394</v>
      </c>
      <c r="F1181" s="22" t="s">
        <v>3378</v>
      </c>
      <c r="G1181" s="32" t="s">
        <v>6199</v>
      </c>
      <c r="H1181" s="22" t="s">
        <v>6195</v>
      </c>
      <c r="I1181" s="22" t="s">
        <v>3363</v>
      </c>
    </row>
    <row r="1182" customFormat="false" ht="24.75" hidden="false" customHeight="true" outlineLevel="0" collapsed="false">
      <c r="A1182" s="24" t="s">
        <v>3081</v>
      </c>
      <c r="B1182" s="32" t="s">
        <v>6200</v>
      </c>
      <c r="C1182" s="22" t="s">
        <v>6201</v>
      </c>
      <c r="D1182" s="32" t="s">
        <v>6426</v>
      </c>
      <c r="E1182" s="22" t="s">
        <v>3394</v>
      </c>
      <c r="F1182" s="22" t="s">
        <v>3360</v>
      </c>
      <c r="G1182" s="32" t="s">
        <v>6203</v>
      </c>
      <c r="H1182" s="22" t="s">
        <v>6204</v>
      </c>
      <c r="I1182" s="22" t="s">
        <v>3363</v>
      </c>
    </row>
    <row r="1183" customFormat="false" ht="24.75" hidden="false" customHeight="true" outlineLevel="0" collapsed="false">
      <c r="A1183" s="24" t="s">
        <v>3081</v>
      </c>
      <c r="B1183" s="32" t="s">
        <v>6205</v>
      </c>
      <c r="C1183" s="22" t="s">
        <v>6206</v>
      </c>
      <c r="D1183" s="32" t="s">
        <v>6427</v>
      </c>
      <c r="E1183" s="22" t="s">
        <v>3394</v>
      </c>
      <c r="F1183" s="22" t="s">
        <v>3360</v>
      </c>
      <c r="G1183" s="32" t="s">
        <v>6203</v>
      </c>
      <c r="H1183" s="22" t="s">
        <v>6208</v>
      </c>
      <c r="I1183" s="22" t="s">
        <v>3363</v>
      </c>
    </row>
    <row r="1184" customFormat="false" ht="24.75" hidden="false" customHeight="true" outlineLevel="0" collapsed="false">
      <c r="A1184" s="24" t="s">
        <v>3081</v>
      </c>
      <c r="B1184" s="32" t="s">
        <v>6209</v>
      </c>
      <c r="C1184" s="22" t="s">
        <v>6210</v>
      </c>
      <c r="D1184" s="32" t="s">
        <v>6428</v>
      </c>
      <c r="E1184" s="22" t="s">
        <v>3394</v>
      </c>
      <c r="F1184" s="22" t="s">
        <v>3378</v>
      </c>
      <c r="G1184" s="32" t="s">
        <v>6212</v>
      </c>
      <c r="H1184" s="22"/>
      <c r="I1184" s="22" t="s">
        <v>3363</v>
      </c>
    </row>
    <row r="1185" customFormat="false" ht="24.75" hidden="false" customHeight="true" outlineLevel="0" collapsed="false">
      <c r="A1185" s="24" t="s">
        <v>3081</v>
      </c>
      <c r="B1185" s="32" t="s">
        <v>6213</v>
      </c>
      <c r="C1185" s="22" t="s">
        <v>6214</v>
      </c>
      <c r="D1185" s="32" t="s">
        <v>6429</v>
      </c>
      <c r="E1185" s="22" t="s">
        <v>3394</v>
      </c>
      <c r="F1185" s="22" t="s">
        <v>3360</v>
      </c>
      <c r="G1185" s="32" t="s">
        <v>6216</v>
      </c>
      <c r="H1185" s="22" t="s">
        <v>6217</v>
      </c>
      <c r="I1185" s="22" t="s">
        <v>3363</v>
      </c>
    </row>
    <row r="1186" customFormat="false" ht="24.75" hidden="false" customHeight="true" outlineLevel="0" collapsed="false">
      <c r="A1186" s="24" t="s">
        <v>3081</v>
      </c>
      <c r="B1186" s="32" t="s">
        <v>6218</v>
      </c>
      <c r="C1186" s="22" t="s">
        <v>6219</v>
      </c>
      <c r="D1186" s="32" t="s">
        <v>6430</v>
      </c>
      <c r="E1186" s="22" t="s">
        <v>3394</v>
      </c>
      <c r="F1186" s="22" t="s">
        <v>3360</v>
      </c>
      <c r="G1186" s="32" t="s">
        <v>6221</v>
      </c>
      <c r="H1186" s="22" t="s">
        <v>6222</v>
      </c>
      <c r="I1186" s="22" t="s">
        <v>3363</v>
      </c>
    </row>
    <row r="1187" customFormat="false" ht="24.75" hidden="false" customHeight="true" outlineLevel="0" collapsed="false">
      <c r="A1187" s="24" t="s">
        <v>3081</v>
      </c>
      <c r="B1187" s="32" t="s">
        <v>6223</v>
      </c>
      <c r="C1187" s="22" t="s">
        <v>6224</v>
      </c>
      <c r="D1187" s="32" t="s">
        <v>6431</v>
      </c>
      <c r="E1187" s="22" t="s">
        <v>3394</v>
      </c>
      <c r="F1187" s="22" t="s">
        <v>3378</v>
      </c>
      <c r="G1187" s="32" t="s">
        <v>5753</v>
      </c>
      <c r="H1187" s="22" t="s">
        <v>6226</v>
      </c>
      <c r="I1187" s="22" t="s">
        <v>3363</v>
      </c>
    </row>
    <row r="1188" customFormat="false" ht="24.75" hidden="false" customHeight="true" outlineLevel="0" collapsed="false">
      <c r="A1188" s="24" t="s">
        <v>3081</v>
      </c>
      <c r="B1188" s="32" t="s">
        <v>6227</v>
      </c>
      <c r="C1188" s="22" t="s">
        <v>6228</v>
      </c>
      <c r="D1188" s="32" t="s">
        <v>6431</v>
      </c>
      <c r="E1188" s="22" t="s">
        <v>3394</v>
      </c>
      <c r="F1188" s="22" t="s">
        <v>3378</v>
      </c>
      <c r="G1188" s="32" t="s">
        <v>5753</v>
      </c>
      <c r="H1188" s="22" t="s">
        <v>6226</v>
      </c>
      <c r="I1188" s="22" t="s">
        <v>3363</v>
      </c>
    </row>
    <row r="1189" customFormat="false" ht="24.75" hidden="false" customHeight="true" outlineLevel="0" collapsed="false">
      <c r="A1189" s="24" t="s">
        <v>3081</v>
      </c>
      <c r="B1189" s="32" t="s">
        <v>6229</v>
      </c>
      <c r="C1189" s="22" t="s">
        <v>6230</v>
      </c>
      <c r="D1189" s="32" t="s">
        <v>6432</v>
      </c>
      <c r="E1189" s="22" t="s">
        <v>3377</v>
      </c>
      <c r="F1189" s="22" t="s">
        <v>3360</v>
      </c>
      <c r="G1189" s="32" t="s">
        <v>6232</v>
      </c>
      <c r="H1189" s="22" t="s">
        <v>6233</v>
      </c>
      <c r="I1189" s="22" t="s">
        <v>3363</v>
      </c>
    </row>
    <row r="1190" customFormat="false" ht="15" hidden="false" customHeight="true" outlineLevel="0" collapsed="false">
      <c r="A1190" s="24" t="s">
        <v>3081</v>
      </c>
      <c r="B1190" s="32" t="s">
        <v>6234</v>
      </c>
      <c r="C1190" s="22" t="s">
        <v>6235</v>
      </c>
      <c r="D1190" s="32" t="s">
        <v>6433</v>
      </c>
      <c r="E1190" s="22" t="s">
        <v>3437</v>
      </c>
      <c r="F1190" s="22" t="s">
        <v>3360</v>
      </c>
      <c r="G1190" s="32" t="s">
        <v>3438</v>
      </c>
      <c r="H1190" s="22"/>
      <c r="I1190" s="22" t="s">
        <v>3363</v>
      </c>
    </row>
    <row r="1191" customFormat="false" ht="15" hidden="false" customHeight="true" outlineLevel="0" collapsed="false">
      <c r="A1191" s="24" t="s">
        <v>3081</v>
      </c>
      <c r="B1191" s="32" t="s">
        <v>6237</v>
      </c>
      <c r="C1191" s="22" t="s">
        <v>6238</v>
      </c>
      <c r="D1191" s="32" t="s">
        <v>6434</v>
      </c>
      <c r="E1191" s="22" t="s">
        <v>3437</v>
      </c>
      <c r="F1191" s="22" t="s">
        <v>3360</v>
      </c>
      <c r="G1191" s="32" t="s">
        <v>6240</v>
      </c>
      <c r="H1191" s="22" t="s">
        <v>6241</v>
      </c>
      <c r="I1191" s="22" t="s">
        <v>3363</v>
      </c>
    </row>
    <row r="1192" customFormat="false" ht="15" hidden="false" customHeight="true" outlineLevel="0" collapsed="false">
      <c r="A1192" s="24" t="s">
        <v>3081</v>
      </c>
      <c r="B1192" s="32" t="s">
        <v>6242</v>
      </c>
      <c r="C1192" s="22" t="s">
        <v>6243</v>
      </c>
      <c r="D1192" s="32" t="s">
        <v>6435</v>
      </c>
      <c r="E1192" s="22" t="s">
        <v>3377</v>
      </c>
      <c r="F1192" s="22" t="s">
        <v>3360</v>
      </c>
      <c r="G1192" s="32" t="s">
        <v>6245</v>
      </c>
      <c r="H1192" s="22"/>
      <c r="I1192" s="22" t="s">
        <v>3363</v>
      </c>
    </row>
    <row r="1193" customFormat="false" ht="24.75" hidden="false" customHeight="true" outlineLevel="0" collapsed="false">
      <c r="A1193" s="24" t="s">
        <v>3081</v>
      </c>
      <c r="B1193" s="32" t="s">
        <v>6104</v>
      </c>
      <c r="C1193" s="22" t="s">
        <v>6246</v>
      </c>
      <c r="D1193" s="32" t="s">
        <v>6436</v>
      </c>
      <c r="E1193" s="22" t="s">
        <v>3359</v>
      </c>
      <c r="F1193" s="22" t="s">
        <v>3360</v>
      </c>
      <c r="G1193" s="32" t="s">
        <v>6248</v>
      </c>
      <c r="H1193" s="22" t="s">
        <v>6249</v>
      </c>
      <c r="I1193" s="22" t="s">
        <v>3363</v>
      </c>
    </row>
    <row r="1194" customFormat="false" ht="15" hidden="false" customHeight="true" outlineLevel="0" collapsed="false">
      <c r="A1194" s="24" t="s">
        <v>3081</v>
      </c>
      <c r="B1194" s="32" t="s">
        <v>6250</v>
      </c>
      <c r="C1194" s="22" t="s">
        <v>6251</v>
      </c>
      <c r="D1194" s="32" t="s">
        <v>6437</v>
      </c>
      <c r="E1194" s="22" t="s">
        <v>3359</v>
      </c>
      <c r="F1194" s="22" t="s">
        <v>3378</v>
      </c>
      <c r="G1194" s="32" t="s">
        <v>6253</v>
      </c>
      <c r="H1194" s="22" t="s">
        <v>6254</v>
      </c>
      <c r="I1194" s="22" t="s">
        <v>3363</v>
      </c>
    </row>
    <row r="1195" customFormat="false" ht="15" hidden="false" customHeight="true" outlineLevel="0" collapsed="false">
      <c r="A1195" s="24" t="s">
        <v>3081</v>
      </c>
      <c r="B1195" s="32" t="s">
        <v>6255</v>
      </c>
      <c r="C1195" s="22" t="s">
        <v>6256</v>
      </c>
      <c r="D1195" s="32" t="s">
        <v>6438</v>
      </c>
      <c r="E1195" s="22" t="s">
        <v>3359</v>
      </c>
      <c r="F1195" s="22" t="s">
        <v>3360</v>
      </c>
      <c r="G1195" s="32" t="s">
        <v>5725</v>
      </c>
      <c r="H1195" s="22"/>
      <c r="I1195" s="22" t="s">
        <v>3363</v>
      </c>
    </row>
    <row r="1196" customFormat="false" ht="24.75" hidden="false" customHeight="true" outlineLevel="0" collapsed="false">
      <c r="A1196" s="24" t="s">
        <v>3081</v>
      </c>
      <c r="B1196" s="32" t="s">
        <v>6258</v>
      </c>
      <c r="C1196" s="22" t="s">
        <v>6259</v>
      </c>
      <c r="D1196" s="32" t="s">
        <v>6439</v>
      </c>
      <c r="E1196" s="22" t="s">
        <v>3394</v>
      </c>
      <c r="F1196" s="22" t="s">
        <v>3360</v>
      </c>
      <c r="G1196" s="32" t="s">
        <v>6261</v>
      </c>
      <c r="H1196" s="22" t="s">
        <v>6262</v>
      </c>
      <c r="I1196" s="22" t="s">
        <v>3363</v>
      </c>
    </row>
    <row r="1197" customFormat="false" ht="15" hidden="false" customHeight="true" outlineLevel="0" collapsed="false">
      <c r="A1197" s="24" t="s">
        <v>3081</v>
      </c>
      <c r="B1197" s="32" t="s">
        <v>6263</v>
      </c>
      <c r="C1197" s="22" t="s">
        <v>6264</v>
      </c>
      <c r="D1197" s="32" t="s">
        <v>6440</v>
      </c>
      <c r="E1197" s="22" t="s">
        <v>3394</v>
      </c>
      <c r="F1197" s="22" t="s">
        <v>3378</v>
      </c>
      <c r="G1197" s="32" t="s">
        <v>6261</v>
      </c>
      <c r="H1197" s="22"/>
      <c r="I1197" s="22" t="s">
        <v>3363</v>
      </c>
    </row>
    <row r="1198" customFormat="false" ht="15" hidden="false" customHeight="true" outlineLevel="0" collapsed="false">
      <c r="A1198" s="24" t="s">
        <v>3081</v>
      </c>
      <c r="B1198" s="32" t="s">
        <v>6266</v>
      </c>
      <c r="C1198" s="22" t="s">
        <v>6267</v>
      </c>
      <c r="D1198" s="32" t="s">
        <v>6441</v>
      </c>
      <c r="E1198" s="22" t="s">
        <v>3394</v>
      </c>
      <c r="F1198" s="22" t="s">
        <v>3378</v>
      </c>
      <c r="G1198" s="32" t="s">
        <v>6261</v>
      </c>
      <c r="H1198" s="22"/>
      <c r="I1198" s="22" t="s">
        <v>3363</v>
      </c>
    </row>
    <row r="1199" customFormat="false" ht="24.75" hidden="false" customHeight="true" outlineLevel="0" collapsed="false">
      <c r="A1199" s="24" t="s">
        <v>3081</v>
      </c>
      <c r="B1199" s="32" t="s">
        <v>5787</v>
      </c>
      <c r="C1199" s="22" t="s">
        <v>6269</v>
      </c>
      <c r="D1199" s="32" t="s">
        <v>6442</v>
      </c>
      <c r="E1199" s="22" t="s">
        <v>3394</v>
      </c>
      <c r="F1199" s="22" t="s">
        <v>3360</v>
      </c>
      <c r="G1199" s="32" t="s">
        <v>6271</v>
      </c>
      <c r="H1199" s="22"/>
      <c r="I1199" s="22" t="s">
        <v>3363</v>
      </c>
    </row>
    <row r="1200" customFormat="false" ht="15" hidden="false" customHeight="true" outlineLevel="0" collapsed="false">
      <c r="A1200" s="24" t="s">
        <v>3081</v>
      </c>
      <c r="B1200" s="32" t="s">
        <v>6085</v>
      </c>
      <c r="C1200" s="22" t="s">
        <v>6272</v>
      </c>
      <c r="D1200" s="32" t="s">
        <v>6443</v>
      </c>
      <c r="E1200" s="22" t="s">
        <v>3394</v>
      </c>
      <c r="F1200" s="22" t="s">
        <v>3360</v>
      </c>
      <c r="G1200" s="32" t="s">
        <v>6274</v>
      </c>
      <c r="H1200" s="22"/>
      <c r="I1200" s="22" t="s">
        <v>3363</v>
      </c>
    </row>
    <row r="1201" customFormat="false" ht="15" hidden="false" customHeight="true" outlineLevel="0" collapsed="false">
      <c r="A1201" s="24" t="s">
        <v>3081</v>
      </c>
      <c r="B1201" s="32" t="s">
        <v>5784</v>
      </c>
      <c r="C1201" s="22" t="s">
        <v>6275</v>
      </c>
      <c r="D1201" s="32" t="s">
        <v>6444</v>
      </c>
      <c r="E1201" s="22" t="s">
        <v>3394</v>
      </c>
      <c r="F1201" s="22" t="s">
        <v>3360</v>
      </c>
      <c r="G1201" s="32" t="s">
        <v>6277</v>
      </c>
      <c r="H1201" s="22" t="s">
        <v>6278</v>
      </c>
      <c r="I1201" s="22" t="s">
        <v>3363</v>
      </c>
    </row>
    <row r="1202" customFormat="false" ht="24.75" hidden="false" customHeight="true" outlineLevel="0" collapsed="false">
      <c r="A1202" s="24" t="s">
        <v>3081</v>
      </c>
      <c r="B1202" s="32" t="s">
        <v>6113</v>
      </c>
      <c r="C1202" s="22" t="s">
        <v>6279</v>
      </c>
      <c r="D1202" s="32" t="s">
        <v>6445</v>
      </c>
      <c r="E1202" s="22" t="s">
        <v>3389</v>
      </c>
      <c r="F1202" s="22" t="s">
        <v>3360</v>
      </c>
      <c r="G1202" s="32" t="s">
        <v>6281</v>
      </c>
      <c r="H1202" s="22" t="s">
        <v>6282</v>
      </c>
      <c r="I1202" s="22" t="s">
        <v>3363</v>
      </c>
    </row>
    <row r="1203" customFormat="false" ht="24.75" hidden="false" customHeight="true" outlineLevel="0" collapsed="false">
      <c r="A1203" s="24" t="s">
        <v>3081</v>
      </c>
      <c r="B1203" s="32" t="s">
        <v>6283</v>
      </c>
      <c r="C1203" s="22" t="s">
        <v>6284</v>
      </c>
      <c r="D1203" s="32" t="s">
        <v>6446</v>
      </c>
      <c r="E1203" s="22" t="s">
        <v>3389</v>
      </c>
      <c r="F1203" s="22" t="s">
        <v>6286</v>
      </c>
      <c r="G1203" s="32" t="s">
        <v>6287</v>
      </c>
      <c r="H1203" s="22"/>
      <c r="I1203" s="22" t="s">
        <v>3363</v>
      </c>
    </row>
    <row r="1204" customFormat="false" ht="24.75" hidden="false" customHeight="true" outlineLevel="0" collapsed="false">
      <c r="A1204" s="24" t="s">
        <v>3081</v>
      </c>
      <c r="B1204" s="32" t="s">
        <v>6288</v>
      </c>
      <c r="C1204" s="22" t="s">
        <v>6289</v>
      </c>
      <c r="D1204" s="32" t="s">
        <v>6447</v>
      </c>
      <c r="E1204" s="22" t="s">
        <v>3394</v>
      </c>
      <c r="F1204" s="22" t="s">
        <v>3360</v>
      </c>
      <c r="G1204" s="32" t="s">
        <v>6291</v>
      </c>
      <c r="H1204" s="22" t="s">
        <v>6292</v>
      </c>
      <c r="I1204" s="22" t="s">
        <v>3363</v>
      </c>
    </row>
    <row r="1205" customFormat="false" ht="137.25" hidden="false" customHeight="true" outlineLevel="0" collapsed="false">
      <c r="A1205" s="24" t="s">
        <v>3081</v>
      </c>
      <c r="B1205" s="32" t="s">
        <v>6293</v>
      </c>
      <c r="C1205" s="22" t="s">
        <v>6294</v>
      </c>
      <c r="D1205" s="32" t="s">
        <v>6448</v>
      </c>
      <c r="E1205" s="22" t="s">
        <v>3377</v>
      </c>
      <c r="F1205" s="22" t="s">
        <v>3378</v>
      </c>
      <c r="G1205" s="32" t="s">
        <v>6296</v>
      </c>
      <c r="H1205" s="22" t="s">
        <v>6297</v>
      </c>
      <c r="I1205" s="22" t="s">
        <v>3363</v>
      </c>
    </row>
    <row r="1206" customFormat="false" ht="49.5" hidden="false" customHeight="true" outlineLevel="0" collapsed="false">
      <c r="A1206" s="24" t="s">
        <v>3081</v>
      </c>
      <c r="B1206" s="32" t="s">
        <v>5764</v>
      </c>
      <c r="C1206" s="22" t="s">
        <v>6298</v>
      </c>
      <c r="D1206" s="32" t="s">
        <v>6449</v>
      </c>
      <c r="E1206" s="22" t="s">
        <v>3359</v>
      </c>
      <c r="F1206" s="22" t="s">
        <v>3360</v>
      </c>
      <c r="G1206" s="32" t="s">
        <v>6300</v>
      </c>
      <c r="H1206" s="22" t="s">
        <v>6301</v>
      </c>
      <c r="I1206" s="22" t="s">
        <v>3363</v>
      </c>
    </row>
    <row r="1207" customFormat="false" ht="24.75" hidden="false" customHeight="true" outlineLevel="0" collapsed="false">
      <c r="A1207" s="24" t="s">
        <v>3081</v>
      </c>
      <c r="B1207" s="32" t="s">
        <v>6302</v>
      </c>
      <c r="C1207" s="22" t="s">
        <v>6303</v>
      </c>
      <c r="D1207" s="32" t="s">
        <v>6450</v>
      </c>
      <c r="E1207" s="22" t="s">
        <v>3359</v>
      </c>
      <c r="F1207" s="22" t="s">
        <v>6286</v>
      </c>
      <c r="G1207" s="32" t="s">
        <v>6305</v>
      </c>
      <c r="H1207" s="22" t="s">
        <v>6306</v>
      </c>
      <c r="I1207" s="22" t="s">
        <v>3363</v>
      </c>
    </row>
    <row r="1208" customFormat="false" ht="15" hidden="false" customHeight="true" outlineLevel="0" collapsed="false">
      <c r="A1208" s="24" t="s">
        <v>3081</v>
      </c>
      <c r="B1208" s="32" t="s">
        <v>6307</v>
      </c>
      <c r="C1208" s="22" t="s">
        <v>6308</v>
      </c>
      <c r="D1208" s="32" t="s">
        <v>6451</v>
      </c>
      <c r="E1208" s="22" t="s">
        <v>3359</v>
      </c>
      <c r="F1208" s="22" t="s">
        <v>3378</v>
      </c>
      <c r="G1208" s="32" t="s">
        <v>5800</v>
      </c>
      <c r="H1208" s="22" t="s">
        <v>6310</v>
      </c>
      <c r="I1208" s="22" t="s">
        <v>3363</v>
      </c>
    </row>
    <row r="1209" customFormat="false" ht="37.5" hidden="false" customHeight="true" outlineLevel="0" collapsed="false">
      <c r="A1209" s="24" t="s">
        <v>3081</v>
      </c>
      <c r="B1209" s="32" t="s">
        <v>6452</v>
      </c>
      <c r="C1209" s="22" t="s">
        <v>6453</v>
      </c>
      <c r="D1209" s="32" t="s">
        <v>6454</v>
      </c>
      <c r="E1209" s="22" t="s">
        <v>3359</v>
      </c>
      <c r="F1209" s="22" t="s">
        <v>3360</v>
      </c>
      <c r="G1209" s="32" t="s">
        <v>6455</v>
      </c>
      <c r="H1209" s="22" t="s">
        <v>6456</v>
      </c>
      <c r="I1209" s="22" t="s">
        <v>3363</v>
      </c>
    </row>
    <row r="1210" customFormat="false" ht="24.75" hidden="false" customHeight="true" outlineLevel="0" collapsed="false">
      <c r="A1210" s="24" t="s">
        <v>3081</v>
      </c>
      <c r="B1210" s="32" t="s">
        <v>6457</v>
      </c>
      <c r="C1210" s="22" t="s">
        <v>6458</v>
      </c>
      <c r="D1210" s="32" t="s">
        <v>6454</v>
      </c>
      <c r="E1210" s="22" t="s">
        <v>3377</v>
      </c>
      <c r="F1210" s="22" t="s">
        <v>3360</v>
      </c>
      <c r="G1210" s="32" t="s">
        <v>6459</v>
      </c>
      <c r="H1210" s="22" t="s">
        <v>6460</v>
      </c>
      <c r="I1210" s="22" t="s">
        <v>3363</v>
      </c>
    </row>
    <row r="1211" customFormat="false" ht="24.75" hidden="false" customHeight="true" outlineLevel="0" collapsed="false">
      <c r="A1211" s="24" t="s">
        <v>3081</v>
      </c>
      <c r="B1211" s="32" t="s">
        <v>6461</v>
      </c>
      <c r="C1211" s="22" t="s">
        <v>6462</v>
      </c>
      <c r="D1211" s="32" t="s">
        <v>6454</v>
      </c>
      <c r="E1211" s="22" t="s">
        <v>3377</v>
      </c>
      <c r="F1211" s="22" t="s">
        <v>3360</v>
      </c>
      <c r="G1211" s="32" t="s">
        <v>6463</v>
      </c>
      <c r="H1211" s="22"/>
      <c r="I1211" s="22" t="s">
        <v>3363</v>
      </c>
    </row>
    <row r="1212" customFormat="false" ht="15" hidden="false" customHeight="true" outlineLevel="0" collapsed="false">
      <c r="A1212" s="24" t="s">
        <v>3081</v>
      </c>
      <c r="B1212" s="32" t="s">
        <v>6464</v>
      </c>
      <c r="C1212" s="22" t="s">
        <v>6465</v>
      </c>
      <c r="D1212" s="32" t="s">
        <v>6454</v>
      </c>
      <c r="E1212" s="22" t="s">
        <v>3377</v>
      </c>
      <c r="F1212" s="22" t="s">
        <v>3378</v>
      </c>
      <c r="G1212" s="32" t="s">
        <v>5947</v>
      </c>
      <c r="H1212" s="22"/>
      <c r="I1212" s="22" t="s">
        <v>3363</v>
      </c>
    </row>
    <row r="1213" customFormat="false" ht="24.75" hidden="false" customHeight="true" outlineLevel="0" collapsed="false">
      <c r="A1213" s="24" t="s">
        <v>3081</v>
      </c>
      <c r="B1213" s="32" t="s">
        <v>6466</v>
      </c>
      <c r="C1213" s="22" t="s">
        <v>6467</v>
      </c>
      <c r="D1213" s="32" t="s">
        <v>6454</v>
      </c>
      <c r="E1213" s="22" t="s">
        <v>3359</v>
      </c>
      <c r="F1213" s="22" t="s">
        <v>3378</v>
      </c>
      <c r="G1213" s="32" t="s">
        <v>5800</v>
      </c>
      <c r="H1213" s="22" t="s">
        <v>6468</v>
      </c>
      <c r="I1213" s="22" t="s">
        <v>3363</v>
      </c>
    </row>
    <row r="1214" customFormat="false" ht="24.75" hidden="false" customHeight="true" outlineLevel="0" collapsed="false">
      <c r="A1214" s="24" t="s">
        <v>3081</v>
      </c>
      <c r="B1214" s="32" t="s">
        <v>6469</v>
      </c>
      <c r="C1214" s="22" t="s">
        <v>6470</v>
      </c>
      <c r="D1214" s="32" t="s">
        <v>6454</v>
      </c>
      <c r="E1214" s="22" t="s">
        <v>3359</v>
      </c>
      <c r="F1214" s="22" t="s">
        <v>3378</v>
      </c>
      <c r="G1214" s="32"/>
      <c r="H1214" s="22" t="s">
        <v>6471</v>
      </c>
      <c r="I1214" s="22" t="s">
        <v>3363</v>
      </c>
    </row>
    <row r="1215" customFormat="false" ht="15" hidden="false" customHeight="true" outlineLevel="0" collapsed="false">
      <c r="A1215" s="24" t="s">
        <v>3081</v>
      </c>
      <c r="B1215" s="32" t="s">
        <v>6472</v>
      </c>
      <c r="C1215" s="22" t="s">
        <v>6473</v>
      </c>
      <c r="D1215" s="32" t="s">
        <v>6474</v>
      </c>
      <c r="E1215" s="22" t="s">
        <v>3377</v>
      </c>
      <c r="F1215" s="22" t="s">
        <v>3378</v>
      </c>
      <c r="G1215" s="32" t="s">
        <v>5947</v>
      </c>
      <c r="H1215" s="22" t="s">
        <v>6475</v>
      </c>
      <c r="I1215" s="22" t="s">
        <v>3363</v>
      </c>
    </row>
    <row r="1216" customFormat="false" ht="15" hidden="false" customHeight="true" outlineLevel="0" collapsed="false">
      <c r="A1216" s="24" t="s">
        <v>1622</v>
      </c>
      <c r="B1216" s="32" t="s">
        <v>6117</v>
      </c>
      <c r="C1216" s="22" t="s">
        <v>6118</v>
      </c>
      <c r="D1216" s="32" t="s">
        <v>6119</v>
      </c>
      <c r="E1216" s="22" t="s">
        <v>3359</v>
      </c>
      <c r="F1216" s="22" t="s">
        <v>3360</v>
      </c>
      <c r="G1216" s="32" t="s">
        <v>5749</v>
      </c>
      <c r="H1216" s="22" t="s">
        <v>6120</v>
      </c>
      <c r="I1216" s="22" t="s">
        <v>3363</v>
      </c>
    </row>
    <row r="1217" customFormat="false" ht="15" hidden="false" customHeight="true" outlineLevel="0" collapsed="false">
      <c r="A1217" s="24" t="s">
        <v>1622</v>
      </c>
      <c r="B1217" s="32" t="s">
        <v>6103</v>
      </c>
      <c r="C1217" s="22" t="s">
        <v>6121</v>
      </c>
      <c r="D1217" s="32" t="s">
        <v>6122</v>
      </c>
      <c r="E1217" s="22" t="s">
        <v>3359</v>
      </c>
      <c r="F1217" s="22" t="s">
        <v>3360</v>
      </c>
      <c r="G1217" s="32" t="s">
        <v>6123</v>
      </c>
      <c r="H1217" s="22"/>
      <c r="I1217" s="22" t="s">
        <v>3363</v>
      </c>
    </row>
    <row r="1218" customFormat="false" ht="15" hidden="false" customHeight="true" outlineLevel="0" collapsed="false">
      <c r="A1218" s="24" t="s">
        <v>1622</v>
      </c>
      <c r="B1218" s="32" t="s">
        <v>6124</v>
      </c>
      <c r="C1218" s="22" t="s">
        <v>6125</v>
      </c>
      <c r="D1218" s="32" t="s">
        <v>6126</v>
      </c>
      <c r="E1218" s="22" t="s">
        <v>3377</v>
      </c>
      <c r="F1218" s="22" t="s">
        <v>3360</v>
      </c>
      <c r="G1218" s="32" t="s">
        <v>6127</v>
      </c>
      <c r="H1218" s="22"/>
      <c r="I1218" s="22" t="s">
        <v>3363</v>
      </c>
    </row>
    <row r="1219" customFormat="false" ht="24.75" hidden="false" customHeight="true" outlineLevel="0" collapsed="false">
      <c r="A1219" s="24" t="s">
        <v>1622</v>
      </c>
      <c r="B1219" s="32" t="s">
        <v>4400</v>
      </c>
      <c r="C1219" s="22" t="s">
        <v>6128</v>
      </c>
      <c r="D1219" s="32" t="s">
        <v>6129</v>
      </c>
      <c r="E1219" s="22" t="s">
        <v>3359</v>
      </c>
      <c r="F1219" s="22" t="s">
        <v>3360</v>
      </c>
      <c r="G1219" s="32" t="s">
        <v>6130</v>
      </c>
      <c r="H1219" s="22"/>
      <c r="I1219" s="22" t="s">
        <v>3363</v>
      </c>
    </row>
    <row r="1220" customFormat="false" ht="15" hidden="false" customHeight="true" outlineLevel="0" collapsed="false">
      <c r="A1220" s="24" t="s">
        <v>1622</v>
      </c>
      <c r="B1220" s="32" t="s">
        <v>5729</v>
      </c>
      <c r="C1220" s="22" t="s">
        <v>6131</v>
      </c>
      <c r="D1220" s="32" t="s">
        <v>6132</v>
      </c>
      <c r="E1220" s="22" t="s">
        <v>3359</v>
      </c>
      <c r="F1220" s="22" t="s">
        <v>3378</v>
      </c>
      <c r="G1220" s="32" t="s">
        <v>6133</v>
      </c>
      <c r="H1220" s="22" t="s">
        <v>6134</v>
      </c>
      <c r="I1220" s="22" t="s">
        <v>3363</v>
      </c>
    </row>
    <row r="1221" customFormat="false" ht="15" hidden="false" customHeight="true" outlineLevel="0" collapsed="false">
      <c r="A1221" s="24" t="s">
        <v>1622</v>
      </c>
      <c r="B1221" s="32" t="s">
        <v>1535</v>
      </c>
      <c r="C1221" s="22" t="s">
        <v>3873</v>
      </c>
      <c r="D1221" s="32" t="s">
        <v>6135</v>
      </c>
      <c r="E1221" s="22" t="s">
        <v>3377</v>
      </c>
      <c r="F1221" s="22" t="s">
        <v>3360</v>
      </c>
      <c r="G1221" s="32" t="s">
        <v>5874</v>
      </c>
      <c r="H1221" s="22"/>
      <c r="I1221" s="22" t="s">
        <v>3363</v>
      </c>
    </row>
    <row r="1222" customFormat="false" ht="15" hidden="false" customHeight="true" outlineLevel="0" collapsed="false">
      <c r="A1222" s="24" t="s">
        <v>1622</v>
      </c>
      <c r="B1222" s="32" t="s">
        <v>6136</v>
      </c>
      <c r="C1222" s="22" t="s">
        <v>6137</v>
      </c>
      <c r="D1222" s="32" t="s">
        <v>5720</v>
      </c>
      <c r="E1222" s="22" t="s">
        <v>3377</v>
      </c>
      <c r="F1222" s="22" t="s">
        <v>3360</v>
      </c>
      <c r="G1222" s="32" t="s">
        <v>6138</v>
      </c>
      <c r="H1222" s="22" t="s">
        <v>6139</v>
      </c>
      <c r="I1222" s="22" t="s">
        <v>3363</v>
      </c>
    </row>
    <row r="1223" customFormat="false" ht="24.75" hidden="false" customHeight="true" outlineLevel="0" collapsed="false">
      <c r="A1223" s="24" t="s">
        <v>1622</v>
      </c>
      <c r="B1223" s="32" t="s">
        <v>6140</v>
      </c>
      <c r="C1223" s="22" t="s">
        <v>6141</v>
      </c>
      <c r="D1223" s="32" t="s">
        <v>6142</v>
      </c>
      <c r="E1223" s="22" t="s">
        <v>3359</v>
      </c>
      <c r="F1223" s="22" t="s">
        <v>3378</v>
      </c>
      <c r="G1223" s="32" t="s">
        <v>5942</v>
      </c>
      <c r="H1223" s="22" t="s">
        <v>6143</v>
      </c>
      <c r="I1223" s="22" t="s">
        <v>3363</v>
      </c>
    </row>
    <row r="1224" customFormat="false" ht="15" hidden="false" customHeight="true" outlineLevel="0" collapsed="false">
      <c r="A1224" s="24" t="s">
        <v>1622</v>
      </c>
      <c r="B1224" s="32" t="s">
        <v>5744</v>
      </c>
      <c r="C1224" s="22" t="s">
        <v>6144</v>
      </c>
      <c r="D1224" s="32" t="s">
        <v>6145</v>
      </c>
      <c r="E1224" s="22" t="s">
        <v>3359</v>
      </c>
      <c r="F1224" s="22" t="s">
        <v>3360</v>
      </c>
      <c r="G1224" s="32" t="s">
        <v>5725</v>
      </c>
      <c r="H1224" s="22"/>
      <c r="I1224" s="22" t="s">
        <v>3363</v>
      </c>
    </row>
    <row r="1225" customFormat="false" ht="24.75" hidden="false" customHeight="true" outlineLevel="0" collapsed="false">
      <c r="A1225" s="24" t="s">
        <v>1622</v>
      </c>
      <c r="B1225" s="32" t="s">
        <v>6146</v>
      </c>
      <c r="C1225" s="22" t="s">
        <v>6147</v>
      </c>
      <c r="D1225" s="32" t="s">
        <v>6148</v>
      </c>
      <c r="E1225" s="22" t="s">
        <v>3359</v>
      </c>
      <c r="F1225" s="22" t="s">
        <v>3360</v>
      </c>
      <c r="G1225" s="32" t="s">
        <v>6149</v>
      </c>
      <c r="H1225" s="22"/>
      <c r="I1225" s="22" t="s">
        <v>3363</v>
      </c>
    </row>
    <row r="1226" customFormat="false" ht="24.75" hidden="false" customHeight="true" outlineLevel="0" collapsed="false">
      <c r="A1226" s="24" t="s">
        <v>1622</v>
      </c>
      <c r="B1226" s="32" t="s">
        <v>6150</v>
      </c>
      <c r="C1226" s="22" t="s">
        <v>6151</v>
      </c>
      <c r="D1226" s="32" t="s">
        <v>6152</v>
      </c>
      <c r="E1226" s="22" t="s">
        <v>3394</v>
      </c>
      <c r="F1226" s="22" t="s">
        <v>3360</v>
      </c>
      <c r="G1226" s="32" t="s">
        <v>6153</v>
      </c>
      <c r="H1226" s="22" t="s">
        <v>6154</v>
      </c>
      <c r="I1226" s="22" t="s">
        <v>3363</v>
      </c>
    </row>
    <row r="1227" customFormat="false" ht="24.75" hidden="false" customHeight="true" outlineLevel="0" collapsed="false">
      <c r="A1227" s="24" t="s">
        <v>1622</v>
      </c>
      <c r="B1227" s="32" t="s">
        <v>6155</v>
      </c>
      <c r="C1227" s="22" t="s">
        <v>6156</v>
      </c>
      <c r="D1227" s="32" t="s">
        <v>6157</v>
      </c>
      <c r="E1227" s="22" t="s">
        <v>3437</v>
      </c>
      <c r="F1227" s="22" t="s">
        <v>3360</v>
      </c>
      <c r="G1227" s="32" t="s">
        <v>3749</v>
      </c>
      <c r="H1227" s="22"/>
      <c r="I1227" s="22" t="s">
        <v>3363</v>
      </c>
    </row>
    <row r="1228" customFormat="false" ht="24.75" hidden="false" customHeight="true" outlineLevel="0" collapsed="false">
      <c r="A1228" s="24" t="s">
        <v>1622</v>
      </c>
      <c r="B1228" s="32" t="s">
        <v>6158</v>
      </c>
      <c r="C1228" s="22" t="s">
        <v>6159</v>
      </c>
      <c r="D1228" s="32" t="s">
        <v>6476</v>
      </c>
      <c r="E1228" s="22" t="s">
        <v>3437</v>
      </c>
      <c r="F1228" s="22" t="s">
        <v>3360</v>
      </c>
      <c r="G1228" s="32" t="s">
        <v>3438</v>
      </c>
      <c r="H1228" s="22" t="s">
        <v>6161</v>
      </c>
      <c r="I1228" s="22" t="s">
        <v>3363</v>
      </c>
    </row>
    <row r="1229" customFormat="false" ht="15" hidden="false" customHeight="true" outlineLevel="0" collapsed="false">
      <c r="A1229" s="24" t="s">
        <v>1622</v>
      </c>
      <c r="B1229" s="32" t="s">
        <v>6162</v>
      </c>
      <c r="C1229" s="22" t="s">
        <v>6163</v>
      </c>
      <c r="D1229" s="32" t="s">
        <v>6477</v>
      </c>
      <c r="E1229" s="22" t="s">
        <v>3437</v>
      </c>
      <c r="F1229" s="22" t="s">
        <v>3360</v>
      </c>
      <c r="G1229" s="32" t="s">
        <v>3749</v>
      </c>
      <c r="H1229" s="22"/>
      <c r="I1229" s="22" t="s">
        <v>3363</v>
      </c>
    </row>
    <row r="1230" customFormat="false" ht="15" hidden="false" customHeight="true" outlineLevel="0" collapsed="false">
      <c r="A1230" s="24" t="s">
        <v>1622</v>
      </c>
      <c r="B1230" s="32" t="s">
        <v>6165</v>
      </c>
      <c r="C1230" s="22" t="s">
        <v>6166</v>
      </c>
      <c r="D1230" s="32" t="s">
        <v>6478</v>
      </c>
      <c r="E1230" s="22" t="s">
        <v>3377</v>
      </c>
      <c r="F1230" s="22" t="s">
        <v>3360</v>
      </c>
      <c r="G1230" s="32" t="s">
        <v>5947</v>
      </c>
      <c r="H1230" s="22" t="s">
        <v>6168</v>
      </c>
      <c r="I1230" s="22" t="s">
        <v>3363</v>
      </c>
    </row>
    <row r="1231" customFormat="false" ht="24.75" hidden="false" customHeight="true" outlineLevel="0" collapsed="false">
      <c r="A1231" s="24" t="s">
        <v>1622</v>
      </c>
      <c r="B1231" s="32" t="s">
        <v>6169</v>
      </c>
      <c r="C1231" s="22" t="s">
        <v>6170</v>
      </c>
      <c r="D1231" s="32" t="s">
        <v>6479</v>
      </c>
      <c r="E1231" s="22" t="s">
        <v>3359</v>
      </c>
      <c r="F1231" s="22" t="s">
        <v>3360</v>
      </c>
      <c r="G1231" s="32" t="s">
        <v>6172</v>
      </c>
      <c r="H1231" s="22" t="s">
        <v>6173</v>
      </c>
      <c r="I1231" s="22" t="s">
        <v>3363</v>
      </c>
    </row>
    <row r="1232" customFormat="false" ht="24.75" hidden="false" customHeight="true" outlineLevel="0" collapsed="false">
      <c r="A1232" s="24" t="s">
        <v>1622</v>
      </c>
      <c r="B1232" s="32" t="s">
        <v>6174</v>
      </c>
      <c r="C1232" s="22" t="s">
        <v>6175</v>
      </c>
      <c r="D1232" s="32" t="s">
        <v>6480</v>
      </c>
      <c r="E1232" s="22" t="s">
        <v>3359</v>
      </c>
      <c r="F1232" s="22" t="s">
        <v>3360</v>
      </c>
      <c r="G1232" s="32" t="s">
        <v>5902</v>
      </c>
      <c r="H1232" s="22" t="s">
        <v>6177</v>
      </c>
      <c r="I1232" s="22" t="s">
        <v>3363</v>
      </c>
    </row>
    <row r="1233" customFormat="false" ht="24.75" hidden="false" customHeight="true" outlineLevel="0" collapsed="false">
      <c r="A1233" s="24" t="s">
        <v>1622</v>
      </c>
      <c r="B1233" s="32" t="s">
        <v>6090</v>
      </c>
      <c r="C1233" s="22" t="s">
        <v>6178</v>
      </c>
      <c r="D1233" s="32" t="s">
        <v>6481</v>
      </c>
      <c r="E1233" s="22" t="s">
        <v>3389</v>
      </c>
      <c r="F1233" s="22" t="s">
        <v>3360</v>
      </c>
      <c r="G1233" s="32" t="s">
        <v>6180</v>
      </c>
      <c r="H1233" s="22" t="s">
        <v>6181</v>
      </c>
      <c r="I1233" s="22" t="s">
        <v>3363</v>
      </c>
    </row>
    <row r="1234" customFormat="false" ht="24.75" hidden="false" customHeight="true" outlineLevel="0" collapsed="false">
      <c r="A1234" s="24" t="s">
        <v>1622</v>
      </c>
      <c r="B1234" s="32" t="s">
        <v>6182</v>
      </c>
      <c r="C1234" s="22" t="s">
        <v>6183</v>
      </c>
      <c r="D1234" s="32" t="s">
        <v>6482</v>
      </c>
      <c r="E1234" s="22" t="s">
        <v>3377</v>
      </c>
      <c r="F1234" s="22" t="s">
        <v>3360</v>
      </c>
      <c r="G1234" s="32" t="s">
        <v>6185</v>
      </c>
      <c r="H1234" s="22" t="s">
        <v>6186</v>
      </c>
      <c r="I1234" s="22" t="s">
        <v>3363</v>
      </c>
    </row>
    <row r="1235" customFormat="false" ht="15" hidden="false" customHeight="true" outlineLevel="0" collapsed="false">
      <c r="A1235" s="24" t="s">
        <v>1622</v>
      </c>
      <c r="B1235" s="32" t="s">
        <v>6187</v>
      </c>
      <c r="C1235" s="22" t="s">
        <v>6188</v>
      </c>
      <c r="D1235" s="32" t="s">
        <v>6483</v>
      </c>
      <c r="E1235" s="22" t="s">
        <v>3394</v>
      </c>
      <c r="F1235" s="22" t="s">
        <v>3360</v>
      </c>
      <c r="G1235" s="32" t="s">
        <v>6190</v>
      </c>
      <c r="H1235" s="22"/>
      <c r="I1235" s="22" t="s">
        <v>3363</v>
      </c>
    </row>
    <row r="1236" customFormat="false" ht="24.75" hidden="false" customHeight="true" outlineLevel="0" collapsed="false">
      <c r="A1236" s="24" t="s">
        <v>1622</v>
      </c>
      <c r="B1236" s="32" t="s">
        <v>6191</v>
      </c>
      <c r="C1236" s="22" t="s">
        <v>6192</v>
      </c>
      <c r="D1236" s="32" t="s">
        <v>6484</v>
      </c>
      <c r="E1236" s="22" t="s">
        <v>3394</v>
      </c>
      <c r="F1236" s="22" t="s">
        <v>3378</v>
      </c>
      <c r="G1236" s="32" t="s">
        <v>6194</v>
      </c>
      <c r="H1236" s="22" t="s">
        <v>6195</v>
      </c>
      <c r="I1236" s="22" t="s">
        <v>3363</v>
      </c>
    </row>
    <row r="1237" customFormat="false" ht="15" hidden="false" customHeight="true" outlineLevel="0" collapsed="false">
      <c r="A1237" s="24" t="s">
        <v>1622</v>
      </c>
      <c r="B1237" s="32" t="s">
        <v>6196</v>
      </c>
      <c r="C1237" s="22" t="s">
        <v>6197</v>
      </c>
      <c r="D1237" s="32" t="s">
        <v>6485</v>
      </c>
      <c r="E1237" s="22" t="s">
        <v>3394</v>
      </c>
      <c r="F1237" s="22" t="s">
        <v>3378</v>
      </c>
      <c r="G1237" s="32" t="s">
        <v>6199</v>
      </c>
      <c r="H1237" s="22" t="s">
        <v>6195</v>
      </c>
      <c r="I1237" s="22" t="s">
        <v>3363</v>
      </c>
    </row>
    <row r="1238" customFormat="false" ht="24.75" hidden="false" customHeight="true" outlineLevel="0" collapsed="false">
      <c r="A1238" s="24" t="s">
        <v>1622</v>
      </c>
      <c r="B1238" s="32" t="s">
        <v>6200</v>
      </c>
      <c r="C1238" s="22" t="s">
        <v>6201</v>
      </c>
      <c r="D1238" s="32" t="s">
        <v>6486</v>
      </c>
      <c r="E1238" s="22" t="s">
        <v>3394</v>
      </c>
      <c r="F1238" s="22" t="s">
        <v>3360</v>
      </c>
      <c r="G1238" s="32" t="s">
        <v>6203</v>
      </c>
      <c r="H1238" s="22" t="s">
        <v>6204</v>
      </c>
      <c r="I1238" s="22" t="s">
        <v>3363</v>
      </c>
    </row>
    <row r="1239" customFormat="false" ht="24.75" hidden="false" customHeight="true" outlineLevel="0" collapsed="false">
      <c r="A1239" s="24" t="s">
        <v>1622</v>
      </c>
      <c r="B1239" s="32" t="s">
        <v>6205</v>
      </c>
      <c r="C1239" s="22" t="s">
        <v>6206</v>
      </c>
      <c r="D1239" s="32" t="s">
        <v>6487</v>
      </c>
      <c r="E1239" s="22" t="s">
        <v>3394</v>
      </c>
      <c r="F1239" s="22" t="s">
        <v>3360</v>
      </c>
      <c r="G1239" s="32" t="s">
        <v>6203</v>
      </c>
      <c r="H1239" s="22" t="s">
        <v>6208</v>
      </c>
      <c r="I1239" s="22" t="s">
        <v>3363</v>
      </c>
    </row>
    <row r="1240" customFormat="false" ht="24.75" hidden="false" customHeight="true" outlineLevel="0" collapsed="false">
      <c r="A1240" s="24" t="s">
        <v>1622</v>
      </c>
      <c r="B1240" s="32" t="s">
        <v>6209</v>
      </c>
      <c r="C1240" s="22" t="s">
        <v>6210</v>
      </c>
      <c r="D1240" s="32" t="s">
        <v>6488</v>
      </c>
      <c r="E1240" s="22" t="s">
        <v>3394</v>
      </c>
      <c r="F1240" s="22" t="s">
        <v>3378</v>
      </c>
      <c r="G1240" s="32" t="s">
        <v>6212</v>
      </c>
      <c r="H1240" s="22"/>
      <c r="I1240" s="22" t="s">
        <v>3363</v>
      </c>
    </row>
    <row r="1241" customFormat="false" ht="24.75" hidden="false" customHeight="true" outlineLevel="0" collapsed="false">
      <c r="A1241" s="24" t="s">
        <v>1622</v>
      </c>
      <c r="B1241" s="32" t="s">
        <v>6213</v>
      </c>
      <c r="C1241" s="22" t="s">
        <v>6214</v>
      </c>
      <c r="D1241" s="32" t="s">
        <v>6489</v>
      </c>
      <c r="E1241" s="22" t="s">
        <v>3394</v>
      </c>
      <c r="F1241" s="22" t="s">
        <v>3360</v>
      </c>
      <c r="G1241" s="32" t="s">
        <v>6216</v>
      </c>
      <c r="H1241" s="22" t="s">
        <v>6217</v>
      </c>
      <c r="I1241" s="22" t="s">
        <v>3363</v>
      </c>
    </row>
    <row r="1242" customFormat="false" ht="24.75" hidden="false" customHeight="true" outlineLevel="0" collapsed="false">
      <c r="A1242" s="24" t="s">
        <v>1622</v>
      </c>
      <c r="B1242" s="32" t="s">
        <v>6218</v>
      </c>
      <c r="C1242" s="22" t="s">
        <v>6219</v>
      </c>
      <c r="D1242" s="32" t="s">
        <v>6490</v>
      </c>
      <c r="E1242" s="22" t="s">
        <v>3394</v>
      </c>
      <c r="F1242" s="22" t="s">
        <v>3360</v>
      </c>
      <c r="G1242" s="32" t="s">
        <v>6221</v>
      </c>
      <c r="H1242" s="22" t="s">
        <v>6222</v>
      </c>
      <c r="I1242" s="22" t="s">
        <v>3363</v>
      </c>
    </row>
    <row r="1243" customFormat="false" ht="24.75" hidden="false" customHeight="true" outlineLevel="0" collapsed="false">
      <c r="A1243" s="24" t="s">
        <v>1622</v>
      </c>
      <c r="B1243" s="32" t="s">
        <v>6223</v>
      </c>
      <c r="C1243" s="22" t="s">
        <v>6224</v>
      </c>
      <c r="D1243" s="32" t="s">
        <v>6491</v>
      </c>
      <c r="E1243" s="22" t="s">
        <v>3394</v>
      </c>
      <c r="F1243" s="22" t="s">
        <v>3378</v>
      </c>
      <c r="G1243" s="32" t="s">
        <v>5753</v>
      </c>
      <c r="H1243" s="22" t="s">
        <v>6226</v>
      </c>
      <c r="I1243" s="22" t="s">
        <v>3363</v>
      </c>
    </row>
    <row r="1244" customFormat="false" ht="24.75" hidden="false" customHeight="true" outlineLevel="0" collapsed="false">
      <c r="A1244" s="24" t="s">
        <v>1622</v>
      </c>
      <c r="B1244" s="32" t="s">
        <v>6227</v>
      </c>
      <c r="C1244" s="22" t="s">
        <v>6228</v>
      </c>
      <c r="D1244" s="32" t="s">
        <v>6491</v>
      </c>
      <c r="E1244" s="22" t="s">
        <v>3394</v>
      </c>
      <c r="F1244" s="22" t="s">
        <v>3378</v>
      </c>
      <c r="G1244" s="32" t="s">
        <v>5753</v>
      </c>
      <c r="H1244" s="22" t="s">
        <v>6226</v>
      </c>
      <c r="I1244" s="22" t="s">
        <v>3363</v>
      </c>
    </row>
    <row r="1245" customFormat="false" ht="24.75" hidden="false" customHeight="true" outlineLevel="0" collapsed="false">
      <c r="A1245" s="24" t="s">
        <v>1622</v>
      </c>
      <c r="B1245" s="32" t="s">
        <v>6229</v>
      </c>
      <c r="C1245" s="22" t="s">
        <v>6230</v>
      </c>
      <c r="D1245" s="32" t="s">
        <v>6492</v>
      </c>
      <c r="E1245" s="22" t="s">
        <v>3377</v>
      </c>
      <c r="F1245" s="22" t="s">
        <v>3360</v>
      </c>
      <c r="G1245" s="32" t="s">
        <v>6232</v>
      </c>
      <c r="H1245" s="22" t="s">
        <v>6233</v>
      </c>
      <c r="I1245" s="22" t="s">
        <v>3363</v>
      </c>
    </row>
    <row r="1246" customFormat="false" ht="15" hidden="false" customHeight="true" outlineLevel="0" collapsed="false">
      <c r="A1246" s="24" t="s">
        <v>1622</v>
      </c>
      <c r="B1246" s="32" t="s">
        <v>6234</v>
      </c>
      <c r="C1246" s="22" t="s">
        <v>6235</v>
      </c>
      <c r="D1246" s="32" t="s">
        <v>6493</v>
      </c>
      <c r="E1246" s="22" t="s">
        <v>3437</v>
      </c>
      <c r="F1246" s="22" t="s">
        <v>3360</v>
      </c>
      <c r="G1246" s="32" t="s">
        <v>3438</v>
      </c>
      <c r="H1246" s="22"/>
      <c r="I1246" s="22" t="s">
        <v>3363</v>
      </c>
    </row>
    <row r="1247" customFormat="false" ht="15" hidden="false" customHeight="true" outlineLevel="0" collapsed="false">
      <c r="A1247" s="24" t="s">
        <v>1622</v>
      </c>
      <c r="B1247" s="32" t="s">
        <v>6237</v>
      </c>
      <c r="C1247" s="22" t="s">
        <v>6238</v>
      </c>
      <c r="D1247" s="32" t="s">
        <v>6494</v>
      </c>
      <c r="E1247" s="22" t="s">
        <v>3437</v>
      </c>
      <c r="F1247" s="22" t="s">
        <v>3360</v>
      </c>
      <c r="G1247" s="32" t="s">
        <v>6240</v>
      </c>
      <c r="H1247" s="22" t="s">
        <v>6241</v>
      </c>
      <c r="I1247" s="22" t="s">
        <v>3363</v>
      </c>
    </row>
    <row r="1248" customFormat="false" ht="15" hidden="false" customHeight="true" outlineLevel="0" collapsed="false">
      <c r="A1248" s="24" t="s">
        <v>1622</v>
      </c>
      <c r="B1248" s="32" t="s">
        <v>6242</v>
      </c>
      <c r="C1248" s="22" t="s">
        <v>6243</v>
      </c>
      <c r="D1248" s="32" t="s">
        <v>6495</v>
      </c>
      <c r="E1248" s="22" t="s">
        <v>3377</v>
      </c>
      <c r="F1248" s="22" t="s">
        <v>3360</v>
      </c>
      <c r="G1248" s="32" t="s">
        <v>6245</v>
      </c>
      <c r="H1248" s="22"/>
      <c r="I1248" s="22" t="s">
        <v>3363</v>
      </c>
    </row>
    <row r="1249" customFormat="false" ht="24.75" hidden="false" customHeight="true" outlineLevel="0" collapsed="false">
      <c r="A1249" s="24" t="s">
        <v>1622</v>
      </c>
      <c r="B1249" s="32" t="s">
        <v>6104</v>
      </c>
      <c r="C1249" s="22" t="s">
        <v>6246</v>
      </c>
      <c r="D1249" s="32" t="s">
        <v>6496</v>
      </c>
      <c r="E1249" s="22" t="s">
        <v>3359</v>
      </c>
      <c r="F1249" s="22" t="s">
        <v>3360</v>
      </c>
      <c r="G1249" s="32" t="s">
        <v>6248</v>
      </c>
      <c r="H1249" s="22" t="s">
        <v>6249</v>
      </c>
      <c r="I1249" s="22" t="s">
        <v>3363</v>
      </c>
    </row>
    <row r="1250" customFormat="false" ht="15" hidden="false" customHeight="true" outlineLevel="0" collapsed="false">
      <c r="A1250" s="24" t="s">
        <v>1622</v>
      </c>
      <c r="B1250" s="32" t="s">
        <v>6250</v>
      </c>
      <c r="C1250" s="22" t="s">
        <v>6251</v>
      </c>
      <c r="D1250" s="32" t="s">
        <v>6497</v>
      </c>
      <c r="E1250" s="22" t="s">
        <v>3359</v>
      </c>
      <c r="F1250" s="22" t="s">
        <v>3378</v>
      </c>
      <c r="G1250" s="32" t="s">
        <v>6253</v>
      </c>
      <c r="H1250" s="22" t="s">
        <v>6254</v>
      </c>
      <c r="I1250" s="22" t="s">
        <v>3363</v>
      </c>
    </row>
    <row r="1251" customFormat="false" ht="15" hidden="false" customHeight="true" outlineLevel="0" collapsed="false">
      <c r="A1251" s="24" t="s">
        <v>1622</v>
      </c>
      <c r="B1251" s="32" t="s">
        <v>6255</v>
      </c>
      <c r="C1251" s="22" t="s">
        <v>6256</v>
      </c>
      <c r="D1251" s="32" t="s">
        <v>6498</v>
      </c>
      <c r="E1251" s="22" t="s">
        <v>3359</v>
      </c>
      <c r="F1251" s="22" t="s">
        <v>3360</v>
      </c>
      <c r="G1251" s="32" t="s">
        <v>5725</v>
      </c>
      <c r="H1251" s="22"/>
      <c r="I1251" s="22" t="s">
        <v>3363</v>
      </c>
    </row>
    <row r="1252" customFormat="false" ht="24.75" hidden="false" customHeight="true" outlineLevel="0" collapsed="false">
      <c r="A1252" s="24" t="s">
        <v>1622</v>
      </c>
      <c r="B1252" s="32" t="s">
        <v>6258</v>
      </c>
      <c r="C1252" s="22" t="s">
        <v>6259</v>
      </c>
      <c r="D1252" s="32" t="s">
        <v>6499</v>
      </c>
      <c r="E1252" s="22" t="s">
        <v>3394</v>
      </c>
      <c r="F1252" s="22" t="s">
        <v>3360</v>
      </c>
      <c r="G1252" s="32" t="s">
        <v>6261</v>
      </c>
      <c r="H1252" s="22" t="s">
        <v>6262</v>
      </c>
      <c r="I1252" s="22" t="s">
        <v>3363</v>
      </c>
    </row>
    <row r="1253" customFormat="false" ht="15" hidden="false" customHeight="true" outlineLevel="0" collapsed="false">
      <c r="A1253" s="24" t="s">
        <v>1622</v>
      </c>
      <c r="B1253" s="32" t="s">
        <v>6263</v>
      </c>
      <c r="C1253" s="22" t="s">
        <v>6264</v>
      </c>
      <c r="D1253" s="32" t="s">
        <v>6500</v>
      </c>
      <c r="E1253" s="22" t="s">
        <v>3394</v>
      </c>
      <c r="F1253" s="22" t="s">
        <v>3378</v>
      </c>
      <c r="G1253" s="32" t="s">
        <v>6261</v>
      </c>
      <c r="H1253" s="22"/>
      <c r="I1253" s="22" t="s">
        <v>3363</v>
      </c>
    </row>
    <row r="1254" customFormat="false" ht="15" hidden="false" customHeight="true" outlineLevel="0" collapsed="false">
      <c r="A1254" s="24" t="s">
        <v>1622</v>
      </c>
      <c r="B1254" s="32" t="s">
        <v>6266</v>
      </c>
      <c r="C1254" s="22" t="s">
        <v>6267</v>
      </c>
      <c r="D1254" s="32" t="s">
        <v>6501</v>
      </c>
      <c r="E1254" s="22" t="s">
        <v>3394</v>
      </c>
      <c r="F1254" s="22" t="s">
        <v>3378</v>
      </c>
      <c r="G1254" s="32" t="s">
        <v>6261</v>
      </c>
      <c r="H1254" s="22"/>
      <c r="I1254" s="22" t="s">
        <v>3363</v>
      </c>
    </row>
    <row r="1255" customFormat="false" ht="24.75" hidden="false" customHeight="true" outlineLevel="0" collapsed="false">
      <c r="A1255" s="24" t="s">
        <v>1622</v>
      </c>
      <c r="B1255" s="32" t="s">
        <v>5787</v>
      </c>
      <c r="C1255" s="22" t="s">
        <v>6269</v>
      </c>
      <c r="D1255" s="32" t="s">
        <v>6502</v>
      </c>
      <c r="E1255" s="22" t="s">
        <v>3394</v>
      </c>
      <c r="F1255" s="22" t="s">
        <v>3360</v>
      </c>
      <c r="G1255" s="32" t="s">
        <v>6271</v>
      </c>
      <c r="H1255" s="22"/>
      <c r="I1255" s="22" t="s">
        <v>3363</v>
      </c>
    </row>
    <row r="1256" customFormat="false" ht="15" hidden="false" customHeight="true" outlineLevel="0" collapsed="false">
      <c r="A1256" s="24" t="s">
        <v>1622</v>
      </c>
      <c r="B1256" s="32" t="s">
        <v>6085</v>
      </c>
      <c r="C1256" s="22" t="s">
        <v>6272</v>
      </c>
      <c r="D1256" s="32" t="s">
        <v>6503</v>
      </c>
      <c r="E1256" s="22" t="s">
        <v>3394</v>
      </c>
      <c r="F1256" s="22" t="s">
        <v>3360</v>
      </c>
      <c r="G1256" s="32" t="s">
        <v>6274</v>
      </c>
      <c r="H1256" s="22"/>
      <c r="I1256" s="22" t="s">
        <v>3363</v>
      </c>
    </row>
    <row r="1257" customFormat="false" ht="15" hidden="false" customHeight="true" outlineLevel="0" collapsed="false">
      <c r="A1257" s="24" t="s">
        <v>1622</v>
      </c>
      <c r="B1257" s="32" t="s">
        <v>5784</v>
      </c>
      <c r="C1257" s="22" t="s">
        <v>6275</v>
      </c>
      <c r="D1257" s="32" t="s">
        <v>6504</v>
      </c>
      <c r="E1257" s="22" t="s">
        <v>3394</v>
      </c>
      <c r="F1257" s="22" t="s">
        <v>3360</v>
      </c>
      <c r="G1257" s="32" t="s">
        <v>6277</v>
      </c>
      <c r="H1257" s="22" t="s">
        <v>6278</v>
      </c>
      <c r="I1257" s="22" t="s">
        <v>3363</v>
      </c>
    </row>
    <row r="1258" customFormat="false" ht="24.75" hidden="false" customHeight="true" outlineLevel="0" collapsed="false">
      <c r="A1258" s="24" t="s">
        <v>1622</v>
      </c>
      <c r="B1258" s="32" t="s">
        <v>6113</v>
      </c>
      <c r="C1258" s="22" t="s">
        <v>6279</v>
      </c>
      <c r="D1258" s="32" t="s">
        <v>6505</v>
      </c>
      <c r="E1258" s="22" t="s">
        <v>3389</v>
      </c>
      <c r="F1258" s="22" t="s">
        <v>3360</v>
      </c>
      <c r="G1258" s="32" t="s">
        <v>6281</v>
      </c>
      <c r="H1258" s="22" t="s">
        <v>6282</v>
      </c>
      <c r="I1258" s="22" t="s">
        <v>3363</v>
      </c>
    </row>
    <row r="1259" customFormat="false" ht="24.75" hidden="false" customHeight="true" outlineLevel="0" collapsed="false">
      <c r="A1259" s="24" t="s">
        <v>1622</v>
      </c>
      <c r="B1259" s="32" t="s">
        <v>6283</v>
      </c>
      <c r="C1259" s="22" t="s">
        <v>6284</v>
      </c>
      <c r="D1259" s="32" t="s">
        <v>6506</v>
      </c>
      <c r="E1259" s="22" t="s">
        <v>3389</v>
      </c>
      <c r="F1259" s="22" t="s">
        <v>6286</v>
      </c>
      <c r="G1259" s="32" t="s">
        <v>6287</v>
      </c>
      <c r="H1259" s="22"/>
      <c r="I1259" s="22" t="s">
        <v>3363</v>
      </c>
    </row>
    <row r="1260" customFormat="false" ht="24.75" hidden="false" customHeight="true" outlineLevel="0" collapsed="false">
      <c r="A1260" s="24" t="s">
        <v>1622</v>
      </c>
      <c r="B1260" s="32" t="s">
        <v>6288</v>
      </c>
      <c r="C1260" s="22" t="s">
        <v>6289</v>
      </c>
      <c r="D1260" s="32" t="s">
        <v>6507</v>
      </c>
      <c r="E1260" s="22" t="s">
        <v>3394</v>
      </c>
      <c r="F1260" s="22" t="s">
        <v>3360</v>
      </c>
      <c r="G1260" s="32" t="s">
        <v>6291</v>
      </c>
      <c r="H1260" s="22" t="s">
        <v>6292</v>
      </c>
      <c r="I1260" s="22" t="s">
        <v>3363</v>
      </c>
    </row>
    <row r="1261" customFormat="false" ht="137.25" hidden="false" customHeight="true" outlineLevel="0" collapsed="false">
      <c r="A1261" s="24" t="s">
        <v>1622</v>
      </c>
      <c r="B1261" s="32" t="s">
        <v>6293</v>
      </c>
      <c r="C1261" s="22" t="s">
        <v>6294</v>
      </c>
      <c r="D1261" s="32" t="s">
        <v>6508</v>
      </c>
      <c r="E1261" s="22" t="s">
        <v>3377</v>
      </c>
      <c r="F1261" s="22" t="s">
        <v>3378</v>
      </c>
      <c r="G1261" s="32" t="s">
        <v>6296</v>
      </c>
      <c r="H1261" s="22" t="s">
        <v>6297</v>
      </c>
      <c r="I1261" s="22" t="s">
        <v>3363</v>
      </c>
    </row>
    <row r="1262" customFormat="false" ht="49.5" hidden="false" customHeight="true" outlineLevel="0" collapsed="false">
      <c r="A1262" s="24" t="s">
        <v>1622</v>
      </c>
      <c r="B1262" s="32" t="s">
        <v>5764</v>
      </c>
      <c r="C1262" s="22" t="s">
        <v>6298</v>
      </c>
      <c r="D1262" s="32" t="s">
        <v>6509</v>
      </c>
      <c r="E1262" s="22" t="s">
        <v>3359</v>
      </c>
      <c r="F1262" s="22" t="s">
        <v>3360</v>
      </c>
      <c r="G1262" s="32" t="s">
        <v>6300</v>
      </c>
      <c r="H1262" s="22" t="s">
        <v>6301</v>
      </c>
      <c r="I1262" s="22" t="s">
        <v>3363</v>
      </c>
    </row>
    <row r="1263" customFormat="false" ht="24.75" hidden="false" customHeight="true" outlineLevel="0" collapsed="false">
      <c r="A1263" s="24" t="s">
        <v>1622</v>
      </c>
      <c r="B1263" s="32" t="s">
        <v>6302</v>
      </c>
      <c r="C1263" s="22" t="s">
        <v>6303</v>
      </c>
      <c r="D1263" s="32" t="s">
        <v>6510</v>
      </c>
      <c r="E1263" s="22" t="s">
        <v>3359</v>
      </c>
      <c r="F1263" s="22" t="s">
        <v>6286</v>
      </c>
      <c r="G1263" s="32" t="s">
        <v>6305</v>
      </c>
      <c r="H1263" s="22" t="s">
        <v>6306</v>
      </c>
      <c r="I1263" s="22" t="s">
        <v>3363</v>
      </c>
    </row>
    <row r="1264" customFormat="false" ht="15" hidden="false" customHeight="true" outlineLevel="0" collapsed="false">
      <c r="A1264" s="24" t="s">
        <v>1622</v>
      </c>
      <c r="B1264" s="32" t="s">
        <v>6307</v>
      </c>
      <c r="C1264" s="22" t="s">
        <v>6308</v>
      </c>
      <c r="D1264" s="32" t="s">
        <v>6511</v>
      </c>
      <c r="E1264" s="22" t="s">
        <v>3359</v>
      </c>
      <c r="F1264" s="22" t="s">
        <v>3378</v>
      </c>
      <c r="G1264" s="32" t="s">
        <v>5800</v>
      </c>
      <c r="H1264" s="22" t="s">
        <v>6310</v>
      </c>
      <c r="I1264" s="22" t="s">
        <v>3363</v>
      </c>
    </row>
    <row r="1265" customFormat="false" ht="15" hidden="false" customHeight="true" outlineLevel="0" collapsed="false">
      <c r="A1265" s="24" t="s">
        <v>1622</v>
      </c>
      <c r="B1265" s="32" t="s">
        <v>6512</v>
      </c>
      <c r="C1265" s="22" t="s">
        <v>6513</v>
      </c>
      <c r="D1265" s="32" t="s">
        <v>6514</v>
      </c>
      <c r="E1265" s="22" t="s">
        <v>3359</v>
      </c>
      <c r="F1265" s="22" t="s">
        <v>3360</v>
      </c>
      <c r="G1265" s="32" t="s">
        <v>6515</v>
      </c>
      <c r="H1265" s="22" t="s">
        <v>6516</v>
      </c>
      <c r="I1265" s="22" t="s">
        <v>3363</v>
      </c>
    </row>
    <row r="1266" customFormat="false" ht="15" hidden="false" customHeight="true" outlineLevel="0" collapsed="false">
      <c r="A1266" s="24" t="s">
        <v>1622</v>
      </c>
      <c r="B1266" s="32" t="s">
        <v>6517</v>
      </c>
      <c r="C1266" s="22" t="s">
        <v>6518</v>
      </c>
      <c r="D1266" s="32" t="s">
        <v>6519</v>
      </c>
      <c r="E1266" s="22" t="s">
        <v>3394</v>
      </c>
      <c r="F1266" s="22" t="s">
        <v>3360</v>
      </c>
      <c r="G1266" s="32" t="s">
        <v>5753</v>
      </c>
      <c r="H1266" s="22" t="s">
        <v>6520</v>
      </c>
      <c r="I1266" s="22" t="s">
        <v>3363</v>
      </c>
    </row>
    <row r="1267" customFormat="false" ht="15" hidden="false" customHeight="true" outlineLevel="0" collapsed="false">
      <c r="A1267" s="24" t="s">
        <v>1622</v>
      </c>
      <c r="B1267" s="32" t="s">
        <v>6521</v>
      </c>
      <c r="C1267" s="22" t="s">
        <v>6522</v>
      </c>
      <c r="D1267" s="32" t="s">
        <v>6523</v>
      </c>
      <c r="E1267" s="22" t="s">
        <v>3394</v>
      </c>
      <c r="F1267" s="22" t="s">
        <v>3378</v>
      </c>
      <c r="G1267" s="32" t="s">
        <v>5753</v>
      </c>
      <c r="H1267" s="22" t="s">
        <v>6524</v>
      </c>
      <c r="I1267" s="22" t="s">
        <v>3363</v>
      </c>
    </row>
    <row r="1268" customFormat="false" ht="37.5" hidden="false" customHeight="true" outlineLevel="0" collapsed="false">
      <c r="A1268" s="24" t="s">
        <v>1622</v>
      </c>
      <c r="B1268" s="32" t="s">
        <v>6525</v>
      </c>
      <c r="C1268" s="22" t="s">
        <v>6526</v>
      </c>
      <c r="D1268" s="32" t="s">
        <v>6519</v>
      </c>
      <c r="E1268" s="22" t="s">
        <v>3359</v>
      </c>
      <c r="F1268" s="22" t="s">
        <v>3360</v>
      </c>
      <c r="G1268" s="32" t="s">
        <v>6527</v>
      </c>
      <c r="H1268" s="22"/>
      <c r="I1268" s="22" t="s">
        <v>3363</v>
      </c>
    </row>
    <row r="1269" customFormat="false" ht="37.5" hidden="false" customHeight="true" outlineLevel="0" collapsed="false">
      <c r="A1269" s="24" t="s">
        <v>1622</v>
      </c>
      <c r="B1269" s="32" t="s">
        <v>6528</v>
      </c>
      <c r="C1269" s="22" t="s">
        <v>6529</v>
      </c>
      <c r="D1269" s="32" t="s">
        <v>6519</v>
      </c>
      <c r="E1269" s="22" t="s">
        <v>3377</v>
      </c>
      <c r="F1269" s="22" t="s">
        <v>3378</v>
      </c>
      <c r="G1269" s="32" t="s">
        <v>6530</v>
      </c>
      <c r="H1269" s="22"/>
      <c r="I1269" s="22" t="s">
        <v>3363</v>
      </c>
    </row>
    <row r="1270" customFormat="false" ht="24.75" hidden="false" customHeight="true" outlineLevel="0" collapsed="false">
      <c r="A1270" s="24" t="s">
        <v>1622</v>
      </c>
      <c r="B1270" s="32" t="s">
        <v>6531</v>
      </c>
      <c r="C1270" s="22" t="s">
        <v>6532</v>
      </c>
      <c r="D1270" s="32" t="s">
        <v>6533</v>
      </c>
      <c r="E1270" s="22" t="s">
        <v>3359</v>
      </c>
      <c r="F1270" s="22" t="s">
        <v>6286</v>
      </c>
      <c r="G1270" s="32"/>
      <c r="H1270" s="22"/>
      <c r="I1270" s="22" t="s">
        <v>3363</v>
      </c>
    </row>
    <row r="1271" customFormat="false" ht="24.75" hidden="false" customHeight="true" outlineLevel="0" collapsed="false">
      <c r="A1271" s="24" t="s">
        <v>1622</v>
      </c>
      <c r="B1271" s="32" t="s">
        <v>6534</v>
      </c>
      <c r="C1271" s="22" t="s">
        <v>6535</v>
      </c>
      <c r="D1271" s="32" t="s">
        <v>6519</v>
      </c>
      <c r="E1271" s="22" t="s">
        <v>3377</v>
      </c>
      <c r="F1271" s="22" t="s">
        <v>3378</v>
      </c>
      <c r="G1271" s="32" t="s">
        <v>6536</v>
      </c>
      <c r="H1271" s="22"/>
      <c r="I1271" s="22" t="s">
        <v>3363</v>
      </c>
    </row>
    <row r="1272" customFormat="false" ht="15" hidden="false" customHeight="true" outlineLevel="0" collapsed="false">
      <c r="A1272" s="24" t="s">
        <v>1365</v>
      </c>
      <c r="B1272" s="32" t="s">
        <v>6117</v>
      </c>
      <c r="C1272" s="22" t="s">
        <v>6537</v>
      </c>
      <c r="D1272" s="32" t="s">
        <v>5720</v>
      </c>
      <c r="E1272" s="22" t="s">
        <v>3359</v>
      </c>
      <c r="F1272" s="22" t="s">
        <v>3360</v>
      </c>
      <c r="G1272" s="32" t="s">
        <v>5749</v>
      </c>
      <c r="H1272" s="22"/>
      <c r="I1272" s="22" t="s">
        <v>3363</v>
      </c>
    </row>
    <row r="1273" customFormat="false" ht="15" hidden="false" customHeight="true" outlineLevel="0" collapsed="false">
      <c r="A1273" s="24" t="s">
        <v>1365</v>
      </c>
      <c r="B1273" s="32" t="s">
        <v>5744</v>
      </c>
      <c r="C1273" s="22" t="s">
        <v>6538</v>
      </c>
      <c r="D1273" s="32" t="s">
        <v>5720</v>
      </c>
      <c r="E1273" s="22" t="s">
        <v>3359</v>
      </c>
      <c r="F1273" s="22" t="s">
        <v>3360</v>
      </c>
      <c r="G1273" s="32"/>
      <c r="H1273" s="22"/>
      <c r="I1273" s="22" t="s">
        <v>3363</v>
      </c>
    </row>
    <row r="1274" customFormat="false" ht="15" hidden="false" customHeight="true" outlineLevel="0" collapsed="false">
      <c r="A1274" s="24" t="s">
        <v>1365</v>
      </c>
      <c r="B1274" s="32" t="s">
        <v>5729</v>
      </c>
      <c r="C1274" s="22" t="s">
        <v>6074</v>
      </c>
      <c r="D1274" s="32" t="s">
        <v>5720</v>
      </c>
      <c r="E1274" s="22" t="s">
        <v>3359</v>
      </c>
      <c r="F1274" s="22" t="s">
        <v>3360</v>
      </c>
      <c r="G1274" s="32" t="s">
        <v>5727</v>
      </c>
      <c r="H1274" s="22"/>
      <c r="I1274" s="22" t="s">
        <v>3363</v>
      </c>
    </row>
    <row r="1275" customFormat="false" ht="24.75" hidden="false" customHeight="true" outlineLevel="0" collapsed="false">
      <c r="A1275" s="24" t="s">
        <v>1365</v>
      </c>
      <c r="B1275" s="32" t="s">
        <v>6539</v>
      </c>
      <c r="C1275" s="22" t="s">
        <v>6540</v>
      </c>
      <c r="D1275" s="32" t="s">
        <v>5720</v>
      </c>
      <c r="E1275" s="22" t="s">
        <v>3377</v>
      </c>
      <c r="F1275" s="22" t="s">
        <v>3360</v>
      </c>
      <c r="G1275" s="32" t="s">
        <v>6541</v>
      </c>
      <c r="H1275" s="22" t="s">
        <v>6542</v>
      </c>
      <c r="I1275" s="22" t="s">
        <v>3363</v>
      </c>
    </row>
    <row r="1276" customFormat="false" ht="24.75" hidden="false" customHeight="true" outlineLevel="0" collapsed="false">
      <c r="A1276" s="24" t="s">
        <v>1365</v>
      </c>
      <c r="B1276" s="32" t="s">
        <v>6182</v>
      </c>
      <c r="C1276" s="22" t="s">
        <v>6543</v>
      </c>
      <c r="D1276" s="32" t="s">
        <v>5720</v>
      </c>
      <c r="E1276" s="22" t="s">
        <v>3377</v>
      </c>
      <c r="F1276" s="22" t="s">
        <v>3360</v>
      </c>
      <c r="G1276" s="32" t="s">
        <v>6544</v>
      </c>
      <c r="H1276" s="22" t="s">
        <v>6545</v>
      </c>
      <c r="I1276" s="22" t="s">
        <v>3363</v>
      </c>
    </row>
    <row r="1277" customFormat="false" ht="24.75" hidden="false" customHeight="true" outlineLevel="0" collapsed="false">
      <c r="A1277" s="24" t="s">
        <v>1365</v>
      </c>
      <c r="B1277" s="32" t="s">
        <v>6110</v>
      </c>
      <c r="C1277" s="22" t="s">
        <v>6546</v>
      </c>
      <c r="D1277" s="32" t="s">
        <v>5720</v>
      </c>
      <c r="E1277" s="22" t="s">
        <v>3359</v>
      </c>
      <c r="F1277" s="22" t="s">
        <v>3360</v>
      </c>
      <c r="G1277" s="32" t="s">
        <v>6547</v>
      </c>
      <c r="H1277" s="22" t="s">
        <v>6548</v>
      </c>
      <c r="I1277" s="22" t="s">
        <v>3363</v>
      </c>
    </row>
    <row r="1278" customFormat="false" ht="15" hidden="false" customHeight="true" outlineLevel="0" collapsed="false">
      <c r="A1278" s="24" t="s">
        <v>1365</v>
      </c>
      <c r="B1278" s="32" t="s">
        <v>6549</v>
      </c>
      <c r="C1278" s="22" t="s">
        <v>6550</v>
      </c>
      <c r="D1278" s="32" t="s">
        <v>5911</v>
      </c>
      <c r="E1278" s="22" t="s">
        <v>3394</v>
      </c>
      <c r="F1278" s="22" t="s">
        <v>3360</v>
      </c>
      <c r="G1278" s="32" t="s">
        <v>6551</v>
      </c>
      <c r="H1278" s="22"/>
      <c r="I1278" s="22" t="s">
        <v>3363</v>
      </c>
    </row>
    <row r="1279" customFormat="false" ht="15" hidden="false" customHeight="true" outlineLevel="0" collapsed="false">
      <c r="A1279" s="24" t="s">
        <v>1365</v>
      </c>
      <c r="B1279" s="32" t="s">
        <v>6552</v>
      </c>
      <c r="C1279" s="22" t="s">
        <v>5986</v>
      </c>
      <c r="D1279" s="32" t="s">
        <v>5911</v>
      </c>
      <c r="E1279" s="22" t="s">
        <v>3394</v>
      </c>
      <c r="F1279" s="22" t="s">
        <v>3378</v>
      </c>
      <c r="G1279" s="32" t="s">
        <v>6551</v>
      </c>
      <c r="H1279" s="22"/>
      <c r="I1279" s="22" t="s">
        <v>3363</v>
      </c>
    </row>
    <row r="1280" customFormat="false" ht="15" hidden="false" customHeight="true" outlineLevel="0" collapsed="false">
      <c r="A1280" s="24" t="s">
        <v>1365</v>
      </c>
      <c r="B1280" s="32" t="s">
        <v>5563</v>
      </c>
      <c r="C1280" s="22" t="s">
        <v>3495</v>
      </c>
      <c r="D1280" s="32" t="s">
        <v>5911</v>
      </c>
      <c r="E1280" s="22" t="s">
        <v>3394</v>
      </c>
      <c r="F1280" s="22" t="s">
        <v>3378</v>
      </c>
      <c r="G1280" s="32" t="s">
        <v>6551</v>
      </c>
      <c r="H1280" s="22"/>
      <c r="I1280" s="22" t="s">
        <v>3363</v>
      </c>
    </row>
    <row r="1281" customFormat="false" ht="15" hidden="false" customHeight="true" outlineLevel="0" collapsed="false">
      <c r="A1281" s="24" t="s">
        <v>1365</v>
      </c>
      <c r="B1281" s="32" t="s">
        <v>6553</v>
      </c>
      <c r="C1281" s="22" t="s">
        <v>5815</v>
      </c>
      <c r="D1281" s="32" t="s">
        <v>5911</v>
      </c>
      <c r="E1281" s="22" t="s">
        <v>3394</v>
      </c>
      <c r="F1281" s="22" t="s">
        <v>3378</v>
      </c>
      <c r="G1281" s="32" t="s">
        <v>6551</v>
      </c>
      <c r="H1281" s="22" t="s">
        <v>6554</v>
      </c>
      <c r="I1281" s="22" t="s">
        <v>3363</v>
      </c>
    </row>
    <row r="1282" customFormat="false" ht="15" hidden="false" customHeight="true" outlineLevel="0" collapsed="false">
      <c r="A1282" s="24" t="s">
        <v>1365</v>
      </c>
      <c r="B1282" s="32" t="s">
        <v>6555</v>
      </c>
      <c r="C1282" s="22" t="s">
        <v>6556</v>
      </c>
      <c r="D1282" s="32" t="s">
        <v>5911</v>
      </c>
      <c r="E1282" s="22" t="s">
        <v>3394</v>
      </c>
      <c r="F1282" s="22" t="s">
        <v>3378</v>
      </c>
      <c r="G1282" s="32" t="s">
        <v>6551</v>
      </c>
      <c r="H1282" s="22"/>
      <c r="I1282" s="22" t="s">
        <v>3363</v>
      </c>
    </row>
    <row r="1283" customFormat="false" ht="15" hidden="false" customHeight="true" outlineLevel="0" collapsed="false">
      <c r="A1283" s="24" t="s">
        <v>1365</v>
      </c>
      <c r="B1283" s="32" t="s">
        <v>6557</v>
      </c>
      <c r="C1283" s="22" t="s">
        <v>6558</v>
      </c>
      <c r="D1283" s="32" t="s">
        <v>5911</v>
      </c>
      <c r="E1283" s="22" t="s">
        <v>3394</v>
      </c>
      <c r="F1283" s="22" t="s">
        <v>3378</v>
      </c>
      <c r="G1283" s="32" t="s">
        <v>6551</v>
      </c>
      <c r="H1283" s="22"/>
      <c r="I1283" s="22" t="s">
        <v>3363</v>
      </c>
    </row>
    <row r="1284" customFormat="false" ht="15" hidden="false" customHeight="true" outlineLevel="0" collapsed="false">
      <c r="A1284" s="24" t="s">
        <v>1365</v>
      </c>
      <c r="B1284" s="32" t="s">
        <v>6559</v>
      </c>
      <c r="C1284" s="22" t="s">
        <v>6560</v>
      </c>
      <c r="D1284" s="32" t="s">
        <v>5911</v>
      </c>
      <c r="E1284" s="22" t="s">
        <v>3394</v>
      </c>
      <c r="F1284" s="22" t="s">
        <v>3378</v>
      </c>
      <c r="G1284" s="32" t="s">
        <v>6551</v>
      </c>
      <c r="H1284" s="22"/>
      <c r="I1284" s="22" t="s">
        <v>3363</v>
      </c>
    </row>
    <row r="1285" customFormat="false" ht="15" hidden="false" customHeight="true" outlineLevel="0" collapsed="false">
      <c r="A1285" s="24" t="s">
        <v>1365</v>
      </c>
      <c r="B1285" s="32" t="s">
        <v>6561</v>
      </c>
      <c r="C1285" s="22" t="s">
        <v>6562</v>
      </c>
      <c r="D1285" s="32" t="s">
        <v>5911</v>
      </c>
      <c r="E1285" s="22" t="s">
        <v>3394</v>
      </c>
      <c r="F1285" s="22" t="s">
        <v>3360</v>
      </c>
      <c r="G1285" s="32" t="s">
        <v>6563</v>
      </c>
      <c r="H1285" s="22"/>
      <c r="I1285" s="22" t="s">
        <v>3363</v>
      </c>
    </row>
    <row r="1286" customFormat="false" ht="15" hidden="false" customHeight="true" outlineLevel="0" collapsed="false">
      <c r="A1286" s="24" t="s">
        <v>1365</v>
      </c>
      <c r="B1286" s="32" t="s">
        <v>6169</v>
      </c>
      <c r="C1286" s="22" t="s">
        <v>6012</v>
      </c>
      <c r="D1286" s="32" t="s">
        <v>6564</v>
      </c>
      <c r="E1286" s="22" t="s">
        <v>3359</v>
      </c>
      <c r="F1286" s="22" t="s">
        <v>3360</v>
      </c>
      <c r="G1286" s="32" t="s">
        <v>5896</v>
      </c>
      <c r="H1286" s="22" t="s">
        <v>6565</v>
      </c>
      <c r="I1286" s="22" t="s">
        <v>3363</v>
      </c>
    </row>
    <row r="1287" customFormat="false" ht="24.75" hidden="false" customHeight="true" outlineLevel="0" collapsed="false">
      <c r="A1287" s="24" t="s">
        <v>1365</v>
      </c>
      <c r="B1287" s="32" t="s">
        <v>6566</v>
      </c>
      <c r="C1287" s="22" t="s">
        <v>6567</v>
      </c>
      <c r="D1287" s="32" t="s">
        <v>6564</v>
      </c>
      <c r="E1287" s="22" t="s">
        <v>3389</v>
      </c>
      <c r="F1287" s="22" t="s">
        <v>3360</v>
      </c>
      <c r="G1287" s="32" t="s">
        <v>5779</v>
      </c>
      <c r="H1287" s="22" t="s">
        <v>6568</v>
      </c>
      <c r="I1287" s="22" t="s">
        <v>3363</v>
      </c>
    </row>
    <row r="1288" customFormat="false" ht="24.75" hidden="false" customHeight="true" outlineLevel="0" collapsed="false">
      <c r="A1288" s="24" t="s">
        <v>1365</v>
      </c>
      <c r="B1288" s="32" t="s">
        <v>6174</v>
      </c>
      <c r="C1288" s="22" t="s">
        <v>6093</v>
      </c>
      <c r="D1288" s="32" t="s">
        <v>6564</v>
      </c>
      <c r="E1288" s="22" t="s">
        <v>3359</v>
      </c>
      <c r="F1288" s="22" t="s">
        <v>3360</v>
      </c>
      <c r="G1288" s="32" t="s">
        <v>5902</v>
      </c>
      <c r="H1288" s="22" t="s">
        <v>6569</v>
      </c>
      <c r="I1288" s="22" t="s">
        <v>3363</v>
      </c>
    </row>
    <row r="1289" customFormat="false" ht="24.75" hidden="false" customHeight="true" outlineLevel="0" collapsed="false">
      <c r="A1289" s="24" t="s">
        <v>1365</v>
      </c>
      <c r="B1289" s="32" t="s">
        <v>5537</v>
      </c>
      <c r="C1289" s="22" t="s">
        <v>6570</v>
      </c>
      <c r="D1289" s="32" t="s">
        <v>6564</v>
      </c>
      <c r="E1289" s="22" t="s">
        <v>3359</v>
      </c>
      <c r="F1289" s="22" t="s">
        <v>3360</v>
      </c>
      <c r="G1289" s="32" t="s">
        <v>6571</v>
      </c>
      <c r="H1289" s="22" t="s">
        <v>6572</v>
      </c>
      <c r="I1289" s="22" t="s">
        <v>3363</v>
      </c>
    </row>
    <row r="1290" customFormat="false" ht="15" hidden="false" customHeight="true" outlineLevel="0" collapsed="false">
      <c r="A1290" s="24" t="s">
        <v>1365</v>
      </c>
      <c r="B1290" s="32" t="s">
        <v>6573</v>
      </c>
      <c r="C1290" s="22" t="s">
        <v>6574</v>
      </c>
      <c r="D1290" s="32" t="s">
        <v>6564</v>
      </c>
      <c r="E1290" s="22" t="s">
        <v>3359</v>
      </c>
      <c r="F1290" s="22" t="s">
        <v>3378</v>
      </c>
      <c r="G1290" s="32"/>
      <c r="H1290" s="22" t="s">
        <v>6575</v>
      </c>
      <c r="I1290" s="22" t="s">
        <v>3363</v>
      </c>
    </row>
    <row r="1291" customFormat="false" ht="15" hidden="false" customHeight="true" outlineLevel="0" collapsed="false">
      <c r="A1291" s="24" t="s">
        <v>1365</v>
      </c>
      <c r="B1291" s="32" t="s">
        <v>6576</v>
      </c>
      <c r="C1291" s="22" t="s">
        <v>6577</v>
      </c>
      <c r="D1291" s="32" t="s">
        <v>6564</v>
      </c>
      <c r="E1291" s="22" t="s">
        <v>3359</v>
      </c>
      <c r="F1291" s="22" t="s">
        <v>3378</v>
      </c>
      <c r="G1291" s="32"/>
      <c r="H1291" s="22"/>
      <c r="I1291" s="22" t="s">
        <v>3363</v>
      </c>
    </row>
    <row r="1292" customFormat="false" ht="24.75" hidden="false" customHeight="true" outlineLevel="0" collapsed="false">
      <c r="A1292" s="24" t="s">
        <v>1365</v>
      </c>
      <c r="B1292" s="32" t="s">
        <v>6578</v>
      </c>
      <c r="C1292" s="22" t="s">
        <v>6579</v>
      </c>
      <c r="D1292" s="32" t="s">
        <v>6564</v>
      </c>
      <c r="E1292" s="22" t="s">
        <v>3377</v>
      </c>
      <c r="F1292" s="22" t="s">
        <v>3378</v>
      </c>
      <c r="G1292" s="32" t="s">
        <v>6580</v>
      </c>
      <c r="H1292" s="22"/>
      <c r="I1292" s="22" t="s">
        <v>3363</v>
      </c>
    </row>
    <row r="1293" customFormat="false" ht="24.75" hidden="false" customHeight="true" outlineLevel="0" collapsed="false">
      <c r="A1293" s="24" t="s">
        <v>1365</v>
      </c>
      <c r="B1293" s="32" t="s">
        <v>6581</v>
      </c>
      <c r="C1293" s="22" t="s">
        <v>6582</v>
      </c>
      <c r="D1293" s="32" t="s">
        <v>6583</v>
      </c>
      <c r="E1293" s="22" t="s">
        <v>3394</v>
      </c>
      <c r="F1293" s="22" t="s">
        <v>3378</v>
      </c>
      <c r="G1293" s="32" t="s">
        <v>5753</v>
      </c>
      <c r="H1293" s="22" t="s">
        <v>6584</v>
      </c>
      <c r="I1293" s="22" t="s">
        <v>3363</v>
      </c>
    </row>
    <row r="1294" customFormat="false" ht="15" hidden="false" customHeight="true" outlineLevel="0" collapsed="false">
      <c r="A1294" s="24" t="s">
        <v>1477</v>
      </c>
      <c r="B1294" s="32" t="s">
        <v>6117</v>
      </c>
      <c r="C1294" s="22" t="s">
        <v>6537</v>
      </c>
      <c r="D1294" s="32" t="s">
        <v>5720</v>
      </c>
      <c r="E1294" s="22" t="s">
        <v>3359</v>
      </c>
      <c r="F1294" s="22" t="s">
        <v>3360</v>
      </c>
      <c r="G1294" s="32" t="s">
        <v>5749</v>
      </c>
      <c r="H1294" s="22"/>
      <c r="I1294" s="22" t="s">
        <v>3363</v>
      </c>
    </row>
    <row r="1295" customFormat="false" ht="15" hidden="false" customHeight="true" outlineLevel="0" collapsed="false">
      <c r="A1295" s="24" t="s">
        <v>1477</v>
      </c>
      <c r="B1295" s="32" t="s">
        <v>4400</v>
      </c>
      <c r="C1295" s="22" t="s">
        <v>4401</v>
      </c>
      <c r="D1295" s="32" t="s">
        <v>5720</v>
      </c>
      <c r="E1295" s="22" t="s">
        <v>3359</v>
      </c>
      <c r="F1295" s="22" t="s">
        <v>3360</v>
      </c>
      <c r="G1295" s="32" t="s">
        <v>5727</v>
      </c>
      <c r="H1295" s="22"/>
      <c r="I1295" s="22" t="s">
        <v>3363</v>
      </c>
    </row>
    <row r="1296" customFormat="false" ht="15" hidden="false" customHeight="true" outlineLevel="0" collapsed="false">
      <c r="A1296" s="24" t="s">
        <v>1477</v>
      </c>
      <c r="B1296" s="32" t="s">
        <v>1535</v>
      </c>
      <c r="C1296" s="22" t="s">
        <v>4978</v>
      </c>
      <c r="D1296" s="32" t="s">
        <v>5720</v>
      </c>
      <c r="E1296" s="22" t="s">
        <v>3377</v>
      </c>
      <c r="F1296" s="22" t="s">
        <v>3360</v>
      </c>
      <c r="G1296" s="32" t="s">
        <v>5874</v>
      </c>
      <c r="H1296" s="22"/>
      <c r="I1296" s="22" t="s">
        <v>3363</v>
      </c>
    </row>
    <row r="1297" customFormat="false" ht="15" hidden="false" customHeight="true" outlineLevel="0" collapsed="false">
      <c r="A1297" s="24" t="s">
        <v>1477</v>
      </c>
      <c r="B1297" s="32" t="s">
        <v>6585</v>
      </c>
      <c r="C1297" s="22" t="s">
        <v>6586</v>
      </c>
      <c r="D1297" s="32" t="s">
        <v>5720</v>
      </c>
      <c r="E1297" s="22" t="s">
        <v>3377</v>
      </c>
      <c r="F1297" s="22" t="s">
        <v>3360</v>
      </c>
      <c r="G1297" s="32" t="s">
        <v>6127</v>
      </c>
      <c r="H1297" s="22"/>
      <c r="I1297" s="22" t="s">
        <v>3363</v>
      </c>
    </row>
    <row r="1298" customFormat="false" ht="15" hidden="false" customHeight="true" outlineLevel="0" collapsed="false">
      <c r="A1298" s="24" t="s">
        <v>1477</v>
      </c>
      <c r="B1298" s="32" t="s">
        <v>6140</v>
      </c>
      <c r="C1298" s="22" t="s">
        <v>6587</v>
      </c>
      <c r="D1298" s="32" t="s">
        <v>5720</v>
      </c>
      <c r="E1298" s="22" t="s">
        <v>3359</v>
      </c>
      <c r="F1298" s="22" t="s">
        <v>3360</v>
      </c>
      <c r="G1298" s="32" t="s">
        <v>5942</v>
      </c>
      <c r="H1298" s="22"/>
      <c r="I1298" s="22" t="s">
        <v>3363</v>
      </c>
    </row>
    <row r="1299" customFormat="false" ht="75" hidden="false" customHeight="true" outlineLevel="0" collapsed="false">
      <c r="A1299" s="24" t="s">
        <v>1477</v>
      </c>
      <c r="B1299" s="32" t="s">
        <v>6588</v>
      </c>
      <c r="C1299" s="22" t="s">
        <v>6589</v>
      </c>
      <c r="D1299" s="32" t="s">
        <v>5929</v>
      </c>
      <c r="E1299" s="22" t="s">
        <v>3377</v>
      </c>
      <c r="F1299" s="22" t="s">
        <v>3360</v>
      </c>
      <c r="G1299" s="32" t="s">
        <v>6590</v>
      </c>
      <c r="H1299" s="22" t="s">
        <v>6591</v>
      </c>
      <c r="I1299" s="22" t="s">
        <v>3363</v>
      </c>
    </row>
    <row r="1300" customFormat="false" ht="15" hidden="false" customHeight="true" outlineLevel="0" collapsed="false">
      <c r="A1300" s="24" t="s">
        <v>1477</v>
      </c>
      <c r="B1300" s="32" t="s">
        <v>6592</v>
      </c>
      <c r="C1300" s="22" t="s">
        <v>6593</v>
      </c>
      <c r="D1300" s="32" t="s">
        <v>5929</v>
      </c>
      <c r="E1300" s="22" t="s">
        <v>3359</v>
      </c>
      <c r="F1300" s="22" t="s">
        <v>3378</v>
      </c>
      <c r="G1300" s="32"/>
      <c r="H1300" s="22" t="s">
        <v>6594</v>
      </c>
      <c r="I1300" s="22" t="s">
        <v>3363</v>
      </c>
    </row>
    <row r="1301" customFormat="false" ht="15" hidden="false" customHeight="true" outlineLevel="0" collapsed="false">
      <c r="A1301" s="24" t="s">
        <v>1477</v>
      </c>
      <c r="B1301" s="32" t="s">
        <v>6234</v>
      </c>
      <c r="C1301" s="22" t="s">
        <v>6595</v>
      </c>
      <c r="D1301" s="32" t="s">
        <v>5929</v>
      </c>
      <c r="E1301" s="22" t="s">
        <v>3437</v>
      </c>
      <c r="F1301" s="22" t="s">
        <v>3378</v>
      </c>
      <c r="G1301" s="32"/>
      <c r="H1301" s="22" t="s">
        <v>6596</v>
      </c>
      <c r="I1301" s="22" t="s">
        <v>3363</v>
      </c>
    </row>
    <row r="1302" customFormat="false" ht="15" hidden="false" customHeight="true" outlineLevel="0" collapsed="false">
      <c r="A1302" s="24" t="s">
        <v>1477</v>
      </c>
      <c r="B1302" s="32" t="s">
        <v>6104</v>
      </c>
      <c r="C1302" s="22" t="s">
        <v>6246</v>
      </c>
      <c r="D1302" s="32" t="s">
        <v>5929</v>
      </c>
      <c r="E1302" s="22" t="s">
        <v>3359</v>
      </c>
      <c r="F1302" s="22" t="s">
        <v>3378</v>
      </c>
      <c r="G1302" s="32" t="s">
        <v>5721</v>
      </c>
      <c r="H1302" s="22"/>
      <c r="I1302" s="22" t="s">
        <v>3363</v>
      </c>
    </row>
    <row r="1303" customFormat="false" ht="15" hidden="false" customHeight="true" outlineLevel="0" collapsed="false">
      <c r="A1303" s="24" t="s">
        <v>1477</v>
      </c>
      <c r="B1303" s="32" t="s">
        <v>5764</v>
      </c>
      <c r="C1303" s="22" t="s">
        <v>6597</v>
      </c>
      <c r="D1303" s="32" t="s">
        <v>5929</v>
      </c>
      <c r="E1303" s="22" t="s">
        <v>3359</v>
      </c>
      <c r="F1303" s="22" t="s">
        <v>3378</v>
      </c>
      <c r="G1303" s="32"/>
      <c r="H1303" s="22"/>
      <c r="I1303" s="22" t="s">
        <v>3363</v>
      </c>
    </row>
    <row r="1304" customFormat="false" ht="15" hidden="false" customHeight="true" outlineLevel="0" collapsed="false">
      <c r="A1304" s="24" t="s">
        <v>1477</v>
      </c>
      <c r="B1304" s="32" t="s">
        <v>5784</v>
      </c>
      <c r="C1304" s="22" t="s">
        <v>5878</v>
      </c>
      <c r="D1304" s="32" t="s">
        <v>5929</v>
      </c>
      <c r="E1304" s="22" t="s">
        <v>3394</v>
      </c>
      <c r="F1304" s="22" t="s">
        <v>3378</v>
      </c>
      <c r="G1304" s="32" t="s">
        <v>5753</v>
      </c>
      <c r="H1304" s="22"/>
      <c r="I1304" s="22" t="s">
        <v>3363</v>
      </c>
    </row>
    <row r="1305" customFormat="false" ht="24.75" hidden="false" customHeight="true" outlineLevel="0" collapsed="false">
      <c r="A1305" s="24" t="s">
        <v>1477</v>
      </c>
      <c r="B1305" s="32" t="s">
        <v>6113</v>
      </c>
      <c r="C1305" s="22" t="s">
        <v>6114</v>
      </c>
      <c r="D1305" s="32" t="s">
        <v>5929</v>
      </c>
      <c r="E1305" s="22" t="s">
        <v>3389</v>
      </c>
      <c r="F1305" s="22" t="s">
        <v>3378</v>
      </c>
      <c r="G1305" s="32" t="s">
        <v>5779</v>
      </c>
      <c r="H1305" s="22"/>
      <c r="I1305" s="22" t="s">
        <v>3363</v>
      </c>
    </row>
    <row r="1306" customFormat="false" ht="24.75" hidden="false" customHeight="true" outlineLevel="0" collapsed="false">
      <c r="A1306" s="24" t="s">
        <v>1477</v>
      </c>
      <c r="B1306" s="32" t="s">
        <v>6283</v>
      </c>
      <c r="C1306" s="22" t="s">
        <v>6598</v>
      </c>
      <c r="D1306" s="32" t="s">
        <v>5929</v>
      </c>
      <c r="E1306" s="22" t="s">
        <v>3389</v>
      </c>
      <c r="F1306" s="22" t="s">
        <v>3378</v>
      </c>
      <c r="G1306" s="32" t="s">
        <v>5779</v>
      </c>
      <c r="H1306" s="22"/>
      <c r="I1306" s="22" t="s">
        <v>3363</v>
      </c>
    </row>
    <row r="1307" customFormat="false" ht="24.75" hidden="false" customHeight="true" outlineLevel="0" collapsed="false">
      <c r="A1307" s="24" t="s">
        <v>1477</v>
      </c>
      <c r="B1307" s="32" t="s">
        <v>6599</v>
      </c>
      <c r="C1307" s="22" t="s">
        <v>5899</v>
      </c>
      <c r="D1307" s="32" t="s">
        <v>5929</v>
      </c>
      <c r="E1307" s="22" t="s">
        <v>3389</v>
      </c>
      <c r="F1307" s="22" t="s">
        <v>3378</v>
      </c>
      <c r="G1307" s="32" t="s">
        <v>5779</v>
      </c>
      <c r="H1307" s="22"/>
      <c r="I1307" s="22" t="s">
        <v>3363</v>
      </c>
    </row>
    <row r="1308" customFormat="false" ht="15" hidden="false" customHeight="true" outlineLevel="0" collapsed="false">
      <c r="A1308" s="24" t="s">
        <v>1477</v>
      </c>
      <c r="B1308" s="32" t="s">
        <v>5881</v>
      </c>
      <c r="C1308" s="22" t="s">
        <v>6600</v>
      </c>
      <c r="D1308" s="32" t="s">
        <v>5929</v>
      </c>
      <c r="E1308" s="22" t="s">
        <v>3394</v>
      </c>
      <c r="F1308" s="22" t="s">
        <v>3378</v>
      </c>
      <c r="G1308" s="32" t="s">
        <v>5753</v>
      </c>
      <c r="H1308" s="22"/>
      <c r="I1308" s="22" t="s">
        <v>3363</v>
      </c>
    </row>
    <row r="1309" customFormat="false" ht="15" hidden="false" customHeight="true" outlineLevel="0" collapsed="false">
      <c r="A1309" s="24" t="s">
        <v>1477</v>
      </c>
      <c r="B1309" s="32" t="s">
        <v>6601</v>
      </c>
      <c r="C1309" s="22" t="s">
        <v>6602</v>
      </c>
      <c r="D1309" s="32" t="s">
        <v>5929</v>
      </c>
      <c r="E1309" s="22" t="s">
        <v>3394</v>
      </c>
      <c r="F1309" s="22" t="s">
        <v>3378</v>
      </c>
      <c r="G1309" s="32" t="s">
        <v>6603</v>
      </c>
      <c r="H1309" s="22" t="s">
        <v>6604</v>
      </c>
      <c r="I1309" s="22" t="s">
        <v>3363</v>
      </c>
    </row>
    <row r="1310" customFormat="false" ht="15" hidden="false" customHeight="true" outlineLevel="0" collapsed="false">
      <c r="A1310" s="24" t="s">
        <v>1477</v>
      </c>
      <c r="B1310" s="32" t="s">
        <v>6605</v>
      </c>
      <c r="C1310" s="22" t="s">
        <v>6606</v>
      </c>
      <c r="D1310" s="32" t="s">
        <v>5929</v>
      </c>
      <c r="E1310" s="22" t="s">
        <v>3394</v>
      </c>
      <c r="F1310" s="22" t="s">
        <v>3378</v>
      </c>
      <c r="G1310" s="32" t="s">
        <v>6603</v>
      </c>
      <c r="H1310" s="22"/>
      <c r="I1310" s="22" t="s">
        <v>3363</v>
      </c>
    </row>
    <row r="1311" customFormat="false" ht="15" hidden="false" customHeight="true" outlineLevel="0" collapsed="false">
      <c r="A1311" s="24" t="s">
        <v>1477</v>
      </c>
      <c r="B1311" s="32" t="s">
        <v>6607</v>
      </c>
      <c r="C1311" s="22" t="s">
        <v>6608</v>
      </c>
      <c r="D1311" s="32" t="s">
        <v>5929</v>
      </c>
      <c r="E1311" s="22" t="s">
        <v>3394</v>
      </c>
      <c r="F1311" s="22" t="s">
        <v>3378</v>
      </c>
      <c r="G1311" s="32" t="s">
        <v>5753</v>
      </c>
      <c r="H1311" s="22"/>
      <c r="I1311" s="22" t="s">
        <v>3363</v>
      </c>
    </row>
    <row r="1312" customFormat="false" ht="15" hidden="false" customHeight="true" outlineLevel="0" collapsed="false">
      <c r="A1312" s="24" t="s">
        <v>1477</v>
      </c>
      <c r="B1312" s="32" t="s">
        <v>6609</v>
      </c>
      <c r="C1312" s="22" t="s">
        <v>6610</v>
      </c>
      <c r="D1312" s="32" t="s">
        <v>5929</v>
      </c>
      <c r="E1312" s="22" t="s">
        <v>3437</v>
      </c>
      <c r="F1312" s="22" t="s">
        <v>3378</v>
      </c>
      <c r="G1312" s="32" t="s">
        <v>3749</v>
      </c>
      <c r="H1312" s="22" t="s">
        <v>6611</v>
      </c>
      <c r="I1312" s="22" t="s">
        <v>3363</v>
      </c>
    </row>
    <row r="1313" customFormat="false" ht="15" hidden="false" customHeight="true" outlineLevel="0" collapsed="false">
      <c r="A1313" s="24" t="s">
        <v>1477</v>
      </c>
      <c r="B1313" s="32" t="s">
        <v>6612</v>
      </c>
      <c r="C1313" s="22" t="s">
        <v>6613</v>
      </c>
      <c r="D1313" s="32" t="s">
        <v>5929</v>
      </c>
      <c r="E1313" s="22" t="s">
        <v>3394</v>
      </c>
      <c r="F1313" s="22" t="s">
        <v>3378</v>
      </c>
      <c r="G1313" s="32" t="s">
        <v>6614</v>
      </c>
      <c r="H1313" s="22"/>
      <c r="I1313" s="22" t="s">
        <v>3363</v>
      </c>
    </row>
    <row r="1314" customFormat="false" ht="24.75" hidden="false" customHeight="true" outlineLevel="0" collapsed="false">
      <c r="A1314" s="24" t="s">
        <v>1477</v>
      </c>
      <c r="B1314" s="32" t="s">
        <v>6615</v>
      </c>
      <c r="C1314" s="22" t="s">
        <v>6616</v>
      </c>
      <c r="D1314" s="32" t="s">
        <v>5929</v>
      </c>
      <c r="E1314" s="22" t="s">
        <v>3394</v>
      </c>
      <c r="F1314" s="22" t="s">
        <v>3360</v>
      </c>
      <c r="G1314" s="32" t="s">
        <v>5753</v>
      </c>
      <c r="H1314" s="22"/>
      <c r="I1314" s="22" t="s">
        <v>3363</v>
      </c>
    </row>
    <row r="1315" customFormat="false" ht="15" hidden="false" customHeight="true" outlineLevel="0" collapsed="false">
      <c r="A1315" s="24" t="s">
        <v>1477</v>
      </c>
      <c r="B1315" s="32" t="s">
        <v>6617</v>
      </c>
      <c r="C1315" s="22" t="s">
        <v>6618</v>
      </c>
      <c r="D1315" s="32" t="s">
        <v>6619</v>
      </c>
      <c r="E1315" s="22" t="s">
        <v>3437</v>
      </c>
      <c r="F1315" s="22" t="s">
        <v>3378</v>
      </c>
      <c r="G1315" s="32" t="s">
        <v>3749</v>
      </c>
      <c r="H1315" s="22" t="s">
        <v>6620</v>
      </c>
      <c r="I1315" s="22" t="s">
        <v>3363</v>
      </c>
    </row>
    <row r="1316" customFormat="false" ht="15" hidden="false" customHeight="true" outlineLevel="0" collapsed="false">
      <c r="A1316" s="24" t="s">
        <v>1477</v>
      </c>
      <c r="B1316" s="32" t="s">
        <v>6621</v>
      </c>
      <c r="C1316" s="22" t="s">
        <v>6622</v>
      </c>
      <c r="D1316" s="32" t="s">
        <v>5918</v>
      </c>
      <c r="E1316" s="22" t="s">
        <v>3394</v>
      </c>
      <c r="F1316" s="22" t="s">
        <v>3378</v>
      </c>
      <c r="G1316" s="32" t="s">
        <v>5753</v>
      </c>
      <c r="H1316" s="22"/>
      <c r="I1316" s="22" t="s">
        <v>3363</v>
      </c>
    </row>
    <row r="1317" customFormat="false" ht="15" hidden="false" customHeight="true" outlineLevel="0" collapsed="false">
      <c r="A1317" s="24" t="s">
        <v>1477</v>
      </c>
      <c r="B1317" s="32" t="s">
        <v>6623</v>
      </c>
      <c r="C1317" s="22" t="s">
        <v>6624</v>
      </c>
      <c r="D1317" s="32" t="s">
        <v>5918</v>
      </c>
      <c r="E1317" s="22" t="s">
        <v>3394</v>
      </c>
      <c r="F1317" s="22" t="s">
        <v>3360</v>
      </c>
      <c r="G1317" s="32" t="s">
        <v>5753</v>
      </c>
      <c r="H1317" s="22"/>
      <c r="I1317" s="22" t="s">
        <v>3363</v>
      </c>
    </row>
    <row r="1318" customFormat="false" ht="15" hidden="false" customHeight="true" outlineLevel="0" collapsed="false">
      <c r="A1318" s="24" t="s">
        <v>1306</v>
      </c>
      <c r="B1318" s="32" t="s">
        <v>6625</v>
      </c>
      <c r="C1318" s="22" t="s">
        <v>6626</v>
      </c>
      <c r="D1318" s="32" t="s">
        <v>6627</v>
      </c>
      <c r="E1318" s="22" t="s">
        <v>3389</v>
      </c>
      <c r="F1318" s="22" t="s">
        <v>3360</v>
      </c>
      <c r="G1318" s="32" t="s">
        <v>6628</v>
      </c>
      <c r="H1318" s="22" t="s">
        <v>6629</v>
      </c>
      <c r="I1318" s="22" t="s">
        <v>3363</v>
      </c>
    </row>
    <row r="1319" customFormat="false" ht="24.75" hidden="false" customHeight="true" outlineLevel="0" collapsed="false">
      <c r="A1319" s="24" t="s">
        <v>1306</v>
      </c>
      <c r="B1319" s="32" t="s">
        <v>6630</v>
      </c>
      <c r="C1319" s="22" t="s">
        <v>6631</v>
      </c>
      <c r="D1319" s="32" t="s">
        <v>6627</v>
      </c>
      <c r="E1319" s="22" t="s">
        <v>3359</v>
      </c>
      <c r="F1319" s="22" t="s">
        <v>3360</v>
      </c>
      <c r="G1319" s="32" t="s">
        <v>6632</v>
      </c>
      <c r="H1319" s="22"/>
      <c r="I1319" s="22" t="s">
        <v>3363</v>
      </c>
    </row>
    <row r="1320" customFormat="false" ht="15" hidden="false" customHeight="true" outlineLevel="0" collapsed="false">
      <c r="A1320" s="24" t="s">
        <v>1306</v>
      </c>
      <c r="B1320" s="32" t="s">
        <v>6633</v>
      </c>
      <c r="C1320" s="22" t="s">
        <v>6634</v>
      </c>
      <c r="D1320" s="32" t="s">
        <v>6627</v>
      </c>
      <c r="E1320" s="22" t="s">
        <v>3359</v>
      </c>
      <c r="F1320" s="22" t="s">
        <v>3360</v>
      </c>
      <c r="G1320" s="32"/>
      <c r="H1320" s="22"/>
      <c r="I1320" s="22" t="s">
        <v>3363</v>
      </c>
    </row>
    <row r="1321" customFormat="false" ht="15" hidden="false" customHeight="true" outlineLevel="0" collapsed="false">
      <c r="A1321" s="24" t="s">
        <v>1306</v>
      </c>
      <c r="B1321" s="32" t="s">
        <v>6635</v>
      </c>
      <c r="C1321" s="22" t="s">
        <v>6636</v>
      </c>
      <c r="D1321" s="32" t="s">
        <v>6627</v>
      </c>
      <c r="E1321" s="22" t="s">
        <v>3359</v>
      </c>
      <c r="F1321" s="22" t="s">
        <v>3360</v>
      </c>
      <c r="G1321" s="32"/>
      <c r="H1321" s="22"/>
      <c r="I1321" s="22" t="s">
        <v>3363</v>
      </c>
    </row>
    <row r="1322" customFormat="false" ht="15" hidden="false" customHeight="true" outlineLevel="0" collapsed="false">
      <c r="A1322" s="24" t="s">
        <v>1306</v>
      </c>
      <c r="B1322" s="32" t="s">
        <v>6637</v>
      </c>
      <c r="C1322" s="22" t="s">
        <v>6638</v>
      </c>
      <c r="D1322" s="32" t="s">
        <v>6639</v>
      </c>
      <c r="E1322" s="22" t="s">
        <v>3359</v>
      </c>
      <c r="F1322" s="22" t="s">
        <v>3360</v>
      </c>
      <c r="G1322" s="32" t="s">
        <v>5721</v>
      </c>
      <c r="H1322" s="22" t="s">
        <v>6640</v>
      </c>
      <c r="I1322" s="22" t="s">
        <v>3363</v>
      </c>
    </row>
    <row r="1323" customFormat="false" ht="24.75" hidden="false" customHeight="true" outlineLevel="0" collapsed="false">
      <c r="A1323" s="24" t="s">
        <v>1306</v>
      </c>
      <c r="B1323" s="32" t="s">
        <v>6641</v>
      </c>
      <c r="C1323" s="22" t="s">
        <v>6642</v>
      </c>
      <c r="D1323" s="32" t="s">
        <v>6639</v>
      </c>
      <c r="E1323" s="22" t="s">
        <v>3377</v>
      </c>
      <c r="F1323" s="22" t="s">
        <v>3378</v>
      </c>
      <c r="G1323" s="32" t="s">
        <v>6643</v>
      </c>
      <c r="H1323" s="22" t="s">
        <v>6644</v>
      </c>
      <c r="I1323" s="22" t="s">
        <v>3363</v>
      </c>
    </row>
    <row r="1324" customFormat="false" ht="15" hidden="false" customHeight="true" outlineLevel="0" collapsed="false">
      <c r="A1324" s="24" t="s">
        <v>1306</v>
      </c>
      <c r="B1324" s="32" t="s">
        <v>6645</v>
      </c>
      <c r="C1324" s="22" t="s">
        <v>6646</v>
      </c>
      <c r="D1324" s="32" t="s">
        <v>6627</v>
      </c>
      <c r="E1324" s="22" t="s">
        <v>3359</v>
      </c>
      <c r="F1324" s="22" t="s">
        <v>3360</v>
      </c>
      <c r="G1324" s="32"/>
      <c r="H1324" s="22"/>
      <c r="I1324" s="22" t="s">
        <v>3363</v>
      </c>
    </row>
    <row r="1325" customFormat="false" ht="15" hidden="false" customHeight="true" outlineLevel="0" collapsed="false">
      <c r="A1325" s="24" t="s">
        <v>1306</v>
      </c>
      <c r="B1325" s="32" t="s">
        <v>6110</v>
      </c>
      <c r="C1325" s="22" t="s">
        <v>6647</v>
      </c>
      <c r="D1325" s="32" t="s">
        <v>6627</v>
      </c>
      <c r="E1325" s="22" t="s">
        <v>3359</v>
      </c>
      <c r="F1325" s="22" t="s">
        <v>3360</v>
      </c>
      <c r="G1325" s="32" t="s">
        <v>6648</v>
      </c>
      <c r="H1325" s="22" t="s">
        <v>6649</v>
      </c>
      <c r="I1325" s="22" t="s">
        <v>3363</v>
      </c>
    </row>
    <row r="1326" customFormat="false" ht="15" hidden="false" customHeight="true" outlineLevel="0" collapsed="false">
      <c r="A1326" s="24" t="s">
        <v>1306</v>
      </c>
      <c r="B1326" s="32" t="s">
        <v>6650</v>
      </c>
      <c r="C1326" s="22" t="s">
        <v>6597</v>
      </c>
      <c r="D1326" s="32" t="s">
        <v>6627</v>
      </c>
      <c r="E1326" s="22" t="s">
        <v>3359</v>
      </c>
      <c r="F1326" s="22" t="s">
        <v>3360</v>
      </c>
      <c r="G1326" s="32" t="s">
        <v>6651</v>
      </c>
      <c r="H1326" s="22"/>
      <c r="I1326" s="22" t="s">
        <v>3363</v>
      </c>
    </row>
    <row r="1327" customFormat="false" ht="24.75" hidden="false" customHeight="true" outlineLevel="0" collapsed="false">
      <c r="A1327" s="24" t="s">
        <v>1306</v>
      </c>
      <c r="B1327" s="32" t="s">
        <v>6652</v>
      </c>
      <c r="C1327" s="22" t="s">
        <v>6653</v>
      </c>
      <c r="D1327" s="32" t="s">
        <v>6627</v>
      </c>
      <c r="E1327" s="22" t="s">
        <v>3394</v>
      </c>
      <c r="F1327" s="22" t="s">
        <v>3360</v>
      </c>
      <c r="G1327" s="32" t="s">
        <v>5753</v>
      </c>
      <c r="H1327" s="22" t="s">
        <v>6654</v>
      </c>
      <c r="I1327" s="22" t="s">
        <v>3363</v>
      </c>
    </row>
    <row r="1328" customFormat="false" ht="15" hidden="false" customHeight="true" outlineLevel="0" collapsed="false">
      <c r="A1328" s="24" t="s">
        <v>1306</v>
      </c>
      <c r="B1328" s="32" t="s">
        <v>6655</v>
      </c>
      <c r="C1328" s="22" t="s">
        <v>6656</v>
      </c>
      <c r="D1328" s="32" t="s">
        <v>6627</v>
      </c>
      <c r="E1328" s="22" t="s">
        <v>3394</v>
      </c>
      <c r="F1328" s="22" t="s">
        <v>3378</v>
      </c>
      <c r="G1328" s="32" t="s">
        <v>5753</v>
      </c>
      <c r="H1328" s="22"/>
      <c r="I1328" s="22" t="s">
        <v>3363</v>
      </c>
    </row>
    <row r="1329" customFormat="false" ht="15" hidden="false" customHeight="true" outlineLevel="0" collapsed="false">
      <c r="A1329" s="24" t="s">
        <v>1306</v>
      </c>
      <c r="B1329" s="32" t="s">
        <v>6657</v>
      </c>
      <c r="C1329" s="22" t="s">
        <v>6658</v>
      </c>
      <c r="D1329" s="32" t="s">
        <v>6627</v>
      </c>
      <c r="E1329" s="22" t="s">
        <v>3394</v>
      </c>
      <c r="F1329" s="22" t="s">
        <v>3360</v>
      </c>
      <c r="G1329" s="32" t="s">
        <v>6603</v>
      </c>
      <c r="H1329" s="22"/>
      <c r="I1329" s="22" t="s">
        <v>3363</v>
      </c>
    </row>
    <row r="1330" customFormat="false" ht="15" hidden="false" customHeight="true" outlineLevel="0" collapsed="false">
      <c r="A1330" s="24" t="s">
        <v>1306</v>
      </c>
      <c r="B1330" s="32" t="s">
        <v>6659</v>
      </c>
      <c r="C1330" s="22" t="s">
        <v>6660</v>
      </c>
      <c r="D1330" s="32" t="s">
        <v>6627</v>
      </c>
      <c r="E1330" s="22" t="s">
        <v>3394</v>
      </c>
      <c r="F1330" s="22" t="s">
        <v>3360</v>
      </c>
      <c r="G1330" s="32" t="s">
        <v>5753</v>
      </c>
      <c r="H1330" s="22"/>
      <c r="I1330" s="22" t="s">
        <v>3363</v>
      </c>
    </row>
    <row r="1331" customFormat="false" ht="15" hidden="false" customHeight="true" outlineLevel="0" collapsed="false">
      <c r="A1331" s="24" t="s">
        <v>1306</v>
      </c>
      <c r="B1331" s="32" t="s">
        <v>6661</v>
      </c>
      <c r="C1331" s="22" t="s">
        <v>6662</v>
      </c>
      <c r="D1331" s="32" t="s">
        <v>6627</v>
      </c>
      <c r="E1331" s="22" t="s">
        <v>3359</v>
      </c>
      <c r="F1331" s="22" t="s">
        <v>3360</v>
      </c>
      <c r="G1331" s="32"/>
      <c r="H1331" s="22"/>
      <c r="I1331" s="22" t="s">
        <v>3363</v>
      </c>
    </row>
    <row r="1332" customFormat="false" ht="15" hidden="false" customHeight="true" outlineLevel="0" collapsed="false">
      <c r="A1332" s="24" t="s">
        <v>1306</v>
      </c>
      <c r="B1332" s="32" t="s">
        <v>6663</v>
      </c>
      <c r="C1332" s="22" t="s">
        <v>6664</v>
      </c>
      <c r="D1332" s="32" t="s">
        <v>6639</v>
      </c>
      <c r="E1332" s="22" t="s">
        <v>3359</v>
      </c>
      <c r="F1332" s="22" t="s">
        <v>3378</v>
      </c>
      <c r="G1332" s="32"/>
      <c r="H1332" s="22"/>
      <c r="I1332" s="22" t="s">
        <v>3363</v>
      </c>
    </row>
    <row r="1333" customFormat="false" ht="24.75" hidden="false" customHeight="true" outlineLevel="0" collapsed="false">
      <c r="A1333" s="24" t="s">
        <v>1306</v>
      </c>
      <c r="B1333" s="32" t="s">
        <v>6665</v>
      </c>
      <c r="C1333" s="22" t="s">
        <v>6666</v>
      </c>
      <c r="D1333" s="32" t="s">
        <v>6667</v>
      </c>
      <c r="E1333" s="22" t="s">
        <v>3359</v>
      </c>
      <c r="F1333" s="22" t="s">
        <v>3378</v>
      </c>
      <c r="G1333" s="32" t="s">
        <v>6668</v>
      </c>
      <c r="H1333" s="22" t="s">
        <v>6669</v>
      </c>
      <c r="I1333" s="22" t="s">
        <v>3363</v>
      </c>
    </row>
    <row r="1334" customFormat="false" ht="15" hidden="false" customHeight="true" outlineLevel="0" collapsed="false">
      <c r="A1334" s="24" t="s">
        <v>1306</v>
      </c>
      <c r="B1334" s="32" t="s">
        <v>6670</v>
      </c>
      <c r="C1334" s="22" t="s">
        <v>6671</v>
      </c>
      <c r="D1334" s="32" t="s">
        <v>6672</v>
      </c>
      <c r="E1334" s="22" t="s">
        <v>3394</v>
      </c>
      <c r="F1334" s="22" t="s">
        <v>3360</v>
      </c>
      <c r="G1334" s="32" t="s">
        <v>5753</v>
      </c>
      <c r="H1334" s="22"/>
      <c r="I1334" s="22" t="s">
        <v>3363</v>
      </c>
    </row>
    <row r="1335" customFormat="false" ht="15" hidden="false" customHeight="true" outlineLevel="0" collapsed="false">
      <c r="A1335" s="24" t="s">
        <v>1306</v>
      </c>
      <c r="B1335" s="32" t="s">
        <v>6673</v>
      </c>
      <c r="C1335" s="22" t="s">
        <v>6674</v>
      </c>
      <c r="D1335" s="32" t="s">
        <v>6672</v>
      </c>
      <c r="E1335" s="22" t="s">
        <v>3394</v>
      </c>
      <c r="F1335" s="22" t="s">
        <v>3360</v>
      </c>
      <c r="G1335" s="32" t="s">
        <v>5753</v>
      </c>
      <c r="H1335" s="22"/>
      <c r="I1335" s="22" t="s">
        <v>3363</v>
      </c>
    </row>
    <row r="1336" customFormat="false" ht="15" hidden="false" customHeight="true" outlineLevel="0" collapsed="false">
      <c r="A1336" s="24" t="s">
        <v>1306</v>
      </c>
      <c r="B1336" s="32" t="s">
        <v>6675</v>
      </c>
      <c r="C1336" s="22" t="s">
        <v>6676</v>
      </c>
      <c r="D1336" s="32" t="s">
        <v>6672</v>
      </c>
      <c r="E1336" s="22" t="s">
        <v>3394</v>
      </c>
      <c r="F1336" s="22" t="s">
        <v>3378</v>
      </c>
      <c r="G1336" s="32" t="s">
        <v>5753</v>
      </c>
      <c r="H1336" s="22"/>
      <c r="I1336" s="22" t="s">
        <v>3363</v>
      </c>
    </row>
    <row r="1337" customFormat="false" ht="15" hidden="false" customHeight="true" outlineLevel="0" collapsed="false">
      <c r="A1337" s="24" t="s">
        <v>1306</v>
      </c>
      <c r="B1337" s="32" t="s">
        <v>6677</v>
      </c>
      <c r="C1337" s="22" t="s">
        <v>6678</v>
      </c>
      <c r="D1337" s="32" t="s">
        <v>6679</v>
      </c>
      <c r="E1337" s="22" t="s">
        <v>3359</v>
      </c>
      <c r="F1337" s="22" t="s">
        <v>3378</v>
      </c>
      <c r="G1337" s="32" t="s">
        <v>5749</v>
      </c>
      <c r="H1337" s="22" t="s">
        <v>6680</v>
      </c>
      <c r="I1337" s="22" t="s">
        <v>3363</v>
      </c>
    </row>
    <row r="1338" customFormat="false" ht="15" hidden="false" customHeight="true" outlineLevel="0" collapsed="false">
      <c r="A1338" s="24" t="s">
        <v>1848</v>
      </c>
      <c r="B1338" s="32" t="s">
        <v>5718</v>
      </c>
      <c r="C1338" s="22" t="s">
        <v>5838</v>
      </c>
      <c r="D1338" s="32" t="s">
        <v>6681</v>
      </c>
      <c r="E1338" s="22" t="s">
        <v>3359</v>
      </c>
      <c r="F1338" s="22" t="s">
        <v>3360</v>
      </c>
      <c r="G1338" s="32" t="s">
        <v>5721</v>
      </c>
      <c r="H1338" s="22"/>
      <c r="I1338" s="22" t="s">
        <v>3363</v>
      </c>
    </row>
    <row r="1339" customFormat="false" ht="15" hidden="false" customHeight="true" outlineLevel="0" collapsed="false">
      <c r="A1339" s="24" t="s">
        <v>1848</v>
      </c>
      <c r="B1339" s="32" t="s">
        <v>6682</v>
      </c>
      <c r="C1339" s="22" t="s">
        <v>6683</v>
      </c>
      <c r="D1339" s="32" t="s">
        <v>6684</v>
      </c>
      <c r="E1339" s="22" t="s">
        <v>3359</v>
      </c>
      <c r="F1339" s="22" t="s">
        <v>3360</v>
      </c>
      <c r="G1339" s="32" t="s">
        <v>5727</v>
      </c>
      <c r="H1339" s="22"/>
      <c r="I1339" s="22" t="s">
        <v>3363</v>
      </c>
    </row>
    <row r="1340" customFormat="false" ht="15" hidden="false" customHeight="true" outlineLevel="0" collapsed="false">
      <c r="A1340" s="24" t="s">
        <v>1848</v>
      </c>
      <c r="B1340" s="32" t="s">
        <v>5094</v>
      </c>
      <c r="C1340" s="22" t="s">
        <v>5095</v>
      </c>
      <c r="D1340" s="32" t="s">
        <v>6685</v>
      </c>
      <c r="E1340" s="22" t="s">
        <v>3359</v>
      </c>
      <c r="F1340" s="22" t="s">
        <v>3360</v>
      </c>
      <c r="G1340" s="32"/>
      <c r="H1340" s="22"/>
      <c r="I1340" s="22" t="s">
        <v>3363</v>
      </c>
    </row>
    <row r="1341" customFormat="false" ht="15" hidden="false" customHeight="true" outlineLevel="0" collapsed="false">
      <c r="A1341" s="24" t="s">
        <v>1848</v>
      </c>
      <c r="B1341" s="32" t="s">
        <v>6686</v>
      </c>
      <c r="C1341" s="22" t="s">
        <v>3825</v>
      </c>
      <c r="D1341" s="32" t="s">
        <v>6685</v>
      </c>
      <c r="E1341" s="22" t="s">
        <v>3389</v>
      </c>
      <c r="F1341" s="22" t="s">
        <v>3360</v>
      </c>
      <c r="G1341" s="32" t="s">
        <v>5943</v>
      </c>
      <c r="H1341" s="22"/>
      <c r="I1341" s="22" t="s">
        <v>3363</v>
      </c>
    </row>
    <row r="1342" customFormat="false" ht="15" hidden="false" customHeight="true" outlineLevel="0" collapsed="false">
      <c r="A1342" s="24" t="s">
        <v>1848</v>
      </c>
      <c r="B1342" s="32" t="s">
        <v>6687</v>
      </c>
      <c r="C1342" s="22" t="s">
        <v>6688</v>
      </c>
      <c r="D1342" s="32" t="s">
        <v>6689</v>
      </c>
      <c r="E1342" s="22" t="s">
        <v>3359</v>
      </c>
      <c r="F1342" s="22" t="s">
        <v>3378</v>
      </c>
      <c r="G1342" s="32"/>
      <c r="H1342" s="22" t="s">
        <v>6690</v>
      </c>
      <c r="I1342" s="22" t="s">
        <v>3363</v>
      </c>
    </row>
    <row r="1343" customFormat="false" ht="15" hidden="false" customHeight="true" outlineLevel="0" collapsed="false">
      <c r="A1343" s="24" t="s">
        <v>1848</v>
      </c>
      <c r="B1343" s="32" t="s">
        <v>6691</v>
      </c>
      <c r="C1343" s="22" t="s">
        <v>6692</v>
      </c>
      <c r="D1343" s="32" t="s">
        <v>6689</v>
      </c>
      <c r="E1343" s="22" t="s">
        <v>3394</v>
      </c>
      <c r="F1343" s="22" t="s">
        <v>3378</v>
      </c>
      <c r="G1343" s="32" t="s">
        <v>5753</v>
      </c>
      <c r="H1343" s="22" t="s">
        <v>6693</v>
      </c>
      <c r="I1343" s="22" t="s">
        <v>3363</v>
      </c>
    </row>
    <row r="1344" customFormat="false" ht="15" hidden="false" customHeight="true" outlineLevel="0" collapsed="false">
      <c r="A1344" s="24" t="s">
        <v>1848</v>
      </c>
      <c r="B1344" s="32" t="s">
        <v>6694</v>
      </c>
      <c r="C1344" s="22" t="s">
        <v>6695</v>
      </c>
      <c r="D1344" s="32" t="s">
        <v>6689</v>
      </c>
      <c r="E1344" s="22" t="s">
        <v>3389</v>
      </c>
      <c r="F1344" s="22" t="s">
        <v>3378</v>
      </c>
      <c r="G1344" s="32" t="s">
        <v>5943</v>
      </c>
      <c r="H1344" s="22"/>
      <c r="I1344" s="22" t="s">
        <v>3363</v>
      </c>
    </row>
    <row r="1345" customFormat="false" ht="15" hidden="false" customHeight="true" outlineLevel="0" collapsed="false">
      <c r="A1345" s="24" t="s">
        <v>1848</v>
      </c>
      <c r="B1345" s="32" t="s">
        <v>6696</v>
      </c>
      <c r="C1345" s="22" t="s">
        <v>6697</v>
      </c>
      <c r="D1345" s="32" t="s">
        <v>6689</v>
      </c>
      <c r="E1345" s="22" t="s">
        <v>3394</v>
      </c>
      <c r="F1345" s="22" t="s">
        <v>3378</v>
      </c>
      <c r="G1345" s="32" t="s">
        <v>5753</v>
      </c>
      <c r="H1345" s="22"/>
      <c r="I1345" s="22" t="s">
        <v>3363</v>
      </c>
    </row>
    <row r="1346" customFormat="false" ht="24.75" hidden="false" customHeight="true" outlineLevel="0" collapsed="false">
      <c r="A1346" s="24" t="s">
        <v>1848</v>
      </c>
      <c r="B1346" s="32" t="s">
        <v>6698</v>
      </c>
      <c r="C1346" s="22" t="s">
        <v>6699</v>
      </c>
      <c r="D1346" s="32" t="s">
        <v>6689</v>
      </c>
      <c r="E1346" s="22" t="s">
        <v>3389</v>
      </c>
      <c r="F1346" s="22" t="s">
        <v>3378</v>
      </c>
      <c r="G1346" s="32" t="s">
        <v>5943</v>
      </c>
      <c r="H1346" s="22"/>
      <c r="I1346" s="22" t="s">
        <v>3363</v>
      </c>
    </row>
    <row r="1347" customFormat="false" ht="49.5" hidden="false" customHeight="true" outlineLevel="0" collapsed="false">
      <c r="A1347" s="24" t="s">
        <v>1848</v>
      </c>
      <c r="B1347" s="32" t="s">
        <v>6700</v>
      </c>
      <c r="C1347" s="22" t="s">
        <v>6701</v>
      </c>
      <c r="D1347" s="32" t="s">
        <v>6702</v>
      </c>
      <c r="E1347" s="22" t="s">
        <v>3394</v>
      </c>
      <c r="F1347" s="22" t="s">
        <v>3378</v>
      </c>
      <c r="G1347" s="32" t="s">
        <v>5753</v>
      </c>
      <c r="H1347" s="22"/>
      <c r="I1347" s="22" t="s">
        <v>3363</v>
      </c>
    </row>
    <row r="1348" customFormat="false" ht="24.75" hidden="false" customHeight="true" outlineLevel="0" collapsed="false">
      <c r="A1348" s="24" t="s">
        <v>1848</v>
      </c>
      <c r="B1348" s="32" t="s">
        <v>6703</v>
      </c>
      <c r="C1348" s="22" t="s">
        <v>6704</v>
      </c>
      <c r="D1348" s="32" t="s">
        <v>6705</v>
      </c>
      <c r="E1348" s="22" t="s">
        <v>3394</v>
      </c>
      <c r="F1348" s="22" t="s">
        <v>3378</v>
      </c>
      <c r="G1348" s="32" t="s">
        <v>5753</v>
      </c>
      <c r="H1348" s="22" t="s">
        <v>6706</v>
      </c>
      <c r="I1348" s="22" t="s">
        <v>3363</v>
      </c>
    </row>
    <row r="1349" customFormat="false" ht="24.75" hidden="false" customHeight="true" outlineLevel="0" collapsed="false">
      <c r="A1349" s="24" t="s">
        <v>1848</v>
      </c>
      <c r="B1349" s="32" t="s">
        <v>6707</v>
      </c>
      <c r="C1349" s="22" t="s">
        <v>6708</v>
      </c>
      <c r="D1349" s="32" t="s">
        <v>6709</v>
      </c>
      <c r="E1349" s="22" t="s">
        <v>3394</v>
      </c>
      <c r="F1349" s="22" t="s">
        <v>3378</v>
      </c>
      <c r="G1349" s="32" t="s">
        <v>5753</v>
      </c>
      <c r="H1349" s="22" t="s">
        <v>6710</v>
      </c>
      <c r="I1349" s="22" t="s">
        <v>3363</v>
      </c>
    </row>
    <row r="1350" customFormat="false" ht="37.5" hidden="false" customHeight="true" outlineLevel="0" collapsed="false">
      <c r="A1350" s="24" t="s">
        <v>1848</v>
      </c>
      <c r="B1350" s="32" t="s">
        <v>6711</v>
      </c>
      <c r="C1350" s="22" t="s">
        <v>6712</v>
      </c>
      <c r="D1350" s="32" t="s">
        <v>6713</v>
      </c>
      <c r="E1350" s="22" t="s">
        <v>3359</v>
      </c>
      <c r="F1350" s="22" t="s">
        <v>3378</v>
      </c>
      <c r="G1350" s="32"/>
      <c r="H1350" s="22"/>
      <c r="I1350" s="22" t="s">
        <v>3363</v>
      </c>
    </row>
    <row r="1351" customFormat="false" ht="24.75" hidden="false" customHeight="true" outlineLevel="0" collapsed="false">
      <c r="A1351" s="24" t="s">
        <v>1848</v>
      </c>
      <c r="B1351" s="32" t="s">
        <v>6714</v>
      </c>
      <c r="C1351" s="22" t="s">
        <v>6715</v>
      </c>
      <c r="D1351" s="32" t="s">
        <v>6713</v>
      </c>
      <c r="E1351" s="22" t="s">
        <v>3394</v>
      </c>
      <c r="F1351" s="22" t="s">
        <v>3378</v>
      </c>
      <c r="G1351" s="32" t="s">
        <v>5753</v>
      </c>
      <c r="H1351" s="22"/>
      <c r="I1351" s="22" t="s">
        <v>3363</v>
      </c>
    </row>
    <row r="1352" customFormat="false" ht="15" hidden="false" customHeight="true" outlineLevel="0" collapsed="false">
      <c r="A1352" s="24" t="s">
        <v>1848</v>
      </c>
      <c r="B1352" s="32" t="s">
        <v>6716</v>
      </c>
      <c r="C1352" s="22" t="s">
        <v>6717</v>
      </c>
      <c r="D1352" s="32" t="s">
        <v>6718</v>
      </c>
      <c r="E1352" s="22" t="s">
        <v>3359</v>
      </c>
      <c r="F1352" s="22" t="s">
        <v>3378</v>
      </c>
      <c r="G1352" s="32" t="s">
        <v>5721</v>
      </c>
      <c r="H1352" s="22"/>
      <c r="I1352" s="22" t="s">
        <v>3363</v>
      </c>
    </row>
    <row r="1353" customFormat="false" ht="15" hidden="false" customHeight="true" outlineLevel="0" collapsed="false">
      <c r="A1353" s="24" t="s">
        <v>1848</v>
      </c>
      <c r="B1353" s="32" t="s">
        <v>6719</v>
      </c>
      <c r="C1353" s="22" t="s">
        <v>6720</v>
      </c>
      <c r="D1353" s="32" t="s">
        <v>6718</v>
      </c>
      <c r="E1353" s="22" t="s">
        <v>3394</v>
      </c>
      <c r="F1353" s="22" t="s">
        <v>3378</v>
      </c>
      <c r="G1353" s="32" t="s">
        <v>5753</v>
      </c>
      <c r="H1353" s="22"/>
      <c r="I1353" s="22" t="s">
        <v>3363</v>
      </c>
    </row>
    <row r="1354" customFormat="false" ht="24.75" hidden="false" customHeight="true" outlineLevel="0" collapsed="false">
      <c r="A1354" s="24" t="s">
        <v>1848</v>
      </c>
      <c r="B1354" s="32" t="s">
        <v>6721</v>
      </c>
      <c r="C1354" s="22" t="s">
        <v>6722</v>
      </c>
      <c r="D1354" s="32" t="s">
        <v>6718</v>
      </c>
      <c r="E1354" s="22" t="s">
        <v>3377</v>
      </c>
      <c r="F1354" s="22" t="s">
        <v>3378</v>
      </c>
      <c r="G1354" s="32" t="s">
        <v>5947</v>
      </c>
      <c r="H1354" s="22"/>
      <c r="I1354" s="22" t="s">
        <v>3363</v>
      </c>
    </row>
    <row r="1355" customFormat="false" ht="15" hidden="false" customHeight="true" outlineLevel="0" collapsed="false">
      <c r="A1355" s="24" t="s">
        <v>1848</v>
      </c>
      <c r="B1355" s="32" t="s">
        <v>6723</v>
      </c>
      <c r="C1355" s="22" t="s">
        <v>6537</v>
      </c>
      <c r="D1355" s="32" t="s">
        <v>6724</v>
      </c>
      <c r="E1355" s="22" t="s">
        <v>3359</v>
      </c>
      <c r="F1355" s="22" t="s">
        <v>3378</v>
      </c>
      <c r="G1355" s="32" t="s">
        <v>5749</v>
      </c>
      <c r="H1355" s="22" t="s">
        <v>6725</v>
      </c>
      <c r="I1355" s="22" t="s">
        <v>3363</v>
      </c>
    </row>
    <row r="1356" customFormat="false" ht="15" hidden="false" customHeight="true" outlineLevel="0" collapsed="false">
      <c r="A1356" s="24" t="s">
        <v>1848</v>
      </c>
      <c r="B1356" s="32" t="s">
        <v>6726</v>
      </c>
      <c r="C1356" s="22" t="s">
        <v>6597</v>
      </c>
      <c r="D1356" s="32" t="s">
        <v>6724</v>
      </c>
      <c r="E1356" s="22" t="s">
        <v>3359</v>
      </c>
      <c r="F1356" s="22" t="s">
        <v>3378</v>
      </c>
      <c r="G1356" s="32"/>
      <c r="H1356" s="22"/>
      <c r="I1356" s="22" t="s">
        <v>3363</v>
      </c>
    </row>
    <row r="1357" customFormat="false" ht="15" hidden="false" customHeight="true" outlineLevel="0" collapsed="false">
      <c r="A1357" s="24" t="s">
        <v>1848</v>
      </c>
      <c r="B1357" s="32" t="s">
        <v>6727</v>
      </c>
      <c r="C1357" s="22" t="s">
        <v>6728</v>
      </c>
      <c r="D1357" s="32" t="s">
        <v>6724</v>
      </c>
      <c r="E1357" s="22" t="s">
        <v>3359</v>
      </c>
      <c r="F1357" s="22" t="s">
        <v>3378</v>
      </c>
      <c r="G1357" s="32"/>
      <c r="H1357" s="22"/>
      <c r="I1357" s="22" t="s">
        <v>3363</v>
      </c>
    </row>
    <row r="1358" customFormat="false" ht="24.75" hidden="false" customHeight="true" outlineLevel="0" collapsed="false">
      <c r="A1358" s="24" t="s">
        <v>1848</v>
      </c>
      <c r="B1358" s="32" t="s">
        <v>6729</v>
      </c>
      <c r="C1358" s="22" t="s">
        <v>6730</v>
      </c>
      <c r="D1358" s="32" t="s">
        <v>6724</v>
      </c>
      <c r="E1358" s="22" t="s">
        <v>3394</v>
      </c>
      <c r="F1358" s="22" t="s">
        <v>3378</v>
      </c>
      <c r="G1358" s="32" t="s">
        <v>5753</v>
      </c>
      <c r="H1358" s="22" t="s">
        <v>6731</v>
      </c>
      <c r="I1358" s="22" t="s">
        <v>3363</v>
      </c>
    </row>
    <row r="1359" customFormat="false" ht="24.75" hidden="false" customHeight="true" outlineLevel="0" collapsed="false">
      <c r="A1359" s="24" t="s">
        <v>1848</v>
      </c>
      <c r="B1359" s="32" t="s">
        <v>6732</v>
      </c>
      <c r="C1359" s="22" t="s">
        <v>6733</v>
      </c>
      <c r="D1359" s="32" t="s">
        <v>6724</v>
      </c>
      <c r="E1359" s="22" t="s">
        <v>3394</v>
      </c>
      <c r="F1359" s="22" t="s">
        <v>3378</v>
      </c>
      <c r="G1359" s="32" t="s">
        <v>5753</v>
      </c>
      <c r="H1359" s="22"/>
      <c r="I1359" s="22" t="s">
        <v>3363</v>
      </c>
    </row>
    <row r="1360" customFormat="false" ht="24.75" hidden="false" customHeight="true" outlineLevel="0" collapsed="false">
      <c r="A1360" s="24" t="s">
        <v>1848</v>
      </c>
      <c r="B1360" s="32" t="s">
        <v>6734</v>
      </c>
      <c r="C1360" s="22" t="s">
        <v>6735</v>
      </c>
      <c r="D1360" s="32" t="s">
        <v>6724</v>
      </c>
      <c r="E1360" s="22" t="s">
        <v>3394</v>
      </c>
      <c r="F1360" s="22" t="s">
        <v>3378</v>
      </c>
      <c r="G1360" s="32" t="s">
        <v>5753</v>
      </c>
      <c r="H1360" s="22"/>
      <c r="I1360" s="22" t="s">
        <v>3363</v>
      </c>
    </row>
    <row r="1361" customFormat="false" ht="24.75" hidden="false" customHeight="true" outlineLevel="0" collapsed="false">
      <c r="A1361" s="24" t="s">
        <v>1848</v>
      </c>
      <c r="B1361" s="32" t="s">
        <v>6736</v>
      </c>
      <c r="C1361" s="22" t="s">
        <v>6737</v>
      </c>
      <c r="D1361" s="32" t="s">
        <v>6724</v>
      </c>
      <c r="E1361" s="22" t="s">
        <v>3394</v>
      </c>
      <c r="F1361" s="22" t="s">
        <v>3378</v>
      </c>
      <c r="G1361" s="32" t="s">
        <v>5753</v>
      </c>
      <c r="H1361" s="22"/>
      <c r="I1361" s="22" t="s">
        <v>3363</v>
      </c>
    </row>
    <row r="1362" customFormat="false" ht="37.5" hidden="false" customHeight="true" outlineLevel="0" collapsed="false">
      <c r="A1362" s="24" t="s">
        <v>1848</v>
      </c>
      <c r="B1362" s="32" t="s">
        <v>6738</v>
      </c>
      <c r="C1362" s="22" t="s">
        <v>6739</v>
      </c>
      <c r="D1362" s="32" t="s">
        <v>6724</v>
      </c>
      <c r="E1362" s="22" t="s">
        <v>3394</v>
      </c>
      <c r="F1362" s="22" t="s">
        <v>3378</v>
      </c>
      <c r="G1362" s="32" t="s">
        <v>5753</v>
      </c>
      <c r="H1362" s="22"/>
      <c r="I1362" s="22" t="s">
        <v>3363</v>
      </c>
    </row>
    <row r="1363" customFormat="false" ht="24.75" hidden="false" customHeight="true" outlineLevel="0" collapsed="false">
      <c r="A1363" s="24" t="s">
        <v>1848</v>
      </c>
      <c r="B1363" s="32" t="s">
        <v>6740</v>
      </c>
      <c r="C1363" s="22" t="s">
        <v>6741</v>
      </c>
      <c r="D1363" s="32" t="s">
        <v>6724</v>
      </c>
      <c r="E1363" s="22" t="s">
        <v>3394</v>
      </c>
      <c r="F1363" s="22" t="s">
        <v>3378</v>
      </c>
      <c r="G1363" s="32" t="s">
        <v>5753</v>
      </c>
      <c r="H1363" s="22"/>
      <c r="I1363" s="22" t="s">
        <v>3363</v>
      </c>
    </row>
    <row r="1364" customFormat="false" ht="37.5" hidden="false" customHeight="true" outlineLevel="0" collapsed="false">
      <c r="A1364" s="24" t="s">
        <v>1848</v>
      </c>
      <c r="B1364" s="32" t="s">
        <v>6742</v>
      </c>
      <c r="C1364" s="22" t="s">
        <v>6743</v>
      </c>
      <c r="D1364" s="32" t="s">
        <v>6724</v>
      </c>
      <c r="E1364" s="22" t="s">
        <v>3394</v>
      </c>
      <c r="F1364" s="22" t="s">
        <v>3378</v>
      </c>
      <c r="G1364" s="32" t="s">
        <v>5753</v>
      </c>
      <c r="H1364" s="22"/>
      <c r="I1364" s="22" t="s">
        <v>3363</v>
      </c>
    </row>
    <row r="1365" customFormat="false" ht="15" hidden="false" customHeight="true" outlineLevel="0" collapsed="false">
      <c r="A1365" s="24" t="s">
        <v>1848</v>
      </c>
      <c r="B1365" s="32" t="s">
        <v>6744</v>
      </c>
      <c r="C1365" s="22" t="s">
        <v>6745</v>
      </c>
      <c r="D1365" s="32" t="s">
        <v>6746</v>
      </c>
      <c r="E1365" s="22" t="s">
        <v>3359</v>
      </c>
      <c r="F1365" s="22" t="s">
        <v>3378</v>
      </c>
      <c r="G1365" s="32" t="s">
        <v>6747</v>
      </c>
      <c r="H1365" s="22"/>
      <c r="I1365" s="22" t="s">
        <v>3363</v>
      </c>
    </row>
    <row r="1366" customFormat="false" ht="15" hidden="false" customHeight="true" outlineLevel="0" collapsed="false">
      <c r="A1366" s="24" t="s">
        <v>1848</v>
      </c>
      <c r="B1366" s="32" t="s">
        <v>6748</v>
      </c>
      <c r="C1366" s="22" t="s">
        <v>6749</v>
      </c>
      <c r="D1366" s="32" t="s">
        <v>6746</v>
      </c>
      <c r="E1366" s="22" t="s">
        <v>3389</v>
      </c>
      <c r="F1366" s="22" t="s">
        <v>3378</v>
      </c>
      <c r="G1366" s="32" t="s">
        <v>5943</v>
      </c>
      <c r="H1366" s="22"/>
      <c r="I1366" s="22" t="s">
        <v>3363</v>
      </c>
    </row>
    <row r="1367" customFormat="false" ht="15" hidden="false" customHeight="true" outlineLevel="0" collapsed="false">
      <c r="A1367" s="24" t="s">
        <v>1848</v>
      </c>
      <c r="B1367" s="32" t="s">
        <v>6750</v>
      </c>
      <c r="C1367" s="22" t="s">
        <v>6751</v>
      </c>
      <c r="D1367" s="32" t="s">
        <v>6746</v>
      </c>
      <c r="E1367" s="22" t="s">
        <v>3389</v>
      </c>
      <c r="F1367" s="22" t="s">
        <v>3378</v>
      </c>
      <c r="G1367" s="32" t="s">
        <v>5943</v>
      </c>
      <c r="H1367" s="22"/>
      <c r="I1367" s="22" t="s">
        <v>3363</v>
      </c>
    </row>
    <row r="1368" customFormat="false" ht="37.5" hidden="false" customHeight="true" outlineLevel="0" collapsed="false">
      <c r="A1368" s="24" t="s">
        <v>1848</v>
      </c>
      <c r="B1368" s="32" t="s">
        <v>6752</v>
      </c>
      <c r="C1368" s="22" t="s">
        <v>6753</v>
      </c>
      <c r="D1368" s="32" t="s">
        <v>6746</v>
      </c>
      <c r="E1368" s="22" t="s">
        <v>3377</v>
      </c>
      <c r="F1368" s="22" t="s">
        <v>3378</v>
      </c>
      <c r="G1368" s="32" t="s">
        <v>5947</v>
      </c>
      <c r="H1368" s="22"/>
      <c r="I1368" s="22" t="s">
        <v>3363</v>
      </c>
    </row>
    <row r="1369" customFormat="false" ht="24.75" hidden="false" customHeight="true" outlineLevel="0" collapsed="false">
      <c r="A1369" s="24" t="s">
        <v>1848</v>
      </c>
      <c r="B1369" s="32" t="s">
        <v>6754</v>
      </c>
      <c r="C1369" s="22" t="s">
        <v>6755</v>
      </c>
      <c r="D1369" s="32" t="s">
        <v>6756</v>
      </c>
      <c r="E1369" s="22" t="s">
        <v>3394</v>
      </c>
      <c r="F1369" s="22" t="s">
        <v>3378</v>
      </c>
      <c r="G1369" s="32" t="s">
        <v>5753</v>
      </c>
      <c r="H1369" s="22" t="s">
        <v>6757</v>
      </c>
      <c r="I1369" s="22" t="s">
        <v>3363</v>
      </c>
    </row>
    <row r="1370" customFormat="false" ht="24.75" hidden="false" customHeight="true" outlineLevel="0" collapsed="false">
      <c r="A1370" s="24" t="s">
        <v>1848</v>
      </c>
      <c r="B1370" s="32" t="s">
        <v>6758</v>
      </c>
      <c r="C1370" s="22" t="s">
        <v>6759</v>
      </c>
      <c r="D1370" s="32" t="s">
        <v>6756</v>
      </c>
      <c r="E1370" s="22" t="s">
        <v>3394</v>
      </c>
      <c r="F1370" s="22" t="s">
        <v>3378</v>
      </c>
      <c r="G1370" s="32" t="s">
        <v>5753</v>
      </c>
      <c r="H1370" s="22"/>
      <c r="I1370" s="22" t="s">
        <v>3363</v>
      </c>
    </row>
    <row r="1371" customFormat="false" ht="24.75" hidden="false" customHeight="true" outlineLevel="0" collapsed="false">
      <c r="A1371" s="24" t="s">
        <v>1848</v>
      </c>
      <c r="B1371" s="32" t="s">
        <v>6760</v>
      </c>
      <c r="C1371" s="22" t="s">
        <v>6761</v>
      </c>
      <c r="D1371" s="32" t="s">
        <v>6762</v>
      </c>
      <c r="E1371" s="22" t="s">
        <v>3394</v>
      </c>
      <c r="F1371" s="22" t="s">
        <v>3378</v>
      </c>
      <c r="G1371" s="32" t="s">
        <v>5753</v>
      </c>
      <c r="H1371" s="22"/>
      <c r="I1371" s="22" t="s">
        <v>3363</v>
      </c>
    </row>
    <row r="1372" customFormat="false" ht="24.75" hidden="false" customHeight="true" outlineLevel="0" collapsed="false">
      <c r="A1372" s="24" t="s">
        <v>1848</v>
      </c>
      <c r="B1372" s="32" t="s">
        <v>6763</v>
      </c>
      <c r="C1372" s="22" t="s">
        <v>6764</v>
      </c>
      <c r="D1372" s="32" t="s">
        <v>6765</v>
      </c>
      <c r="E1372" s="22" t="s">
        <v>3394</v>
      </c>
      <c r="F1372" s="22" t="s">
        <v>3378</v>
      </c>
      <c r="G1372" s="32" t="s">
        <v>5753</v>
      </c>
      <c r="H1372" s="22"/>
      <c r="I1372" s="22" t="s">
        <v>3363</v>
      </c>
    </row>
    <row r="1373" customFormat="false" ht="24.75" hidden="false" customHeight="true" outlineLevel="0" collapsed="false">
      <c r="A1373" s="24" t="s">
        <v>1848</v>
      </c>
      <c r="B1373" s="32" t="s">
        <v>6766</v>
      </c>
      <c r="C1373" s="22" t="s">
        <v>6767</v>
      </c>
      <c r="D1373" s="32" t="s">
        <v>6768</v>
      </c>
      <c r="E1373" s="22" t="s">
        <v>3394</v>
      </c>
      <c r="F1373" s="22" t="s">
        <v>3378</v>
      </c>
      <c r="G1373" s="32" t="s">
        <v>5753</v>
      </c>
      <c r="H1373" s="22"/>
      <c r="I1373" s="22" t="s">
        <v>3363</v>
      </c>
    </row>
    <row r="1374" customFormat="false" ht="24.75" hidden="false" customHeight="true" outlineLevel="0" collapsed="false">
      <c r="A1374" s="24" t="s">
        <v>1848</v>
      </c>
      <c r="B1374" s="32" t="s">
        <v>6769</v>
      </c>
      <c r="C1374" s="22" t="s">
        <v>6770</v>
      </c>
      <c r="D1374" s="32" t="s">
        <v>6771</v>
      </c>
      <c r="E1374" s="22" t="s">
        <v>3394</v>
      </c>
      <c r="F1374" s="22" t="s">
        <v>3378</v>
      </c>
      <c r="G1374" s="32" t="s">
        <v>5753</v>
      </c>
      <c r="H1374" s="22"/>
      <c r="I1374" s="22" t="s">
        <v>3363</v>
      </c>
    </row>
    <row r="1375" customFormat="false" ht="24.75" hidden="false" customHeight="true" outlineLevel="0" collapsed="false">
      <c r="A1375" s="24" t="s">
        <v>1848</v>
      </c>
      <c r="B1375" s="32" t="s">
        <v>6772</v>
      </c>
      <c r="C1375" s="22" t="s">
        <v>6773</v>
      </c>
      <c r="D1375" s="32" t="s">
        <v>6774</v>
      </c>
      <c r="E1375" s="22" t="s">
        <v>3394</v>
      </c>
      <c r="F1375" s="22" t="s">
        <v>3378</v>
      </c>
      <c r="G1375" s="32" t="s">
        <v>5753</v>
      </c>
      <c r="H1375" s="22"/>
      <c r="I1375" s="22" t="s">
        <v>3363</v>
      </c>
    </row>
    <row r="1376" customFormat="false" ht="24.75" hidden="false" customHeight="true" outlineLevel="0" collapsed="false">
      <c r="A1376" s="24" t="s">
        <v>1848</v>
      </c>
      <c r="B1376" s="32" t="s">
        <v>6775</v>
      </c>
      <c r="C1376" s="22" t="s">
        <v>6776</v>
      </c>
      <c r="D1376" s="32" t="s">
        <v>6777</v>
      </c>
      <c r="E1376" s="22" t="s">
        <v>3394</v>
      </c>
      <c r="F1376" s="22" t="s">
        <v>3378</v>
      </c>
      <c r="G1376" s="32" t="s">
        <v>5753</v>
      </c>
      <c r="H1376" s="22" t="s">
        <v>6778</v>
      </c>
      <c r="I1376" s="22" t="s">
        <v>3363</v>
      </c>
    </row>
    <row r="1377" customFormat="false" ht="15" hidden="false" customHeight="true" outlineLevel="0" collapsed="false">
      <c r="A1377" s="24" t="s">
        <v>1765</v>
      </c>
      <c r="B1377" s="32" t="s">
        <v>5718</v>
      </c>
      <c r="C1377" s="22" t="s">
        <v>5838</v>
      </c>
      <c r="D1377" s="32" t="s">
        <v>5720</v>
      </c>
      <c r="E1377" s="22" t="s">
        <v>3359</v>
      </c>
      <c r="F1377" s="22" t="s">
        <v>3360</v>
      </c>
      <c r="G1377" s="32" t="s">
        <v>5721</v>
      </c>
      <c r="H1377" s="22"/>
      <c r="I1377" s="22" t="s">
        <v>3363</v>
      </c>
    </row>
    <row r="1378" customFormat="false" ht="15" hidden="false" customHeight="true" outlineLevel="0" collapsed="false">
      <c r="A1378" s="24" t="s">
        <v>1765</v>
      </c>
      <c r="B1378" s="32" t="s">
        <v>5729</v>
      </c>
      <c r="C1378" s="22" t="s">
        <v>6074</v>
      </c>
      <c r="D1378" s="32" t="s">
        <v>5720</v>
      </c>
      <c r="E1378" s="22" t="s">
        <v>3359</v>
      </c>
      <c r="F1378" s="22" t="s">
        <v>3360</v>
      </c>
      <c r="G1378" s="32" t="s">
        <v>5727</v>
      </c>
      <c r="H1378" s="22"/>
      <c r="I1378" s="22" t="s">
        <v>3363</v>
      </c>
    </row>
    <row r="1379" customFormat="false" ht="24.75" hidden="false" customHeight="true" outlineLevel="0" collapsed="false">
      <c r="A1379" s="24" t="s">
        <v>1765</v>
      </c>
      <c r="B1379" s="32" t="s">
        <v>6539</v>
      </c>
      <c r="C1379" s="22" t="s">
        <v>6540</v>
      </c>
      <c r="D1379" s="32" t="s">
        <v>5720</v>
      </c>
      <c r="E1379" s="22" t="s">
        <v>3377</v>
      </c>
      <c r="F1379" s="22" t="s">
        <v>3360</v>
      </c>
      <c r="G1379" s="32" t="s">
        <v>6779</v>
      </c>
      <c r="H1379" s="22"/>
      <c r="I1379" s="22" t="s">
        <v>3363</v>
      </c>
    </row>
    <row r="1380" customFormat="false" ht="37.5" hidden="false" customHeight="true" outlineLevel="0" collapsed="false">
      <c r="A1380" s="24" t="s">
        <v>1765</v>
      </c>
      <c r="B1380" s="32" t="s">
        <v>6182</v>
      </c>
      <c r="C1380" s="22" t="s">
        <v>6543</v>
      </c>
      <c r="D1380" s="32" t="s">
        <v>5720</v>
      </c>
      <c r="E1380" s="22" t="s">
        <v>3377</v>
      </c>
      <c r="F1380" s="22" t="s">
        <v>3360</v>
      </c>
      <c r="G1380" s="32" t="s">
        <v>6780</v>
      </c>
      <c r="H1380" s="22"/>
      <c r="I1380" s="22" t="s">
        <v>3363</v>
      </c>
    </row>
    <row r="1381" customFormat="false" ht="15" hidden="false" customHeight="true" outlineLevel="0" collapsed="false">
      <c r="A1381" s="24" t="s">
        <v>1765</v>
      </c>
      <c r="B1381" s="32" t="s">
        <v>6549</v>
      </c>
      <c r="C1381" s="22" t="s">
        <v>6550</v>
      </c>
      <c r="D1381" s="32" t="s">
        <v>5911</v>
      </c>
      <c r="E1381" s="22" t="s">
        <v>3394</v>
      </c>
      <c r="F1381" s="22" t="s">
        <v>3360</v>
      </c>
      <c r="G1381" s="32" t="s">
        <v>6551</v>
      </c>
      <c r="H1381" s="22"/>
      <c r="I1381" s="22" t="s">
        <v>3363</v>
      </c>
    </row>
    <row r="1382" customFormat="false" ht="15" hidden="false" customHeight="true" outlineLevel="0" collapsed="false">
      <c r="A1382" s="24" t="s">
        <v>1765</v>
      </c>
      <c r="B1382" s="32" t="s">
        <v>6552</v>
      </c>
      <c r="C1382" s="22" t="s">
        <v>5986</v>
      </c>
      <c r="D1382" s="32" t="s">
        <v>5911</v>
      </c>
      <c r="E1382" s="22" t="s">
        <v>3394</v>
      </c>
      <c r="F1382" s="22" t="s">
        <v>3378</v>
      </c>
      <c r="G1382" s="32" t="s">
        <v>6551</v>
      </c>
      <c r="H1382" s="22"/>
      <c r="I1382" s="22" t="s">
        <v>3363</v>
      </c>
    </row>
    <row r="1383" customFormat="false" ht="15" hidden="false" customHeight="true" outlineLevel="0" collapsed="false">
      <c r="A1383" s="24" t="s">
        <v>1765</v>
      </c>
      <c r="B1383" s="32" t="s">
        <v>5563</v>
      </c>
      <c r="C1383" s="22" t="s">
        <v>3495</v>
      </c>
      <c r="D1383" s="32" t="s">
        <v>5911</v>
      </c>
      <c r="E1383" s="22" t="s">
        <v>3394</v>
      </c>
      <c r="F1383" s="22" t="s">
        <v>3378</v>
      </c>
      <c r="G1383" s="32" t="s">
        <v>6551</v>
      </c>
      <c r="H1383" s="22"/>
      <c r="I1383" s="22" t="s">
        <v>3363</v>
      </c>
    </row>
    <row r="1384" customFormat="false" ht="15" hidden="false" customHeight="true" outlineLevel="0" collapsed="false">
      <c r="A1384" s="24" t="s">
        <v>1765</v>
      </c>
      <c r="B1384" s="32" t="s">
        <v>6553</v>
      </c>
      <c r="C1384" s="22" t="s">
        <v>5815</v>
      </c>
      <c r="D1384" s="32" t="s">
        <v>5911</v>
      </c>
      <c r="E1384" s="22" t="s">
        <v>3394</v>
      </c>
      <c r="F1384" s="22" t="s">
        <v>3378</v>
      </c>
      <c r="G1384" s="32" t="s">
        <v>6551</v>
      </c>
      <c r="H1384" s="22"/>
      <c r="I1384" s="22" t="s">
        <v>3363</v>
      </c>
    </row>
    <row r="1385" customFormat="false" ht="15" hidden="false" customHeight="true" outlineLevel="0" collapsed="false">
      <c r="A1385" s="24" t="s">
        <v>1765</v>
      </c>
      <c r="B1385" s="32" t="s">
        <v>6555</v>
      </c>
      <c r="C1385" s="22" t="s">
        <v>6556</v>
      </c>
      <c r="D1385" s="32" t="s">
        <v>5911</v>
      </c>
      <c r="E1385" s="22" t="s">
        <v>3394</v>
      </c>
      <c r="F1385" s="22" t="s">
        <v>3378</v>
      </c>
      <c r="G1385" s="32" t="s">
        <v>6551</v>
      </c>
      <c r="H1385" s="22"/>
      <c r="I1385" s="22" t="s">
        <v>3363</v>
      </c>
    </row>
    <row r="1386" customFormat="false" ht="15" hidden="false" customHeight="true" outlineLevel="0" collapsed="false">
      <c r="A1386" s="24" t="s">
        <v>1765</v>
      </c>
      <c r="B1386" s="32" t="s">
        <v>6559</v>
      </c>
      <c r="C1386" s="22" t="s">
        <v>6781</v>
      </c>
      <c r="D1386" s="32" t="s">
        <v>5911</v>
      </c>
      <c r="E1386" s="22" t="s">
        <v>3394</v>
      </c>
      <c r="F1386" s="22" t="s">
        <v>3378</v>
      </c>
      <c r="G1386" s="32" t="s">
        <v>6551</v>
      </c>
      <c r="H1386" s="22"/>
      <c r="I1386" s="22" t="s">
        <v>3363</v>
      </c>
    </row>
    <row r="1387" customFormat="false" ht="15" hidden="false" customHeight="true" outlineLevel="0" collapsed="false">
      <c r="A1387" s="24" t="s">
        <v>1765</v>
      </c>
      <c r="B1387" s="32" t="s">
        <v>6561</v>
      </c>
      <c r="C1387" s="22" t="s">
        <v>6562</v>
      </c>
      <c r="D1387" s="32" t="s">
        <v>5911</v>
      </c>
      <c r="E1387" s="22" t="s">
        <v>3394</v>
      </c>
      <c r="F1387" s="22" t="s">
        <v>3360</v>
      </c>
      <c r="G1387" s="32" t="s">
        <v>6782</v>
      </c>
      <c r="H1387" s="22"/>
      <c r="I1387" s="22" t="s">
        <v>3363</v>
      </c>
    </row>
    <row r="1388" customFormat="false" ht="15" hidden="false" customHeight="true" outlineLevel="0" collapsed="false">
      <c r="A1388" s="24" t="s">
        <v>1765</v>
      </c>
      <c r="B1388" s="32" t="s">
        <v>6169</v>
      </c>
      <c r="C1388" s="22" t="s">
        <v>6012</v>
      </c>
      <c r="D1388" s="32" t="s">
        <v>6564</v>
      </c>
      <c r="E1388" s="22" t="s">
        <v>3359</v>
      </c>
      <c r="F1388" s="22" t="s">
        <v>3360</v>
      </c>
      <c r="G1388" s="32" t="s">
        <v>5896</v>
      </c>
      <c r="H1388" s="22"/>
      <c r="I1388" s="22" t="s">
        <v>3363</v>
      </c>
    </row>
    <row r="1389" customFormat="false" ht="24.75" hidden="false" customHeight="true" outlineLevel="0" collapsed="false">
      <c r="A1389" s="24" t="s">
        <v>1765</v>
      </c>
      <c r="B1389" s="32" t="s">
        <v>6566</v>
      </c>
      <c r="C1389" s="22" t="s">
        <v>6016</v>
      </c>
      <c r="D1389" s="32" t="s">
        <v>6564</v>
      </c>
      <c r="E1389" s="22" t="s">
        <v>3389</v>
      </c>
      <c r="F1389" s="22" t="s">
        <v>3360</v>
      </c>
      <c r="G1389" s="32" t="s">
        <v>5779</v>
      </c>
      <c r="H1389" s="22" t="s">
        <v>6783</v>
      </c>
      <c r="I1389" s="22" t="s">
        <v>3363</v>
      </c>
    </row>
    <row r="1390" customFormat="false" ht="24.75" hidden="false" customHeight="true" outlineLevel="0" collapsed="false">
      <c r="A1390" s="24" t="s">
        <v>1765</v>
      </c>
      <c r="B1390" s="32" t="s">
        <v>6174</v>
      </c>
      <c r="C1390" s="22" t="s">
        <v>6784</v>
      </c>
      <c r="D1390" s="32" t="s">
        <v>6564</v>
      </c>
      <c r="E1390" s="22" t="s">
        <v>3359</v>
      </c>
      <c r="F1390" s="22" t="s">
        <v>3360</v>
      </c>
      <c r="G1390" s="32" t="s">
        <v>5902</v>
      </c>
      <c r="H1390" s="22"/>
      <c r="I1390" s="22" t="s">
        <v>3363</v>
      </c>
    </row>
    <row r="1391" customFormat="false" ht="15" hidden="false" customHeight="true" outlineLevel="0" collapsed="false">
      <c r="A1391" s="24" t="s">
        <v>1765</v>
      </c>
      <c r="B1391" s="32" t="s">
        <v>5537</v>
      </c>
      <c r="C1391" s="22" t="s">
        <v>6668</v>
      </c>
      <c r="D1391" s="32" t="s">
        <v>6564</v>
      </c>
      <c r="E1391" s="22" t="s">
        <v>3359</v>
      </c>
      <c r="F1391" s="22" t="s">
        <v>3360</v>
      </c>
      <c r="G1391" s="32" t="s">
        <v>6785</v>
      </c>
      <c r="H1391" s="22" t="s">
        <v>6786</v>
      </c>
      <c r="I1391" s="22" t="s">
        <v>3363</v>
      </c>
    </row>
    <row r="1392" customFormat="false" ht="15" hidden="false" customHeight="true" outlineLevel="0" collapsed="false">
      <c r="A1392" s="24" t="s">
        <v>1765</v>
      </c>
      <c r="B1392" s="32" t="s">
        <v>6573</v>
      </c>
      <c r="C1392" s="22" t="s">
        <v>6574</v>
      </c>
      <c r="D1392" s="32" t="s">
        <v>6564</v>
      </c>
      <c r="E1392" s="22" t="s">
        <v>3359</v>
      </c>
      <c r="F1392" s="22" t="s">
        <v>3378</v>
      </c>
      <c r="G1392" s="32"/>
      <c r="H1392" s="22" t="s">
        <v>6787</v>
      </c>
      <c r="I1392" s="22" t="s">
        <v>3363</v>
      </c>
    </row>
    <row r="1393" customFormat="false" ht="15" hidden="false" customHeight="true" outlineLevel="0" collapsed="false">
      <c r="A1393" s="24" t="s">
        <v>1563</v>
      </c>
      <c r="B1393" s="32" t="s">
        <v>6788</v>
      </c>
      <c r="C1393" s="22" t="s">
        <v>6789</v>
      </c>
      <c r="D1393" s="32" t="s">
        <v>5720</v>
      </c>
      <c r="E1393" s="22" t="s">
        <v>3359</v>
      </c>
      <c r="F1393" s="22" t="s">
        <v>3360</v>
      </c>
      <c r="G1393" s="32" t="s">
        <v>6790</v>
      </c>
      <c r="H1393" s="22"/>
      <c r="I1393" s="22" t="s">
        <v>3363</v>
      </c>
    </row>
    <row r="1394" customFormat="false" ht="15" hidden="false" customHeight="true" outlineLevel="0" collapsed="false">
      <c r="A1394" s="24" t="s">
        <v>1563</v>
      </c>
      <c r="B1394" s="32" t="s">
        <v>6791</v>
      </c>
      <c r="C1394" s="22" t="s">
        <v>6792</v>
      </c>
      <c r="D1394" s="32" t="s">
        <v>6793</v>
      </c>
      <c r="E1394" s="22" t="s">
        <v>3359</v>
      </c>
      <c r="F1394" s="22" t="s">
        <v>3360</v>
      </c>
      <c r="G1394" s="32"/>
      <c r="H1394" s="22"/>
      <c r="I1394" s="22" t="s">
        <v>3363</v>
      </c>
    </row>
    <row r="1395" customFormat="false" ht="15" hidden="false" customHeight="true" outlineLevel="0" collapsed="false">
      <c r="A1395" s="24" t="s">
        <v>1563</v>
      </c>
      <c r="B1395" s="32" t="s">
        <v>6072</v>
      </c>
      <c r="C1395" s="22" t="s">
        <v>6794</v>
      </c>
      <c r="D1395" s="32" t="s">
        <v>6793</v>
      </c>
      <c r="E1395" s="22" t="s">
        <v>3359</v>
      </c>
      <c r="F1395" s="22" t="s">
        <v>3360</v>
      </c>
      <c r="G1395" s="32"/>
      <c r="H1395" s="22"/>
      <c r="I1395" s="22" t="s">
        <v>3363</v>
      </c>
    </row>
    <row r="1396" customFormat="false" ht="15" hidden="false" customHeight="true" outlineLevel="0" collapsed="false">
      <c r="A1396" s="24" t="s">
        <v>1563</v>
      </c>
      <c r="B1396" s="32" t="s">
        <v>5718</v>
      </c>
      <c r="C1396" s="22" t="s">
        <v>5838</v>
      </c>
      <c r="D1396" s="32" t="s">
        <v>6793</v>
      </c>
      <c r="E1396" s="22" t="s">
        <v>3359</v>
      </c>
      <c r="F1396" s="22" t="s">
        <v>3378</v>
      </c>
      <c r="G1396" s="32" t="s">
        <v>5721</v>
      </c>
      <c r="H1396" s="22" t="s">
        <v>6795</v>
      </c>
      <c r="I1396" s="22" t="s">
        <v>3363</v>
      </c>
    </row>
    <row r="1397" customFormat="false" ht="15" hidden="false" customHeight="true" outlineLevel="0" collapsed="false">
      <c r="A1397" s="24" t="s">
        <v>1563</v>
      </c>
      <c r="B1397" s="32" t="s">
        <v>6796</v>
      </c>
      <c r="C1397" s="22" t="s">
        <v>6797</v>
      </c>
      <c r="D1397" s="32" t="s">
        <v>6793</v>
      </c>
      <c r="E1397" s="22" t="s">
        <v>3359</v>
      </c>
      <c r="F1397" s="22" t="s">
        <v>3378</v>
      </c>
      <c r="G1397" s="32" t="s">
        <v>6798</v>
      </c>
      <c r="H1397" s="22" t="s">
        <v>6799</v>
      </c>
      <c r="I1397" s="22" t="s">
        <v>3363</v>
      </c>
    </row>
    <row r="1398" customFormat="false" ht="15" hidden="false" customHeight="true" outlineLevel="0" collapsed="false">
      <c r="A1398" s="24" t="s">
        <v>1563</v>
      </c>
      <c r="B1398" s="32" t="s">
        <v>6800</v>
      </c>
      <c r="C1398" s="22" t="s">
        <v>6801</v>
      </c>
      <c r="D1398" s="32" t="s">
        <v>6793</v>
      </c>
      <c r="E1398" s="22" t="s">
        <v>3359</v>
      </c>
      <c r="F1398" s="22" t="s">
        <v>3378</v>
      </c>
      <c r="G1398" s="32" t="s">
        <v>6802</v>
      </c>
      <c r="H1398" s="22" t="s">
        <v>6803</v>
      </c>
      <c r="I1398" s="22" t="s">
        <v>3363</v>
      </c>
    </row>
    <row r="1399" customFormat="false" ht="15" hidden="false" customHeight="true" outlineLevel="0" collapsed="false">
      <c r="A1399" s="24" t="s">
        <v>1563</v>
      </c>
      <c r="B1399" s="32" t="s">
        <v>6804</v>
      </c>
      <c r="C1399" s="22" t="s">
        <v>6805</v>
      </c>
      <c r="D1399" s="32" t="s">
        <v>6793</v>
      </c>
      <c r="E1399" s="22" t="s">
        <v>3389</v>
      </c>
      <c r="F1399" s="22" t="s">
        <v>3360</v>
      </c>
      <c r="G1399" s="32" t="s">
        <v>5943</v>
      </c>
      <c r="H1399" s="22"/>
      <c r="I1399" s="22" t="s">
        <v>3363</v>
      </c>
    </row>
    <row r="1400" customFormat="false" ht="15" hidden="false" customHeight="true" outlineLevel="0" collapsed="false">
      <c r="A1400" s="24" t="s">
        <v>1563</v>
      </c>
      <c r="B1400" s="32" t="s">
        <v>6806</v>
      </c>
      <c r="C1400" s="22" t="s">
        <v>6807</v>
      </c>
      <c r="D1400" s="32" t="s">
        <v>6793</v>
      </c>
      <c r="E1400" s="22" t="s">
        <v>3389</v>
      </c>
      <c r="F1400" s="22" t="s">
        <v>3378</v>
      </c>
      <c r="G1400" s="32" t="s">
        <v>5943</v>
      </c>
      <c r="H1400" s="22"/>
      <c r="I1400" s="22" t="s">
        <v>3363</v>
      </c>
    </row>
    <row r="1401" customFormat="false" ht="15" hidden="false" customHeight="true" outlineLevel="0" collapsed="false">
      <c r="A1401" s="24" t="s">
        <v>1563</v>
      </c>
      <c r="B1401" s="32" t="s">
        <v>6808</v>
      </c>
      <c r="C1401" s="22" t="s">
        <v>6809</v>
      </c>
      <c r="D1401" s="32" t="s">
        <v>6793</v>
      </c>
      <c r="E1401" s="22" t="s">
        <v>3359</v>
      </c>
      <c r="F1401" s="22" t="s">
        <v>3360</v>
      </c>
      <c r="G1401" s="32" t="s">
        <v>6810</v>
      </c>
      <c r="H1401" s="22" t="s">
        <v>6811</v>
      </c>
      <c r="I1401" s="22" t="s">
        <v>3363</v>
      </c>
    </row>
    <row r="1402" customFormat="false" ht="15" hidden="false" customHeight="true" outlineLevel="0" collapsed="false">
      <c r="A1402" s="24" t="s">
        <v>1563</v>
      </c>
      <c r="B1402" s="32" t="s">
        <v>6812</v>
      </c>
      <c r="C1402" s="22" t="s">
        <v>6813</v>
      </c>
      <c r="D1402" s="32" t="s">
        <v>6814</v>
      </c>
      <c r="E1402" s="22" t="s">
        <v>3437</v>
      </c>
      <c r="F1402" s="22" t="s">
        <v>3360</v>
      </c>
      <c r="G1402" s="32" t="s">
        <v>6815</v>
      </c>
      <c r="H1402" s="22"/>
      <c r="I1402" s="22" t="s">
        <v>3363</v>
      </c>
    </row>
    <row r="1403" customFormat="false" ht="15" hidden="false" customHeight="true" outlineLevel="0" collapsed="false">
      <c r="A1403" s="24" t="s">
        <v>1563</v>
      </c>
      <c r="B1403" s="32" t="s">
        <v>6816</v>
      </c>
      <c r="C1403" s="22" t="s">
        <v>6817</v>
      </c>
      <c r="D1403" s="32" t="s">
        <v>6814</v>
      </c>
      <c r="E1403" s="22" t="s">
        <v>3394</v>
      </c>
      <c r="F1403" s="22" t="s">
        <v>3360</v>
      </c>
      <c r="G1403" s="32" t="s">
        <v>6818</v>
      </c>
      <c r="H1403" s="22"/>
      <c r="I1403" s="22" t="s">
        <v>3363</v>
      </c>
    </row>
    <row r="1404" customFormat="false" ht="15" hidden="false" customHeight="true" outlineLevel="0" collapsed="false">
      <c r="A1404" s="24" t="s">
        <v>1563</v>
      </c>
      <c r="B1404" s="32" t="s">
        <v>6819</v>
      </c>
      <c r="C1404" s="22" t="s">
        <v>6820</v>
      </c>
      <c r="D1404" s="32" t="s">
        <v>6814</v>
      </c>
      <c r="E1404" s="22" t="s">
        <v>3394</v>
      </c>
      <c r="F1404" s="22" t="s">
        <v>3378</v>
      </c>
      <c r="G1404" s="32" t="s">
        <v>3749</v>
      </c>
      <c r="H1404" s="22" t="s">
        <v>6821</v>
      </c>
      <c r="I1404" s="22" t="s">
        <v>3363</v>
      </c>
    </row>
    <row r="1405" customFormat="false" ht="15" hidden="false" customHeight="true" outlineLevel="0" collapsed="false">
      <c r="A1405" s="24" t="s">
        <v>1563</v>
      </c>
      <c r="B1405" s="32" t="s">
        <v>6822</v>
      </c>
      <c r="C1405" s="22" t="s">
        <v>6823</v>
      </c>
      <c r="D1405" s="32" t="s">
        <v>6824</v>
      </c>
      <c r="E1405" s="22" t="s">
        <v>3394</v>
      </c>
      <c r="F1405" s="22" t="s">
        <v>3360</v>
      </c>
      <c r="G1405" s="32" t="s">
        <v>5753</v>
      </c>
      <c r="H1405" s="22"/>
      <c r="I1405" s="22" t="s">
        <v>3363</v>
      </c>
    </row>
    <row r="1406" customFormat="false" ht="15" hidden="false" customHeight="true" outlineLevel="0" collapsed="false">
      <c r="A1406" s="24" t="s">
        <v>1563</v>
      </c>
      <c r="B1406" s="32" t="s">
        <v>6825</v>
      </c>
      <c r="C1406" s="22" t="s">
        <v>6826</v>
      </c>
      <c r="D1406" s="32" t="s">
        <v>6824</v>
      </c>
      <c r="E1406" s="22" t="s">
        <v>3394</v>
      </c>
      <c r="F1406" s="22" t="s">
        <v>3378</v>
      </c>
      <c r="G1406" s="32" t="s">
        <v>5753</v>
      </c>
      <c r="H1406" s="22"/>
      <c r="I1406" s="22" t="s">
        <v>3363</v>
      </c>
    </row>
    <row r="1407" customFormat="false" ht="15" hidden="false" customHeight="true" outlineLevel="0" collapsed="false">
      <c r="A1407" s="24" t="s">
        <v>1563</v>
      </c>
      <c r="B1407" s="32" t="s">
        <v>6827</v>
      </c>
      <c r="C1407" s="22" t="s">
        <v>6828</v>
      </c>
      <c r="D1407" s="32" t="s">
        <v>6824</v>
      </c>
      <c r="E1407" s="22" t="s">
        <v>3394</v>
      </c>
      <c r="F1407" s="22" t="s">
        <v>3378</v>
      </c>
      <c r="G1407" s="32" t="s">
        <v>5753</v>
      </c>
      <c r="H1407" s="22"/>
      <c r="I1407" s="22" t="s">
        <v>3363</v>
      </c>
    </row>
    <row r="1408" customFormat="false" ht="15" hidden="false" customHeight="true" outlineLevel="0" collapsed="false">
      <c r="A1408" s="24" t="s">
        <v>1563</v>
      </c>
      <c r="B1408" s="32" t="s">
        <v>6829</v>
      </c>
      <c r="C1408" s="22" t="s">
        <v>6830</v>
      </c>
      <c r="D1408" s="32" t="s">
        <v>6824</v>
      </c>
      <c r="E1408" s="22" t="s">
        <v>3394</v>
      </c>
      <c r="F1408" s="22" t="s">
        <v>3378</v>
      </c>
      <c r="G1408" s="32" t="s">
        <v>5753</v>
      </c>
      <c r="H1408" s="22"/>
      <c r="I1408" s="22" t="s">
        <v>3363</v>
      </c>
    </row>
    <row r="1409" customFormat="false" ht="15" hidden="false" customHeight="true" outlineLevel="0" collapsed="false">
      <c r="A1409" s="24" t="s">
        <v>1563</v>
      </c>
      <c r="B1409" s="32" t="s">
        <v>6831</v>
      </c>
      <c r="C1409" s="22" t="s">
        <v>6832</v>
      </c>
      <c r="D1409" s="32" t="s">
        <v>6824</v>
      </c>
      <c r="E1409" s="22" t="s">
        <v>3394</v>
      </c>
      <c r="F1409" s="22" t="s">
        <v>3378</v>
      </c>
      <c r="G1409" s="32" t="s">
        <v>5753</v>
      </c>
      <c r="H1409" s="22"/>
      <c r="I1409" s="22" t="s">
        <v>3363</v>
      </c>
    </row>
    <row r="1410" customFormat="false" ht="15" hidden="false" customHeight="true" outlineLevel="0" collapsed="false">
      <c r="A1410" s="24" t="s">
        <v>1563</v>
      </c>
      <c r="B1410" s="32" t="s">
        <v>6833</v>
      </c>
      <c r="C1410" s="22" t="s">
        <v>6834</v>
      </c>
      <c r="D1410" s="32" t="s">
        <v>6824</v>
      </c>
      <c r="E1410" s="22" t="s">
        <v>3394</v>
      </c>
      <c r="F1410" s="22" t="s">
        <v>3378</v>
      </c>
      <c r="G1410" s="32" t="s">
        <v>5753</v>
      </c>
      <c r="H1410" s="22"/>
      <c r="I1410" s="22" t="s">
        <v>3363</v>
      </c>
    </row>
    <row r="1411" customFormat="false" ht="15" hidden="false" customHeight="true" outlineLevel="0" collapsed="false">
      <c r="A1411" s="24" t="s">
        <v>1563</v>
      </c>
      <c r="B1411" s="32" t="s">
        <v>6835</v>
      </c>
      <c r="C1411" s="22" t="s">
        <v>6836</v>
      </c>
      <c r="D1411" s="32" t="s">
        <v>6824</v>
      </c>
      <c r="E1411" s="22" t="s">
        <v>3394</v>
      </c>
      <c r="F1411" s="22" t="s">
        <v>3378</v>
      </c>
      <c r="G1411" s="32" t="s">
        <v>5753</v>
      </c>
      <c r="H1411" s="22"/>
      <c r="I1411" s="22" t="s">
        <v>3363</v>
      </c>
    </row>
    <row r="1412" customFormat="false" ht="15" hidden="false" customHeight="true" outlineLevel="0" collapsed="false">
      <c r="A1412" s="24" t="s">
        <v>1563</v>
      </c>
      <c r="B1412" s="32" t="s">
        <v>6837</v>
      </c>
      <c r="C1412" s="22" t="s">
        <v>6838</v>
      </c>
      <c r="D1412" s="32" t="s">
        <v>6824</v>
      </c>
      <c r="E1412" s="22" t="s">
        <v>3394</v>
      </c>
      <c r="F1412" s="22" t="s">
        <v>3378</v>
      </c>
      <c r="G1412" s="32" t="s">
        <v>5753</v>
      </c>
      <c r="H1412" s="22" t="s">
        <v>6839</v>
      </c>
      <c r="I1412" s="22" t="s">
        <v>3363</v>
      </c>
    </row>
    <row r="1413" customFormat="false" ht="15" hidden="false" customHeight="true" outlineLevel="0" collapsed="false">
      <c r="A1413" s="24" t="s">
        <v>1563</v>
      </c>
      <c r="B1413" s="32" t="s">
        <v>6840</v>
      </c>
      <c r="C1413" s="22" t="s">
        <v>6841</v>
      </c>
      <c r="D1413" s="32" t="s">
        <v>6824</v>
      </c>
      <c r="E1413" s="22" t="s">
        <v>3394</v>
      </c>
      <c r="F1413" s="22" t="s">
        <v>3360</v>
      </c>
      <c r="G1413" s="32" t="s">
        <v>5753</v>
      </c>
      <c r="H1413" s="22" t="s">
        <v>6842</v>
      </c>
      <c r="I1413" s="22" t="s">
        <v>3363</v>
      </c>
    </row>
    <row r="1414" customFormat="false" ht="24.75" hidden="false" customHeight="true" outlineLevel="0" collapsed="false">
      <c r="A1414" s="24" t="s">
        <v>1563</v>
      </c>
      <c r="B1414" s="32" t="s">
        <v>6843</v>
      </c>
      <c r="C1414" s="22" t="s">
        <v>6844</v>
      </c>
      <c r="D1414" s="32" t="s">
        <v>6845</v>
      </c>
      <c r="E1414" s="22" t="s">
        <v>3394</v>
      </c>
      <c r="F1414" s="22" t="s">
        <v>3378</v>
      </c>
      <c r="G1414" s="32" t="s">
        <v>5753</v>
      </c>
      <c r="H1414" s="22" t="s">
        <v>6846</v>
      </c>
      <c r="I1414" s="22" t="s">
        <v>3363</v>
      </c>
    </row>
    <row r="1415" customFormat="false" ht="15" hidden="false" customHeight="true" outlineLevel="0" collapsed="false">
      <c r="A1415" s="24" t="s">
        <v>1563</v>
      </c>
      <c r="B1415" s="32" t="s">
        <v>6847</v>
      </c>
      <c r="C1415" s="22" t="s">
        <v>6848</v>
      </c>
      <c r="D1415" s="32" t="s">
        <v>6845</v>
      </c>
      <c r="E1415" s="22" t="s">
        <v>3394</v>
      </c>
      <c r="F1415" s="22" t="s">
        <v>3378</v>
      </c>
      <c r="G1415" s="32" t="s">
        <v>6551</v>
      </c>
      <c r="H1415" s="22"/>
      <c r="I1415" s="22" t="s">
        <v>3363</v>
      </c>
    </row>
    <row r="1416" customFormat="false" ht="15" hidden="false" customHeight="true" outlineLevel="0" collapsed="false">
      <c r="A1416" s="24" t="s">
        <v>1563</v>
      </c>
      <c r="B1416" s="32" t="s">
        <v>6849</v>
      </c>
      <c r="C1416" s="22" t="s">
        <v>6850</v>
      </c>
      <c r="D1416" s="32" t="s">
        <v>6845</v>
      </c>
      <c r="E1416" s="22" t="s">
        <v>3394</v>
      </c>
      <c r="F1416" s="22" t="s">
        <v>3378</v>
      </c>
      <c r="G1416" s="32" t="s">
        <v>6551</v>
      </c>
      <c r="H1416" s="22"/>
      <c r="I1416" s="22" t="s">
        <v>3363</v>
      </c>
    </row>
    <row r="1417" customFormat="false" ht="15" hidden="false" customHeight="true" outlineLevel="0" collapsed="false">
      <c r="A1417" s="24" t="s">
        <v>1563</v>
      </c>
      <c r="B1417" s="32" t="s">
        <v>6851</v>
      </c>
      <c r="C1417" s="22" t="s">
        <v>6852</v>
      </c>
      <c r="D1417" s="32" t="s">
        <v>6845</v>
      </c>
      <c r="E1417" s="22" t="s">
        <v>3394</v>
      </c>
      <c r="F1417" s="22" t="s">
        <v>3378</v>
      </c>
      <c r="G1417" s="32" t="s">
        <v>6551</v>
      </c>
      <c r="H1417" s="22"/>
      <c r="I1417" s="22" t="s">
        <v>3363</v>
      </c>
    </row>
    <row r="1418" customFormat="false" ht="15" hidden="false" customHeight="true" outlineLevel="0" collapsed="false">
      <c r="A1418" s="24" t="s">
        <v>1563</v>
      </c>
      <c r="B1418" s="32" t="s">
        <v>6853</v>
      </c>
      <c r="C1418" s="22" t="s">
        <v>6854</v>
      </c>
      <c r="D1418" s="32" t="s">
        <v>6845</v>
      </c>
      <c r="E1418" s="22" t="s">
        <v>3394</v>
      </c>
      <c r="F1418" s="22" t="s">
        <v>3378</v>
      </c>
      <c r="G1418" s="32" t="s">
        <v>5753</v>
      </c>
      <c r="H1418" s="22"/>
      <c r="I1418" s="22" t="s">
        <v>3363</v>
      </c>
    </row>
    <row r="1419" customFormat="false" ht="15" hidden="false" customHeight="true" outlineLevel="0" collapsed="false">
      <c r="A1419" s="24" t="s">
        <v>1563</v>
      </c>
      <c r="B1419" s="32" t="s">
        <v>6855</v>
      </c>
      <c r="C1419" s="22" t="s">
        <v>6856</v>
      </c>
      <c r="D1419" s="32" t="s">
        <v>6857</v>
      </c>
      <c r="E1419" s="22" t="s">
        <v>3394</v>
      </c>
      <c r="F1419" s="22" t="s">
        <v>3378</v>
      </c>
      <c r="G1419" s="32" t="s">
        <v>6551</v>
      </c>
      <c r="H1419" s="22"/>
      <c r="I1419" s="22" t="s">
        <v>3363</v>
      </c>
    </row>
    <row r="1420" customFormat="false" ht="15" hidden="false" customHeight="true" outlineLevel="0" collapsed="false">
      <c r="A1420" s="24" t="s">
        <v>1563</v>
      </c>
      <c r="B1420" s="32" t="s">
        <v>6858</v>
      </c>
      <c r="C1420" s="22" t="s">
        <v>6859</v>
      </c>
      <c r="D1420" s="32" t="s">
        <v>6857</v>
      </c>
      <c r="E1420" s="22" t="s">
        <v>3394</v>
      </c>
      <c r="F1420" s="22" t="s">
        <v>3378</v>
      </c>
      <c r="G1420" s="32" t="s">
        <v>6551</v>
      </c>
      <c r="H1420" s="22"/>
      <c r="I1420" s="22" t="s">
        <v>3363</v>
      </c>
    </row>
    <row r="1421" customFormat="false" ht="15" hidden="false" customHeight="true" outlineLevel="0" collapsed="false">
      <c r="A1421" s="24" t="s">
        <v>1563</v>
      </c>
      <c r="B1421" s="32" t="s">
        <v>6860</v>
      </c>
      <c r="C1421" s="22" t="s">
        <v>6861</v>
      </c>
      <c r="D1421" s="32" t="s">
        <v>6857</v>
      </c>
      <c r="E1421" s="22" t="s">
        <v>3394</v>
      </c>
      <c r="F1421" s="22" t="s">
        <v>3378</v>
      </c>
      <c r="G1421" s="32" t="s">
        <v>5753</v>
      </c>
      <c r="H1421" s="22"/>
      <c r="I1421" s="22" t="s">
        <v>3363</v>
      </c>
    </row>
    <row r="1422" customFormat="false" ht="15" hidden="false" customHeight="true" outlineLevel="0" collapsed="false">
      <c r="A1422" s="24" t="s">
        <v>1563</v>
      </c>
      <c r="B1422" s="32" t="s">
        <v>6862</v>
      </c>
      <c r="C1422" s="22" t="s">
        <v>6863</v>
      </c>
      <c r="D1422" s="32" t="s">
        <v>6857</v>
      </c>
      <c r="E1422" s="22" t="s">
        <v>3394</v>
      </c>
      <c r="F1422" s="22" t="s">
        <v>3378</v>
      </c>
      <c r="G1422" s="32" t="s">
        <v>6551</v>
      </c>
      <c r="H1422" s="22"/>
      <c r="I1422" s="22" t="s">
        <v>3363</v>
      </c>
    </row>
    <row r="1423" customFormat="false" ht="15" hidden="false" customHeight="true" outlineLevel="0" collapsed="false">
      <c r="A1423" s="24" t="s">
        <v>1563</v>
      </c>
      <c r="B1423" s="32" t="s">
        <v>6864</v>
      </c>
      <c r="C1423" s="22" t="s">
        <v>6865</v>
      </c>
      <c r="D1423" s="32" t="s">
        <v>6857</v>
      </c>
      <c r="E1423" s="22" t="s">
        <v>3394</v>
      </c>
      <c r="F1423" s="22" t="s">
        <v>3378</v>
      </c>
      <c r="G1423" s="32" t="s">
        <v>5753</v>
      </c>
      <c r="H1423" s="22"/>
      <c r="I1423" s="22" t="s">
        <v>3363</v>
      </c>
    </row>
    <row r="1424" customFormat="false" ht="15" hidden="false" customHeight="true" outlineLevel="0" collapsed="false">
      <c r="A1424" s="24" t="s">
        <v>1563</v>
      </c>
      <c r="B1424" s="32" t="s">
        <v>6866</v>
      </c>
      <c r="C1424" s="22" t="s">
        <v>6867</v>
      </c>
      <c r="D1424" s="32" t="s">
        <v>6857</v>
      </c>
      <c r="E1424" s="22" t="s">
        <v>3394</v>
      </c>
      <c r="F1424" s="22" t="s">
        <v>3378</v>
      </c>
      <c r="G1424" s="32" t="s">
        <v>5753</v>
      </c>
      <c r="H1424" s="22" t="s">
        <v>6868</v>
      </c>
      <c r="I1424" s="22" t="s">
        <v>3363</v>
      </c>
    </row>
    <row r="1425" customFormat="false" ht="15" hidden="false" customHeight="true" outlineLevel="0" collapsed="false">
      <c r="A1425" s="24" t="s">
        <v>1563</v>
      </c>
      <c r="B1425" s="32" t="s">
        <v>6869</v>
      </c>
      <c r="C1425" s="22" t="s">
        <v>6870</v>
      </c>
      <c r="D1425" s="32" t="s">
        <v>6857</v>
      </c>
      <c r="E1425" s="22" t="s">
        <v>3394</v>
      </c>
      <c r="F1425" s="22" t="s">
        <v>3378</v>
      </c>
      <c r="G1425" s="32" t="s">
        <v>5753</v>
      </c>
      <c r="H1425" s="22"/>
      <c r="I1425" s="22" t="s">
        <v>3363</v>
      </c>
    </row>
    <row r="1426" customFormat="false" ht="15" hidden="false" customHeight="true" outlineLevel="0" collapsed="false">
      <c r="A1426" s="24" t="s">
        <v>1563</v>
      </c>
      <c r="B1426" s="32" t="s">
        <v>6871</v>
      </c>
      <c r="C1426" s="22" t="s">
        <v>6872</v>
      </c>
      <c r="D1426" s="32" t="s">
        <v>6873</v>
      </c>
      <c r="E1426" s="22" t="s">
        <v>3394</v>
      </c>
      <c r="F1426" s="22" t="s">
        <v>3360</v>
      </c>
      <c r="G1426" s="32" t="s">
        <v>6874</v>
      </c>
      <c r="H1426" s="22" t="s">
        <v>6875</v>
      </c>
      <c r="I1426" s="22" t="s">
        <v>3363</v>
      </c>
    </row>
    <row r="1427" customFormat="false" ht="15" hidden="false" customHeight="true" outlineLevel="0" collapsed="false">
      <c r="A1427" s="24" t="s">
        <v>1563</v>
      </c>
      <c r="B1427" s="32" t="s">
        <v>6876</v>
      </c>
      <c r="C1427" s="22" t="s">
        <v>6877</v>
      </c>
      <c r="D1427" s="32" t="s">
        <v>6878</v>
      </c>
      <c r="E1427" s="22" t="s">
        <v>3394</v>
      </c>
      <c r="F1427" s="22" t="s">
        <v>3378</v>
      </c>
      <c r="G1427" s="32" t="s">
        <v>6551</v>
      </c>
      <c r="H1427" s="22"/>
      <c r="I1427" s="22" t="s">
        <v>3363</v>
      </c>
    </row>
    <row r="1428" customFormat="false" ht="15" hidden="false" customHeight="true" outlineLevel="0" collapsed="false">
      <c r="A1428" s="24" t="s">
        <v>1563</v>
      </c>
      <c r="B1428" s="32" t="s">
        <v>6879</v>
      </c>
      <c r="C1428" s="22" t="s">
        <v>6880</v>
      </c>
      <c r="D1428" s="32" t="s">
        <v>6878</v>
      </c>
      <c r="E1428" s="22" t="s">
        <v>3394</v>
      </c>
      <c r="F1428" s="22" t="s">
        <v>3378</v>
      </c>
      <c r="G1428" s="32" t="s">
        <v>6551</v>
      </c>
      <c r="H1428" s="22"/>
      <c r="I1428" s="22" t="s">
        <v>3363</v>
      </c>
    </row>
    <row r="1429" customFormat="false" ht="15" hidden="false" customHeight="true" outlineLevel="0" collapsed="false">
      <c r="A1429" s="24" t="s">
        <v>1563</v>
      </c>
      <c r="B1429" s="32" t="s">
        <v>6881</v>
      </c>
      <c r="C1429" s="22" t="s">
        <v>6882</v>
      </c>
      <c r="D1429" s="32" t="s">
        <v>6878</v>
      </c>
      <c r="E1429" s="22" t="s">
        <v>3394</v>
      </c>
      <c r="F1429" s="22" t="s">
        <v>3378</v>
      </c>
      <c r="G1429" s="32" t="s">
        <v>6551</v>
      </c>
      <c r="H1429" s="22"/>
      <c r="I1429" s="22" t="s">
        <v>3363</v>
      </c>
    </row>
    <row r="1430" customFormat="false" ht="15" hidden="false" customHeight="true" outlineLevel="0" collapsed="false">
      <c r="A1430" s="24" t="s">
        <v>1563</v>
      </c>
      <c r="B1430" s="32" t="s">
        <v>6883</v>
      </c>
      <c r="C1430" s="22" t="s">
        <v>6884</v>
      </c>
      <c r="D1430" s="32" t="s">
        <v>6878</v>
      </c>
      <c r="E1430" s="22" t="s">
        <v>3394</v>
      </c>
      <c r="F1430" s="22" t="s">
        <v>3378</v>
      </c>
      <c r="G1430" s="32" t="s">
        <v>6551</v>
      </c>
      <c r="H1430" s="22"/>
      <c r="I1430" s="22" t="s">
        <v>3363</v>
      </c>
    </row>
    <row r="1431" customFormat="false" ht="15" hidden="false" customHeight="true" outlineLevel="0" collapsed="false">
      <c r="A1431" s="24" t="s">
        <v>1563</v>
      </c>
      <c r="B1431" s="32" t="s">
        <v>6885</v>
      </c>
      <c r="C1431" s="22" t="s">
        <v>6886</v>
      </c>
      <c r="D1431" s="32" t="s">
        <v>6878</v>
      </c>
      <c r="E1431" s="22" t="s">
        <v>3394</v>
      </c>
      <c r="F1431" s="22" t="s">
        <v>3378</v>
      </c>
      <c r="G1431" s="32" t="s">
        <v>5753</v>
      </c>
      <c r="H1431" s="22"/>
      <c r="I1431" s="22" t="s">
        <v>3363</v>
      </c>
    </row>
    <row r="1432" customFormat="false" ht="15" hidden="false" customHeight="true" outlineLevel="0" collapsed="false">
      <c r="A1432" s="24" t="s">
        <v>1563</v>
      </c>
      <c r="B1432" s="32" t="s">
        <v>6887</v>
      </c>
      <c r="C1432" s="22" t="s">
        <v>6888</v>
      </c>
      <c r="D1432" s="32" t="s">
        <v>6878</v>
      </c>
      <c r="E1432" s="22" t="s">
        <v>3394</v>
      </c>
      <c r="F1432" s="22" t="s">
        <v>3378</v>
      </c>
      <c r="G1432" s="32" t="s">
        <v>5753</v>
      </c>
      <c r="H1432" s="22"/>
      <c r="I1432" s="22" t="s">
        <v>3363</v>
      </c>
    </row>
    <row r="1433" customFormat="false" ht="15" hidden="false" customHeight="true" outlineLevel="0" collapsed="false">
      <c r="A1433" s="24" t="s">
        <v>1563</v>
      </c>
      <c r="B1433" s="32" t="s">
        <v>6889</v>
      </c>
      <c r="C1433" s="22" t="s">
        <v>6890</v>
      </c>
      <c r="D1433" s="32" t="s">
        <v>6873</v>
      </c>
      <c r="E1433" s="22" t="s">
        <v>3389</v>
      </c>
      <c r="F1433" s="22" t="s">
        <v>3378</v>
      </c>
      <c r="G1433" s="32" t="s">
        <v>5943</v>
      </c>
      <c r="H1433" s="22"/>
      <c r="I1433" s="22" t="s">
        <v>3363</v>
      </c>
    </row>
    <row r="1434" customFormat="false" ht="37.5" hidden="false" customHeight="true" outlineLevel="0" collapsed="false">
      <c r="A1434" s="24" t="s">
        <v>2011</v>
      </c>
      <c r="B1434" s="32" t="s">
        <v>6796</v>
      </c>
      <c r="C1434" s="22" t="s">
        <v>6797</v>
      </c>
      <c r="D1434" s="32" t="s">
        <v>6891</v>
      </c>
      <c r="E1434" s="22" t="s">
        <v>3359</v>
      </c>
      <c r="F1434" s="22" t="s">
        <v>3360</v>
      </c>
      <c r="G1434" s="32" t="s">
        <v>6892</v>
      </c>
      <c r="H1434" s="22" t="s">
        <v>6893</v>
      </c>
      <c r="I1434" s="22" t="s">
        <v>3363</v>
      </c>
    </row>
    <row r="1435" customFormat="false" ht="24.75" hidden="false" customHeight="true" outlineLevel="0" collapsed="false">
      <c r="A1435" s="24" t="s">
        <v>2011</v>
      </c>
      <c r="B1435" s="32" t="s">
        <v>6894</v>
      </c>
      <c r="C1435" s="22" t="s">
        <v>6895</v>
      </c>
      <c r="D1435" s="32" t="s">
        <v>6896</v>
      </c>
      <c r="E1435" s="22" t="s">
        <v>3359</v>
      </c>
      <c r="F1435" s="22" t="s">
        <v>3360</v>
      </c>
      <c r="G1435" s="32" t="s">
        <v>6897</v>
      </c>
      <c r="H1435" s="22" t="s">
        <v>6898</v>
      </c>
      <c r="I1435" s="22" t="s">
        <v>3363</v>
      </c>
    </row>
    <row r="1436" customFormat="false" ht="15" hidden="false" customHeight="true" outlineLevel="0" collapsed="false">
      <c r="A1436" s="24" t="s">
        <v>2011</v>
      </c>
      <c r="B1436" s="32" t="s">
        <v>6899</v>
      </c>
      <c r="C1436" s="22" t="s">
        <v>6900</v>
      </c>
      <c r="D1436" s="32" t="s">
        <v>6901</v>
      </c>
      <c r="E1436" s="22" t="s">
        <v>3437</v>
      </c>
      <c r="F1436" s="22" t="s">
        <v>3360</v>
      </c>
      <c r="G1436" s="32" t="s">
        <v>6902</v>
      </c>
      <c r="H1436" s="22" t="s">
        <v>6903</v>
      </c>
      <c r="I1436" s="22" t="s">
        <v>3363</v>
      </c>
    </row>
    <row r="1437" customFormat="false" ht="24.75" hidden="false" customHeight="true" outlineLevel="0" collapsed="false">
      <c r="A1437" s="24" t="s">
        <v>2011</v>
      </c>
      <c r="B1437" s="32" t="s">
        <v>6904</v>
      </c>
      <c r="C1437" s="22" t="s">
        <v>6905</v>
      </c>
      <c r="D1437" s="32" t="s">
        <v>6906</v>
      </c>
      <c r="E1437" s="22" t="s">
        <v>3437</v>
      </c>
      <c r="F1437" s="22" t="s">
        <v>3360</v>
      </c>
      <c r="G1437" s="32" t="s">
        <v>6907</v>
      </c>
      <c r="H1437" s="22"/>
      <c r="I1437" s="22" t="s">
        <v>3363</v>
      </c>
    </row>
    <row r="1438" customFormat="false" ht="49.5" hidden="false" customHeight="true" outlineLevel="0" collapsed="false">
      <c r="A1438" s="24" t="s">
        <v>2011</v>
      </c>
      <c r="B1438" s="32" t="s">
        <v>6849</v>
      </c>
      <c r="C1438" s="22" t="s">
        <v>6908</v>
      </c>
      <c r="D1438" s="32" t="s">
        <v>6909</v>
      </c>
      <c r="E1438" s="22" t="s">
        <v>3437</v>
      </c>
      <c r="F1438" s="22" t="s">
        <v>3360</v>
      </c>
      <c r="G1438" s="32" t="s">
        <v>6910</v>
      </c>
      <c r="H1438" s="22"/>
      <c r="I1438" s="22" t="s">
        <v>3363</v>
      </c>
    </row>
    <row r="1439" customFormat="false" ht="24.75" hidden="false" customHeight="true" outlineLevel="0" collapsed="false">
      <c r="A1439" s="24" t="s">
        <v>2011</v>
      </c>
      <c r="B1439" s="32" t="s">
        <v>6851</v>
      </c>
      <c r="C1439" s="22" t="s">
        <v>6911</v>
      </c>
      <c r="D1439" s="32" t="s">
        <v>6912</v>
      </c>
      <c r="E1439" s="22" t="s">
        <v>3437</v>
      </c>
      <c r="F1439" s="22" t="s">
        <v>3360</v>
      </c>
      <c r="G1439" s="32" t="s">
        <v>6913</v>
      </c>
      <c r="H1439" s="22"/>
      <c r="I1439" s="22" t="s">
        <v>3363</v>
      </c>
    </row>
    <row r="1440" customFormat="false" ht="24.75" hidden="false" customHeight="true" outlineLevel="0" collapsed="false">
      <c r="A1440" s="24" t="s">
        <v>2011</v>
      </c>
      <c r="B1440" s="32" t="s">
        <v>6914</v>
      </c>
      <c r="C1440" s="22" t="s">
        <v>6915</v>
      </c>
      <c r="D1440" s="32" t="s">
        <v>6916</v>
      </c>
      <c r="E1440" s="22" t="s">
        <v>3437</v>
      </c>
      <c r="F1440" s="22" t="s">
        <v>3360</v>
      </c>
      <c r="G1440" s="32" t="s">
        <v>6917</v>
      </c>
      <c r="H1440" s="22" t="s">
        <v>6918</v>
      </c>
      <c r="I1440" s="22" t="s">
        <v>3363</v>
      </c>
    </row>
    <row r="1441" customFormat="false" ht="37.5" hidden="false" customHeight="true" outlineLevel="0" collapsed="false">
      <c r="A1441" s="24" t="s">
        <v>2011</v>
      </c>
      <c r="B1441" s="32" t="s">
        <v>6919</v>
      </c>
      <c r="C1441" s="22" t="s">
        <v>6920</v>
      </c>
      <c r="D1441" s="32" t="s">
        <v>6921</v>
      </c>
      <c r="E1441" s="22" t="s">
        <v>3437</v>
      </c>
      <c r="F1441" s="22" t="s">
        <v>3360</v>
      </c>
      <c r="G1441" s="32" t="s">
        <v>6922</v>
      </c>
      <c r="H1441" s="22" t="s">
        <v>6923</v>
      </c>
      <c r="I1441" s="22" t="s">
        <v>3363</v>
      </c>
    </row>
    <row r="1442" customFormat="false" ht="24.75" hidden="false" customHeight="true" outlineLevel="0" collapsed="false">
      <c r="A1442" s="24" t="s">
        <v>2011</v>
      </c>
      <c r="B1442" s="32" t="s">
        <v>6924</v>
      </c>
      <c r="C1442" s="22" t="s">
        <v>6925</v>
      </c>
      <c r="D1442" s="32" t="s">
        <v>6926</v>
      </c>
      <c r="E1442" s="22" t="s">
        <v>3437</v>
      </c>
      <c r="F1442" s="22" t="s">
        <v>3360</v>
      </c>
      <c r="G1442" s="32" t="s">
        <v>6902</v>
      </c>
      <c r="H1442" s="22" t="s">
        <v>6927</v>
      </c>
      <c r="I1442" s="22" t="s">
        <v>3363</v>
      </c>
    </row>
    <row r="1443" customFormat="false" ht="24.75" hidden="false" customHeight="true" outlineLevel="0" collapsed="false">
      <c r="A1443" s="24" t="s">
        <v>2011</v>
      </c>
      <c r="B1443" s="32" t="s">
        <v>6928</v>
      </c>
      <c r="C1443" s="22" t="s">
        <v>6929</v>
      </c>
      <c r="D1443" s="32" t="s">
        <v>6930</v>
      </c>
      <c r="E1443" s="22" t="s">
        <v>3437</v>
      </c>
      <c r="F1443" s="22" t="s">
        <v>3360</v>
      </c>
      <c r="G1443" s="32" t="s">
        <v>6931</v>
      </c>
      <c r="H1443" s="22" t="s">
        <v>6932</v>
      </c>
      <c r="I1443" s="22" t="s">
        <v>3363</v>
      </c>
    </row>
    <row r="1444" customFormat="false" ht="15" hidden="false" customHeight="true" outlineLevel="0" collapsed="false">
      <c r="A1444" s="24" t="s">
        <v>2011</v>
      </c>
      <c r="B1444" s="32" t="s">
        <v>6933</v>
      </c>
      <c r="C1444" s="22" t="s">
        <v>6934</v>
      </c>
      <c r="D1444" s="32" t="s">
        <v>6935</v>
      </c>
      <c r="E1444" s="22" t="s">
        <v>3437</v>
      </c>
      <c r="F1444" s="22" t="s">
        <v>3378</v>
      </c>
      <c r="G1444" s="32" t="s">
        <v>6902</v>
      </c>
      <c r="H1444" s="22"/>
      <c r="I1444" s="22" t="s">
        <v>3363</v>
      </c>
    </row>
    <row r="1445" customFormat="false" ht="15" hidden="false" customHeight="true" outlineLevel="0" collapsed="false">
      <c r="A1445" s="24" t="s">
        <v>2011</v>
      </c>
      <c r="B1445" s="32" t="s">
        <v>6936</v>
      </c>
      <c r="C1445" s="22" t="s">
        <v>6937</v>
      </c>
      <c r="D1445" s="32" t="s">
        <v>6938</v>
      </c>
      <c r="E1445" s="22" t="s">
        <v>3437</v>
      </c>
      <c r="F1445" s="22" t="s">
        <v>3378</v>
      </c>
      <c r="G1445" s="32" t="s">
        <v>6939</v>
      </c>
      <c r="H1445" s="22" t="s">
        <v>6940</v>
      </c>
      <c r="I1445" s="22" t="s">
        <v>3363</v>
      </c>
    </row>
    <row r="1446" customFormat="false" ht="15" hidden="false" customHeight="true" outlineLevel="0" collapsed="false">
      <c r="A1446" s="24" t="s">
        <v>2011</v>
      </c>
      <c r="B1446" s="32" t="s">
        <v>6941</v>
      </c>
      <c r="C1446" s="22" t="s">
        <v>6942</v>
      </c>
      <c r="D1446" s="32" t="s">
        <v>6943</v>
      </c>
      <c r="E1446" s="22" t="s">
        <v>3437</v>
      </c>
      <c r="F1446" s="22" t="s">
        <v>3378</v>
      </c>
      <c r="G1446" s="32" t="s">
        <v>6944</v>
      </c>
      <c r="H1446" s="22" t="s">
        <v>6945</v>
      </c>
      <c r="I1446" s="22" t="s">
        <v>3363</v>
      </c>
    </row>
    <row r="1447" customFormat="false" ht="15" hidden="false" customHeight="true" outlineLevel="0" collapsed="false">
      <c r="A1447" s="24" t="s">
        <v>2011</v>
      </c>
      <c r="B1447" s="32" t="s">
        <v>6946</v>
      </c>
      <c r="C1447" s="22" t="s">
        <v>6947</v>
      </c>
      <c r="D1447" s="32" t="s">
        <v>6948</v>
      </c>
      <c r="E1447" s="22" t="s">
        <v>3437</v>
      </c>
      <c r="F1447" s="22" t="s">
        <v>3378</v>
      </c>
      <c r="G1447" s="32" t="s">
        <v>6944</v>
      </c>
      <c r="H1447" s="22"/>
      <c r="I1447" s="22" t="s">
        <v>3363</v>
      </c>
    </row>
    <row r="1448" customFormat="false" ht="24.75" hidden="false" customHeight="true" outlineLevel="0" collapsed="false">
      <c r="A1448" s="24" t="s">
        <v>2011</v>
      </c>
      <c r="B1448" s="32" t="s">
        <v>6949</v>
      </c>
      <c r="C1448" s="22" t="s">
        <v>6950</v>
      </c>
      <c r="D1448" s="32" t="s">
        <v>6951</v>
      </c>
      <c r="E1448" s="22" t="s">
        <v>3437</v>
      </c>
      <c r="F1448" s="22" t="s">
        <v>3378</v>
      </c>
      <c r="G1448" s="32" t="s">
        <v>6944</v>
      </c>
      <c r="H1448" s="22"/>
      <c r="I1448" s="22" t="s">
        <v>3363</v>
      </c>
    </row>
    <row r="1449" customFormat="false" ht="15" hidden="false" customHeight="true" outlineLevel="0" collapsed="false">
      <c r="A1449" s="24" t="s">
        <v>2011</v>
      </c>
      <c r="B1449" s="32" t="s">
        <v>6952</v>
      </c>
      <c r="C1449" s="22" t="s">
        <v>6953</v>
      </c>
      <c r="D1449" s="32" t="s">
        <v>6954</v>
      </c>
      <c r="E1449" s="22" t="s">
        <v>3437</v>
      </c>
      <c r="F1449" s="22" t="s">
        <v>3378</v>
      </c>
      <c r="G1449" s="32" t="s">
        <v>6902</v>
      </c>
      <c r="H1449" s="22"/>
      <c r="I1449" s="22" t="s">
        <v>3363</v>
      </c>
    </row>
    <row r="1450" customFormat="false" ht="15" hidden="false" customHeight="true" outlineLevel="0" collapsed="false">
      <c r="A1450" s="24" t="s">
        <v>2011</v>
      </c>
      <c r="B1450" s="32" t="s">
        <v>6955</v>
      </c>
      <c r="C1450" s="22" t="s">
        <v>6956</v>
      </c>
      <c r="D1450" s="32" t="s">
        <v>6957</v>
      </c>
      <c r="E1450" s="22" t="s">
        <v>3437</v>
      </c>
      <c r="F1450" s="22" t="s">
        <v>3378</v>
      </c>
      <c r="G1450" s="32"/>
      <c r="H1450" s="22"/>
      <c r="I1450" s="22" t="s">
        <v>3363</v>
      </c>
    </row>
    <row r="1451" customFormat="false" ht="15" hidden="false" customHeight="true" outlineLevel="0" collapsed="false">
      <c r="A1451" s="24" t="s">
        <v>2011</v>
      </c>
      <c r="B1451" s="32" t="s">
        <v>6958</v>
      </c>
      <c r="C1451" s="22" t="s">
        <v>6959</v>
      </c>
      <c r="D1451" s="32" t="s">
        <v>6960</v>
      </c>
      <c r="E1451" s="22" t="s">
        <v>3437</v>
      </c>
      <c r="F1451" s="22" t="s">
        <v>3378</v>
      </c>
      <c r="G1451" s="32"/>
      <c r="H1451" s="22"/>
      <c r="I1451" s="22" t="s">
        <v>3363</v>
      </c>
    </row>
    <row r="1452" customFormat="false" ht="15" hidden="false" customHeight="true" outlineLevel="0" collapsed="false">
      <c r="A1452" s="24" t="s">
        <v>2011</v>
      </c>
      <c r="B1452" s="32" t="s">
        <v>6961</v>
      </c>
      <c r="C1452" s="22" t="s">
        <v>6962</v>
      </c>
      <c r="D1452" s="32" t="s">
        <v>6963</v>
      </c>
      <c r="E1452" s="22" t="s">
        <v>3437</v>
      </c>
      <c r="F1452" s="22" t="s">
        <v>3378</v>
      </c>
      <c r="G1452" s="32"/>
      <c r="H1452" s="22"/>
      <c r="I1452" s="22" t="s">
        <v>3363</v>
      </c>
    </row>
    <row r="1453" customFormat="false" ht="15" hidden="false" customHeight="true" outlineLevel="0" collapsed="false">
      <c r="A1453" s="24" t="s">
        <v>2011</v>
      </c>
      <c r="B1453" s="32" t="s">
        <v>6964</v>
      </c>
      <c r="C1453" s="22" t="s">
        <v>6965</v>
      </c>
      <c r="D1453" s="32" t="s">
        <v>6966</v>
      </c>
      <c r="E1453" s="22" t="s">
        <v>3389</v>
      </c>
      <c r="F1453" s="22" t="s">
        <v>3378</v>
      </c>
      <c r="G1453" s="32" t="s">
        <v>6967</v>
      </c>
      <c r="H1453" s="22" t="s">
        <v>6968</v>
      </c>
      <c r="I1453" s="22" t="s">
        <v>3363</v>
      </c>
    </row>
    <row r="1454" customFormat="false" ht="15" hidden="false" customHeight="true" outlineLevel="0" collapsed="false">
      <c r="A1454" s="24" t="s">
        <v>2011</v>
      </c>
      <c r="B1454" s="32" t="s">
        <v>6969</v>
      </c>
      <c r="C1454" s="22" t="s">
        <v>6970</v>
      </c>
      <c r="D1454" s="32" t="s">
        <v>6971</v>
      </c>
      <c r="E1454" s="22" t="s">
        <v>3389</v>
      </c>
      <c r="F1454" s="22" t="s">
        <v>3378</v>
      </c>
      <c r="G1454" s="32" t="s">
        <v>6972</v>
      </c>
      <c r="H1454" s="22"/>
      <c r="I1454" s="22" t="s">
        <v>3363</v>
      </c>
    </row>
    <row r="1455" customFormat="false" ht="49.5" hidden="false" customHeight="true" outlineLevel="0" collapsed="false">
      <c r="A1455" s="24" t="s">
        <v>2011</v>
      </c>
      <c r="B1455" s="32" t="s">
        <v>6973</v>
      </c>
      <c r="C1455" s="22" t="s">
        <v>6974</v>
      </c>
      <c r="D1455" s="32" t="s">
        <v>6975</v>
      </c>
      <c r="E1455" s="22" t="s">
        <v>3377</v>
      </c>
      <c r="F1455" s="22" t="s">
        <v>6286</v>
      </c>
      <c r="G1455" s="32" t="s">
        <v>6976</v>
      </c>
      <c r="H1455" s="22"/>
      <c r="I1455" s="22" t="s">
        <v>3363</v>
      </c>
    </row>
    <row r="1456" customFormat="false" ht="15" hidden="false" customHeight="true" outlineLevel="0" collapsed="false">
      <c r="A1456" s="24" t="s">
        <v>2011</v>
      </c>
      <c r="B1456" s="32" t="s">
        <v>6788</v>
      </c>
      <c r="C1456" s="22" t="s">
        <v>6789</v>
      </c>
      <c r="D1456" s="32" t="s">
        <v>6977</v>
      </c>
      <c r="E1456" s="22" t="s">
        <v>3359</v>
      </c>
      <c r="F1456" s="22" t="s">
        <v>3360</v>
      </c>
      <c r="G1456" s="32" t="s">
        <v>6790</v>
      </c>
      <c r="H1456" s="22" t="s">
        <v>6978</v>
      </c>
      <c r="I1456" s="22" t="s">
        <v>3363</v>
      </c>
    </row>
    <row r="1457" customFormat="false" ht="24.75" hidden="false" customHeight="true" outlineLevel="0" collapsed="false">
      <c r="A1457" s="24" t="s">
        <v>2011</v>
      </c>
      <c r="B1457" s="32" t="s">
        <v>6979</v>
      </c>
      <c r="C1457" s="22" t="s">
        <v>6980</v>
      </c>
      <c r="D1457" s="32" t="s">
        <v>6977</v>
      </c>
      <c r="E1457" s="22" t="s">
        <v>3359</v>
      </c>
      <c r="F1457" s="22" t="s">
        <v>3360</v>
      </c>
      <c r="G1457" s="32" t="s">
        <v>6981</v>
      </c>
      <c r="H1457" s="22"/>
      <c r="I1457" s="22" t="s">
        <v>3363</v>
      </c>
    </row>
    <row r="1458" customFormat="false" ht="15" hidden="false" customHeight="true" outlineLevel="0" collapsed="false">
      <c r="A1458" s="24" t="s">
        <v>2011</v>
      </c>
      <c r="B1458" s="32" t="s">
        <v>6982</v>
      </c>
      <c r="C1458" s="22" t="s">
        <v>6983</v>
      </c>
      <c r="D1458" s="32" t="s">
        <v>6977</v>
      </c>
      <c r="E1458" s="22" t="s">
        <v>3359</v>
      </c>
      <c r="F1458" s="22" t="s">
        <v>3378</v>
      </c>
      <c r="G1458" s="32" t="s">
        <v>6984</v>
      </c>
      <c r="H1458" s="22" t="s">
        <v>6985</v>
      </c>
      <c r="I1458" s="22" t="s">
        <v>3363</v>
      </c>
    </row>
    <row r="1459" customFormat="false" ht="15" hidden="false" customHeight="true" outlineLevel="0" collapsed="false">
      <c r="A1459" s="24" t="s">
        <v>2040</v>
      </c>
      <c r="B1459" s="32" t="s">
        <v>6982</v>
      </c>
      <c r="C1459" s="22" t="s">
        <v>6983</v>
      </c>
      <c r="D1459" s="32" t="s">
        <v>5720</v>
      </c>
      <c r="E1459" s="22" t="s">
        <v>3359</v>
      </c>
      <c r="F1459" s="22" t="s">
        <v>3360</v>
      </c>
      <c r="G1459" s="32" t="s">
        <v>6986</v>
      </c>
      <c r="H1459" s="22" t="s">
        <v>6987</v>
      </c>
      <c r="I1459" s="22" t="s">
        <v>3363</v>
      </c>
    </row>
    <row r="1460" customFormat="false" ht="15" hidden="false" customHeight="true" outlineLevel="0" collapsed="false">
      <c r="A1460" s="24" t="s">
        <v>2040</v>
      </c>
      <c r="B1460" s="32" t="s">
        <v>6988</v>
      </c>
      <c r="C1460" s="22" t="s">
        <v>6989</v>
      </c>
      <c r="D1460" s="32" t="s">
        <v>5720</v>
      </c>
      <c r="E1460" s="22" t="s">
        <v>3359</v>
      </c>
      <c r="F1460" s="22" t="s">
        <v>3360</v>
      </c>
      <c r="G1460" s="32"/>
      <c r="H1460" s="22"/>
      <c r="I1460" s="22" t="s">
        <v>3363</v>
      </c>
    </row>
    <row r="1461" customFormat="false" ht="15" hidden="false" customHeight="true" outlineLevel="0" collapsed="false">
      <c r="A1461" s="24" t="s">
        <v>2040</v>
      </c>
      <c r="B1461" s="32" t="s">
        <v>6788</v>
      </c>
      <c r="C1461" s="22" t="s">
        <v>6990</v>
      </c>
      <c r="D1461" s="32" t="s">
        <v>5720</v>
      </c>
      <c r="E1461" s="22" t="s">
        <v>3359</v>
      </c>
      <c r="F1461" s="22" t="s">
        <v>3360</v>
      </c>
      <c r="G1461" s="32" t="s">
        <v>6991</v>
      </c>
      <c r="H1461" s="22"/>
      <c r="I1461" s="22" t="s">
        <v>3363</v>
      </c>
    </row>
    <row r="1462" customFormat="false" ht="15" hidden="false" customHeight="true" outlineLevel="0" collapsed="false">
      <c r="A1462" s="24" t="s">
        <v>2040</v>
      </c>
      <c r="B1462" s="32" t="s">
        <v>6992</v>
      </c>
      <c r="C1462" s="22" t="s">
        <v>6993</v>
      </c>
      <c r="D1462" s="32" t="s">
        <v>5720</v>
      </c>
      <c r="E1462" s="22" t="s">
        <v>3359</v>
      </c>
      <c r="F1462" s="22" t="s">
        <v>3378</v>
      </c>
      <c r="G1462" s="32"/>
      <c r="H1462" s="22"/>
      <c r="I1462" s="22" t="s">
        <v>3363</v>
      </c>
    </row>
    <row r="1463" customFormat="false" ht="24.75" hidden="false" customHeight="true" outlineLevel="0" collapsed="false">
      <c r="A1463" s="24" t="s">
        <v>2040</v>
      </c>
      <c r="B1463" s="32" t="s">
        <v>6994</v>
      </c>
      <c r="C1463" s="22" t="s">
        <v>6995</v>
      </c>
      <c r="D1463" s="32" t="s">
        <v>5720</v>
      </c>
      <c r="E1463" s="22" t="s">
        <v>3377</v>
      </c>
      <c r="F1463" s="22" t="s">
        <v>3378</v>
      </c>
      <c r="G1463" s="32" t="s">
        <v>6996</v>
      </c>
      <c r="H1463" s="22" t="s">
        <v>6997</v>
      </c>
      <c r="I1463" s="22" t="s">
        <v>3363</v>
      </c>
    </row>
    <row r="1464" customFormat="false" ht="15" hidden="false" customHeight="true" outlineLevel="0" collapsed="false">
      <c r="A1464" s="24" t="s">
        <v>2040</v>
      </c>
      <c r="B1464" s="32" t="s">
        <v>6998</v>
      </c>
      <c r="C1464" s="22" t="s">
        <v>6999</v>
      </c>
      <c r="D1464" s="32" t="s">
        <v>7000</v>
      </c>
      <c r="E1464" s="22" t="s">
        <v>3437</v>
      </c>
      <c r="F1464" s="22" t="s">
        <v>3360</v>
      </c>
      <c r="G1464" s="32" t="s">
        <v>3749</v>
      </c>
      <c r="H1464" s="22" t="s">
        <v>7001</v>
      </c>
      <c r="I1464" s="22" t="s">
        <v>3363</v>
      </c>
    </row>
    <row r="1465" customFormat="false" ht="15" hidden="false" customHeight="true" outlineLevel="0" collapsed="false">
      <c r="A1465" s="24" t="s">
        <v>2040</v>
      </c>
      <c r="B1465" s="32" t="s">
        <v>7002</v>
      </c>
      <c r="C1465" s="22" t="s">
        <v>7003</v>
      </c>
      <c r="D1465" s="32" t="s">
        <v>7000</v>
      </c>
      <c r="E1465" s="22" t="s">
        <v>3437</v>
      </c>
      <c r="F1465" s="22" t="s">
        <v>3378</v>
      </c>
      <c r="G1465" s="32"/>
      <c r="H1465" s="22"/>
      <c r="I1465" s="22" t="s">
        <v>3363</v>
      </c>
    </row>
    <row r="1466" customFormat="false" ht="15" hidden="false" customHeight="true" outlineLevel="0" collapsed="false">
      <c r="A1466" s="24" t="s">
        <v>2040</v>
      </c>
      <c r="B1466" s="32" t="s">
        <v>7004</v>
      </c>
      <c r="C1466" s="22" t="s">
        <v>7005</v>
      </c>
      <c r="D1466" s="32" t="s">
        <v>7000</v>
      </c>
      <c r="E1466" s="22" t="s">
        <v>3437</v>
      </c>
      <c r="F1466" s="22" t="s">
        <v>3378</v>
      </c>
      <c r="G1466" s="32"/>
      <c r="H1466" s="22"/>
      <c r="I1466" s="22" t="s">
        <v>3363</v>
      </c>
    </row>
    <row r="1467" customFormat="false" ht="15" hidden="false" customHeight="true" outlineLevel="0" collapsed="false">
      <c r="A1467" s="24" t="s">
        <v>2040</v>
      </c>
      <c r="B1467" s="32" t="s">
        <v>7006</v>
      </c>
      <c r="C1467" s="22" t="s">
        <v>7007</v>
      </c>
      <c r="D1467" s="32" t="s">
        <v>7000</v>
      </c>
      <c r="E1467" s="22" t="s">
        <v>3437</v>
      </c>
      <c r="F1467" s="22" t="s">
        <v>3360</v>
      </c>
      <c r="G1467" s="32" t="s">
        <v>7008</v>
      </c>
      <c r="H1467" s="22"/>
      <c r="I1467" s="22" t="s">
        <v>3363</v>
      </c>
    </row>
    <row r="1468" customFormat="false" ht="15" hidden="false" customHeight="true" outlineLevel="0" collapsed="false">
      <c r="A1468" s="24" t="s">
        <v>2040</v>
      </c>
      <c r="B1468" s="32" t="s">
        <v>7009</v>
      </c>
      <c r="C1468" s="22" t="s">
        <v>7010</v>
      </c>
      <c r="D1468" s="32" t="s">
        <v>7000</v>
      </c>
      <c r="E1468" s="22" t="s">
        <v>3437</v>
      </c>
      <c r="F1468" s="22" t="s">
        <v>3360</v>
      </c>
      <c r="G1468" s="32" t="s">
        <v>7011</v>
      </c>
      <c r="H1468" s="22"/>
      <c r="I1468" s="22" t="s">
        <v>3363</v>
      </c>
    </row>
    <row r="1469" customFormat="false" ht="15" hidden="false" customHeight="true" outlineLevel="0" collapsed="false">
      <c r="A1469" s="24" t="s">
        <v>2040</v>
      </c>
      <c r="B1469" s="32" t="s">
        <v>7012</v>
      </c>
      <c r="C1469" s="22" t="s">
        <v>7013</v>
      </c>
      <c r="D1469" s="32" t="s">
        <v>7000</v>
      </c>
      <c r="E1469" s="22" t="s">
        <v>3437</v>
      </c>
      <c r="F1469" s="22" t="s">
        <v>3360</v>
      </c>
      <c r="G1469" s="32" t="s">
        <v>7014</v>
      </c>
      <c r="H1469" s="22"/>
      <c r="I1469" s="22" t="s">
        <v>3363</v>
      </c>
    </row>
    <row r="1470" customFormat="false" ht="15" hidden="false" customHeight="true" outlineLevel="0" collapsed="false">
      <c r="A1470" s="24" t="s">
        <v>2040</v>
      </c>
      <c r="B1470" s="32" t="s">
        <v>7015</v>
      </c>
      <c r="C1470" s="22" t="s">
        <v>7016</v>
      </c>
      <c r="D1470" s="32" t="s">
        <v>7017</v>
      </c>
      <c r="E1470" s="22" t="s">
        <v>3437</v>
      </c>
      <c r="F1470" s="22" t="s">
        <v>3360</v>
      </c>
      <c r="G1470" s="32" t="s">
        <v>7018</v>
      </c>
      <c r="H1470" s="22"/>
      <c r="I1470" s="22" t="s">
        <v>3363</v>
      </c>
    </row>
    <row r="1471" customFormat="false" ht="15" hidden="false" customHeight="true" outlineLevel="0" collapsed="false">
      <c r="A1471" s="24" t="s">
        <v>2040</v>
      </c>
      <c r="B1471" s="32" t="s">
        <v>7019</v>
      </c>
      <c r="C1471" s="22" t="s">
        <v>7020</v>
      </c>
      <c r="D1471" s="32" t="s">
        <v>7017</v>
      </c>
      <c r="E1471" s="22" t="s">
        <v>3437</v>
      </c>
      <c r="F1471" s="22" t="s">
        <v>3360</v>
      </c>
      <c r="G1471" s="32" t="s">
        <v>7021</v>
      </c>
      <c r="H1471" s="22"/>
      <c r="I1471" s="22" t="s">
        <v>3363</v>
      </c>
    </row>
    <row r="1472" customFormat="false" ht="24.75" hidden="false" customHeight="true" outlineLevel="0" collapsed="false">
      <c r="A1472" s="24" t="s">
        <v>2040</v>
      </c>
      <c r="B1472" s="32" t="s">
        <v>7022</v>
      </c>
      <c r="C1472" s="22" t="s">
        <v>7023</v>
      </c>
      <c r="D1472" s="32" t="s">
        <v>7017</v>
      </c>
      <c r="E1472" s="22" t="s">
        <v>3437</v>
      </c>
      <c r="F1472" s="22" t="s">
        <v>3360</v>
      </c>
      <c r="G1472" s="32" t="s">
        <v>7024</v>
      </c>
      <c r="H1472" s="22"/>
      <c r="I1472" s="22" t="s">
        <v>3363</v>
      </c>
    </row>
    <row r="1473" customFormat="false" ht="24.75" hidden="false" customHeight="true" outlineLevel="0" collapsed="false">
      <c r="A1473" s="24" t="s">
        <v>2040</v>
      </c>
      <c r="B1473" s="32" t="s">
        <v>7025</v>
      </c>
      <c r="C1473" s="22" t="s">
        <v>7026</v>
      </c>
      <c r="D1473" s="32" t="s">
        <v>7017</v>
      </c>
      <c r="E1473" s="22" t="s">
        <v>3437</v>
      </c>
      <c r="F1473" s="22" t="s">
        <v>3360</v>
      </c>
      <c r="G1473" s="32" t="s">
        <v>7027</v>
      </c>
      <c r="H1473" s="22"/>
      <c r="I1473" s="22" t="s">
        <v>3363</v>
      </c>
    </row>
    <row r="1474" customFormat="false" ht="15" hidden="false" customHeight="true" outlineLevel="0" collapsed="false">
      <c r="A1474" s="24" t="s">
        <v>2040</v>
      </c>
      <c r="B1474" s="32" t="s">
        <v>7028</v>
      </c>
      <c r="C1474" s="22" t="s">
        <v>7029</v>
      </c>
      <c r="D1474" s="32" t="s">
        <v>7017</v>
      </c>
      <c r="E1474" s="22" t="s">
        <v>3437</v>
      </c>
      <c r="F1474" s="22" t="s">
        <v>3360</v>
      </c>
      <c r="G1474" s="32" t="s">
        <v>7030</v>
      </c>
      <c r="H1474" s="22"/>
      <c r="I1474" s="22" t="s">
        <v>3363</v>
      </c>
    </row>
    <row r="1475" customFormat="false" ht="24.75" hidden="false" customHeight="true" outlineLevel="0" collapsed="false">
      <c r="A1475" s="24" t="s">
        <v>2040</v>
      </c>
      <c r="B1475" s="32" t="s">
        <v>7031</v>
      </c>
      <c r="C1475" s="22" t="s">
        <v>7032</v>
      </c>
      <c r="D1475" s="32" t="s">
        <v>7017</v>
      </c>
      <c r="E1475" s="22" t="s">
        <v>3437</v>
      </c>
      <c r="F1475" s="22" t="s">
        <v>3378</v>
      </c>
      <c r="G1475" s="32" t="s">
        <v>7033</v>
      </c>
      <c r="H1475" s="22"/>
      <c r="I1475" s="22" t="s">
        <v>3363</v>
      </c>
    </row>
    <row r="1476" customFormat="false" ht="15" hidden="false" customHeight="true" outlineLevel="0" collapsed="false">
      <c r="A1476" s="24" t="s">
        <v>2040</v>
      </c>
      <c r="B1476" s="32" t="s">
        <v>7034</v>
      </c>
      <c r="C1476" s="22" t="s">
        <v>7035</v>
      </c>
      <c r="D1476" s="32" t="s">
        <v>5918</v>
      </c>
      <c r="E1476" s="22" t="s">
        <v>3437</v>
      </c>
      <c r="F1476" s="22" t="s">
        <v>3360</v>
      </c>
      <c r="G1476" s="32" t="s">
        <v>7036</v>
      </c>
      <c r="H1476" s="22" t="s">
        <v>7037</v>
      </c>
      <c r="I1476" s="22" t="s">
        <v>3363</v>
      </c>
    </row>
    <row r="1477" customFormat="false" ht="15" hidden="false" customHeight="true" outlineLevel="0" collapsed="false">
      <c r="A1477" s="24" t="s">
        <v>2040</v>
      </c>
      <c r="B1477" s="32" t="s">
        <v>7038</v>
      </c>
      <c r="C1477" s="22" t="s">
        <v>7039</v>
      </c>
      <c r="D1477" s="32" t="s">
        <v>7040</v>
      </c>
      <c r="E1477" s="22" t="s">
        <v>3359</v>
      </c>
      <c r="F1477" s="22" t="s">
        <v>3378</v>
      </c>
      <c r="G1477" s="32"/>
      <c r="H1477" s="22"/>
      <c r="I1477" s="22" t="s">
        <v>3363</v>
      </c>
    </row>
    <row r="1478" customFormat="false" ht="15" hidden="false" customHeight="true" outlineLevel="0" collapsed="false">
      <c r="A1478" s="24" t="s">
        <v>2040</v>
      </c>
      <c r="B1478" s="32" t="s">
        <v>6889</v>
      </c>
      <c r="C1478" s="22" t="s">
        <v>7041</v>
      </c>
      <c r="D1478" s="32" t="s">
        <v>7040</v>
      </c>
      <c r="E1478" s="22" t="s">
        <v>3389</v>
      </c>
      <c r="F1478" s="22" t="s">
        <v>3360</v>
      </c>
      <c r="G1478" s="32" t="s">
        <v>5943</v>
      </c>
      <c r="H1478" s="22" t="s">
        <v>7042</v>
      </c>
      <c r="I1478" s="22" t="s">
        <v>3363</v>
      </c>
    </row>
    <row r="1479" customFormat="false" ht="15" hidden="false" customHeight="true" outlineLevel="0" collapsed="false">
      <c r="A1479" s="24" t="s">
        <v>2040</v>
      </c>
      <c r="B1479" s="32" t="s">
        <v>6573</v>
      </c>
      <c r="C1479" s="22" t="s">
        <v>7043</v>
      </c>
      <c r="D1479" s="32" t="s">
        <v>7040</v>
      </c>
      <c r="E1479" s="22" t="s">
        <v>3359</v>
      </c>
      <c r="F1479" s="22" t="s">
        <v>3378</v>
      </c>
      <c r="G1479" s="32"/>
      <c r="H1479" s="22" t="s">
        <v>7044</v>
      </c>
      <c r="I1479" s="22" t="s">
        <v>3363</v>
      </c>
    </row>
    <row r="1480" customFormat="false" ht="15" hidden="false" customHeight="true" outlineLevel="0" collapsed="false">
      <c r="A1480" s="24" t="s">
        <v>2040</v>
      </c>
      <c r="B1480" s="32" t="s">
        <v>7045</v>
      </c>
      <c r="C1480" s="22" t="s">
        <v>7046</v>
      </c>
      <c r="D1480" s="32" t="s">
        <v>7047</v>
      </c>
      <c r="E1480" s="22" t="s">
        <v>3437</v>
      </c>
      <c r="F1480" s="22" t="s">
        <v>3378</v>
      </c>
      <c r="G1480" s="32"/>
      <c r="H1480" s="22"/>
      <c r="I1480" s="22" t="s">
        <v>3363</v>
      </c>
    </row>
    <row r="1481" customFormat="false" ht="15" hidden="false" customHeight="true" outlineLevel="0" collapsed="false">
      <c r="A1481" s="24" t="s">
        <v>2040</v>
      </c>
      <c r="B1481" s="32" t="s">
        <v>7048</v>
      </c>
      <c r="C1481" s="22" t="s">
        <v>7049</v>
      </c>
      <c r="D1481" s="32" t="s">
        <v>7047</v>
      </c>
      <c r="E1481" s="22" t="s">
        <v>3437</v>
      </c>
      <c r="F1481" s="22" t="s">
        <v>3378</v>
      </c>
      <c r="G1481" s="32"/>
      <c r="H1481" s="22"/>
      <c r="I1481" s="22" t="s">
        <v>3363</v>
      </c>
    </row>
    <row r="1482" customFormat="false" ht="15" hidden="false" customHeight="true" outlineLevel="0" collapsed="false">
      <c r="A1482" s="24" t="s">
        <v>2069</v>
      </c>
      <c r="B1482" s="32" t="s">
        <v>7050</v>
      </c>
      <c r="C1482" s="22" t="s">
        <v>7051</v>
      </c>
      <c r="D1482" s="32" t="s">
        <v>5720</v>
      </c>
      <c r="E1482" s="22" t="s">
        <v>3359</v>
      </c>
      <c r="F1482" s="22" t="s">
        <v>3360</v>
      </c>
      <c r="G1482" s="32" t="s">
        <v>6790</v>
      </c>
      <c r="H1482" s="22"/>
      <c r="I1482" s="22" t="s">
        <v>3363</v>
      </c>
    </row>
    <row r="1483" customFormat="false" ht="15" hidden="false" customHeight="true" outlineLevel="0" collapsed="false">
      <c r="A1483" s="24" t="s">
        <v>2069</v>
      </c>
      <c r="B1483" s="32" t="s">
        <v>7052</v>
      </c>
      <c r="C1483" s="22" t="s">
        <v>7053</v>
      </c>
      <c r="D1483" s="32" t="s">
        <v>5720</v>
      </c>
      <c r="E1483" s="22" t="s">
        <v>3359</v>
      </c>
      <c r="F1483" s="22" t="s">
        <v>3360</v>
      </c>
      <c r="G1483" s="32" t="s">
        <v>7054</v>
      </c>
      <c r="H1483" s="22"/>
      <c r="I1483" s="22" t="s">
        <v>3363</v>
      </c>
    </row>
    <row r="1484" customFormat="false" ht="15" hidden="false" customHeight="true" outlineLevel="0" collapsed="false">
      <c r="A1484" s="24" t="s">
        <v>2069</v>
      </c>
      <c r="B1484" s="32" t="s">
        <v>7055</v>
      </c>
      <c r="C1484" s="22" t="s">
        <v>7056</v>
      </c>
      <c r="D1484" s="32" t="s">
        <v>7057</v>
      </c>
      <c r="E1484" s="22" t="s">
        <v>3359</v>
      </c>
      <c r="F1484" s="22" t="s">
        <v>3360</v>
      </c>
      <c r="G1484" s="32" t="s">
        <v>6802</v>
      </c>
      <c r="H1484" s="22" t="s">
        <v>7058</v>
      </c>
      <c r="I1484" s="22" t="s">
        <v>3363</v>
      </c>
    </row>
    <row r="1485" customFormat="false" ht="15" hidden="false" customHeight="true" outlineLevel="0" collapsed="false">
      <c r="A1485" s="24" t="s">
        <v>2069</v>
      </c>
      <c r="B1485" s="32" t="s">
        <v>7059</v>
      </c>
      <c r="C1485" s="22" t="s">
        <v>7060</v>
      </c>
      <c r="D1485" s="32" t="s">
        <v>7057</v>
      </c>
      <c r="E1485" s="22" t="s">
        <v>3359</v>
      </c>
      <c r="F1485" s="22" t="s">
        <v>3360</v>
      </c>
      <c r="G1485" s="32"/>
      <c r="H1485" s="22"/>
      <c r="I1485" s="22" t="s">
        <v>3363</v>
      </c>
    </row>
    <row r="1486" customFormat="false" ht="24.75" hidden="false" customHeight="true" outlineLevel="0" collapsed="false">
      <c r="A1486" s="24" t="s">
        <v>2069</v>
      </c>
      <c r="B1486" s="32" t="s">
        <v>7061</v>
      </c>
      <c r="C1486" s="22" t="s">
        <v>7062</v>
      </c>
      <c r="D1486" s="32" t="s">
        <v>7057</v>
      </c>
      <c r="E1486" s="22" t="s">
        <v>3437</v>
      </c>
      <c r="F1486" s="22" t="s">
        <v>3360</v>
      </c>
      <c r="G1486" s="32" t="s">
        <v>7063</v>
      </c>
      <c r="H1486" s="22" t="s">
        <v>7064</v>
      </c>
      <c r="I1486" s="22" t="s">
        <v>3363</v>
      </c>
    </row>
    <row r="1487" customFormat="false" ht="15" hidden="false" customHeight="true" outlineLevel="0" collapsed="false">
      <c r="A1487" s="24" t="s">
        <v>2069</v>
      </c>
      <c r="B1487" s="32" t="s">
        <v>7065</v>
      </c>
      <c r="C1487" s="22" t="s">
        <v>7066</v>
      </c>
      <c r="D1487" s="32" t="s">
        <v>7057</v>
      </c>
      <c r="E1487" s="22" t="s">
        <v>3394</v>
      </c>
      <c r="F1487" s="22" t="s">
        <v>3360</v>
      </c>
      <c r="G1487" s="32" t="s">
        <v>5753</v>
      </c>
      <c r="H1487" s="22" t="s">
        <v>7067</v>
      </c>
      <c r="I1487" s="22" t="s">
        <v>3363</v>
      </c>
    </row>
    <row r="1488" customFormat="false" ht="62.25" hidden="false" customHeight="true" outlineLevel="0" collapsed="false">
      <c r="A1488" s="24" t="s">
        <v>2069</v>
      </c>
      <c r="B1488" s="32" t="s">
        <v>7068</v>
      </c>
      <c r="C1488" s="22" t="s">
        <v>7069</v>
      </c>
      <c r="D1488" s="32" t="s">
        <v>7057</v>
      </c>
      <c r="E1488" s="22" t="s">
        <v>3377</v>
      </c>
      <c r="F1488" s="22" t="s">
        <v>6286</v>
      </c>
      <c r="G1488" s="32" t="s">
        <v>7070</v>
      </c>
      <c r="H1488" s="22" t="s">
        <v>7071</v>
      </c>
      <c r="I1488" s="22" t="s">
        <v>3363</v>
      </c>
    </row>
    <row r="1489" customFormat="false" ht="37.5" hidden="false" customHeight="true" outlineLevel="0" collapsed="false">
      <c r="A1489" s="24" t="s">
        <v>2069</v>
      </c>
      <c r="B1489" s="32" t="s">
        <v>7072</v>
      </c>
      <c r="C1489" s="22" t="s">
        <v>7073</v>
      </c>
      <c r="D1489" s="32" t="s">
        <v>7057</v>
      </c>
      <c r="E1489" s="22" t="s">
        <v>3389</v>
      </c>
      <c r="F1489" s="22" t="s">
        <v>6286</v>
      </c>
      <c r="G1489" s="32" t="s">
        <v>7074</v>
      </c>
      <c r="H1489" s="22"/>
      <c r="I1489" s="22" t="s">
        <v>3363</v>
      </c>
    </row>
    <row r="1490" customFormat="false" ht="24.75" hidden="false" customHeight="true" outlineLevel="0" collapsed="false">
      <c r="A1490" s="24" t="s">
        <v>2069</v>
      </c>
      <c r="B1490" s="32" t="s">
        <v>7075</v>
      </c>
      <c r="C1490" s="22" t="s">
        <v>7076</v>
      </c>
      <c r="D1490" s="32" t="s">
        <v>7077</v>
      </c>
      <c r="E1490" s="22" t="s">
        <v>3394</v>
      </c>
      <c r="F1490" s="22" t="s">
        <v>3378</v>
      </c>
      <c r="G1490" s="32" t="s">
        <v>7078</v>
      </c>
      <c r="H1490" s="22" t="s">
        <v>7079</v>
      </c>
      <c r="I1490" s="22" t="s">
        <v>3363</v>
      </c>
    </row>
    <row r="1491" customFormat="false" ht="15" hidden="false" customHeight="true" outlineLevel="0" collapsed="false">
      <c r="A1491" s="24" t="s">
        <v>2069</v>
      </c>
      <c r="B1491" s="32" t="s">
        <v>7080</v>
      </c>
      <c r="C1491" s="22" t="s">
        <v>7081</v>
      </c>
      <c r="D1491" s="32" t="s">
        <v>7082</v>
      </c>
      <c r="E1491" s="22" t="s">
        <v>3394</v>
      </c>
      <c r="F1491" s="22" t="s">
        <v>3378</v>
      </c>
      <c r="G1491" s="32" t="s">
        <v>7083</v>
      </c>
      <c r="H1491" s="22"/>
      <c r="I1491" s="22" t="s">
        <v>3363</v>
      </c>
    </row>
    <row r="1492" customFormat="false" ht="15" hidden="false" customHeight="true" outlineLevel="0" collapsed="false">
      <c r="A1492" s="24" t="s">
        <v>2069</v>
      </c>
      <c r="B1492" s="32" t="s">
        <v>7084</v>
      </c>
      <c r="C1492" s="22" t="s">
        <v>7085</v>
      </c>
      <c r="D1492" s="32" t="s">
        <v>7082</v>
      </c>
      <c r="E1492" s="22" t="s">
        <v>3394</v>
      </c>
      <c r="F1492" s="22" t="s">
        <v>3360</v>
      </c>
      <c r="G1492" s="32" t="s">
        <v>7086</v>
      </c>
      <c r="H1492" s="22" t="s">
        <v>7087</v>
      </c>
      <c r="I1492" s="22" t="s">
        <v>3363</v>
      </c>
    </row>
    <row r="1493" customFormat="false" ht="15" hidden="false" customHeight="true" outlineLevel="0" collapsed="false">
      <c r="A1493" s="24" t="s">
        <v>2069</v>
      </c>
      <c r="B1493" s="32" t="s">
        <v>7088</v>
      </c>
      <c r="C1493" s="22" t="s">
        <v>7089</v>
      </c>
      <c r="D1493" s="32" t="s">
        <v>7077</v>
      </c>
      <c r="E1493" s="22" t="s">
        <v>3377</v>
      </c>
      <c r="F1493" s="22" t="s">
        <v>3378</v>
      </c>
      <c r="G1493" s="32" t="s">
        <v>5947</v>
      </c>
      <c r="H1493" s="22" t="s">
        <v>7090</v>
      </c>
      <c r="I1493" s="22" t="s">
        <v>3363</v>
      </c>
    </row>
    <row r="1494" customFormat="false" ht="15" hidden="false" customHeight="true" outlineLevel="0" collapsed="false">
      <c r="A1494" s="24" t="s">
        <v>2070</v>
      </c>
      <c r="B1494" s="32" t="s">
        <v>7052</v>
      </c>
      <c r="C1494" s="22" t="s">
        <v>7053</v>
      </c>
      <c r="D1494" s="32" t="s">
        <v>5720</v>
      </c>
      <c r="E1494" s="22" t="s">
        <v>3359</v>
      </c>
      <c r="F1494" s="22" t="s">
        <v>3360</v>
      </c>
      <c r="G1494" s="32"/>
      <c r="H1494" s="22"/>
      <c r="I1494" s="22" t="s">
        <v>3363</v>
      </c>
    </row>
    <row r="1495" customFormat="false" ht="15" hidden="false" customHeight="true" outlineLevel="0" collapsed="false">
      <c r="A1495" s="24" t="s">
        <v>2070</v>
      </c>
      <c r="B1495" s="32" t="s">
        <v>7091</v>
      </c>
      <c r="C1495" s="22" t="s">
        <v>7092</v>
      </c>
      <c r="D1495" s="32" t="s">
        <v>5720</v>
      </c>
      <c r="E1495" s="22" t="s">
        <v>3359</v>
      </c>
      <c r="F1495" s="22" t="s">
        <v>3360</v>
      </c>
      <c r="G1495" s="32" t="s">
        <v>6790</v>
      </c>
      <c r="H1495" s="22"/>
      <c r="I1495" s="22" t="s">
        <v>3363</v>
      </c>
    </row>
    <row r="1496" customFormat="false" ht="15" hidden="false" customHeight="true" outlineLevel="0" collapsed="false">
      <c r="A1496" s="24" t="s">
        <v>2070</v>
      </c>
      <c r="B1496" s="32" t="s">
        <v>7093</v>
      </c>
      <c r="C1496" s="22" t="s">
        <v>7094</v>
      </c>
      <c r="D1496" s="32" t="s">
        <v>5720</v>
      </c>
      <c r="E1496" s="22" t="s">
        <v>3359</v>
      </c>
      <c r="F1496" s="22" t="s">
        <v>3360</v>
      </c>
      <c r="G1496" s="32"/>
      <c r="H1496" s="22" t="s">
        <v>7095</v>
      </c>
      <c r="I1496" s="22" t="s">
        <v>3363</v>
      </c>
    </row>
    <row r="1497" customFormat="false" ht="15" hidden="false" customHeight="true" outlineLevel="0" collapsed="false">
      <c r="A1497" s="24" t="s">
        <v>2070</v>
      </c>
      <c r="B1497" s="32" t="s">
        <v>7096</v>
      </c>
      <c r="C1497" s="22" t="s">
        <v>7097</v>
      </c>
      <c r="D1497" s="32" t="s">
        <v>5720</v>
      </c>
      <c r="E1497" s="22" t="s">
        <v>3389</v>
      </c>
      <c r="F1497" s="22" t="s">
        <v>3378</v>
      </c>
      <c r="G1497" s="32" t="s">
        <v>5943</v>
      </c>
      <c r="H1497" s="22"/>
      <c r="I1497" s="22" t="s">
        <v>3363</v>
      </c>
    </row>
    <row r="1498" customFormat="false" ht="24.75" hidden="false" customHeight="true" outlineLevel="0" collapsed="false">
      <c r="A1498" s="24" t="s">
        <v>2070</v>
      </c>
      <c r="B1498" s="32" t="s">
        <v>7098</v>
      </c>
      <c r="C1498" s="22" t="s">
        <v>7099</v>
      </c>
      <c r="D1498" s="32" t="s">
        <v>5911</v>
      </c>
      <c r="E1498" s="22" t="s">
        <v>3394</v>
      </c>
      <c r="F1498" s="22" t="s">
        <v>3360</v>
      </c>
      <c r="G1498" s="32" t="s">
        <v>5753</v>
      </c>
      <c r="H1498" s="22" t="s">
        <v>7100</v>
      </c>
      <c r="I1498" s="22" t="s">
        <v>3363</v>
      </c>
    </row>
    <row r="1499" customFormat="false" ht="15" hidden="false" customHeight="true" outlineLevel="0" collapsed="false">
      <c r="A1499" s="24" t="s">
        <v>2070</v>
      </c>
      <c r="B1499" s="32" t="s">
        <v>6889</v>
      </c>
      <c r="C1499" s="22" t="s">
        <v>7101</v>
      </c>
      <c r="D1499" s="32" t="s">
        <v>5706</v>
      </c>
      <c r="E1499" s="22" t="s">
        <v>3389</v>
      </c>
      <c r="F1499" s="22" t="s">
        <v>3360</v>
      </c>
      <c r="G1499" s="32" t="s">
        <v>5943</v>
      </c>
      <c r="H1499" s="22" t="s">
        <v>7102</v>
      </c>
      <c r="I1499" s="22" t="s">
        <v>3363</v>
      </c>
    </row>
    <row r="1500" customFormat="false" ht="15" hidden="false" customHeight="true" outlineLevel="0" collapsed="false">
      <c r="A1500" s="24" t="s">
        <v>2070</v>
      </c>
      <c r="B1500" s="32" t="s">
        <v>6573</v>
      </c>
      <c r="C1500" s="22" t="s">
        <v>7103</v>
      </c>
      <c r="D1500" s="32" t="s">
        <v>5706</v>
      </c>
      <c r="E1500" s="22" t="s">
        <v>3359</v>
      </c>
      <c r="F1500" s="22" t="s">
        <v>3378</v>
      </c>
      <c r="G1500" s="32"/>
      <c r="H1500" s="22" t="s">
        <v>7044</v>
      </c>
      <c r="I1500" s="22" t="s">
        <v>3363</v>
      </c>
    </row>
    <row r="1501" customFormat="false" ht="15" hidden="false" customHeight="true" outlineLevel="0" collapsed="false">
      <c r="A1501" s="24" t="s">
        <v>2070</v>
      </c>
      <c r="B1501" s="32" t="s">
        <v>6578</v>
      </c>
      <c r="C1501" s="22" t="s">
        <v>6579</v>
      </c>
      <c r="D1501" s="32" t="s">
        <v>5706</v>
      </c>
      <c r="E1501" s="22" t="s">
        <v>3359</v>
      </c>
      <c r="F1501" s="22" t="s">
        <v>3378</v>
      </c>
      <c r="G1501" s="32"/>
      <c r="H1501" s="22"/>
      <c r="I1501" s="22" t="s">
        <v>3363</v>
      </c>
    </row>
    <row r="1502" customFormat="false" ht="15" hidden="false" customHeight="true" outlineLevel="0" collapsed="false">
      <c r="A1502" s="24" t="s">
        <v>2099</v>
      </c>
      <c r="B1502" s="32" t="s">
        <v>7104</v>
      </c>
      <c r="C1502" s="22" t="s">
        <v>7105</v>
      </c>
      <c r="D1502" s="32" t="s">
        <v>5720</v>
      </c>
      <c r="E1502" s="22" t="s">
        <v>3359</v>
      </c>
      <c r="F1502" s="22" t="s">
        <v>3360</v>
      </c>
      <c r="G1502" s="32" t="s">
        <v>6810</v>
      </c>
      <c r="H1502" s="22"/>
      <c r="I1502" s="22" t="s">
        <v>3363</v>
      </c>
    </row>
    <row r="1503" customFormat="false" ht="15" hidden="false" customHeight="true" outlineLevel="0" collapsed="false">
      <c r="A1503" s="24" t="s">
        <v>2099</v>
      </c>
      <c r="B1503" s="32" t="s">
        <v>7106</v>
      </c>
      <c r="C1503" s="22" t="s">
        <v>7107</v>
      </c>
      <c r="D1503" s="32" t="s">
        <v>5720</v>
      </c>
      <c r="E1503" s="22" t="s">
        <v>3359</v>
      </c>
      <c r="F1503" s="22" t="s">
        <v>3360</v>
      </c>
      <c r="G1503" s="32" t="s">
        <v>7108</v>
      </c>
      <c r="H1503" s="22"/>
      <c r="I1503" s="22" t="s">
        <v>3363</v>
      </c>
    </row>
    <row r="1504" customFormat="false" ht="15" hidden="false" customHeight="true" outlineLevel="0" collapsed="false">
      <c r="A1504" s="24" t="s">
        <v>2099</v>
      </c>
      <c r="B1504" s="32" t="s">
        <v>5672</v>
      </c>
      <c r="C1504" s="22" t="s">
        <v>7109</v>
      </c>
      <c r="D1504" s="32" t="s">
        <v>5720</v>
      </c>
      <c r="E1504" s="22" t="s">
        <v>3389</v>
      </c>
      <c r="F1504" s="22" t="s">
        <v>3360</v>
      </c>
      <c r="G1504" s="32" t="s">
        <v>5943</v>
      </c>
      <c r="H1504" s="22"/>
      <c r="I1504" s="22" t="s">
        <v>3363</v>
      </c>
    </row>
    <row r="1505" customFormat="false" ht="15" hidden="false" customHeight="true" outlineLevel="0" collapsed="false">
      <c r="A1505" s="24" t="s">
        <v>2099</v>
      </c>
      <c r="B1505" s="32" t="s">
        <v>5674</v>
      </c>
      <c r="C1505" s="22" t="s">
        <v>7110</v>
      </c>
      <c r="D1505" s="32" t="s">
        <v>5720</v>
      </c>
      <c r="E1505" s="22" t="s">
        <v>3389</v>
      </c>
      <c r="F1505" s="22" t="s">
        <v>3360</v>
      </c>
      <c r="G1505" s="32" t="s">
        <v>5943</v>
      </c>
      <c r="H1505" s="22"/>
      <c r="I1505" s="22" t="s">
        <v>3363</v>
      </c>
    </row>
    <row r="1506" customFormat="false" ht="15" hidden="false" customHeight="true" outlineLevel="0" collapsed="false">
      <c r="A1506" s="24" t="s">
        <v>2099</v>
      </c>
      <c r="B1506" s="32" t="s">
        <v>7111</v>
      </c>
      <c r="C1506" s="22" t="s">
        <v>7112</v>
      </c>
      <c r="D1506" s="32" t="s">
        <v>7113</v>
      </c>
      <c r="E1506" s="22" t="s">
        <v>3394</v>
      </c>
      <c r="F1506" s="22" t="s">
        <v>3360</v>
      </c>
      <c r="G1506" s="32" t="s">
        <v>5753</v>
      </c>
      <c r="H1506" s="22"/>
      <c r="I1506" s="22" t="s">
        <v>3363</v>
      </c>
    </row>
    <row r="1507" customFormat="false" ht="15" hidden="false" customHeight="true" outlineLevel="0" collapsed="false">
      <c r="A1507" s="24" t="s">
        <v>2099</v>
      </c>
      <c r="B1507" s="32" t="s">
        <v>7114</v>
      </c>
      <c r="C1507" s="22" t="s">
        <v>7115</v>
      </c>
      <c r="D1507" s="32" t="s">
        <v>7113</v>
      </c>
      <c r="E1507" s="22" t="s">
        <v>3394</v>
      </c>
      <c r="F1507" s="22" t="s">
        <v>3378</v>
      </c>
      <c r="G1507" s="32" t="s">
        <v>5753</v>
      </c>
      <c r="H1507" s="22"/>
      <c r="I1507" s="22" t="s">
        <v>3363</v>
      </c>
    </row>
    <row r="1508" customFormat="false" ht="15" hidden="false" customHeight="true" outlineLevel="0" collapsed="false">
      <c r="A1508" s="24" t="s">
        <v>2099</v>
      </c>
      <c r="B1508" s="32" t="s">
        <v>7116</v>
      </c>
      <c r="C1508" s="22" t="s">
        <v>7117</v>
      </c>
      <c r="D1508" s="32" t="s">
        <v>7113</v>
      </c>
      <c r="E1508" s="22" t="s">
        <v>3394</v>
      </c>
      <c r="F1508" s="22" t="s">
        <v>3360</v>
      </c>
      <c r="G1508" s="32" t="s">
        <v>5753</v>
      </c>
      <c r="H1508" s="22" t="s">
        <v>7118</v>
      </c>
      <c r="I1508" s="22" t="s">
        <v>3363</v>
      </c>
    </row>
    <row r="1509" customFormat="false" ht="15" hidden="false" customHeight="true" outlineLevel="0" collapsed="false">
      <c r="A1509" s="24" t="s">
        <v>2099</v>
      </c>
      <c r="B1509" s="32" t="s">
        <v>7119</v>
      </c>
      <c r="C1509" s="22" t="s">
        <v>7120</v>
      </c>
      <c r="D1509" s="32" t="s">
        <v>7113</v>
      </c>
      <c r="E1509" s="22" t="s">
        <v>3437</v>
      </c>
      <c r="F1509" s="22" t="s">
        <v>3360</v>
      </c>
      <c r="G1509" s="32" t="s">
        <v>3749</v>
      </c>
      <c r="H1509" s="22" t="s">
        <v>7121</v>
      </c>
      <c r="I1509" s="22" t="s">
        <v>3363</v>
      </c>
    </row>
    <row r="1510" customFormat="false" ht="15" hidden="false" customHeight="true" outlineLevel="0" collapsed="false">
      <c r="A1510" s="24" t="s">
        <v>2099</v>
      </c>
      <c r="B1510" s="32" t="s">
        <v>7122</v>
      </c>
      <c r="C1510" s="22" t="s">
        <v>7123</v>
      </c>
      <c r="D1510" s="32" t="s">
        <v>7113</v>
      </c>
      <c r="E1510" s="22" t="s">
        <v>3394</v>
      </c>
      <c r="F1510" s="22" t="s">
        <v>3360</v>
      </c>
      <c r="G1510" s="32" t="s">
        <v>5753</v>
      </c>
      <c r="H1510" s="22"/>
      <c r="I1510" s="22" t="s">
        <v>3363</v>
      </c>
    </row>
    <row r="1511" customFormat="false" ht="15" hidden="false" customHeight="true" outlineLevel="0" collapsed="false">
      <c r="A1511" s="24" t="s">
        <v>2099</v>
      </c>
      <c r="B1511" s="32" t="s">
        <v>7124</v>
      </c>
      <c r="C1511" s="22" t="s">
        <v>7125</v>
      </c>
      <c r="D1511" s="32" t="s">
        <v>5918</v>
      </c>
      <c r="E1511" s="22" t="s">
        <v>3394</v>
      </c>
      <c r="F1511" s="22" t="s">
        <v>3360</v>
      </c>
      <c r="G1511" s="32" t="s">
        <v>5753</v>
      </c>
      <c r="H1511" s="22" t="s">
        <v>7126</v>
      </c>
      <c r="I1511" s="22" t="s">
        <v>3363</v>
      </c>
    </row>
    <row r="1512" customFormat="false" ht="15" hidden="false" customHeight="true" outlineLevel="0" collapsed="false">
      <c r="A1512" s="24" t="s">
        <v>2099</v>
      </c>
      <c r="B1512" s="32" t="s">
        <v>7127</v>
      </c>
      <c r="C1512" s="22" t="s">
        <v>7128</v>
      </c>
      <c r="D1512" s="32" t="s">
        <v>5918</v>
      </c>
      <c r="E1512" s="22" t="s">
        <v>3394</v>
      </c>
      <c r="F1512" s="22" t="s">
        <v>3378</v>
      </c>
      <c r="G1512" s="32" t="s">
        <v>5753</v>
      </c>
      <c r="H1512" s="22"/>
      <c r="I1512" s="22" t="s">
        <v>3363</v>
      </c>
    </row>
    <row r="1513" customFormat="false" ht="15" hidden="false" customHeight="true" outlineLevel="0" collapsed="false">
      <c r="A1513" s="24" t="s">
        <v>2099</v>
      </c>
      <c r="B1513" s="32" t="s">
        <v>7129</v>
      </c>
      <c r="C1513" s="22" t="s">
        <v>7130</v>
      </c>
      <c r="D1513" s="32" t="s">
        <v>5918</v>
      </c>
      <c r="E1513" s="22" t="s">
        <v>3394</v>
      </c>
      <c r="F1513" s="22" t="s">
        <v>3360</v>
      </c>
      <c r="G1513" s="32" t="s">
        <v>5753</v>
      </c>
      <c r="H1513" s="22" t="s">
        <v>7131</v>
      </c>
      <c r="I1513" s="22" t="s">
        <v>3363</v>
      </c>
    </row>
    <row r="1514" customFormat="false" ht="15" hidden="false" customHeight="true" outlineLevel="0" collapsed="false">
      <c r="A1514" s="24" t="s">
        <v>2099</v>
      </c>
      <c r="B1514" s="32" t="s">
        <v>3824</v>
      </c>
      <c r="C1514" s="22" t="s">
        <v>3825</v>
      </c>
      <c r="D1514" s="32" t="s">
        <v>7132</v>
      </c>
      <c r="E1514" s="22" t="s">
        <v>3389</v>
      </c>
      <c r="F1514" s="22" t="s">
        <v>3360</v>
      </c>
      <c r="G1514" s="32" t="s">
        <v>5943</v>
      </c>
      <c r="H1514" s="22"/>
      <c r="I1514" s="22" t="s">
        <v>3363</v>
      </c>
    </row>
    <row r="1515" customFormat="false" ht="15" hidden="false" customHeight="true" outlineLevel="0" collapsed="false">
      <c r="A1515" s="24" t="s">
        <v>2100</v>
      </c>
      <c r="B1515" s="32" t="s">
        <v>7104</v>
      </c>
      <c r="C1515" s="22" t="s">
        <v>7105</v>
      </c>
      <c r="D1515" s="32" t="s">
        <v>5720</v>
      </c>
      <c r="E1515" s="22" t="s">
        <v>3359</v>
      </c>
      <c r="F1515" s="22" t="s">
        <v>3360</v>
      </c>
      <c r="G1515" s="32"/>
      <c r="H1515" s="22"/>
      <c r="I1515" s="22" t="s">
        <v>3363</v>
      </c>
    </row>
    <row r="1516" customFormat="false" ht="15" hidden="false" customHeight="true" outlineLevel="0" collapsed="false">
      <c r="A1516" s="24" t="s">
        <v>2100</v>
      </c>
      <c r="B1516" s="32" t="s">
        <v>7106</v>
      </c>
      <c r="C1516" s="22" t="s">
        <v>7133</v>
      </c>
      <c r="D1516" s="32" t="s">
        <v>5720</v>
      </c>
      <c r="E1516" s="22" t="s">
        <v>3359</v>
      </c>
      <c r="F1516" s="22" t="s">
        <v>3360</v>
      </c>
      <c r="G1516" s="32"/>
      <c r="H1516" s="22"/>
      <c r="I1516" s="22" t="s">
        <v>3363</v>
      </c>
    </row>
    <row r="1517" customFormat="false" ht="15" hidden="false" customHeight="true" outlineLevel="0" collapsed="false">
      <c r="A1517" s="24" t="s">
        <v>2100</v>
      </c>
      <c r="B1517" s="32" t="s">
        <v>5672</v>
      </c>
      <c r="C1517" s="22" t="s">
        <v>7134</v>
      </c>
      <c r="D1517" s="32" t="s">
        <v>5720</v>
      </c>
      <c r="E1517" s="22" t="s">
        <v>3389</v>
      </c>
      <c r="F1517" s="22" t="s">
        <v>3360</v>
      </c>
      <c r="G1517" s="32" t="s">
        <v>5943</v>
      </c>
      <c r="H1517" s="22"/>
      <c r="I1517" s="22" t="s">
        <v>3363</v>
      </c>
    </row>
    <row r="1518" customFormat="false" ht="15" hidden="false" customHeight="true" outlineLevel="0" collapsed="false">
      <c r="A1518" s="24" t="s">
        <v>2100</v>
      </c>
      <c r="B1518" s="32" t="s">
        <v>5674</v>
      </c>
      <c r="C1518" s="22" t="s">
        <v>7135</v>
      </c>
      <c r="D1518" s="32" t="s">
        <v>5720</v>
      </c>
      <c r="E1518" s="22" t="s">
        <v>3389</v>
      </c>
      <c r="F1518" s="22" t="s">
        <v>3360</v>
      </c>
      <c r="G1518" s="32" t="s">
        <v>5943</v>
      </c>
      <c r="H1518" s="22"/>
      <c r="I1518" s="22" t="s">
        <v>3363</v>
      </c>
    </row>
    <row r="1519" customFormat="false" ht="15" hidden="false" customHeight="true" outlineLevel="0" collapsed="false">
      <c r="A1519" s="24" t="s">
        <v>2100</v>
      </c>
      <c r="B1519" s="32" t="s">
        <v>7093</v>
      </c>
      <c r="C1519" s="22" t="s">
        <v>7136</v>
      </c>
      <c r="D1519" s="32" t="s">
        <v>5720</v>
      </c>
      <c r="E1519" s="22" t="s">
        <v>3359</v>
      </c>
      <c r="F1519" s="22" t="s">
        <v>3360</v>
      </c>
      <c r="G1519" s="32"/>
      <c r="H1519" s="22"/>
      <c r="I1519" s="22" t="s">
        <v>3363</v>
      </c>
    </row>
    <row r="1520" customFormat="false" ht="15" hidden="false" customHeight="true" outlineLevel="0" collapsed="false">
      <c r="A1520" s="24" t="s">
        <v>2100</v>
      </c>
      <c r="B1520" s="32" t="s">
        <v>7122</v>
      </c>
      <c r="C1520" s="22" t="s">
        <v>6550</v>
      </c>
      <c r="D1520" s="32" t="s">
        <v>5911</v>
      </c>
      <c r="E1520" s="22" t="s">
        <v>3394</v>
      </c>
      <c r="F1520" s="22" t="s">
        <v>3360</v>
      </c>
      <c r="G1520" s="32" t="s">
        <v>5753</v>
      </c>
      <c r="H1520" s="22"/>
      <c r="I1520" s="22" t="s">
        <v>3363</v>
      </c>
    </row>
    <row r="1521" customFormat="false" ht="15" hidden="false" customHeight="true" outlineLevel="0" collapsed="false">
      <c r="A1521" s="24" t="s">
        <v>2100</v>
      </c>
      <c r="B1521" s="32" t="s">
        <v>7137</v>
      </c>
      <c r="C1521" s="22" t="s">
        <v>5815</v>
      </c>
      <c r="D1521" s="32" t="s">
        <v>5911</v>
      </c>
      <c r="E1521" s="22" t="s">
        <v>3394</v>
      </c>
      <c r="F1521" s="22" t="s">
        <v>3378</v>
      </c>
      <c r="G1521" s="32" t="s">
        <v>5753</v>
      </c>
      <c r="H1521" s="22"/>
      <c r="I1521" s="22" t="s">
        <v>3363</v>
      </c>
    </row>
    <row r="1522" customFormat="false" ht="15" hidden="false" customHeight="true" outlineLevel="0" collapsed="false">
      <c r="A1522" s="24" t="s">
        <v>2100</v>
      </c>
      <c r="B1522" s="32" t="s">
        <v>7138</v>
      </c>
      <c r="C1522" s="22" t="s">
        <v>7139</v>
      </c>
      <c r="D1522" s="32" t="s">
        <v>5911</v>
      </c>
      <c r="E1522" s="22" t="s">
        <v>3394</v>
      </c>
      <c r="F1522" s="22" t="s">
        <v>3378</v>
      </c>
      <c r="G1522" s="32" t="s">
        <v>5753</v>
      </c>
      <c r="H1522" s="22"/>
      <c r="I1522" s="22" t="s">
        <v>3363</v>
      </c>
    </row>
    <row r="1523" customFormat="false" ht="15" hidden="false" customHeight="true" outlineLevel="0" collapsed="false">
      <c r="A1523" s="24" t="s">
        <v>2100</v>
      </c>
      <c r="B1523" s="32" t="s">
        <v>7140</v>
      </c>
      <c r="C1523" s="22" t="s">
        <v>6562</v>
      </c>
      <c r="D1523" s="32" t="s">
        <v>5911</v>
      </c>
      <c r="E1523" s="22" t="s">
        <v>3394</v>
      </c>
      <c r="F1523" s="22" t="s">
        <v>3360</v>
      </c>
      <c r="G1523" s="32" t="s">
        <v>6782</v>
      </c>
      <c r="H1523" s="22"/>
      <c r="I1523" s="22" t="s">
        <v>3363</v>
      </c>
    </row>
    <row r="1524" customFormat="false" ht="15" hidden="false" customHeight="true" outlineLevel="0" collapsed="false">
      <c r="A1524" s="24" t="s">
        <v>2100</v>
      </c>
      <c r="B1524" s="32" t="s">
        <v>6889</v>
      </c>
      <c r="C1524" s="22" t="s">
        <v>7141</v>
      </c>
      <c r="D1524" s="32" t="s">
        <v>5706</v>
      </c>
      <c r="E1524" s="22" t="s">
        <v>3389</v>
      </c>
      <c r="F1524" s="22" t="s">
        <v>3360</v>
      </c>
      <c r="G1524" s="32" t="s">
        <v>5943</v>
      </c>
      <c r="H1524" s="22"/>
      <c r="I1524" s="22" t="s">
        <v>3363</v>
      </c>
    </row>
    <row r="1525" customFormat="false" ht="15" hidden="false" customHeight="true" outlineLevel="0" collapsed="false">
      <c r="A1525" s="24" t="s">
        <v>2100</v>
      </c>
      <c r="B1525" s="32" t="s">
        <v>6573</v>
      </c>
      <c r="C1525" s="22" t="s">
        <v>7142</v>
      </c>
      <c r="D1525" s="32" t="s">
        <v>5706</v>
      </c>
      <c r="E1525" s="22" t="s">
        <v>3359</v>
      </c>
      <c r="F1525" s="22" t="s">
        <v>3378</v>
      </c>
      <c r="G1525" s="32"/>
      <c r="H1525" s="22" t="s">
        <v>7044</v>
      </c>
      <c r="I1525" s="22" t="s">
        <v>3363</v>
      </c>
    </row>
    <row r="1526" customFormat="false" ht="24.75" hidden="false" customHeight="true" outlineLevel="0" collapsed="false">
      <c r="A1526" s="24" t="s">
        <v>1593</v>
      </c>
      <c r="B1526" s="32" t="s">
        <v>6311</v>
      </c>
      <c r="C1526" s="22" t="s">
        <v>6312</v>
      </c>
      <c r="D1526" s="32" t="s">
        <v>7143</v>
      </c>
      <c r="E1526" s="22" t="s">
        <v>3359</v>
      </c>
      <c r="F1526" s="22" t="s">
        <v>3360</v>
      </c>
      <c r="G1526" s="32" t="s">
        <v>5721</v>
      </c>
      <c r="H1526" s="22" t="s">
        <v>6314</v>
      </c>
      <c r="I1526" s="22" t="s">
        <v>3363</v>
      </c>
    </row>
    <row r="1527" customFormat="false" ht="24.75" hidden="false" customHeight="true" outlineLevel="0" collapsed="false">
      <c r="A1527" s="24" t="s">
        <v>1593</v>
      </c>
      <c r="B1527" s="32" t="s">
        <v>6315</v>
      </c>
      <c r="C1527" s="22" t="s">
        <v>6316</v>
      </c>
      <c r="D1527" s="32" t="s">
        <v>7143</v>
      </c>
      <c r="E1527" s="22" t="s">
        <v>3359</v>
      </c>
      <c r="F1527" s="22" t="s">
        <v>3360</v>
      </c>
      <c r="G1527" s="32"/>
      <c r="H1527" s="22"/>
      <c r="I1527" s="22" t="s">
        <v>3363</v>
      </c>
    </row>
    <row r="1528" customFormat="false" ht="24.75" hidden="false" customHeight="true" outlineLevel="0" collapsed="false">
      <c r="A1528" s="24" t="s">
        <v>1593</v>
      </c>
      <c r="B1528" s="32" t="s">
        <v>6318</v>
      </c>
      <c r="C1528" s="22" t="s">
        <v>6319</v>
      </c>
      <c r="D1528" s="32" t="s">
        <v>7143</v>
      </c>
      <c r="E1528" s="22" t="s">
        <v>3377</v>
      </c>
      <c r="F1528" s="22" t="s">
        <v>3378</v>
      </c>
      <c r="G1528" s="32" t="s">
        <v>6320</v>
      </c>
      <c r="H1528" s="22"/>
      <c r="I1528" s="22" t="s">
        <v>3363</v>
      </c>
    </row>
    <row r="1529" customFormat="false" ht="24.75" hidden="false" customHeight="true" outlineLevel="0" collapsed="false">
      <c r="A1529" s="24" t="s">
        <v>1593</v>
      </c>
      <c r="B1529" s="32" t="s">
        <v>6321</v>
      </c>
      <c r="C1529" s="22" t="s">
        <v>6322</v>
      </c>
      <c r="D1529" s="32" t="s">
        <v>7143</v>
      </c>
      <c r="E1529" s="22" t="s">
        <v>3389</v>
      </c>
      <c r="F1529" s="22" t="s">
        <v>3360</v>
      </c>
      <c r="G1529" s="32" t="s">
        <v>5779</v>
      </c>
      <c r="H1529" s="22"/>
      <c r="I1529" s="22" t="s">
        <v>3363</v>
      </c>
    </row>
    <row r="1530" customFormat="false" ht="24.75" hidden="false" customHeight="true" outlineLevel="0" collapsed="false">
      <c r="A1530" s="24" t="s">
        <v>1593</v>
      </c>
      <c r="B1530" s="32" t="s">
        <v>6323</v>
      </c>
      <c r="C1530" s="22" t="s">
        <v>6324</v>
      </c>
      <c r="D1530" s="32" t="s">
        <v>7143</v>
      </c>
      <c r="E1530" s="22" t="s">
        <v>3389</v>
      </c>
      <c r="F1530" s="22" t="s">
        <v>3360</v>
      </c>
      <c r="G1530" s="32" t="s">
        <v>5779</v>
      </c>
      <c r="H1530" s="22"/>
      <c r="I1530" s="22" t="s">
        <v>3363</v>
      </c>
    </row>
    <row r="1531" customFormat="false" ht="37.5" hidden="false" customHeight="true" outlineLevel="0" collapsed="false">
      <c r="A1531" s="24" t="s">
        <v>1593</v>
      </c>
      <c r="B1531" s="32" t="s">
        <v>6325</v>
      </c>
      <c r="C1531" s="22" t="s">
        <v>6326</v>
      </c>
      <c r="D1531" s="32" t="s">
        <v>7143</v>
      </c>
      <c r="E1531" s="22" t="s">
        <v>3377</v>
      </c>
      <c r="F1531" s="22" t="s">
        <v>3360</v>
      </c>
      <c r="G1531" s="32" t="s">
        <v>5947</v>
      </c>
      <c r="H1531" s="22" t="s">
        <v>6327</v>
      </c>
      <c r="I1531" s="22" t="s">
        <v>3363</v>
      </c>
    </row>
    <row r="1532" customFormat="false" ht="24.75" hidden="false" customHeight="true" outlineLevel="0" collapsed="false">
      <c r="A1532" s="24" t="s">
        <v>1593</v>
      </c>
      <c r="B1532" s="32" t="s">
        <v>6328</v>
      </c>
      <c r="C1532" s="22" t="s">
        <v>6329</v>
      </c>
      <c r="D1532" s="32" t="s">
        <v>7143</v>
      </c>
      <c r="E1532" s="22" t="s">
        <v>3394</v>
      </c>
      <c r="F1532" s="22" t="s">
        <v>3360</v>
      </c>
      <c r="G1532" s="32" t="s">
        <v>5753</v>
      </c>
      <c r="H1532" s="22"/>
      <c r="I1532" s="22" t="s">
        <v>3363</v>
      </c>
    </row>
    <row r="1533" customFormat="false" ht="24.75" hidden="false" customHeight="true" outlineLevel="0" collapsed="false">
      <c r="A1533" s="24" t="s">
        <v>1593</v>
      </c>
      <c r="B1533" s="32" t="s">
        <v>6330</v>
      </c>
      <c r="C1533" s="22" t="s">
        <v>6331</v>
      </c>
      <c r="D1533" s="32" t="s">
        <v>7143</v>
      </c>
      <c r="E1533" s="22" t="s">
        <v>3394</v>
      </c>
      <c r="F1533" s="22" t="s">
        <v>3378</v>
      </c>
      <c r="G1533" s="32" t="s">
        <v>5753</v>
      </c>
      <c r="H1533" s="22"/>
      <c r="I1533" s="22" t="s">
        <v>3363</v>
      </c>
    </row>
    <row r="1534" customFormat="false" ht="24.75" hidden="false" customHeight="true" outlineLevel="0" collapsed="false">
      <c r="A1534" s="24" t="s">
        <v>1593</v>
      </c>
      <c r="B1534" s="32" t="s">
        <v>6332</v>
      </c>
      <c r="C1534" s="22" t="s">
        <v>6333</v>
      </c>
      <c r="D1534" s="32" t="s">
        <v>7143</v>
      </c>
      <c r="E1534" s="22" t="s">
        <v>3394</v>
      </c>
      <c r="F1534" s="22" t="s">
        <v>3378</v>
      </c>
      <c r="G1534" s="32" t="s">
        <v>5753</v>
      </c>
      <c r="H1534" s="22"/>
      <c r="I1534" s="22" t="s">
        <v>3363</v>
      </c>
    </row>
    <row r="1535" customFormat="false" ht="24.75" hidden="false" customHeight="true" outlineLevel="0" collapsed="false">
      <c r="A1535" s="24" t="s">
        <v>1593</v>
      </c>
      <c r="B1535" s="32" t="s">
        <v>6334</v>
      </c>
      <c r="C1535" s="22" t="s">
        <v>6335</v>
      </c>
      <c r="D1535" s="32" t="s">
        <v>7143</v>
      </c>
      <c r="E1535" s="22" t="s">
        <v>3394</v>
      </c>
      <c r="F1535" s="22" t="s">
        <v>3360</v>
      </c>
      <c r="G1535" s="32" t="s">
        <v>5753</v>
      </c>
      <c r="H1535" s="22"/>
      <c r="I1535" s="22" t="s">
        <v>3363</v>
      </c>
    </row>
    <row r="1536" customFormat="false" ht="24.75" hidden="false" customHeight="true" outlineLevel="0" collapsed="false">
      <c r="A1536" s="24" t="s">
        <v>1593</v>
      </c>
      <c r="B1536" s="32" t="s">
        <v>6336</v>
      </c>
      <c r="C1536" s="22" t="s">
        <v>6337</v>
      </c>
      <c r="D1536" s="32" t="s">
        <v>7143</v>
      </c>
      <c r="E1536" s="22" t="s">
        <v>3394</v>
      </c>
      <c r="F1536" s="22" t="s">
        <v>3378</v>
      </c>
      <c r="G1536" s="32" t="s">
        <v>5753</v>
      </c>
      <c r="H1536" s="22"/>
      <c r="I1536" s="22" t="s">
        <v>3363</v>
      </c>
    </row>
    <row r="1537" customFormat="false" ht="24.75" hidden="false" customHeight="true" outlineLevel="0" collapsed="false">
      <c r="A1537" s="24" t="s">
        <v>1593</v>
      </c>
      <c r="B1537" s="32" t="s">
        <v>6338</v>
      </c>
      <c r="C1537" s="22" t="s">
        <v>6339</v>
      </c>
      <c r="D1537" s="32" t="s">
        <v>7143</v>
      </c>
      <c r="E1537" s="22" t="s">
        <v>3394</v>
      </c>
      <c r="F1537" s="22" t="s">
        <v>3360</v>
      </c>
      <c r="G1537" s="32" t="s">
        <v>5753</v>
      </c>
      <c r="H1537" s="22" t="s">
        <v>6340</v>
      </c>
      <c r="I1537" s="22" t="s">
        <v>3363</v>
      </c>
    </row>
    <row r="1538" customFormat="false" ht="24.75" hidden="false" customHeight="true" outlineLevel="0" collapsed="false">
      <c r="A1538" s="24" t="s">
        <v>1593</v>
      </c>
      <c r="B1538" s="32" t="s">
        <v>6341</v>
      </c>
      <c r="C1538" s="22" t="s">
        <v>6342</v>
      </c>
      <c r="D1538" s="32" t="s">
        <v>7143</v>
      </c>
      <c r="E1538" s="22" t="s">
        <v>3394</v>
      </c>
      <c r="F1538" s="22" t="s">
        <v>3378</v>
      </c>
      <c r="G1538" s="32" t="s">
        <v>5753</v>
      </c>
      <c r="H1538" s="22" t="s">
        <v>6343</v>
      </c>
      <c r="I1538" s="22" t="s">
        <v>3363</v>
      </c>
    </row>
    <row r="1539" customFormat="false" ht="24.75" hidden="false" customHeight="true" outlineLevel="0" collapsed="false">
      <c r="A1539" s="24" t="s">
        <v>1593</v>
      </c>
      <c r="B1539" s="32" t="s">
        <v>6344</v>
      </c>
      <c r="C1539" s="22" t="s">
        <v>6345</v>
      </c>
      <c r="D1539" s="32" t="s">
        <v>7143</v>
      </c>
      <c r="E1539" s="22" t="s">
        <v>3394</v>
      </c>
      <c r="F1539" s="22" t="s">
        <v>3360</v>
      </c>
      <c r="G1539" s="32" t="s">
        <v>5753</v>
      </c>
      <c r="H1539" s="22"/>
      <c r="I1539" s="22" t="s">
        <v>3363</v>
      </c>
    </row>
    <row r="1540" customFormat="false" ht="24.75" hidden="false" customHeight="true" outlineLevel="0" collapsed="false">
      <c r="A1540" s="24" t="s">
        <v>1593</v>
      </c>
      <c r="B1540" s="32" t="s">
        <v>6346</v>
      </c>
      <c r="C1540" s="22" t="s">
        <v>6347</v>
      </c>
      <c r="D1540" s="32" t="s">
        <v>7143</v>
      </c>
      <c r="E1540" s="22" t="s">
        <v>3394</v>
      </c>
      <c r="F1540" s="22" t="s">
        <v>3378</v>
      </c>
      <c r="G1540" s="32" t="s">
        <v>5753</v>
      </c>
      <c r="H1540" s="22"/>
      <c r="I1540" s="22" t="s">
        <v>3363</v>
      </c>
    </row>
    <row r="1541" customFormat="false" ht="24.75" hidden="false" customHeight="true" outlineLevel="0" collapsed="false">
      <c r="A1541" s="24" t="s">
        <v>1593</v>
      </c>
      <c r="B1541" s="32" t="s">
        <v>6348</v>
      </c>
      <c r="C1541" s="22" t="s">
        <v>6349</v>
      </c>
      <c r="D1541" s="32" t="s">
        <v>7143</v>
      </c>
      <c r="E1541" s="22" t="s">
        <v>3394</v>
      </c>
      <c r="F1541" s="22" t="s">
        <v>3360</v>
      </c>
      <c r="G1541" s="32" t="s">
        <v>5753</v>
      </c>
      <c r="H1541" s="22"/>
      <c r="I1541" s="22" t="s">
        <v>3363</v>
      </c>
    </row>
    <row r="1542" customFormat="false" ht="24.75" hidden="false" customHeight="true" outlineLevel="0" collapsed="false">
      <c r="A1542" s="24" t="s">
        <v>1593</v>
      </c>
      <c r="B1542" s="32" t="s">
        <v>6350</v>
      </c>
      <c r="C1542" s="22" t="s">
        <v>6351</v>
      </c>
      <c r="D1542" s="32" t="s">
        <v>7143</v>
      </c>
      <c r="E1542" s="22" t="s">
        <v>3394</v>
      </c>
      <c r="F1542" s="22" t="s">
        <v>3378</v>
      </c>
      <c r="G1542" s="32" t="s">
        <v>5753</v>
      </c>
      <c r="H1542" s="22" t="s">
        <v>6352</v>
      </c>
      <c r="I1542" s="22" t="s">
        <v>3363</v>
      </c>
    </row>
    <row r="1543" customFormat="false" ht="24.75" hidden="false" customHeight="true" outlineLevel="0" collapsed="false">
      <c r="A1543" s="24" t="s">
        <v>1593</v>
      </c>
      <c r="B1543" s="32" t="s">
        <v>6353</v>
      </c>
      <c r="C1543" s="22" t="s">
        <v>6354</v>
      </c>
      <c r="D1543" s="32" t="s">
        <v>7143</v>
      </c>
      <c r="E1543" s="22" t="s">
        <v>3394</v>
      </c>
      <c r="F1543" s="22" t="s">
        <v>3360</v>
      </c>
      <c r="G1543" s="32" t="s">
        <v>5753</v>
      </c>
      <c r="H1543" s="22"/>
      <c r="I1543" s="22" t="s">
        <v>3363</v>
      </c>
    </row>
    <row r="1544" customFormat="false" ht="24.75" hidden="false" customHeight="true" outlineLevel="0" collapsed="false">
      <c r="A1544" s="24" t="s">
        <v>1593</v>
      </c>
      <c r="B1544" s="32" t="s">
        <v>6355</v>
      </c>
      <c r="C1544" s="22" t="s">
        <v>6356</v>
      </c>
      <c r="D1544" s="32" t="s">
        <v>7143</v>
      </c>
      <c r="E1544" s="22" t="s">
        <v>3394</v>
      </c>
      <c r="F1544" s="22" t="s">
        <v>3360</v>
      </c>
      <c r="G1544" s="32" t="s">
        <v>5753</v>
      </c>
      <c r="H1544" s="22"/>
      <c r="I1544" s="22" t="s">
        <v>3363</v>
      </c>
    </row>
    <row r="1545" customFormat="false" ht="24.75" hidden="false" customHeight="true" outlineLevel="0" collapsed="false">
      <c r="A1545" s="24" t="s">
        <v>1593</v>
      </c>
      <c r="B1545" s="32" t="s">
        <v>6357</v>
      </c>
      <c r="C1545" s="22" t="s">
        <v>6358</v>
      </c>
      <c r="D1545" s="32" t="s">
        <v>7143</v>
      </c>
      <c r="E1545" s="22" t="s">
        <v>3394</v>
      </c>
      <c r="F1545" s="22" t="s">
        <v>3378</v>
      </c>
      <c r="G1545" s="32" t="s">
        <v>5753</v>
      </c>
      <c r="H1545" s="22"/>
      <c r="I1545" s="22" t="s">
        <v>3363</v>
      </c>
    </row>
    <row r="1546" customFormat="false" ht="24.75" hidden="false" customHeight="true" outlineLevel="0" collapsed="false">
      <c r="A1546" s="24" t="s">
        <v>1593</v>
      </c>
      <c r="B1546" s="32" t="s">
        <v>6359</v>
      </c>
      <c r="C1546" s="22" t="s">
        <v>5986</v>
      </c>
      <c r="D1546" s="32" t="s">
        <v>7143</v>
      </c>
      <c r="E1546" s="22" t="s">
        <v>3394</v>
      </c>
      <c r="F1546" s="22" t="s">
        <v>3378</v>
      </c>
      <c r="G1546" s="32" t="s">
        <v>5753</v>
      </c>
      <c r="H1546" s="22"/>
      <c r="I1546" s="22" t="s">
        <v>3363</v>
      </c>
    </row>
    <row r="1547" customFormat="false" ht="24.75" hidden="false" customHeight="true" outlineLevel="0" collapsed="false">
      <c r="A1547" s="24" t="s">
        <v>1593</v>
      </c>
      <c r="B1547" s="32" t="s">
        <v>6360</v>
      </c>
      <c r="C1547" s="22" t="s">
        <v>6361</v>
      </c>
      <c r="D1547" s="32" t="s">
        <v>7143</v>
      </c>
      <c r="E1547" s="22" t="s">
        <v>3394</v>
      </c>
      <c r="F1547" s="22" t="s">
        <v>3360</v>
      </c>
      <c r="G1547" s="32" t="s">
        <v>5753</v>
      </c>
      <c r="H1547" s="22"/>
      <c r="I1547" s="22" t="s">
        <v>3363</v>
      </c>
    </row>
    <row r="1548" customFormat="false" ht="24.75" hidden="false" customHeight="true" outlineLevel="0" collapsed="false">
      <c r="A1548" s="24" t="s">
        <v>1593</v>
      </c>
      <c r="B1548" s="32" t="s">
        <v>6362</v>
      </c>
      <c r="C1548" s="22" t="s">
        <v>6363</v>
      </c>
      <c r="D1548" s="32" t="s">
        <v>7143</v>
      </c>
      <c r="E1548" s="22" t="s">
        <v>3394</v>
      </c>
      <c r="F1548" s="22" t="s">
        <v>3378</v>
      </c>
      <c r="G1548" s="32" t="s">
        <v>5753</v>
      </c>
      <c r="H1548" s="22"/>
      <c r="I1548" s="22" t="s">
        <v>3363</v>
      </c>
    </row>
    <row r="1549" customFormat="false" ht="24.75" hidden="false" customHeight="true" outlineLevel="0" collapsed="false">
      <c r="A1549" s="24" t="s">
        <v>1593</v>
      </c>
      <c r="B1549" s="32" t="s">
        <v>6364</v>
      </c>
      <c r="C1549" s="22" t="s">
        <v>6365</v>
      </c>
      <c r="D1549" s="32" t="s">
        <v>7143</v>
      </c>
      <c r="E1549" s="22" t="s">
        <v>3394</v>
      </c>
      <c r="F1549" s="22" t="s">
        <v>3360</v>
      </c>
      <c r="G1549" s="32" t="s">
        <v>5753</v>
      </c>
      <c r="H1549" s="22"/>
      <c r="I1549" s="22" t="s">
        <v>3363</v>
      </c>
    </row>
    <row r="1550" customFormat="false" ht="37.5" hidden="false" customHeight="true" outlineLevel="0" collapsed="false">
      <c r="A1550" s="24" t="s">
        <v>1593</v>
      </c>
      <c r="B1550" s="32" t="s">
        <v>6366</v>
      </c>
      <c r="C1550" s="22" t="s">
        <v>6367</v>
      </c>
      <c r="D1550" s="32" t="s">
        <v>7143</v>
      </c>
      <c r="E1550" s="22" t="s">
        <v>3394</v>
      </c>
      <c r="F1550" s="22" t="s">
        <v>3360</v>
      </c>
      <c r="G1550" s="32" t="s">
        <v>5753</v>
      </c>
      <c r="H1550" s="22" t="s">
        <v>6368</v>
      </c>
      <c r="I1550" s="22" t="s">
        <v>3363</v>
      </c>
    </row>
    <row r="1551" customFormat="false" ht="24.75" hidden="false" customHeight="true" outlineLevel="0" collapsed="false">
      <c r="A1551" s="24" t="s">
        <v>1593</v>
      </c>
      <c r="B1551" s="32" t="s">
        <v>6369</v>
      </c>
      <c r="C1551" s="22" t="s">
        <v>6370</v>
      </c>
      <c r="D1551" s="32" t="s">
        <v>7143</v>
      </c>
      <c r="E1551" s="22" t="s">
        <v>3394</v>
      </c>
      <c r="F1551" s="22" t="s">
        <v>3378</v>
      </c>
      <c r="G1551" s="32" t="s">
        <v>5753</v>
      </c>
      <c r="H1551" s="22"/>
      <c r="I1551" s="22" t="s">
        <v>3363</v>
      </c>
    </row>
    <row r="1552" customFormat="false" ht="24.75" hidden="false" customHeight="true" outlineLevel="0" collapsed="false">
      <c r="A1552" s="24" t="s">
        <v>1593</v>
      </c>
      <c r="B1552" s="32" t="s">
        <v>6371</v>
      </c>
      <c r="C1552" s="22" t="s">
        <v>6372</v>
      </c>
      <c r="D1552" s="32" t="s">
        <v>7143</v>
      </c>
      <c r="E1552" s="22" t="s">
        <v>3394</v>
      </c>
      <c r="F1552" s="22" t="s">
        <v>3360</v>
      </c>
      <c r="G1552" s="32" t="s">
        <v>6373</v>
      </c>
      <c r="H1552" s="22" t="s">
        <v>6374</v>
      </c>
      <c r="I1552" s="22" t="s">
        <v>3363</v>
      </c>
    </row>
    <row r="1553" customFormat="false" ht="24.75" hidden="false" customHeight="true" outlineLevel="0" collapsed="false">
      <c r="A1553" s="24" t="s">
        <v>1593</v>
      </c>
      <c r="B1553" s="32" t="s">
        <v>6375</v>
      </c>
      <c r="C1553" s="22" t="s">
        <v>6376</v>
      </c>
      <c r="D1553" s="32" t="s">
        <v>7143</v>
      </c>
      <c r="E1553" s="22" t="s">
        <v>3359</v>
      </c>
      <c r="F1553" s="22" t="s">
        <v>3378</v>
      </c>
      <c r="G1553" s="32" t="s">
        <v>5721</v>
      </c>
      <c r="H1553" s="22" t="s">
        <v>6377</v>
      </c>
      <c r="I1553" s="22" t="s">
        <v>3363</v>
      </c>
    </row>
    <row r="1554" customFormat="false" ht="24.75" hidden="false" customHeight="true" outlineLevel="0" collapsed="false">
      <c r="A1554" s="24" t="s">
        <v>1593</v>
      </c>
      <c r="B1554" s="32" t="s">
        <v>6378</v>
      </c>
      <c r="C1554" s="22" t="s">
        <v>6379</v>
      </c>
      <c r="D1554" s="32" t="s">
        <v>7143</v>
      </c>
      <c r="E1554" s="22" t="s">
        <v>3359</v>
      </c>
      <c r="F1554" s="22" t="s">
        <v>3378</v>
      </c>
      <c r="G1554" s="32" t="s">
        <v>5721</v>
      </c>
      <c r="H1554" s="22"/>
      <c r="I1554" s="22" t="s">
        <v>3363</v>
      </c>
    </row>
    <row r="1555" customFormat="false" ht="15" hidden="false" customHeight="true" outlineLevel="0" collapsed="false">
      <c r="A1555" s="24" t="s">
        <v>185</v>
      </c>
      <c r="B1555" s="32" t="s">
        <v>6625</v>
      </c>
      <c r="C1555" s="22" t="s">
        <v>7144</v>
      </c>
      <c r="D1555" s="32" t="s">
        <v>6627</v>
      </c>
      <c r="E1555" s="22" t="s">
        <v>3389</v>
      </c>
      <c r="F1555" s="22" t="s">
        <v>3360</v>
      </c>
      <c r="G1555" s="32" t="s">
        <v>7145</v>
      </c>
      <c r="H1555" s="22" t="s">
        <v>7146</v>
      </c>
      <c r="I1555" s="22" t="s">
        <v>3363</v>
      </c>
    </row>
    <row r="1556" customFormat="false" ht="24.75" hidden="false" customHeight="true" outlineLevel="0" collapsed="false">
      <c r="A1556" s="24" t="s">
        <v>185</v>
      </c>
      <c r="B1556" s="32" t="s">
        <v>6630</v>
      </c>
      <c r="C1556" s="22" t="s">
        <v>6631</v>
      </c>
      <c r="D1556" s="32" t="s">
        <v>6627</v>
      </c>
      <c r="E1556" s="22" t="s">
        <v>3359</v>
      </c>
      <c r="F1556" s="22" t="s">
        <v>3360</v>
      </c>
      <c r="G1556" s="32" t="s">
        <v>7147</v>
      </c>
      <c r="H1556" s="22"/>
      <c r="I1556" s="22" t="s">
        <v>3363</v>
      </c>
    </row>
    <row r="1557" customFormat="false" ht="24.75" hidden="false" customHeight="true" outlineLevel="0" collapsed="false">
      <c r="A1557" s="24" t="s">
        <v>185</v>
      </c>
      <c r="B1557" s="32" t="s">
        <v>6633</v>
      </c>
      <c r="C1557" s="22" t="s">
        <v>7148</v>
      </c>
      <c r="D1557" s="32" t="s">
        <v>6627</v>
      </c>
      <c r="E1557" s="22" t="s">
        <v>3359</v>
      </c>
      <c r="F1557" s="22" t="s">
        <v>3360</v>
      </c>
      <c r="G1557" s="32" t="s">
        <v>7149</v>
      </c>
      <c r="H1557" s="22" t="s">
        <v>7150</v>
      </c>
      <c r="I1557" s="22" t="s">
        <v>3363</v>
      </c>
    </row>
    <row r="1558" customFormat="false" ht="24.75" hidden="false" customHeight="true" outlineLevel="0" collapsed="false">
      <c r="A1558" s="24" t="s">
        <v>185</v>
      </c>
      <c r="B1558" s="32" t="s">
        <v>7151</v>
      </c>
      <c r="C1558" s="22" t="s">
        <v>7152</v>
      </c>
      <c r="D1558" s="32" t="s">
        <v>6627</v>
      </c>
      <c r="E1558" s="22" t="s">
        <v>3359</v>
      </c>
      <c r="F1558" s="22" t="s">
        <v>6286</v>
      </c>
      <c r="G1558" s="32"/>
      <c r="H1558" s="22" t="s">
        <v>7153</v>
      </c>
      <c r="I1558" s="22" t="s">
        <v>3363</v>
      </c>
    </row>
    <row r="1559" customFormat="false" ht="24.75" hidden="false" customHeight="true" outlineLevel="0" collapsed="false">
      <c r="A1559" s="24" t="s">
        <v>185</v>
      </c>
      <c r="B1559" s="32" t="s">
        <v>7154</v>
      </c>
      <c r="C1559" s="22" t="s">
        <v>7155</v>
      </c>
      <c r="D1559" s="32" t="s">
        <v>6627</v>
      </c>
      <c r="E1559" s="22" t="s">
        <v>3389</v>
      </c>
      <c r="F1559" s="22" t="s">
        <v>6286</v>
      </c>
      <c r="G1559" s="32" t="s">
        <v>5943</v>
      </c>
      <c r="H1559" s="22"/>
      <c r="I1559" s="22" t="s">
        <v>3363</v>
      </c>
    </row>
    <row r="1560" customFormat="false" ht="24.75" hidden="false" customHeight="true" outlineLevel="0" collapsed="false">
      <c r="A1560" s="24" t="s">
        <v>185</v>
      </c>
      <c r="B1560" s="32" t="s">
        <v>7156</v>
      </c>
      <c r="C1560" s="22" t="s">
        <v>7157</v>
      </c>
      <c r="D1560" s="32" t="s">
        <v>6627</v>
      </c>
      <c r="E1560" s="22" t="s">
        <v>3359</v>
      </c>
      <c r="F1560" s="22" t="s">
        <v>3360</v>
      </c>
      <c r="G1560" s="32"/>
      <c r="H1560" s="22"/>
      <c r="I1560" s="22" t="s">
        <v>3363</v>
      </c>
    </row>
    <row r="1561" customFormat="false" ht="24.75" hidden="false" customHeight="true" outlineLevel="0" collapsed="false">
      <c r="A1561" s="24" t="s">
        <v>185</v>
      </c>
      <c r="B1561" s="32" t="s">
        <v>7158</v>
      </c>
      <c r="C1561" s="22" t="s">
        <v>7159</v>
      </c>
      <c r="D1561" s="32" t="s">
        <v>6627</v>
      </c>
      <c r="E1561" s="22" t="s">
        <v>3359</v>
      </c>
      <c r="F1561" s="22" t="s">
        <v>3378</v>
      </c>
      <c r="G1561" s="32" t="s">
        <v>7160</v>
      </c>
      <c r="H1561" s="22" t="s">
        <v>7161</v>
      </c>
      <c r="I1561" s="22" t="s">
        <v>3363</v>
      </c>
    </row>
    <row r="1562" customFormat="false" ht="15" hidden="false" customHeight="true" outlineLevel="0" collapsed="false">
      <c r="A1562" s="24" t="s">
        <v>185</v>
      </c>
      <c r="B1562" s="32" t="s">
        <v>6637</v>
      </c>
      <c r="C1562" s="22" t="s">
        <v>7162</v>
      </c>
      <c r="D1562" s="32" t="s">
        <v>6639</v>
      </c>
      <c r="E1562" s="22" t="s">
        <v>3359</v>
      </c>
      <c r="F1562" s="22" t="s">
        <v>3378</v>
      </c>
      <c r="G1562" s="32" t="s">
        <v>5721</v>
      </c>
      <c r="H1562" s="22" t="s">
        <v>7163</v>
      </c>
      <c r="I1562" s="22" t="s">
        <v>3363</v>
      </c>
    </row>
    <row r="1563" customFormat="false" ht="15" hidden="false" customHeight="true" outlineLevel="0" collapsed="false">
      <c r="A1563" s="24" t="s">
        <v>185</v>
      </c>
      <c r="B1563" s="32" t="s">
        <v>7164</v>
      </c>
      <c r="C1563" s="22" t="s">
        <v>7165</v>
      </c>
      <c r="D1563" s="32" t="s">
        <v>6627</v>
      </c>
      <c r="E1563" s="22" t="s">
        <v>3359</v>
      </c>
      <c r="F1563" s="22" t="s">
        <v>3360</v>
      </c>
      <c r="G1563" s="32" t="s">
        <v>7166</v>
      </c>
      <c r="H1563" s="22" t="s">
        <v>7167</v>
      </c>
      <c r="I1563" s="22" t="s">
        <v>3363</v>
      </c>
    </row>
    <row r="1564" customFormat="false" ht="24.75" hidden="false" customHeight="true" outlineLevel="0" collapsed="false">
      <c r="A1564" s="24" t="s">
        <v>185</v>
      </c>
      <c r="B1564" s="32" t="s">
        <v>7168</v>
      </c>
      <c r="C1564" s="22" t="s">
        <v>7169</v>
      </c>
      <c r="D1564" s="32" t="s">
        <v>6639</v>
      </c>
      <c r="E1564" s="22" t="s">
        <v>3377</v>
      </c>
      <c r="F1564" s="22" t="s">
        <v>3378</v>
      </c>
      <c r="G1564" s="32" t="s">
        <v>7170</v>
      </c>
      <c r="H1564" s="22"/>
      <c r="I1564" s="22" t="s">
        <v>3363</v>
      </c>
    </row>
    <row r="1565" customFormat="false" ht="15" hidden="false" customHeight="true" outlineLevel="0" collapsed="false">
      <c r="A1565" s="24" t="s">
        <v>185</v>
      </c>
      <c r="B1565" s="32" t="s">
        <v>7171</v>
      </c>
      <c r="C1565" s="22" t="s">
        <v>7172</v>
      </c>
      <c r="D1565" s="32" t="s">
        <v>6627</v>
      </c>
      <c r="E1565" s="22" t="s">
        <v>3359</v>
      </c>
      <c r="F1565" s="22" t="s">
        <v>3360</v>
      </c>
      <c r="G1565" s="32"/>
      <c r="H1565" s="22"/>
      <c r="I1565" s="22" t="s">
        <v>3363</v>
      </c>
    </row>
    <row r="1566" customFormat="false" ht="15" hidden="false" customHeight="true" outlineLevel="0" collapsed="false">
      <c r="A1566" s="24" t="s">
        <v>185</v>
      </c>
      <c r="B1566" s="32" t="s">
        <v>7173</v>
      </c>
      <c r="C1566" s="22" t="s">
        <v>7174</v>
      </c>
      <c r="D1566" s="32" t="s">
        <v>7175</v>
      </c>
      <c r="E1566" s="22" t="s">
        <v>3359</v>
      </c>
      <c r="F1566" s="22" t="s">
        <v>3378</v>
      </c>
      <c r="G1566" s="32"/>
      <c r="H1566" s="22"/>
      <c r="I1566" s="22" t="s">
        <v>3363</v>
      </c>
    </row>
    <row r="1567" customFormat="false" ht="15" hidden="false" customHeight="true" outlineLevel="0" collapsed="false">
      <c r="A1567" s="24" t="s">
        <v>185</v>
      </c>
      <c r="B1567" s="32" t="s">
        <v>7176</v>
      </c>
      <c r="C1567" s="22" t="s">
        <v>3701</v>
      </c>
      <c r="D1567" s="32" t="s">
        <v>7175</v>
      </c>
      <c r="E1567" s="22" t="s">
        <v>3359</v>
      </c>
      <c r="F1567" s="22" t="s">
        <v>3378</v>
      </c>
      <c r="G1567" s="32" t="s">
        <v>7177</v>
      </c>
      <c r="H1567" s="22"/>
      <c r="I1567" s="22" t="s">
        <v>3363</v>
      </c>
    </row>
    <row r="1568" customFormat="false" ht="15" hidden="false" customHeight="true" outlineLevel="0" collapsed="false">
      <c r="A1568" s="24" t="s">
        <v>185</v>
      </c>
      <c r="B1568" s="32" t="s">
        <v>7178</v>
      </c>
      <c r="C1568" s="22" t="s">
        <v>3714</v>
      </c>
      <c r="D1568" s="32" t="s">
        <v>7175</v>
      </c>
      <c r="E1568" s="22" t="s">
        <v>3394</v>
      </c>
      <c r="F1568" s="22" t="s">
        <v>3378</v>
      </c>
      <c r="G1568" s="32" t="s">
        <v>7179</v>
      </c>
      <c r="H1568" s="22"/>
      <c r="I1568" s="22" t="s">
        <v>3363</v>
      </c>
    </row>
    <row r="1569" customFormat="false" ht="15" hidden="false" customHeight="true" outlineLevel="0" collapsed="false">
      <c r="A1569" s="24" t="s">
        <v>185</v>
      </c>
      <c r="B1569" s="32" t="s">
        <v>7180</v>
      </c>
      <c r="C1569" s="22" t="s">
        <v>7181</v>
      </c>
      <c r="D1569" s="32" t="s">
        <v>7175</v>
      </c>
      <c r="E1569" s="22" t="s">
        <v>3359</v>
      </c>
      <c r="F1569" s="22" t="s">
        <v>3378</v>
      </c>
      <c r="G1569" s="32" t="s">
        <v>7182</v>
      </c>
      <c r="H1569" s="22"/>
      <c r="I1569" s="22" t="s">
        <v>3363</v>
      </c>
    </row>
    <row r="1570" customFormat="false" ht="15" hidden="false" customHeight="true" outlineLevel="0" collapsed="false">
      <c r="A1570" s="24" t="s">
        <v>185</v>
      </c>
      <c r="B1570" s="32" t="s">
        <v>3855</v>
      </c>
      <c r="C1570" s="22" t="s">
        <v>7183</v>
      </c>
      <c r="D1570" s="32" t="s">
        <v>7175</v>
      </c>
      <c r="E1570" s="22" t="s">
        <v>3394</v>
      </c>
      <c r="F1570" s="22" t="s">
        <v>3378</v>
      </c>
      <c r="G1570" s="32" t="s">
        <v>6603</v>
      </c>
      <c r="H1570" s="22"/>
      <c r="I1570" s="22" t="s">
        <v>3363</v>
      </c>
    </row>
    <row r="1571" customFormat="false" ht="15" hidden="false" customHeight="true" outlineLevel="0" collapsed="false">
      <c r="A1571" s="24" t="s">
        <v>185</v>
      </c>
      <c r="B1571" s="32" t="s">
        <v>3857</v>
      </c>
      <c r="C1571" s="22" t="s">
        <v>7184</v>
      </c>
      <c r="D1571" s="32" t="s">
        <v>5911</v>
      </c>
      <c r="E1571" s="22" t="s">
        <v>3394</v>
      </c>
      <c r="F1571" s="22" t="s">
        <v>3360</v>
      </c>
      <c r="G1571" s="32" t="s">
        <v>5753</v>
      </c>
      <c r="H1571" s="22"/>
      <c r="I1571" s="22" t="s">
        <v>3363</v>
      </c>
    </row>
    <row r="1572" customFormat="false" ht="24.75" hidden="false" customHeight="true" outlineLevel="0" collapsed="false">
      <c r="A1572" s="24" t="s">
        <v>185</v>
      </c>
      <c r="B1572" s="32" t="s">
        <v>7185</v>
      </c>
      <c r="C1572" s="22" t="s">
        <v>7186</v>
      </c>
      <c r="D1572" s="32" t="s">
        <v>6550</v>
      </c>
      <c r="E1572" s="22" t="s">
        <v>3394</v>
      </c>
      <c r="F1572" s="22" t="s">
        <v>3378</v>
      </c>
      <c r="G1572" s="32" t="s">
        <v>7187</v>
      </c>
      <c r="H1572" s="22"/>
      <c r="I1572" s="22" t="s">
        <v>3363</v>
      </c>
    </row>
    <row r="1573" customFormat="false" ht="15" hidden="false" customHeight="true" outlineLevel="0" collapsed="false">
      <c r="A1573" s="24" t="s">
        <v>185</v>
      </c>
      <c r="B1573" s="32" t="s">
        <v>7188</v>
      </c>
      <c r="C1573" s="22" t="s">
        <v>3453</v>
      </c>
      <c r="D1573" s="32" t="s">
        <v>6550</v>
      </c>
      <c r="E1573" s="22" t="s">
        <v>3394</v>
      </c>
      <c r="F1573" s="22" t="s">
        <v>3378</v>
      </c>
      <c r="G1573" s="32" t="s">
        <v>5753</v>
      </c>
      <c r="H1573" s="22"/>
      <c r="I1573" s="22" t="s">
        <v>3363</v>
      </c>
    </row>
    <row r="1574" customFormat="false" ht="15" hidden="false" customHeight="true" outlineLevel="0" collapsed="false">
      <c r="A1574" s="24" t="s">
        <v>185</v>
      </c>
      <c r="B1574" s="32" t="s">
        <v>7189</v>
      </c>
      <c r="C1574" s="22" t="s">
        <v>3458</v>
      </c>
      <c r="D1574" s="32" t="s">
        <v>6550</v>
      </c>
      <c r="E1574" s="22" t="s">
        <v>3394</v>
      </c>
      <c r="F1574" s="22" t="s">
        <v>3378</v>
      </c>
      <c r="G1574" s="32" t="s">
        <v>5753</v>
      </c>
      <c r="H1574" s="22"/>
      <c r="I1574" s="22" t="s">
        <v>3363</v>
      </c>
    </row>
    <row r="1575" customFormat="false" ht="15" hidden="false" customHeight="true" outlineLevel="0" collapsed="false">
      <c r="A1575" s="24" t="s">
        <v>185</v>
      </c>
      <c r="B1575" s="32" t="s">
        <v>7190</v>
      </c>
      <c r="C1575" s="22" t="s">
        <v>3462</v>
      </c>
      <c r="D1575" s="32" t="s">
        <v>6550</v>
      </c>
      <c r="E1575" s="22" t="s">
        <v>3394</v>
      </c>
      <c r="F1575" s="22" t="s">
        <v>3378</v>
      </c>
      <c r="G1575" s="32" t="s">
        <v>5753</v>
      </c>
      <c r="H1575" s="22"/>
      <c r="I1575" s="22" t="s">
        <v>3363</v>
      </c>
    </row>
    <row r="1576" customFormat="false" ht="15" hidden="false" customHeight="true" outlineLevel="0" collapsed="false">
      <c r="A1576" s="24" t="s">
        <v>185</v>
      </c>
      <c r="B1576" s="32" t="s">
        <v>7191</v>
      </c>
      <c r="C1576" s="22" t="s">
        <v>3495</v>
      </c>
      <c r="D1576" s="32" t="s">
        <v>6550</v>
      </c>
      <c r="E1576" s="22" t="s">
        <v>3394</v>
      </c>
      <c r="F1576" s="22" t="s">
        <v>3378</v>
      </c>
      <c r="G1576" s="32" t="s">
        <v>5753</v>
      </c>
      <c r="H1576" s="22"/>
      <c r="I1576" s="22" t="s">
        <v>3363</v>
      </c>
    </row>
    <row r="1577" customFormat="false" ht="15" hidden="false" customHeight="true" outlineLevel="0" collapsed="false">
      <c r="A1577" s="24" t="s">
        <v>185</v>
      </c>
      <c r="B1577" s="32" t="s">
        <v>7192</v>
      </c>
      <c r="C1577" s="22" t="s">
        <v>7193</v>
      </c>
      <c r="D1577" s="32" t="s">
        <v>6550</v>
      </c>
      <c r="E1577" s="22" t="s">
        <v>3394</v>
      </c>
      <c r="F1577" s="22" t="s">
        <v>3378</v>
      </c>
      <c r="G1577" s="32" t="s">
        <v>5753</v>
      </c>
      <c r="H1577" s="22"/>
      <c r="I1577" s="22" t="s">
        <v>3363</v>
      </c>
    </row>
    <row r="1578" customFormat="false" ht="15" hidden="false" customHeight="true" outlineLevel="0" collapsed="false">
      <c r="A1578" s="24" t="s">
        <v>185</v>
      </c>
      <c r="B1578" s="32" t="s">
        <v>7194</v>
      </c>
      <c r="C1578" s="22" t="s">
        <v>7195</v>
      </c>
      <c r="D1578" s="32" t="s">
        <v>5911</v>
      </c>
      <c r="E1578" s="22" t="s">
        <v>3394</v>
      </c>
      <c r="F1578" s="22" t="s">
        <v>3378</v>
      </c>
      <c r="G1578" s="32" t="s">
        <v>5753</v>
      </c>
      <c r="H1578" s="22"/>
      <c r="I1578" s="22" t="s">
        <v>3363</v>
      </c>
    </row>
    <row r="1579" customFormat="false" ht="15" hidden="false" customHeight="true" outlineLevel="0" collapsed="false">
      <c r="A1579" s="24" t="s">
        <v>185</v>
      </c>
      <c r="B1579" s="32" t="s">
        <v>3850</v>
      </c>
      <c r="C1579" s="22" t="s">
        <v>7196</v>
      </c>
      <c r="D1579" s="32" t="s">
        <v>5911</v>
      </c>
      <c r="E1579" s="22" t="s">
        <v>3394</v>
      </c>
      <c r="F1579" s="22" t="s">
        <v>3360</v>
      </c>
      <c r="G1579" s="32" t="s">
        <v>5753</v>
      </c>
      <c r="H1579" s="22"/>
      <c r="I1579" s="22" t="s">
        <v>3363</v>
      </c>
    </row>
    <row r="1580" customFormat="false" ht="15" hidden="false" customHeight="true" outlineLevel="0" collapsed="false">
      <c r="A1580" s="24" t="s">
        <v>185</v>
      </c>
      <c r="B1580" s="32" t="s">
        <v>4077</v>
      </c>
      <c r="C1580" s="22" t="s">
        <v>7197</v>
      </c>
      <c r="D1580" s="32" t="s">
        <v>6550</v>
      </c>
      <c r="E1580" s="22" t="s">
        <v>3377</v>
      </c>
      <c r="F1580" s="22" t="s">
        <v>3378</v>
      </c>
      <c r="G1580" s="32" t="s">
        <v>5947</v>
      </c>
      <c r="H1580" s="22"/>
      <c r="I1580" s="22" t="s">
        <v>3363</v>
      </c>
    </row>
    <row r="1581" customFormat="false" ht="15" hidden="false" customHeight="true" outlineLevel="0" collapsed="false">
      <c r="A1581" s="24" t="s">
        <v>185</v>
      </c>
      <c r="B1581" s="32" t="s">
        <v>4094</v>
      </c>
      <c r="C1581" s="22" t="s">
        <v>3421</v>
      </c>
      <c r="D1581" s="32" t="s">
        <v>7198</v>
      </c>
      <c r="E1581" s="22" t="s">
        <v>3359</v>
      </c>
      <c r="F1581" s="22" t="s">
        <v>3378</v>
      </c>
      <c r="G1581" s="32" t="s">
        <v>7199</v>
      </c>
      <c r="H1581" s="22" t="s">
        <v>7200</v>
      </c>
      <c r="I1581" s="22" t="s">
        <v>3363</v>
      </c>
    </row>
    <row r="1582" customFormat="false" ht="15" hidden="false" customHeight="true" outlineLevel="0" collapsed="false">
      <c r="A1582" s="24" t="s">
        <v>185</v>
      </c>
      <c r="B1582" s="32" t="s">
        <v>7201</v>
      </c>
      <c r="C1582" s="22" t="s">
        <v>7202</v>
      </c>
      <c r="D1582" s="32" t="s">
        <v>7198</v>
      </c>
      <c r="E1582" s="22" t="s">
        <v>3359</v>
      </c>
      <c r="F1582" s="22" t="s">
        <v>3378</v>
      </c>
      <c r="G1582" s="32"/>
      <c r="H1582" s="22"/>
      <c r="I1582" s="22" t="s">
        <v>3363</v>
      </c>
    </row>
    <row r="1583" customFormat="false" ht="15" hidden="false" customHeight="true" outlineLevel="0" collapsed="false">
      <c r="A1583" s="24" t="s">
        <v>185</v>
      </c>
      <c r="B1583" s="32" t="s">
        <v>7203</v>
      </c>
      <c r="C1583" s="22" t="s">
        <v>7204</v>
      </c>
      <c r="D1583" s="32" t="s">
        <v>7205</v>
      </c>
      <c r="E1583" s="22" t="s">
        <v>3359</v>
      </c>
      <c r="F1583" s="22" t="s">
        <v>3378</v>
      </c>
      <c r="G1583" s="32" t="s">
        <v>5314</v>
      </c>
      <c r="H1583" s="22" t="s">
        <v>7206</v>
      </c>
      <c r="I1583" s="22" t="s">
        <v>3363</v>
      </c>
    </row>
    <row r="1584" customFormat="false" ht="15" hidden="false" customHeight="true" outlineLevel="0" collapsed="false">
      <c r="A1584" s="24" t="s">
        <v>185</v>
      </c>
      <c r="B1584" s="32" t="s">
        <v>4087</v>
      </c>
      <c r="C1584" s="22" t="s">
        <v>7207</v>
      </c>
      <c r="D1584" s="32" t="s">
        <v>6627</v>
      </c>
      <c r="E1584" s="22" t="s">
        <v>3359</v>
      </c>
      <c r="F1584" s="22" t="s">
        <v>3378</v>
      </c>
      <c r="G1584" s="32"/>
      <c r="H1584" s="22"/>
      <c r="I1584" s="22" t="s">
        <v>3363</v>
      </c>
    </row>
    <row r="1585" customFormat="false" ht="15" hidden="false" customHeight="true" outlineLevel="0" collapsed="false">
      <c r="A1585" s="24" t="s">
        <v>185</v>
      </c>
      <c r="B1585" s="32" t="s">
        <v>7208</v>
      </c>
      <c r="C1585" s="22" t="s">
        <v>7209</v>
      </c>
      <c r="D1585" s="32" t="s">
        <v>6627</v>
      </c>
      <c r="E1585" s="22" t="s">
        <v>3359</v>
      </c>
      <c r="F1585" s="22" t="s">
        <v>3378</v>
      </c>
      <c r="G1585" s="32"/>
      <c r="H1585" s="22"/>
      <c r="I1585" s="22" t="s">
        <v>3363</v>
      </c>
    </row>
    <row r="1586" customFormat="false" ht="15" hidden="false" customHeight="true" outlineLevel="0" collapsed="false">
      <c r="A1586" s="24" t="s">
        <v>185</v>
      </c>
      <c r="B1586" s="32" t="s">
        <v>7210</v>
      </c>
      <c r="C1586" s="22" t="s">
        <v>7211</v>
      </c>
      <c r="D1586" s="32" t="s">
        <v>7212</v>
      </c>
      <c r="E1586" s="22" t="s">
        <v>3359</v>
      </c>
      <c r="F1586" s="22" t="s">
        <v>3378</v>
      </c>
      <c r="G1586" s="32"/>
      <c r="H1586" s="22" t="s">
        <v>7213</v>
      </c>
      <c r="I1586" s="22" t="s">
        <v>3363</v>
      </c>
    </row>
    <row r="1587" customFormat="false" ht="15" hidden="false" customHeight="true" outlineLevel="0" collapsed="false">
      <c r="A1587" s="24" t="s">
        <v>185</v>
      </c>
      <c r="B1587" s="32" t="s">
        <v>7214</v>
      </c>
      <c r="C1587" s="22" t="s">
        <v>7215</v>
      </c>
      <c r="D1587" s="32" t="s">
        <v>7212</v>
      </c>
      <c r="E1587" s="22" t="s">
        <v>3394</v>
      </c>
      <c r="F1587" s="22" t="s">
        <v>3378</v>
      </c>
      <c r="G1587" s="32" t="s">
        <v>5753</v>
      </c>
      <c r="H1587" s="22"/>
      <c r="I1587" s="22" t="s">
        <v>3363</v>
      </c>
    </row>
    <row r="1588" customFormat="false" ht="15" hidden="false" customHeight="true" outlineLevel="0" collapsed="false">
      <c r="A1588" s="24" t="s">
        <v>523</v>
      </c>
      <c r="B1588" s="32" t="s">
        <v>6625</v>
      </c>
      <c r="C1588" s="22" t="s">
        <v>7144</v>
      </c>
      <c r="D1588" s="32" t="s">
        <v>6627</v>
      </c>
      <c r="E1588" s="22" t="s">
        <v>3389</v>
      </c>
      <c r="F1588" s="22" t="s">
        <v>3360</v>
      </c>
      <c r="G1588" s="32" t="s">
        <v>7145</v>
      </c>
      <c r="H1588" s="22" t="s">
        <v>7146</v>
      </c>
      <c r="I1588" s="22" t="s">
        <v>3363</v>
      </c>
    </row>
    <row r="1589" customFormat="false" ht="24.75" hidden="false" customHeight="true" outlineLevel="0" collapsed="false">
      <c r="A1589" s="24" t="s">
        <v>523</v>
      </c>
      <c r="B1589" s="32" t="s">
        <v>6630</v>
      </c>
      <c r="C1589" s="22" t="s">
        <v>6631</v>
      </c>
      <c r="D1589" s="32" t="s">
        <v>6627</v>
      </c>
      <c r="E1589" s="22" t="s">
        <v>3359</v>
      </c>
      <c r="F1589" s="22" t="s">
        <v>3360</v>
      </c>
      <c r="G1589" s="32" t="s">
        <v>7147</v>
      </c>
      <c r="H1589" s="22"/>
      <c r="I1589" s="22" t="s">
        <v>3363</v>
      </c>
    </row>
    <row r="1590" customFormat="false" ht="24.75" hidden="false" customHeight="true" outlineLevel="0" collapsed="false">
      <c r="A1590" s="24" t="s">
        <v>523</v>
      </c>
      <c r="B1590" s="32" t="s">
        <v>6633</v>
      </c>
      <c r="C1590" s="22" t="s">
        <v>7148</v>
      </c>
      <c r="D1590" s="32" t="s">
        <v>6627</v>
      </c>
      <c r="E1590" s="22" t="s">
        <v>3359</v>
      </c>
      <c r="F1590" s="22" t="s">
        <v>3360</v>
      </c>
      <c r="G1590" s="32" t="s">
        <v>7149</v>
      </c>
      <c r="H1590" s="22" t="s">
        <v>7150</v>
      </c>
      <c r="I1590" s="22" t="s">
        <v>3363</v>
      </c>
    </row>
    <row r="1591" customFormat="false" ht="24.75" hidden="false" customHeight="true" outlineLevel="0" collapsed="false">
      <c r="A1591" s="24" t="s">
        <v>523</v>
      </c>
      <c r="B1591" s="32" t="s">
        <v>7151</v>
      </c>
      <c r="C1591" s="22" t="s">
        <v>7152</v>
      </c>
      <c r="D1591" s="32" t="s">
        <v>6627</v>
      </c>
      <c r="E1591" s="22" t="s">
        <v>3359</v>
      </c>
      <c r="F1591" s="22" t="s">
        <v>6286</v>
      </c>
      <c r="G1591" s="32"/>
      <c r="H1591" s="22" t="s">
        <v>7153</v>
      </c>
      <c r="I1591" s="22" t="s">
        <v>3363</v>
      </c>
    </row>
    <row r="1592" customFormat="false" ht="24.75" hidden="false" customHeight="true" outlineLevel="0" collapsed="false">
      <c r="A1592" s="24" t="s">
        <v>523</v>
      </c>
      <c r="B1592" s="32" t="s">
        <v>7154</v>
      </c>
      <c r="C1592" s="22" t="s">
        <v>7155</v>
      </c>
      <c r="D1592" s="32" t="s">
        <v>6627</v>
      </c>
      <c r="E1592" s="22" t="s">
        <v>3389</v>
      </c>
      <c r="F1592" s="22" t="s">
        <v>6286</v>
      </c>
      <c r="G1592" s="32" t="s">
        <v>5943</v>
      </c>
      <c r="H1592" s="22"/>
      <c r="I1592" s="22" t="s">
        <v>3363</v>
      </c>
    </row>
    <row r="1593" customFormat="false" ht="24.75" hidden="false" customHeight="true" outlineLevel="0" collapsed="false">
      <c r="A1593" s="24" t="s">
        <v>523</v>
      </c>
      <c r="B1593" s="32" t="s">
        <v>7156</v>
      </c>
      <c r="C1593" s="22" t="s">
        <v>7157</v>
      </c>
      <c r="D1593" s="32" t="s">
        <v>6627</v>
      </c>
      <c r="E1593" s="22" t="s">
        <v>3359</v>
      </c>
      <c r="F1593" s="22" t="s">
        <v>3360</v>
      </c>
      <c r="G1593" s="32"/>
      <c r="H1593" s="22"/>
      <c r="I1593" s="22" t="s">
        <v>3363</v>
      </c>
    </row>
    <row r="1594" customFormat="false" ht="24.75" hidden="false" customHeight="true" outlineLevel="0" collapsed="false">
      <c r="A1594" s="24" t="s">
        <v>523</v>
      </c>
      <c r="B1594" s="32" t="s">
        <v>7158</v>
      </c>
      <c r="C1594" s="22" t="s">
        <v>7159</v>
      </c>
      <c r="D1594" s="32" t="s">
        <v>6627</v>
      </c>
      <c r="E1594" s="22" t="s">
        <v>3359</v>
      </c>
      <c r="F1594" s="22" t="s">
        <v>3378</v>
      </c>
      <c r="G1594" s="32" t="s">
        <v>7160</v>
      </c>
      <c r="H1594" s="22" t="s">
        <v>7161</v>
      </c>
      <c r="I1594" s="22" t="s">
        <v>3363</v>
      </c>
    </row>
    <row r="1595" customFormat="false" ht="15" hidden="false" customHeight="true" outlineLevel="0" collapsed="false">
      <c r="A1595" s="24" t="s">
        <v>523</v>
      </c>
      <c r="B1595" s="32" t="s">
        <v>6637</v>
      </c>
      <c r="C1595" s="22" t="s">
        <v>7162</v>
      </c>
      <c r="D1595" s="32" t="s">
        <v>6639</v>
      </c>
      <c r="E1595" s="22" t="s">
        <v>3359</v>
      </c>
      <c r="F1595" s="22" t="s">
        <v>3378</v>
      </c>
      <c r="G1595" s="32" t="s">
        <v>5721</v>
      </c>
      <c r="H1595" s="22" t="s">
        <v>7163</v>
      </c>
      <c r="I1595" s="22" t="s">
        <v>3363</v>
      </c>
    </row>
    <row r="1596" customFormat="false" ht="15" hidden="false" customHeight="true" outlineLevel="0" collapsed="false">
      <c r="A1596" s="24" t="s">
        <v>523</v>
      </c>
      <c r="B1596" s="32" t="s">
        <v>7164</v>
      </c>
      <c r="C1596" s="22" t="s">
        <v>7165</v>
      </c>
      <c r="D1596" s="32" t="s">
        <v>6627</v>
      </c>
      <c r="E1596" s="22" t="s">
        <v>3359</v>
      </c>
      <c r="F1596" s="22" t="s">
        <v>3360</v>
      </c>
      <c r="G1596" s="32" t="s">
        <v>7166</v>
      </c>
      <c r="H1596" s="22" t="s">
        <v>7167</v>
      </c>
      <c r="I1596" s="22" t="s">
        <v>3363</v>
      </c>
    </row>
    <row r="1597" customFormat="false" ht="24.75" hidden="false" customHeight="true" outlineLevel="0" collapsed="false">
      <c r="A1597" s="24" t="s">
        <v>523</v>
      </c>
      <c r="B1597" s="32" t="s">
        <v>7168</v>
      </c>
      <c r="C1597" s="22" t="s">
        <v>7169</v>
      </c>
      <c r="D1597" s="32" t="s">
        <v>6639</v>
      </c>
      <c r="E1597" s="22" t="s">
        <v>3377</v>
      </c>
      <c r="F1597" s="22" t="s">
        <v>3378</v>
      </c>
      <c r="G1597" s="32" t="s">
        <v>7170</v>
      </c>
      <c r="H1597" s="22"/>
      <c r="I1597" s="22" t="s">
        <v>3363</v>
      </c>
    </row>
    <row r="1598" customFormat="false" ht="15" hidden="false" customHeight="true" outlineLevel="0" collapsed="false">
      <c r="A1598" s="24" t="s">
        <v>523</v>
      </c>
      <c r="B1598" s="32" t="s">
        <v>7171</v>
      </c>
      <c r="C1598" s="22" t="s">
        <v>7172</v>
      </c>
      <c r="D1598" s="32" t="s">
        <v>6627</v>
      </c>
      <c r="E1598" s="22" t="s">
        <v>3359</v>
      </c>
      <c r="F1598" s="22" t="s">
        <v>3360</v>
      </c>
      <c r="G1598" s="32"/>
      <c r="H1598" s="22"/>
      <c r="I1598" s="22" t="s">
        <v>3363</v>
      </c>
    </row>
    <row r="1599" customFormat="false" ht="15" hidden="false" customHeight="true" outlineLevel="0" collapsed="false">
      <c r="A1599" s="24" t="s">
        <v>523</v>
      </c>
      <c r="B1599" s="32" t="s">
        <v>7173</v>
      </c>
      <c r="C1599" s="22" t="s">
        <v>7174</v>
      </c>
      <c r="D1599" s="32" t="s">
        <v>7175</v>
      </c>
      <c r="E1599" s="22" t="s">
        <v>3359</v>
      </c>
      <c r="F1599" s="22" t="s">
        <v>3378</v>
      </c>
      <c r="G1599" s="32"/>
      <c r="H1599" s="22"/>
      <c r="I1599" s="22" t="s">
        <v>3363</v>
      </c>
    </row>
    <row r="1600" customFormat="false" ht="15" hidden="false" customHeight="true" outlineLevel="0" collapsed="false">
      <c r="A1600" s="24" t="s">
        <v>523</v>
      </c>
      <c r="B1600" s="32" t="s">
        <v>7176</v>
      </c>
      <c r="C1600" s="22" t="s">
        <v>3701</v>
      </c>
      <c r="D1600" s="32" t="s">
        <v>7175</v>
      </c>
      <c r="E1600" s="22" t="s">
        <v>3359</v>
      </c>
      <c r="F1600" s="22" t="s">
        <v>3378</v>
      </c>
      <c r="G1600" s="32" t="s">
        <v>7177</v>
      </c>
      <c r="H1600" s="22"/>
      <c r="I1600" s="22" t="s">
        <v>3363</v>
      </c>
    </row>
    <row r="1601" customFormat="false" ht="15" hidden="false" customHeight="true" outlineLevel="0" collapsed="false">
      <c r="A1601" s="24" t="s">
        <v>523</v>
      </c>
      <c r="B1601" s="32" t="s">
        <v>7178</v>
      </c>
      <c r="C1601" s="22" t="s">
        <v>3714</v>
      </c>
      <c r="D1601" s="32" t="s">
        <v>7175</v>
      </c>
      <c r="E1601" s="22" t="s">
        <v>3394</v>
      </c>
      <c r="F1601" s="22" t="s">
        <v>3378</v>
      </c>
      <c r="G1601" s="32" t="s">
        <v>7179</v>
      </c>
      <c r="H1601" s="22"/>
      <c r="I1601" s="22" t="s">
        <v>3363</v>
      </c>
    </row>
    <row r="1602" customFormat="false" ht="15" hidden="false" customHeight="true" outlineLevel="0" collapsed="false">
      <c r="A1602" s="24" t="s">
        <v>523</v>
      </c>
      <c r="B1602" s="32" t="s">
        <v>7180</v>
      </c>
      <c r="C1602" s="22" t="s">
        <v>7181</v>
      </c>
      <c r="D1602" s="32" t="s">
        <v>7175</v>
      </c>
      <c r="E1602" s="22" t="s">
        <v>3359</v>
      </c>
      <c r="F1602" s="22" t="s">
        <v>3378</v>
      </c>
      <c r="G1602" s="32" t="s">
        <v>7182</v>
      </c>
      <c r="H1602" s="22"/>
      <c r="I1602" s="22" t="s">
        <v>3363</v>
      </c>
    </row>
    <row r="1603" customFormat="false" ht="15" hidden="false" customHeight="true" outlineLevel="0" collapsed="false">
      <c r="A1603" s="24" t="s">
        <v>523</v>
      </c>
      <c r="B1603" s="32" t="s">
        <v>3855</v>
      </c>
      <c r="C1603" s="22" t="s">
        <v>7183</v>
      </c>
      <c r="D1603" s="32" t="s">
        <v>7175</v>
      </c>
      <c r="E1603" s="22" t="s">
        <v>3394</v>
      </c>
      <c r="F1603" s="22" t="s">
        <v>3378</v>
      </c>
      <c r="G1603" s="32" t="s">
        <v>6603</v>
      </c>
      <c r="H1603" s="22"/>
      <c r="I1603" s="22" t="s">
        <v>3363</v>
      </c>
    </row>
    <row r="1604" customFormat="false" ht="15" hidden="false" customHeight="true" outlineLevel="0" collapsed="false">
      <c r="A1604" s="24" t="s">
        <v>523</v>
      </c>
      <c r="B1604" s="32" t="s">
        <v>3857</v>
      </c>
      <c r="C1604" s="22" t="s">
        <v>7184</v>
      </c>
      <c r="D1604" s="32" t="s">
        <v>5911</v>
      </c>
      <c r="E1604" s="22" t="s">
        <v>3394</v>
      </c>
      <c r="F1604" s="22" t="s">
        <v>3360</v>
      </c>
      <c r="G1604" s="32" t="s">
        <v>5753</v>
      </c>
      <c r="H1604" s="22"/>
      <c r="I1604" s="22" t="s">
        <v>3363</v>
      </c>
    </row>
    <row r="1605" customFormat="false" ht="24.75" hidden="false" customHeight="true" outlineLevel="0" collapsed="false">
      <c r="A1605" s="24" t="s">
        <v>523</v>
      </c>
      <c r="B1605" s="32" t="s">
        <v>7185</v>
      </c>
      <c r="C1605" s="22" t="s">
        <v>7186</v>
      </c>
      <c r="D1605" s="32" t="s">
        <v>6550</v>
      </c>
      <c r="E1605" s="22" t="s">
        <v>3394</v>
      </c>
      <c r="F1605" s="22" t="s">
        <v>3378</v>
      </c>
      <c r="G1605" s="32" t="s">
        <v>7187</v>
      </c>
      <c r="H1605" s="22"/>
      <c r="I1605" s="22" t="s">
        <v>3363</v>
      </c>
    </row>
    <row r="1606" customFormat="false" ht="15" hidden="false" customHeight="true" outlineLevel="0" collapsed="false">
      <c r="A1606" s="24" t="s">
        <v>523</v>
      </c>
      <c r="B1606" s="32" t="s">
        <v>7188</v>
      </c>
      <c r="C1606" s="22" t="s">
        <v>3453</v>
      </c>
      <c r="D1606" s="32" t="s">
        <v>6550</v>
      </c>
      <c r="E1606" s="22" t="s">
        <v>3394</v>
      </c>
      <c r="F1606" s="22" t="s">
        <v>3378</v>
      </c>
      <c r="G1606" s="32" t="s">
        <v>5753</v>
      </c>
      <c r="H1606" s="22"/>
      <c r="I1606" s="22" t="s">
        <v>3363</v>
      </c>
    </row>
    <row r="1607" customFormat="false" ht="15" hidden="false" customHeight="true" outlineLevel="0" collapsed="false">
      <c r="A1607" s="24" t="s">
        <v>523</v>
      </c>
      <c r="B1607" s="32" t="s">
        <v>7189</v>
      </c>
      <c r="C1607" s="22" t="s">
        <v>3458</v>
      </c>
      <c r="D1607" s="32" t="s">
        <v>6550</v>
      </c>
      <c r="E1607" s="22" t="s">
        <v>3394</v>
      </c>
      <c r="F1607" s="22" t="s">
        <v>3378</v>
      </c>
      <c r="G1607" s="32" t="s">
        <v>5753</v>
      </c>
      <c r="H1607" s="22"/>
      <c r="I1607" s="22" t="s">
        <v>3363</v>
      </c>
    </row>
    <row r="1608" customFormat="false" ht="15" hidden="false" customHeight="true" outlineLevel="0" collapsed="false">
      <c r="A1608" s="24" t="s">
        <v>523</v>
      </c>
      <c r="B1608" s="32" t="s">
        <v>7190</v>
      </c>
      <c r="C1608" s="22" t="s">
        <v>3462</v>
      </c>
      <c r="D1608" s="32" t="s">
        <v>6550</v>
      </c>
      <c r="E1608" s="22" t="s">
        <v>3394</v>
      </c>
      <c r="F1608" s="22" t="s">
        <v>3378</v>
      </c>
      <c r="G1608" s="32" t="s">
        <v>5753</v>
      </c>
      <c r="H1608" s="22"/>
      <c r="I1608" s="22" t="s">
        <v>3363</v>
      </c>
    </row>
    <row r="1609" customFormat="false" ht="15" hidden="false" customHeight="true" outlineLevel="0" collapsed="false">
      <c r="A1609" s="24" t="s">
        <v>523</v>
      </c>
      <c r="B1609" s="32" t="s">
        <v>7191</v>
      </c>
      <c r="C1609" s="22" t="s">
        <v>3495</v>
      </c>
      <c r="D1609" s="32" t="s">
        <v>6550</v>
      </c>
      <c r="E1609" s="22" t="s">
        <v>3394</v>
      </c>
      <c r="F1609" s="22" t="s">
        <v>3378</v>
      </c>
      <c r="G1609" s="32" t="s">
        <v>5753</v>
      </c>
      <c r="H1609" s="22"/>
      <c r="I1609" s="22" t="s">
        <v>3363</v>
      </c>
    </row>
    <row r="1610" customFormat="false" ht="15" hidden="false" customHeight="true" outlineLevel="0" collapsed="false">
      <c r="A1610" s="24" t="s">
        <v>523</v>
      </c>
      <c r="B1610" s="32" t="s">
        <v>7192</v>
      </c>
      <c r="C1610" s="22" t="s">
        <v>7193</v>
      </c>
      <c r="D1610" s="32" t="s">
        <v>6550</v>
      </c>
      <c r="E1610" s="22" t="s">
        <v>3394</v>
      </c>
      <c r="F1610" s="22" t="s">
        <v>3378</v>
      </c>
      <c r="G1610" s="32" t="s">
        <v>5753</v>
      </c>
      <c r="H1610" s="22"/>
      <c r="I1610" s="22" t="s">
        <v>3363</v>
      </c>
    </row>
    <row r="1611" customFormat="false" ht="15" hidden="false" customHeight="true" outlineLevel="0" collapsed="false">
      <c r="A1611" s="24" t="s">
        <v>523</v>
      </c>
      <c r="B1611" s="32" t="s">
        <v>7194</v>
      </c>
      <c r="C1611" s="22" t="s">
        <v>7195</v>
      </c>
      <c r="D1611" s="32" t="s">
        <v>5911</v>
      </c>
      <c r="E1611" s="22" t="s">
        <v>3394</v>
      </c>
      <c r="F1611" s="22" t="s">
        <v>3378</v>
      </c>
      <c r="G1611" s="32" t="s">
        <v>5753</v>
      </c>
      <c r="H1611" s="22"/>
      <c r="I1611" s="22" t="s">
        <v>3363</v>
      </c>
    </row>
    <row r="1612" customFormat="false" ht="15" hidden="false" customHeight="true" outlineLevel="0" collapsed="false">
      <c r="A1612" s="24" t="s">
        <v>523</v>
      </c>
      <c r="B1612" s="32" t="s">
        <v>3850</v>
      </c>
      <c r="C1612" s="22" t="s">
        <v>7196</v>
      </c>
      <c r="D1612" s="32" t="s">
        <v>5911</v>
      </c>
      <c r="E1612" s="22" t="s">
        <v>3394</v>
      </c>
      <c r="F1612" s="22" t="s">
        <v>3360</v>
      </c>
      <c r="G1612" s="32" t="s">
        <v>5753</v>
      </c>
      <c r="H1612" s="22"/>
      <c r="I1612" s="22" t="s">
        <v>3363</v>
      </c>
    </row>
    <row r="1613" customFormat="false" ht="15" hidden="false" customHeight="true" outlineLevel="0" collapsed="false">
      <c r="A1613" s="24" t="s">
        <v>523</v>
      </c>
      <c r="B1613" s="32" t="s">
        <v>4077</v>
      </c>
      <c r="C1613" s="22" t="s">
        <v>7197</v>
      </c>
      <c r="D1613" s="32" t="s">
        <v>6550</v>
      </c>
      <c r="E1613" s="22" t="s">
        <v>3377</v>
      </c>
      <c r="F1613" s="22" t="s">
        <v>3378</v>
      </c>
      <c r="G1613" s="32" t="s">
        <v>5947</v>
      </c>
      <c r="H1613" s="22"/>
      <c r="I1613" s="22" t="s">
        <v>3363</v>
      </c>
    </row>
    <row r="1614" customFormat="false" ht="15" hidden="false" customHeight="true" outlineLevel="0" collapsed="false">
      <c r="A1614" s="24" t="s">
        <v>523</v>
      </c>
      <c r="B1614" s="32" t="s">
        <v>4094</v>
      </c>
      <c r="C1614" s="22" t="s">
        <v>3421</v>
      </c>
      <c r="D1614" s="32" t="s">
        <v>7198</v>
      </c>
      <c r="E1614" s="22" t="s">
        <v>3359</v>
      </c>
      <c r="F1614" s="22" t="s">
        <v>3378</v>
      </c>
      <c r="G1614" s="32" t="s">
        <v>7199</v>
      </c>
      <c r="H1614" s="22" t="s">
        <v>7200</v>
      </c>
      <c r="I1614" s="22" t="s">
        <v>3363</v>
      </c>
    </row>
    <row r="1615" customFormat="false" ht="15" hidden="false" customHeight="true" outlineLevel="0" collapsed="false">
      <c r="A1615" s="24" t="s">
        <v>523</v>
      </c>
      <c r="B1615" s="32" t="s">
        <v>7201</v>
      </c>
      <c r="C1615" s="22" t="s">
        <v>7202</v>
      </c>
      <c r="D1615" s="32" t="s">
        <v>7198</v>
      </c>
      <c r="E1615" s="22" t="s">
        <v>3359</v>
      </c>
      <c r="F1615" s="22" t="s">
        <v>3378</v>
      </c>
      <c r="G1615" s="32"/>
      <c r="H1615" s="22"/>
      <c r="I1615" s="22" t="s">
        <v>3363</v>
      </c>
    </row>
    <row r="1616" customFormat="false" ht="15" hidden="false" customHeight="true" outlineLevel="0" collapsed="false">
      <c r="A1616" s="24" t="s">
        <v>523</v>
      </c>
      <c r="B1616" s="32" t="s">
        <v>7203</v>
      </c>
      <c r="C1616" s="22" t="s">
        <v>7204</v>
      </c>
      <c r="D1616" s="32" t="s">
        <v>7205</v>
      </c>
      <c r="E1616" s="22" t="s">
        <v>3359</v>
      </c>
      <c r="F1616" s="22" t="s">
        <v>3378</v>
      </c>
      <c r="G1616" s="32" t="s">
        <v>5314</v>
      </c>
      <c r="H1616" s="22" t="s">
        <v>7206</v>
      </c>
      <c r="I1616" s="22" t="s">
        <v>3363</v>
      </c>
    </row>
    <row r="1617" customFormat="false" ht="15" hidden="false" customHeight="true" outlineLevel="0" collapsed="false">
      <c r="A1617" s="24" t="s">
        <v>523</v>
      </c>
      <c r="B1617" s="32" t="s">
        <v>4087</v>
      </c>
      <c r="C1617" s="22" t="s">
        <v>7207</v>
      </c>
      <c r="D1617" s="32" t="s">
        <v>6627</v>
      </c>
      <c r="E1617" s="22" t="s">
        <v>3359</v>
      </c>
      <c r="F1617" s="22" t="s">
        <v>3378</v>
      </c>
      <c r="G1617" s="32"/>
      <c r="H1617" s="22"/>
      <c r="I1617" s="22" t="s">
        <v>3363</v>
      </c>
    </row>
    <row r="1618" customFormat="false" ht="15" hidden="false" customHeight="true" outlineLevel="0" collapsed="false">
      <c r="A1618" s="24" t="s">
        <v>523</v>
      </c>
      <c r="B1618" s="32" t="s">
        <v>7208</v>
      </c>
      <c r="C1618" s="22" t="s">
        <v>7209</v>
      </c>
      <c r="D1618" s="32" t="s">
        <v>6627</v>
      </c>
      <c r="E1618" s="22" t="s">
        <v>3359</v>
      </c>
      <c r="F1618" s="22" t="s">
        <v>3378</v>
      </c>
      <c r="G1618" s="32"/>
      <c r="H1618" s="22"/>
      <c r="I1618" s="22" t="s">
        <v>3363</v>
      </c>
    </row>
    <row r="1619" customFormat="false" ht="24.75" hidden="false" customHeight="true" outlineLevel="0" collapsed="false">
      <c r="A1619" s="24" t="s">
        <v>523</v>
      </c>
      <c r="B1619" s="32" t="s">
        <v>7216</v>
      </c>
      <c r="C1619" s="22" t="s">
        <v>7217</v>
      </c>
      <c r="D1619" s="32" t="s">
        <v>6550</v>
      </c>
      <c r="E1619" s="22" t="s">
        <v>3377</v>
      </c>
      <c r="F1619" s="22" t="s">
        <v>3378</v>
      </c>
      <c r="G1619" s="32" t="s">
        <v>7218</v>
      </c>
      <c r="H1619" s="22"/>
      <c r="I1619" s="22" t="s">
        <v>3363</v>
      </c>
    </row>
    <row r="1620" customFormat="false" ht="15" hidden="false" customHeight="true" outlineLevel="0" collapsed="false">
      <c r="A1620" s="24" t="s">
        <v>523</v>
      </c>
      <c r="B1620" s="32" t="s">
        <v>6650</v>
      </c>
      <c r="C1620" s="22" t="s">
        <v>7219</v>
      </c>
      <c r="D1620" s="32" t="s">
        <v>56</v>
      </c>
      <c r="E1620" s="22" t="s">
        <v>3359</v>
      </c>
      <c r="F1620" s="22" t="s">
        <v>3378</v>
      </c>
      <c r="G1620" s="32"/>
      <c r="H1620" s="22" t="s">
        <v>7220</v>
      </c>
      <c r="I1620" s="22" t="s">
        <v>3363</v>
      </c>
    </row>
    <row r="1621" customFormat="false" ht="15" hidden="false" customHeight="true" outlineLevel="0" collapsed="false">
      <c r="A1621" s="24" t="s">
        <v>523</v>
      </c>
      <c r="B1621" s="32" t="s">
        <v>6659</v>
      </c>
      <c r="C1621" s="22" t="s">
        <v>6600</v>
      </c>
      <c r="D1621" s="32" t="s">
        <v>56</v>
      </c>
      <c r="E1621" s="22" t="s">
        <v>3394</v>
      </c>
      <c r="F1621" s="22" t="s">
        <v>3378</v>
      </c>
      <c r="G1621" s="32" t="s">
        <v>5753</v>
      </c>
      <c r="H1621" s="22"/>
      <c r="I1621" s="22" t="s">
        <v>3363</v>
      </c>
    </row>
    <row r="1622" customFormat="false" ht="15" hidden="false" customHeight="true" outlineLevel="0" collapsed="false">
      <c r="A1622" s="24" t="s">
        <v>523</v>
      </c>
      <c r="B1622" s="32" t="s">
        <v>7221</v>
      </c>
      <c r="C1622" s="22" t="s">
        <v>7222</v>
      </c>
      <c r="D1622" s="32" t="s">
        <v>6639</v>
      </c>
      <c r="E1622" s="22" t="s">
        <v>3377</v>
      </c>
      <c r="F1622" s="22" t="s">
        <v>3378</v>
      </c>
      <c r="G1622" s="32" t="s">
        <v>7223</v>
      </c>
      <c r="H1622" s="22" t="s">
        <v>7224</v>
      </c>
      <c r="I1622" s="22" t="s">
        <v>3363</v>
      </c>
    </row>
    <row r="1623" customFormat="false" ht="15" hidden="false" customHeight="true" outlineLevel="0" collapsed="false">
      <c r="A1623" s="24" t="s">
        <v>523</v>
      </c>
      <c r="B1623" s="32" t="s">
        <v>7225</v>
      </c>
      <c r="C1623" s="22" t="s">
        <v>7226</v>
      </c>
      <c r="D1623" s="32" t="s">
        <v>7227</v>
      </c>
      <c r="E1623" s="22" t="s">
        <v>3389</v>
      </c>
      <c r="F1623" s="22" t="s">
        <v>3378</v>
      </c>
      <c r="G1623" s="32" t="s">
        <v>5943</v>
      </c>
      <c r="H1623" s="22" t="s">
        <v>7228</v>
      </c>
      <c r="I1623" s="22" t="s">
        <v>3363</v>
      </c>
    </row>
    <row r="1624" customFormat="false" ht="15" hidden="false" customHeight="true" outlineLevel="0" collapsed="false">
      <c r="A1624" s="24" t="s">
        <v>692</v>
      </c>
      <c r="B1624" s="32" t="s">
        <v>6625</v>
      </c>
      <c r="C1624" s="22" t="s">
        <v>6626</v>
      </c>
      <c r="D1624" s="32" t="s">
        <v>6627</v>
      </c>
      <c r="E1624" s="22" t="s">
        <v>3389</v>
      </c>
      <c r="F1624" s="22" t="s">
        <v>3360</v>
      </c>
      <c r="G1624" s="32" t="s">
        <v>5943</v>
      </c>
      <c r="H1624" s="22"/>
      <c r="I1624" s="22" t="s">
        <v>3363</v>
      </c>
    </row>
    <row r="1625" customFormat="false" ht="15" hidden="false" customHeight="true" outlineLevel="0" collapsed="false">
      <c r="A1625" s="24" t="s">
        <v>692</v>
      </c>
      <c r="B1625" s="32" t="s">
        <v>6630</v>
      </c>
      <c r="C1625" s="22" t="s">
        <v>6631</v>
      </c>
      <c r="D1625" s="32" t="s">
        <v>6627</v>
      </c>
      <c r="E1625" s="22" t="s">
        <v>3359</v>
      </c>
      <c r="F1625" s="22" t="s">
        <v>3360</v>
      </c>
      <c r="G1625" s="32"/>
      <c r="H1625" s="22"/>
      <c r="I1625" s="22" t="s">
        <v>3363</v>
      </c>
    </row>
    <row r="1626" customFormat="false" ht="15" hidden="false" customHeight="true" outlineLevel="0" collapsed="false">
      <c r="A1626" s="24" t="s">
        <v>692</v>
      </c>
      <c r="B1626" s="32" t="s">
        <v>6633</v>
      </c>
      <c r="C1626" s="22" t="s">
        <v>6634</v>
      </c>
      <c r="D1626" s="32" t="s">
        <v>6627</v>
      </c>
      <c r="E1626" s="22" t="s">
        <v>3359</v>
      </c>
      <c r="F1626" s="22" t="s">
        <v>3360</v>
      </c>
      <c r="G1626" s="32"/>
      <c r="H1626" s="22"/>
      <c r="I1626" s="22" t="s">
        <v>3363</v>
      </c>
    </row>
    <row r="1627" customFormat="false" ht="15" hidden="false" customHeight="true" outlineLevel="0" collapsed="false">
      <c r="A1627" s="24" t="s">
        <v>692</v>
      </c>
      <c r="B1627" s="32" t="s">
        <v>7229</v>
      </c>
      <c r="C1627" s="22" t="s">
        <v>7230</v>
      </c>
      <c r="D1627" s="32" t="s">
        <v>6627</v>
      </c>
      <c r="E1627" s="22" t="s">
        <v>3359</v>
      </c>
      <c r="F1627" s="22" t="s">
        <v>3378</v>
      </c>
      <c r="G1627" s="32"/>
      <c r="H1627" s="22" t="s">
        <v>7231</v>
      </c>
      <c r="I1627" s="22" t="s">
        <v>3363</v>
      </c>
    </row>
    <row r="1628" customFormat="false" ht="15" hidden="false" customHeight="true" outlineLevel="0" collapsed="false">
      <c r="A1628" s="24" t="s">
        <v>692</v>
      </c>
      <c r="B1628" s="32" t="s">
        <v>7171</v>
      </c>
      <c r="C1628" s="22" t="s">
        <v>7232</v>
      </c>
      <c r="D1628" s="32" t="s">
        <v>7233</v>
      </c>
      <c r="E1628" s="22" t="s">
        <v>3359</v>
      </c>
      <c r="F1628" s="22" t="s">
        <v>3360</v>
      </c>
      <c r="G1628" s="32"/>
      <c r="H1628" s="22"/>
      <c r="I1628" s="22" t="s">
        <v>3363</v>
      </c>
    </row>
    <row r="1629" customFormat="false" ht="15" hidden="false" customHeight="true" outlineLevel="0" collapsed="false">
      <c r="A1629" s="24" t="s">
        <v>692</v>
      </c>
      <c r="B1629" s="32" t="s">
        <v>7234</v>
      </c>
      <c r="C1629" s="22" t="s">
        <v>7235</v>
      </c>
      <c r="D1629" s="32" t="s">
        <v>7236</v>
      </c>
      <c r="E1629" s="22" t="s">
        <v>3359</v>
      </c>
      <c r="F1629" s="22" t="s">
        <v>3360</v>
      </c>
      <c r="G1629" s="32" t="s">
        <v>7237</v>
      </c>
      <c r="H1629" s="22" t="s">
        <v>7238</v>
      </c>
      <c r="I1629" s="22" t="s">
        <v>3363</v>
      </c>
    </row>
    <row r="1630" customFormat="false" ht="15" hidden="false" customHeight="true" outlineLevel="0" collapsed="false">
      <c r="A1630" s="24" t="s">
        <v>692</v>
      </c>
      <c r="B1630" s="32" t="s">
        <v>6670</v>
      </c>
      <c r="C1630" s="22" t="s">
        <v>6671</v>
      </c>
      <c r="D1630" s="32" t="s">
        <v>7233</v>
      </c>
      <c r="E1630" s="22" t="s">
        <v>3394</v>
      </c>
      <c r="F1630" s="22" t="s">
        <v>3360</v>
      </c>
      <c r="G1630" s="32" t="s">
        <v>5753</v>
      </c>
      <c r="H1630" s="22"/>
      <c r="I1630" s="22" t="s">
        <v>3363</v>
      </c>
    </row>
    <row r="1631" customFormat="false" ht="15" hidden="false" customHeight="true" outlineLevel="0" collapsed="false">
      <c r="A1631" s="24" t="s">
        <v>692</v>
      </c>
      <c r="B1631" s="32" t="s">
        <v>6673</v>
      </c>
      <c r="C1631" s="22" t="s">
        <v>6674</v>
      </c>
      <c r="D1631" s="32" t="s">
        <v>7233</v>
      </c>
      <c r="E1631" s="22" t="s">
        <v>3394</v>
      </c>
      <c r="F1631" s="22" t="s">
        <v>3360</v>
      </c>
      <c r="G1631" s="32" t="s">
        <v>5753</v>
      </c>
      <c r="H1631" s="22"/>
      <c r="I1631" s="22" t="s">
        <v>3363</v>
      </c>
    </row>
    <row r="1632" customFormat="false" ht="24.75" hidden="false" customHeight="true" outlineLevel="0" collapsed="false">
      <c r="A1632" s="24" t="s">
        <v>692</v>
      </c>
      <c r="B1632" s="32" t="s">
        <v>7158</v>
      </c>
      <c r="C1632" s="22" t="s">
        <v>7239</v>
      </c>
      <c r="D1632" s="32" t="s">
        <v>7233</v>
      </c>
      <c r="E1632" s="22" t="s">
        <v>3359</v>
      </c>
      <c r="F1632" s="22" t="s">
        <v>3378</v>
      </c>
      <c r="G1632" s="32" t="s">
        <v>7160</v>
      </c>
      <c r="H1632" s="22"/>
      <c r="I1632" s="22" t="s">
        <v>3363</v>
      </c>
    </row>
    <row r="1633" customFormat="false" ht="15" hidden="false" customHeight="true" outlineLevel="0" collapsed="false">
      <c r="A1633" s="24" t="s">
        <v>692</v>
      </c>
      <c r="B1633" s="32" t="s">
        <v>6637</v>
      </c>
      <c r="C1633" s="22" t="s">
        <v>7240</v>
      </c>
      <c r="D1633" s="32" t="s">
        <v>7233</v>
      </c>
      <c r="E1633" s="22" t="s">
        <v>3359</v>
      </c>
      <c r="F1633" s="22" t="s">
        <v>3378</v>
      </c>
      <c r="G1633" s="32" t="s">
        <v>5721</v>
      </c>
      <c r="H1633" s="22"/>
      <c r="I1633" s="22" t="s">
        <v>3363</v>
      </c>
    </row>
    <row r="1634" customFormat="false" ht="15" hidden="false" customHeight="true" outlineLevel="0" collapsed="false">
      <c r="A1634" s="24" t="s">
        <v>692</v>
      </c>
      <c r="B1634" s="32" t="s">
        <v>7241</v>
      </c>
      <c r="C1634" s="22" t="s">
        <v>7242</v>
      </c>
      <c r="D1634" s="32" t="s">
        <v>7233</v>
      </c>
      <c r="E1634" s="22" t="s">
        <v>3359</v>
      </c>
      <c r="F1634" s="22" t="s">
        <v>3378</v>
      </c>
      <c r="G1634" s="32"/>
      <c r="H1634" s="22"/>
      <c r="I1634" s="22" t="s">
        <v>3363</v>
      </c>
    </row>
    <row r="1635" customFormat="false" ht="24.75" hidden="false" customHeight="true" outlineLevel="0" collapsed="false">
      <c r="A1635" s="24" t="s">
        <v>692</v>
      </c>
      <c r="B1635" s="32" t="s">
        <v>7243</v>
      </c>
      <c r="C1635" s="22" t="s">
        <v>7244</v>
      </c>
      <c r="D1635" s="32" t="s">
        <v>7233</v>
      </c>
      <c r="E1635" s="22" t="s">
        <v>3359</v>
      </c>
      <c r="F1635" s="22" t="s">
        <v>3378</v>
      </c>
      <c r="G1635" s="32"/>
      <c r="H1635" s="22" t="s">
        <v>7245</v>
      </c>
      <c r="I1635" s="22" t="s">
        <v>3363</v>
      </c>
    </row>
    <row r="1636" customFormat="false" ht="15" hidden="false" customHeight="true" outlineLevel="0" collapsed="false">
      <c r="A1636" s="24" t="s">
        <v>692</v>
      </c>
      <c r="B1636" s="32" t="s">
        <v>7246</v>
      </c>
      <c r="C1636" s="22" t="s">
        <v>7247</v>
      </c>
      <c r="D1636" s="32" t="s">
        <v>7248</v>
      </c>
      <c r="E1636" s="22" t="s">
        <v>3359</v>
      </c>
      <c r="F1636" s="22" t="s">
        <v>3378</v>
      </c>
      <c r="G1636" s="32"/>
      <c r="H1636" s="22" t="s">
        <v>7249</v>
      </c>
      <c r="I1636" s="22" t="s">
        <v>3363</v>
      </c>
    </row>
    <row r="1637" customFormat="false" ht="24.75" hidden="false" customHeight="true" outlineLevel="0" collapsed="false">
      <c r="A1637" s="24" t="s">
        <v>692</v>
      </c>
      <c r="B1637" s="32" t="s">
        <v>6578</v>
      </c>
      <c r="C1637" s="22" t="s">
        <v>7250</v>
      </c>
      <c r="D1637" s="32" t="s">
        <v>7248</v>
      </c>
      <c r="E1637" s="22" t="s">
        <v>3359</v>
      </c>
      <c r="F1637" s="22" t="s">
        <v>3378</v>
      </c>
      <c r="G1637" s="32"/>
      <c r="H1637" s="22" t="s">
        <v>7251</v>
      </c>
      <c r="I1637" s="22" t="s">
        <v>3363</v>
      </c>
    </row>
    <row r="1638" customFormat="false" ht="15" hidden="false" customHeight="true" outlineLevel="0" collapsed="false">
      <c r="A1638" s="24" t="s">
        <v>692</v>
      </c>
      <c r="B1638" s="32" t="s">
        <v>6650</v>
      </c>
      <c r="C1638" s="22" t="s">
        <v>7252</v>
      </c>
      <c r="D1638" s="32" t="s">
        <v>7233</v>
      </c>
      <c r="E1638" s="22" t="s">
        <v>3359</v>
      </c>
      <c r="F1638" s="22" t="s">
        <v>3378</v>
      </c>
      <c r="G1638" s="32"/>
      <c r="H1638" s="22"/>
      <c r="I1638" s="22" t="s">
        <v>3363</v>
      </c>
    </row>
    <row r="1639" customFormat="false" ht="15" hidden="false" customHeight="true" outlineLevel="0" collapsed="false">
      <c r="A1639" s="24" t="s">
        <v>692</v>
      </c>
      <c r="B1639" s="32" t="s">
        <v>7208</v>
      </c>
      <c r="C1639" s="22" t="s">
        <v>7209</v>
      </c>
      <c r="D1639" s="32" t="s">
        <v>6627</v>
      </c>
      <c r="E1639" s="22" t="s">
        <v>3359</v>
      </c>
      <c r="F1639" s="22" t="s">
        <v>3378</v>
      </c>
      <c r="G1639" s="32"/>
      <c r="H1639" s="22"/>
      <c r="I1639" s="22" t="s">
        <v>3363</v>
      </c>
    </row>
    <row r="1640" customFormat="false" ht="24.75" hidden="false" customHeight="true" outlineLevel="0" collapsed="false">
      <c r="A1640" s="24" t="s">
        <v>692</v>
      </c>
      <c r="B1640" s="32" t="s">
        <v>7253</v>
      </c>
      <c r="C1640" s="22" t="s">
        <v>7254</v>
      </c>
      <c r="D1640" s="32" t="s">
        <v>7255</v>
      </c>
      <c r="E1640" s="22" t="s">
        <v>3359</v>
      </c>
      <c r="F1640" s="22" t="s">
        <v>3378</v>
      </c>
      <c r="G1640" s="32"/>
      <c r="H1640" s="22" t="s">
        <v>7256</v>
      </c>
      <c r="I1640" s="22" t="s">
        <v>3363</v>
      </c>
    </row>
    <row r="1641" customFormat="false" ht="15" hidden="false" customHeight="true" outlineLevel="0" collapsed="false">
      <c r="A1641" s="24" t="s">
        <v>692</v>
      </c>
      <c r="B1641" s="32" t="s">
        <v>7257</v>
      </c>
      <c r="C1641" s="22" t="s">
        <v>7258</v>
      </c>
      <c r="D1641" s="32" t="s">
        <v>7255</v>
      </c>
      <c r="E1641" s="22" t="s">
        <v>3389</v>
      </c>
      <c r="F1641" s="22" t="s">
        <v>3378</v>
      </c>
      <c r="G1641" s="32" t="s">
        <v>7259</v>
      </c>
      <c r="H1641" s="22"/>
      <c r="I1641" s="22" t="s">
        <v>3363</v>
      </c>
    </row>
    <row r="1642" customFormat="false" ht="15" hidden="false" customHeight="true" outlineLevel="0" collapsed="false">
      <c r="A1642" s="24" t="s">
        <v>893</v>
      </c>
      <c r="B1642" s="32" t="s">
        <v>5672</v>
      </c>
      <c r="C1642" s="22" t="s">
        <v>7134</v>
      </c>
      <c r="D1642" s="32" t="s">
        <v>5720</v>
      </c>
      <c r="E1642" s="22" t="s">
        <v>3389</v>
      </c>
      <c r="F1642" s="22" t="s">
        <v>3360</v>
      </c>
      <c r="G1642" s="32" t="s">
        <v>5943</v>
      </c>
      <c r="H1642" s="22"/>
      <c r="I1642" s="22" t="s">
        <v>3363</v>
      </c>
    </row>
    <row r="1643" customFormat="false" ht="15" hidden="false" customHeight="true" outlineLevel="0" collapsed="false">
      <c r="A1643" s="24" t="s">
        <v>893</v>
      </c>
      <c r="B1643" s="32" t="s">
        <v>5674</v>
      </c>
      <c r="C1643" s="22" t="s">
        <v>7135</v>
      </c>
      <c r="D1643" s="32" t="s">
        <v>5720</v>
      </c>
      <c r="E1643" s="22" t="s">
        <v>3389</v>
      </c>
      <c r="F1643" s="22" t="s">
        <v>3360</v>
      </c>
      <c r="G1643" s="32" t="s">
        <v>5943</v>
      </c>
      <c r="H1643" s="22"/>
      <c r="I1643" s="22" t="s">
        <v>3363</v>
      </c>
    </row>
    <row r="1644" customFormat="false" ht="15" hidden="false" customHeight="true" outlineLevel="0" collapsed="false">
      <c r="A1644" s="24" t="s">
        <v>893</v>
      </c>
      <c r="B1644" s="32" t="s">
        <v>7171</v>
      </c>
      <c r="C1644" s="22" t="s">
        <v>7260</v>
      </c>
      <c r="D1644" s="32" t="s">
        <v>7057</v>
      </c>
      <c r="E1644" s="22" t="s">
        <v>3359</v>
      </c>
      <c r="F1644" s="22" t="s">
        <v>3360</v>
      </c>
      <c r="G1644" s="32"/>
      <c r="H1644" s="22"/>
      <c r="I1644" s="22" t="s">
        <v>3363</v>
      </c>
    </row>
    <row r="1645" customFormat="false" ht="15" hidden="false" customHeight="true" outlineLevel="0" collapsed="false">
      <c r="A1645" s="24" t="s">
        <v>893</v>
      </c>
      <c r="B1645" s="32" t="s">
        <v>7234</v>
      </c>
      <c r="C1645" s="22" t="s">
        <v>7261</v>
      </c>
      <c r="D1645" s="32" t="s">
        <v>7057</v>
      </c>
      <c r="E1645" s="22" t="s">
        <v>3359</v>
      </c>
      <c r="F1645" s="22" t="s">
        <v>3360</v>
      </c>
      <c r="G1645" s="32"/>
      <c r="H1645" s="22"/>
      <c r="I1645" s="22" t="s">
        <v>3363</v>
      </c>
    </row>
    <row r="1646" customFormat="false" ht="15" hidden="false" customHeight="true" outlineLevel="0" collapsed="false">
      <c r="A1646" s="24" t="s">
        <v>893</v>
      </c>
      <c r="B1646" s="32" t="s">
        <v>7262</v>
      </c>
      <c r="C1646" s="22" t="s">
        <v>7263</v>
      </c>
      <c r="D1646" s="32" t="s">
        <v>7057</v>
      </c>
      <c r="E1646" s="22" t="s">
        <v>3377</v>
      </c>
      <c r="F1646" s="22" t="s">
        <v>3360</v>
      </c>
      <c r="G1646" s="32" t="s">
        <v>7264</v>
      </c>
      <c r="H1646" s="22"/>
      <c r="I1646" s="22" t="s">
        <v>3363</v>
      </c>
    </row>
    <row r="1647" customFormat="false" ht="15" hidden="false" customHeight="true" outlineLevel="0" collapsed="false">
      <c r="A1647" s="24" t="s">
        <v>893</v>
      </c>
      <c r="B1647" s="32" t="s">
        <v>7265</v>
      </c>
      <c r="C1647" s="22" t="s">
        <v>7266</v>
      </c>
      <c r="D1647" s="32" t="s">
        <v>7267</v>
      </c>
      <c r="E1647" s="22" t="s">
        <v>3359</v>
      </c>
      <c r="F1647" s="22" t="s">
        <v>3378</v>
      </c>
      <c r="G1647" s="32"/>
      <c r="H1647" s="22" t="s">
        <v>7268</v>
      </c>
      <c r="I1647" s="22" t="s">
        <v>3363</v>
      </c>
    </row>
    <row r="1648" customFormat="false" ht="24.75" hidden="false" customHeight="true" outlineLevel="0" collapsed="false">
      <c r="A1648" s="24" t="s">
        <v>893</v>
      </c>
      <c r="B1648" s="32" t="s">
        <v>7269</v>
      </c>
      <c r="C1648" s="22" t="s">
        <v>5546</v>
      </c>
      <c r="D1648" s="32" t="s">
        <v>7057</v>
      </c>
      <c r="E1648" s="22" t="s">
        <v>3394</v>
      </c>
      <c r="F1648" s="22" t="s">
        <v>3360</v>
      </c>
      <c r="G1648" s="32" t="s">
        <v>7270</v>
      </c>
      <c r="H1648" s="22"/>
      <c r="I1648" s="22" t="s">
        <v>3363</v>
      </c>
    </row>
    <row r="1649" customFormat="false" ht="15" hidden="false" customHeight="true" outlineLevel="0" collapsed="false">
      <c r="A1649" s="24" t="s">
        <v>893</v>
      </c>
      <c r="B1649" s="32" t="s">
        <v>7271</v>
      </c>
      <c r="C1649" s="22" t="s">
        <v>7272</v>
      </c>
      <c r="D1649" s="32" t="s">
        <v>7057</v>
      </c>
      <c r="E1649" s="22" t="s">
        <v>3394</v>
      </c>
      <c r="F1649" s="22" t="s">
        <v>3360</v>
      </c>
      <c r="G1649" s="32" t="s">
        <v>5753</v>
      </c>
      <c r="H1649" s="22"/>
      <c r="I1649" s="22" t="s">
        <v>3363</v>
      </c>
    </row>
    <row r="1650" customFormat="false" ht="15" hidden="false" customHeight="true" outlineLevel="0" collapsed="false">
      <c r="A1650" s="24" t="s">
        <v>893</v>
      </c>
      <c r="B1650" s="32" t="s">
        <v>5590</v>
      </c>
      <c r="C1650" s="22" t="s">
        <v>7273</v>
      </c>
      <c r="D1650" s="32" t="s">
        <v>7057</v>
      </c>
      <c r="E1650" s="22" t="s">
        <v>3394</v>
      </c>
      <c r="F1650" s="22" t="s">
        <v>3360</v>
      </c>
      <c r="G1650" s="32" t="s">
        <v>5753</v>
      </c>
      <c r="H1650" s="22"/>
      <c r="I1650" s="22" t="s">
        <v>3363</v>
      </c>
    </row>
    <row r="1651" customFormat="false" ht="24.75" hidden="false" customHeight="true" outlineLevel="0" collapsed="false">
      <c r="A1651" s="24" t="s">
        <v>893</v>
      </c>
      <c r="B1651" s="32" t="s">
        <v>6675</v>
      </c>
      <c r="C1651" s="22" t="s">
        <v>5549</v>
      </c>
      <c r="D1651" s="32" t="s">
        <v>7057</v>
      </c>
      <c r="E1651" s="22" t="s">
        <v>3394</v>
      </c>
      <c r="F1651" s="22" t="s">
        <v>3360</v>
      </c>
      <c r="G1651" s="32" t="s">
        <v>7274</v>
      </c>
      <c r="H1651" s="22"/>
      <c r="I1651" s="22" t="s">
        <v>3363</v>
      </c>
    </row>
    <row r="1652" customFormat="false" ht="15" hidden="false" customHeight="true" outlineLevel="0" collapsed="false">
      <c r="A1652" s="24" t="s">
        <v>637</v>
      </c>
      <c r="B1652" s="32" t="s">
        <v>7275</v>
      </c>
      <c r="C1652" s="22" t="s">
        <v>7276</v>
      </c>
      <c r="D1652" s="32" t="s">
        <v>5720</v>
      </c>
      <c r="E1652" s="22" t="s">
        <v>3359</v>
      </c>
      <c r="F1652" s="22" t="s">
        <v>3360</v>
      </c>
      <c r="G1652" s="32"/>
      <c r="H1652" s="22"/>
      <c r="I1652" s="22" t="s">
        <v>3363</v>
      </c>
    </row>
    <row r="1653" customFormat="false" ht="15" hidden="false" customHeight="true" outlineLevel="0" collapsed="false">
      <c r="A1653" s="24" t="s">
        <v>637</v>
      </c>
      <c r="B1653" s="32" t="s">
        <v>7277</v>
      </c>
      <c r="C1653" s="22" t="s">
        <v>7278</v>
      </c>
      <c r="D1653" s="32" t="s">
        <v>5720</v>
      </c>
      <c r="E1653" s="22" t="s">
        <v>3359</v>
      </c>
      <c r="F1653" s="22" t="s">
        <v>3360</v>
      </c>
      <c r="G1653" s="32"/>
      <c r="H1653" s="22" t="s">
        <v>7279</v>
      </c>
      <c r="I1653" s="22" t="s">
        <v>3363</v>
      </c>
    </row>
    <row r="1654" customFormat="false" ht="15" hidden="false" customHeight="true" outlineLevel="0" collapsed="false">
      <c r="A1654" s="24" t="s">
        <v>637</v>
      </c>
      <c r="B1654" s="32" t="s">
        <v>6625</v>
      </c>
      <c r="C1654" s="22" t="s">
        <v>7280</v>
      </c>
      <c r="D1654" s="32" t="s">
        <v>7233</v>
      </c>
      <c r="E1654" s="22" t="s">
        <v>3389</v>
      </c>
      <c r="F1654" s="22" t="s">
        <v>3360</v>
      </c>
      <c r="G1654" s="32" t="s">
        <v>5943</v>
      </c>
      <c r="H1654" s="22"/>
      <c r="I1654" s="22" t="s">
        <v>3363</v>
      </c>
    </row>
    <row r="1655" customFormat="false" ht="15" hidden="false" customHeight="true" outlineLevel="0" collapsed="false">
      <c r="A1655" s="24" t="s">
        <v>637</v>
      </c>
      <c r="B1655" s="32" t="s">
        <v>6630</v>
      </c>
      <c r="C1655" s="22" t="s">
        <v>7281</v>
      </c>
      <c r="D1655" s="32" t="s">
        <v>7233</v>
      </c>
      <c r="E1655" s="22" t="s">
        <v>3359</v>
      </c>
      <c r="F1655" s="22" t="s">
        <v>3360</v>
      </c>
      <c r="G1655" s="32" t="s">
        <v>7282</v>
      </c>
      <c r="H1655" s="22"/>
      <c r="I1655" s="22" t="s">
        <v>3363</v>
      </c>
    </row>
    <row r="1656" customFormat="false" ht="15" hidden="false" customHeight="true" outlineLevel="0" collapsed="false">
      <c r="A1656" s="24" t="s">
        <v>637</v>
      </c>
      <c r="B1656" s="32" t="s">
        <v>6633</v>
      </c>
      <c r="C1656" s="22" t="s">
        <v>7283</v>
      </c>
      <c r="D1656" s="32" t="s">
        <v>7233</v>
      </c>
      <c r="E1656" s="22" t="s">
        <v>3359</v>
      </c>
      <c r="F1656" s="22" t="s">
        <v>3360</v>
      </c>
      <c r="G1656" s="32"/>
      <c r="H1656" s="22"/>
      <c r="I1656" s="22" t="s">
        <v>3363</v>
      </c>
    </row>
    <row r="1657" customFormat="false" ht="15" hidden="false" customHeight="true" outlineLevel="0" collapsed="false">
      <c r="A1657" s="24" t="s">
        <v>637</v>
      </c>
      <c r="B1657" s="32" t="s">
        <v>7284</v>
      </c>
      <c r="C1657" s="22" t="s">
        <v>7285</v>
      </c>
      <c r="D1657" s="32" t="s">
        <v>7233</v>
      </c>
      <c r="E1657" s="22" t="s">
        <v>3359</v>
      </c>
      <c r="F1657" s="22" t="s">
        <v>3360</v>
      </c>
      <c r="G1657" s="32"/>
      <c r="H1657" s="22"/>
      <c r="I1657" s="22" t="s">
        <v>3363</v>
      </c>
    </row>
    <row r="1658" customFormat="false" ht="15" hidden="false" customHeight="true" outlineLevel="0" collapsed="false">
      <c r="A1658" s="24" t="s">
        <v>637</v>
      </c>
      <c r="B1658" s="32" t="s">
        <v>7246</v>
      </c>
      <c r="C1658" s="22" t="s">
        <v>7286</v>
      </c>
      <c r="D1658" s="32" t="s">
        <v>7233</v>
      </c>
      <c r="E1658" s="22" t="s">
        <v>3359</v>
      </c>
      <c r="F1658" s="22" t="s">
        <v>3378</v>
      </c>
      <c r="G1658" s="32"/>
      <c r="H1658" s="22"/>
      <c r="I1658" s="22" t="s">
        <v>3363</v>
      </c>
    </row>
    <row r="1659" customFormat="false" ht="15" hidden="false" customHeight="true" outlineLevel="0" collapsed="false">
      <c r="A1659" s="24" t="s">
        <v>637</v>
      </c>
      <c r="B1659" s="32" t="s">
        <v>7287</v>
      </c>
      <c r="C1659" s="22" t="s">
        <v>7288</v>
      </c>
      <c r="D1659" s="32" t="s">
        <v>7233</v>
      </c>
      <c r="E1659" s="22" t="s">
        <v>3389</v>
      </c>
      <c r="F1659" s="22" t="s">
        <v>3378</v>
      </c>
      <c r="G1659" s="32" t="s">
        <v>5943</v>
      </c>
      <c r="H1659" s="22" t="s">
        <v>7289</v>
      </c>
      <c r="I1659" s="22" t="s">
        <v>3363</v>
      </c>
    </row>
    <row r="1660" customFormat="false" ht="15" hidden="false" customHeight="true" outlineLevel="0" collapsed="false">
      <c r="A1660" s="24" t="s">
        <v>637</v>
      </c>
      <c r="B1660" s="32" t="s">
        <v>5403</v>
      </c>
      <c r="C1660" s="22" t="s">
        <v>7290</v>
      </c>
      <c r="D1660" s="32" t="s">
        <v>7233</v>
      </c>
      <c r="E1660" s="22" t="s">
        <v>3377</v>
      </c>
      <c r="F1660" s="22" t="s">
        <v>3378</v>
      </c>
      <c r="G1660" s="32" t="s">
        <v>7291</v>
      </c>
      <c r="H1660" s="22"/>
      <c r="I1660" s="22" t="s">
        <v>3363</v>
      </c>
    </row>
    <row r="1661" customFormat="false" ht="15" hidden="false" customHeight="true" outlineLevel="0" collapsed="false">
      <c r="A1661" s="24" t="s">
        <v>637</v>
      </c>
      <c r="B1661" s="32" t="s">
        <v>6670</v>
      </c>
      <c r="C1661" s="22" t="s">
        <v>7292</v>
      </c>
      <c r="D1661" s="32" t="s">
        <v>7233</v>
      </c>
      <c r="E1661" s="22" t="s">
        <v>3394</v>
      </c>
      <c r="F1661" s="22" t="s">
        <v>3360</v>
      </c>
      <c r="G1661" s="32" t="s">
        <v>5753</v>
      </c>
      <c r="H1661" s="22"/>
      <c r="I1661" s="22" t="s">
        <v>3363</v>
      </c>
    </row>
    <row r="1662" customFormat="false" ht="15" hidden="false" customHeight="true" outlineLevel="0" collapsed="false">
      <c r="A1662" s="24" t="s">
        <v>637</v>
      </c>
      <c r="B1662" s="32" t="s">
        <v>6673</v>
      </c>
      <c r="C1662" s="22" t="s">
        <v>7293</v>
      </c>
      <c r="D1662" s="32" t="s">
        <v>7233</v>
      </c>
      <c r="E1662" s="22" t="s">
        <v>3394</v>
      </c>
      <c r="F1662" s="22" t="s">
        <v>3360</v>
      </c>
      <c r="G1662" s="32" t="s">
        <v>5753</v>
      </c>
      <c r="H1662" s="22"/>
      <c r="I1662" s="22" t="s">
        <v>3363</v>
      </c>
    </row>
    <row r="1663" customFormat="false" ht="15" hidden="false" customHeight="true" outlineLevel="0" collapsed="false">
      <c r="A1663" s="24" t="s">
        <v>637</v>
      </c>
      <c r="B1663" s="32" t="s">
        <v>7294</v>
      </c>
      <c r="C1663" s="22" t="s">
        <v>7295</v>
      </c>
      <c r="D1663" s="32" t="s">
        <v>3342</v>
      </c>
      <c r="E1663" s="22" t="s">
        <v>3389</v>
      </c>
      <c r="F1663" s="22" t="s">
        <v>3378</v>
      </c>
      <c r="G1663" s="32" t="s">
        <v>5943</v>
      </c>
      <c r="H1663" s="22" t="s">
        <v>7296</v>
      </c>
      <c r="I1663" s="22" t="s">
        <v>3363</v>
      </c>
    </row>
    <row r="1664" customFormat="false" ht="15" hidden="false" customHeight="true" outlineLevel="0" collapsed="false">
      <c r="A1664" s="24" t="s">
        <v>637</v>
      </c>
      <c r="B1664" s="32" t="s">
        <v>7208</v>
      </c>
      <c r="C1664" s="22" t="s">
        <v>7209</v>
      </c>
      <c r="D1664" s="32" t="s">
        <v>7233</v>
      </c>
      <c r="E1664" s="22" t="s">
        <v>3359</v>
      </c>
      <c r="F1664" s="22" t="s">
        <v>3378</v>
      </c>
      <c r="G1664" s="32"/>
      <c r="H1664" s="22"/>
      <c r="I1664" s="22" t="s">
        <v>3363</v>
      </c>
    </row>
    <row r="1665" customFormat="false" ht="15" hidden="false" customHeight="true" outlineLevel="0" collapsed="false">
      <c r="A1665" s="24" t="s">
        <v>2041</v>
      </c>
      <c r="B1665" s="32" t="s">
        <v>6576</v>
      </c>
      <c r="C1665" s="22" t="s">
        <v>7297</v>
      </c>
      <c r="D1665" s="32" t="s">
        <v>5720</v>
      </c>
      <c r="E1665" s="22" t="s">
        <v>3359</v>
      </c>
      <c r="F1665" s="22" t="s">
        <v>3360</v>
      </c>
      <c r="G1665" s="32"/>
      <c r="H1665" s="22"/>
      <c r="I1665" s="22" t="s">
        <v>3363</v>
      </c>
    </row>
    <row r="1666" customFormat="false" ht="15" hidden="false" customHeight="true" outlineLevel="0" collapsed="false">
      <c r="A1666" s="24" t="s">
        <v>2041</v>
      </c>
      <c r="B1666" s="32" t="s">
        <v>7277</v>
      </c>
      <c r="C1666" s="22" t="s">
        <v>5885</v>
      </c>
      <c r="D1666" s="32" t="s">
        <v>5720</v>
      </c>
      <c r="E1666" s="22" t="s">
        <v>3359</v>
      </c>
      <c r="F1666" s="22" t="s">
        <v>3360</v>
      </c>
      <c r="G1666" s="32" t="s">
        <v>7298</v>
      </c>
      <c r="H1666" s="22" t="s">
        <v>7299</v>
      </c>
      <c r="I1666" s="22" t="s">
        <v>3363</v>
      </c>
    </row>
    <row r="1667" customFormat="false" ht="15" hidden="false" customHeight="true" outlineLevel="0" collapsed="false">
      <c r="A1667" s="24" t="s">
        <v>2041</v>
      </c>
      <c r="B1667" s="32" t="s">
        <v>7300</v>
      </c>
      <c r="C1667" s="22" t="s">
        <v>7301</v>
      </c>
      <c r="D1667" s="32" t="s">
        <v>5720</v>
      </c>
      <c r="E1667" s="22" t="s">
        <v>3359</v>
      </c>
      <c r="F1667" s="22" t="s">
        <v>3378</v>
      </c>
      <c r="G1667" s="32" t="s">
        <v>7302</v>
      </c>
      <c r="H1667" s="22"/>
      <c r="I1667" s="22" t="s">
        <v>3363</v>
      </c>
    </row>
    <row r="1668" customFormat="false" ht="15" hidden="false" customHeight="true" outlineLevel="0" collapsed="false">
      <c r="A1668" s="24" t="s">
        <v>2041</v>
      </c>
      <c r="B1668" s="32" t="s">
        <v>5672</v>
      </c>
      <c r="C1668" s="22" t="s">
        <v>7303</v>
      </c>
      <c r="D1668" s="32" t="s">
        <v>5720</v>
      </c>
      <c r="E1668" s="22" t="s">
        <v>3389</v>
      </c>
      <c r="F1668" s="22" t="s">
        <v>3360</v>
      </c>
      <c r="G1668" s="32" t="s">
        <v>5943</v>
      </c>
      <c r="H1668" s="22"/>
      <c r="I1668" s="22" t="s">
        <v>3363</v>
      </c>
    </row>
    <row r="1669" customFormat="false" ht="15" hidden="false" customHeight="true" outlineLevel="0" collapsed="false">
      <c r="A1669" s="24" t="s">
        <v>2041</v>
      </c>
      <c r="B1669" s="32" t="s">
        <v>5674</v>
      </c>
      <c r="C1669" s="22" t="s">
        <v>7304</v>
      </c>
      <c r="D1669" s="32" t="s">
        <v>5720</v>
      </c>
      <c r="E1669" s="22" t="s">
        <v>3389</v>
      </c>
      <c r="F1669" s="22" t="s">
        <v>3360</v>
      </c>
      <c r="G1669" s="32" t="s">
        <v>5943</v>
      </c>
      <c r="H1669" s="22"/>
      <c r="I1669" s="22" t="s">
        <v>3363</v>
      </c>
    </row>
    <row r="1670" customFormat="false" ht="24.75" hidden="false" customHeight="true" outlineLevel="0" collapsed="false">
      <c r="A1670" s="24" t="s">
        <v>2041</v>
      </c>
      <c r="B1670" s="32" t="s">
        <v>7269</v>
      </c>
      <c r="C1670" s="22" t="s">
        <v>7305</v>
      </c>
      <c r="D1670" s="32" t="s">
        <v>5720</v>
      </c>
      <c r="E1670" s="22" t="s">
        <v>3394</v>
      </c>
      <c r="F1670" s="22" t="s">
        <v>3360</v>
      </c>
      <c r="G1670" s="32" t="s">
        <v>7274</v>
      </c>
      <c r="H1670" s="22"/>
      <c r="I1670" s="22" t="s">
        <v>3363</v>
      </c>
    </row>
    <row r="1671" customFormat="false" ht="24.75" hidden="false" customHeight="true" outlineLevel="0" collapsed="false">
      <c r="A1671" s="24" t="s">
        <v>2041</v>
      </c>
      <c r="B1671" s="32" t="s">
        <v>6675</v>
      </c>
      <c r="C1671" s="22" t="s">
        <v>6676</v>
      </c>
      <c r="D1671" s="32" t="s">
        <v>5720</v>
      </c>
      <c r="E1671" s="22" t="s">
        <v>3394</v>
      </c>
      <c r="F1671" s="22" t="s">
        <v>3360</v>
      </c>
      <c r="G1671" s="32" t="s">
        <v>7274</v>
      </c>
      <c r="H1671" s="22" t="s">
        <v>7306</v>
      </c>
      <c r="I1671" s="22" t="s">
        <v>3363</v>
      </c>
    </row>
    <row r="1672" customFormat="false" ht="15" hidden="false" customHeight="true" outlineLevel="0" collapsed="false">
      <c r="A1672" s="24" t="s">
        <v>2041</v>
      </c>
      <c r="B1672" s="32" t="s">
        <v>5508</v>
      </c>
      <c r="C1672" s="22" t="s">
        <v>7307</v>
      </c>
      <c r="D1672" s="32" t="s">
        <v>7233</v>
      </c>
      <c r="E1672" s="22" t="s">
        <v>3389</v>
      </c>
      <c r="F1672" s="22" t="s">
        <v>3360</v>
      </c>
      <c r="G1672" s="32" t="s">
        <v>5943</v>
      </c>
      <c r="H1672" s="22"/>
      <c r="I1672" s="22" t="s">
        <v>3363</v>
      </c>
    </row>
    <row r="1673" customFormat="false" ht="15" hidden="false" customHeight="true" outlineLevel="0" collapsed="false">
      <c r="A1673" s="24" t="s">
        <v>2041</v>
      </c>
      <c r="B1673" s="32" t="s">
        <v>7308</v>
      </c>
      <c r="C1673" s="22" t="s">
        <v>7309</v>
      </c>
      <c r="D1673" s="32" t="s">
        <v>7233</v>
      </c>
      <c r="E1673" s="22" t="s">
        <v>3389</v>
      </c>
      <c r="F1673" s="22" t="s">
        <v>3378</v>
      </c>
      <c r="G1673" s="32" t="s">
        <v>5943</v>
      </c>
      <c r="H1673" s="22"/>
      <c r="I1673" s="22" t="s">
        <v>3363</v>
      </c>
    </row>
    <row r="1674" customFormat="false" ht="24.75" hidden="false" customHeight="true" outlineLevel="0" collapsed="false">
      <c r="A1674" s="24" t="s">
        <v>2041</v>
      </c>
      <c r="B1674" s="32" t="s">
        <v>5519</v>
      </c>
      <c r="C1674" s="22" t="s">
        <v>7310</v>
      </c>
      <c r="D1674" s="32" t="s">
        <v>7233</v>
      </c>
      <c r="E1674" s="22" t="s">
        <v>3359</v>
      </c>
      <c r="F1674" s="22" t="s">
        <v>3360</v>
      </c>
      <c r="G1674" s="32"/>
      <c r="H1674" s="22" t="s">
        <v>7311</v>
      </c>
      <c r="I1674" s="22" t="s">
        <v>3363</v>
      </c>
    </row>
    <row r="1675" customFormat="false" ht="15" hidden="false" customHeight="true" outlineLevel="0" collapsed="false">
      <c r="A1675" s="24" t="s">
        <v>2041</v>
      </c>
      <c r="B1675" s="32" t="s">
        <v>7312</v>
      </c>
      <c r="C1675" s="22" t="s">
        <v>7313</v>
      </c>
      <c r="D1675" s="32" t="s">
        <v>7233</v>
      </c>
      <c r="E1675" s="22" t="s">
        <v>3359</v>
      </c>
      <c r="F1675" s="22" t="s">
        <v>3378</v>
      </c>
      <c r="G1675" s="32"/>
      <c r="H1675" s="22"/>
      <c r="I1675" s="22" t="s">
        <v>3363</v>
      </c>
    </row>
    <row r="1676" customFormat="false" ht="24.75" hidden="false" customHeight="true" outlineLevel="0" collapsed="false">
      <c r="A1676" s="24" t="s">
        <v>2041</v>
      </c>
      <c r="B1676" s="32" t="s">
        <v>7314</v>
      </c>
      <c r="C1676" s="22" t="s">
        <v>7315</v>
      </c>
      <c r="D1676" s="32" t="s">
        <v>7233</v>
      </c>
      <c r="E1676" s="22" t="s">
        <v>3359</v>
      </c>
      <c r="F1676" s="22" t="s">
        <v>3378</v>
      </c>
      <c r="G1676" s="32" t="s">
        <v>7316</v>
      </c>
      <c r="H1676" s="22"/>
      <c r="I1676" s="22" t="s">
        <v>3363</v>
      </c>
    </row>
    <row r="1677" customFormat="false" ht="15" hidden="false" customHeight="true" outlineLevel="0" collapsed="false">
      <c r="A1677" s="24" t="s">
        <v>2041</v>
      </c>
      <c r="B1677" s="32" t="s">
        <v>6670</v>
      </c>
      <c r="C1677" s="22" t="s">
        <v>7317</v>
      </c>
      <c r="D1677" s="32" t="s">
        <v>7233</v>
      </c>
      <c r="E1677" s="22" t="s">
        <v>3394</v>
      </c>
      <c r="F1677" s="22" t="s">
        <v>3360</v>
      </c>
      <c r="G1677" s="32" t="s">
        <v>5753</v>
      </c>
      <c r="H1677" s="22"/>
      <c r="I1677" s="22" t="s">
        <v>3363</v>
      </c>
    </row>
    <row r="1678" customFormat="false" ht="15" hidden="false" customHeight="true" outlineLevel="0" collapsed="false">
      <c r="A1678" s="24" t="s">
        <v>2041</v>
      </c>
      <c r="B1678" s="32" t="s">
        <v>6673</v>
      </c>
      <c r="C1678" s="22" t="s">
        <v>7318</v>
      </c>
      <c r="D1678" s="32" t="s">
        <v>7233</v>
      </c>
      <c r="E1678" s="22" t="s">
        <v>3394</v>
      </c>
      <c r="F1678" s="22" t="s">
        <v>3360</v>
      </c>
      <c r="G1678" s="32" t="s">
        <v>5753</v>
      </c>
      <c r="H1678" s="22"/>
      <c r="I1678" s="22" t="s">
        <v>3363</v>
      </c>
    </row>
    <row r="1679" customFormat="false" ht="24.75" hidden="false" customHeight="true" outlineLevel="0" collapsed="false">
      <c r="A1679" s="24" t="s">
        <v>2041</v>
      </c>
      <c r="B1679" s="32" t="s">
        <v>7319</v>
      </c>
      <c r="C1679" s="22" t="s">
        <v>7320</v>
      </c>
      <c r="D1679" s="32" t="s">
        <v>7233</v>
      </c>
      <c r="E1679" s="22" t="s">
        <v>3394</v>
      </c>
      <c r="F1679" s="22" t="s">
        <v>3378</v>
      </c>
      <c r="G1679" s="32" t="s">
        <v>7274</v>
      </c>
      <c r="H1679" s="22" t="s">
        <v>7321</v>
      </c>
      <c r="I1679" s="22" t="s">
        <v>3363</v>
      </c>
    </row>
    <row r="1680" customFormat="false" ht="24.75" hidden="false" customHeight="true" outlineLevel="0" collapsed="false">
      <c r="A1680" s="24" t="s">
        <v>2041</v>
      </c>
      <c r="B1680" s="32" t="s">
        <v>7322</v>
      </c>
      <c r="C1680" s="22" t="s">
        <v>7323</v>
      </c>
      <c r="D1680" s="32" t="s">
        <v>7233</v>
      </c>
      <c r="E1680" s="22" t="s">
        <v>3377</v>
      </c>
      <c r="F1680" s="22" t="s">
        <v>3378</v>
      </c>
      <c r="G1680" s="32" t="s">
        <v>7324</v>
      </c>
      <c r="H1680" s="22" t="s">
        <v>7325</v>
      </c>
      <c r="I1680" s="22" t="s">
        <v>3363</v>
      </c>
    </row>
    <row r="1681" customFormat="false" ht="15" hidden="false" customHeight="true" outlineLevel="0" collapsed="false">
      <c r="A1681" s="24" t="s">
        <v>2532</v>
      </c>
      <c r="B1681" s="32" t="s">
        <v>7326</v>
      </c>
      <c r="C1681" s="22" t="s">
        <v>7327</v>
      </c>
      <c r="D1681" s="32" t="s">
        <v>7328</v>
      </c>
      <c r="E1681" s="22" t="s">
        <v>3359</v>
      </c>
      <c r="F1681" s="22" t="s">
        <v>3360</v>
      </c>
      <c r="G1681" s="32"/>
      <c r="H1681" s="22"/>
      <c r="I1681" s="22" t="s">
        <v>3363</v>
      </c>
    </row>
    <row r="1682" customFormat="false" ht="15" hidden="false" customHeight="true" outlineLevel="0" collapsed="false">
      <c r="A1682" s="24" t="s">
        <v>2532</v>
      </c>
      <c r="B1682" s="32" t="s">
        <v>7329</v>
      </c>
      <c r="C1682" s="22" t="s">
        <v>3354</v>
      </c>
      <c r="D1682" s="32" t="s">
        <v>7328</v>
      </c>
      <c r="E1682" s="22" t="s">
        <v>3359</v>
      </c>
      <c r="F1682" s="22" t="s">
        <v>3360</v>
      </c>
      <c r="G1682" s="32"/>
      <c r="H1682" s="22"/>
      <c r="I1682" s="22" t="s">
        <v>3363</v>
      </c>
    </row>
    <row r="1683" customFormat="false" ht="24.75" hidden="false" customHeight="true" outlineLevel="0" collapsed="false">
      <c r="A1683" s="24" t="s">
        <v>2532</v>
      </c>
      <c r="B1683" s="32" t="s">
        <v>7330</v>
      </c>
      <c r="C1683" s="22" t="s">
        <v>7331</v>
      </c>
      <c r="D1683" s="32" t="s">
        <v>7328</v>
      </c>
      <c r="E1683" s="22" t="s">
        <v>3359</v>
      </c>
      <c r="F1683" s="22" t="s">
        <v>3360</v>
      </c>
      <c r="G1683" s="32"/>
      <c r="H1683" s="22"/>
      <c r="I1683" s="22" t="s">
        <v>3363</v>
      </c>
    </row>
    <row r="1684" customFormat="false" ht="15" hidden="false" customHeight="true" outlineLevel="0" collapsed="false">
      <c r="A1684" s="24" t="s">
        <v>2532</v>
      </c>
      <c r="B1684" s="32" t="s">
        <v>7332</v>
      </c>
      <c r="C1684" s="22" t="s">
        <v>7333</v>
      </c>
      <c r="D1684" s="32" t="s">
        <v>6550</v>
      </c>
      <c r="E1684" s="22" t="s">
        <v>3359</v>
      </c>
      <c r="F1684" s="22" t="s">
        <v>3360</v>
      </c>
      <c r="G1684" s="32" t="s">
        <v>7334</v>
      </c>
      <c r="H1684" s="22"/>
      <c r="I1684" s="22" t="s">
        <v>3363</v>
      </c>
    </row>
    <row r="1685" customFormat="false" ht="15" hidden="false" customHeight="true" outlineLevel="0" collapsed="false">
      <c r="A1685" s="24" t="s">
        <v>2532</v>
      </c>
      <c r="B1685" s="32" t="s">
        <v>7335</v>
      </c>
      <c r="C1685" s="22" t="s">
        <v>7336</v>
      </c>
      <c r="D1685" s="32" t="s">
        <v>7328</v>
      </c>
      <c r="E1685" s="22" t="s">
        <v>3359</v>
      </c>
      <c r="F1685" s="22" t="s">
        <v>3378</v>
      </c>
      <c r="G1685" s="32"/>
      <c r="H1685" s="22" t="s">
        <v>7337</v>
      </c>
      <c r="I1685" s="22" t="s">
        <v>3363</v>
      </c>
    </row>
    <row r="1686" customFormat="false" ht="15" hidden="false" customHeight="true" outlineLevel="0" collapsed="false">
      <c r="A1686" s="24" t="s">
        <v>2532</v>
      </c>
      <c r="B1686" s="32" t="s">
        <v>4049</v>
      </c>
      <c r="C1686" s="22" t="s">
        <v>7338</v>
      </c>
      <c r="D1686" s="32" t="s">
        <v>7339</v>
      </c>
      <c r="E1686" s="22" t="s">
        <v>3359</v>
      </c>
      <c r="F1686" s="22" t="s">
        <v>3378</v>
      </c>
      <c r="G1686" s="32"/>
      <c r="H1686" s="22"/>
      <c r="I1686" s="22" t="s">
        <v>3363</v>
      </c>
    </row>
    <row r="1687" customFormat="false" ht="24.75" hidden="false" customHeight="true" outlineLevel="0" collapsed="false">
      <c r="A1687" s="24" t="s">
        <v>2532</v>
      </c>
      <c r="B1687" s="32" t="s">
        <v>4046</v>
      </c>
      <c r="C1687" s="22" t="s">
        <v>3829</v>
      </c>
      <c r="D1687" s="32" t="s">
        <v>7339</v>
      </c>
      <c r="E1687" s="22" t="s">
        <v>3359</v>
      </c>
      <c r="F1687" s="22" t="s">
        <v>3378</v>
      </c>
      <c r="G1687" s="32" t="s">
        <v>7160</v>
      </c>
      <c r="H1687" s="22" t="s">
        <v>7340</v>
      </c>
      <c r="I1687" s="22" t="s">
        <v>3363</v>
      </c>
    </row>
    <row r="1688" customFormat="false" ht="15" hidden="false" customHeight="true" outlineLevel="0" collapsed="false">
      <c r="A1688" s="24" t="s">
        <v>2532</v>
      </c>
      <c r="B1688" s="32" t="s">
        <v>4071</v>
      </c>
      <c r="C1688" s="22" t="s">
        <v>7341</v>
      </c>
      <c r="D1688" s="32" t="s">
        <v>7339</v>
      </c>
      <c r="E1688" s="22" t="s">
        <v>3359</v>
      </c>
      <c r="F1688" s="22" t="s">
        <v>3378</v>
      </c>
      <c r="G1688" s="32"/>
      <c r="H1688" s="22"/>
      <c r="I1688" s="22" t="s">
        <v>3363</v>
      </c>
    </row>
    <row r="1689" customFormat="false" ht="15" hidden="false" customHeight="true" outlineLevel="0" collapsed="false">
      <c r="A1689" s="24" t="s">
        <v>2532</v>
      </c>
      <c r="B1689" s="32" t="s">
        <v>7342</v>
      </c>
      <c r="C1689" s="22" t="s">
        <v>7343</v>
      </c>
      <c r="D1689" s="32" t="s">
        <v>7339</v>
      </c>
      <c r="E1689" s="22" t="s">
        <v>3389</v>
      </c>
      <c r="F1689" s="22" t="s">
        <v>3360</v>
      </c>
      <c r="G1689" s="32" t="s">
        <v>5943</v>
      </c>
      <c r="H1689" s="22"/>
      <c r="I1689" s="22" t="s">
        <v>3363</v>
      </c>
    </row>
    <row r="1690" customFormat="false" ht="15" hidden="false" customHeight="true" outlineLevel="0" collapsed="false">
      <c r="A1690" s="24" t="s">
        <v>2532</v>
      </c>
      <c r="B1690" s="32" t="s">
        <v>7344</v>
      </c>
      <c r="C1690" s="22" t="s">
        <v>7345</v>
      </c>
      <c r="D1690" s="32" t="s">
        <v>7339</v>
      </c>
      <c r="E1690" s="22" t="s">
        <v>3389</v>
      </c>
      <c r="F1690" s="22" t="s">
        <v>3360</v>
      </c>
      <c r="G1690" s="32" t="s">
        <v>5943</v>
      </c>
      <c r="H1690" s="22" t="s">
        <v>7346</v>
      </c>
      <c r="I1690" s="22" t="s">
        <v>3363</v>
      </c>
    </row>
    <row r="1691" customFormat="false" ht="15" hidden="false" customHeight="true" outlineLevel="0" collapsed="false">
      <c r="A1691" s="24" t="s">
        <v>2532</v>
      </c>
      <c r="B1691" s="32" t="s">
        <v>7347</v>
      </c>
      <c r="C1691" s="22" t="s">
        <v>7348</v>
      </c>
      <c r="D1691" s="32" t="s">
        <v>7339</v>
      </c>
      <c r="E1691" s="22" t="s">
        <v>3394</v>
      </c>
      <c r="F1691" s="22" t="s">
        <v>3360</v>
      </c>
      <c r="G1691" s="32" t="s">
        <v>5753</v>
      </c>
      <c r="H1691" s="22"/>
      <c r="I1691" s="22" t="s">
        <v>3363</v>
      </c>
    </row>
    <row r="1692" customFormat="false" ht="15" hidden="false" customHeight="true" outlineLevel="0" collapsed="false">
      <c r="A1692" s="24" t="s">
        <v>2532</v>
      </c>
      <c r="B1692" s="32" t="s">
        <v>7349</v>
      </c>
      <c r="C1692" s="22" t="s">
        <v>7350</v>
      </c>
      <c r="D1692" s="32" t="s">
        <v>7339</v>
      </c>
      <c r="E1692" s="22" t="s">
        <v>3394</v>
      </c>
      <c r="F1692" s="22" t="s">
        <v>3378</v>
      </c>
      <c r="G1692" s="32" t="s">
        <v>5753</v>
      </c>
      <c r="H1692" s="22"/>
      <c r="I1692" s="22" t="s">
        <v>3363</v>
      </c>
    </row>
    <row r="1693" customFormat="false" ht="15" hidden="false" customHeight="true" outlineLevel="0" collapsed="false">
      <c r="A1693" s="24" t="s">
        <v>2532</v>
      </c>
      <c r="B1693" s="32" t="s">
        <v>7351</v>
      </c>
      <c r="C1693" s="22" t="s">
        <v>7352</v>
      </c>
      <c r="D1693" s="32" t="s">
        <v>7353</v>
      </c>
      <c r="E1693" s="22" t="s">
        <v>3394</v>
      </c>
      <c r="F1693" s="22" t="s">
        <v>3378</v>
      </c>
      <c r="G1693" s="32"/>
      <c r="H1693" s="22"/>
      <c r="I1693" s="22" t="s">
        <v>3363</v>
      </c>
    </row>
    <row r="1694" customFormat="false" ht="15" hidden="false" customHeight="true" outlineLevel="0" collapsed="false">
      <c r="A1694" s="24" t="s">
        <v>2532</v>
      </c>
      <c r="B1694" s="32" t="s">
        <v>7354</v>
      </c>
      <c r="C1694" s="22" t="s">
        <v>7355</v>
      </c>
      <c r="D1694" s="32" t="s">
        <v>7353</v>
      </c>
      <c r="E1694" s="22" t="s">
        <v>3394</v>
      </c>
      <c r="F1694" s="22" t="s">
        <v>3378</v>
      </c>
      <c r="G1694" s="32" t="s">
        <v>5753</v>
      </c>
      <c r="H1694" s="22"/>
      <c r="I1694" s="22" t="s">
        <v>3363</v>
      </c>
    </row>
    <row r="1695" customFormat="false" ht="15" hidden="false" customHeight="true" outlineLevel="0" collapsed="false">
      <c r="A1695" s="24" t="s">
        <v>2532</v>
      </c>
      <c r="B1695" s="32" t="s">
        <v>7356</v>
      </c>
      <c r="C1695" s="22" t="s">
        <v>7357</v>
      </c>
      <c r="D1695" s="32" t="s">
        <v>7353</v>
      </c>
      <c r="E1695" s="22" t="s">
        <v>3377</v>
      </c>
      <c r="F1695" s="22" t="s">
        <v>3378</v>
      </c>
      <c r="G1695" s="32" t="s">
        <v>7358</v>
      </c>
      <c r="H1695" s="22"/>
      <c r="I1695" s="22" t="s">
        <v>3363</v>
      </c>
    </row>
    <row r="1696" customFormat="false" ht="15" hidden="false" customHeight="true" outlineLevel="0" collapsed="false">
      <c r="A1696" s="24" t="s">
        <v>2532</v>
      </c>
      <c r="B1696" s="32" t="s">
        <v>7359</v>
      </c>
      <c r="C1696" s="22" t="s">
        <v>7360</v>
      </c>
      <c r="D1696" s="32" t="s">
        <v>7353</v>
      </c>
      <c r="E1696" s="22" t="s">
        <v>3394</v>
      </c>
      <c r="F1696" s="22" t="s">
        <v>3360</v>
      </c>
      <c r="G1696" s="32" t="s">
        <v>5753</v>
      </c>
      <c r="H1696" s="22"/>
      <c r="I1696" s="22" t="s">
        <v>3363</v>
      </c>
    </row>
    <row r="1697" customFormat="false" ht="15" hidden="false" customHeight="true" outlineLevel="0" collapsed="false">
      <c r="A1697" s="24" t="s">
        <v>2532</v>
      </c>
      <c r="B1697" s="32" t="s">
        <v>7361</v>
      </c>
      <c r="C1697" s="22" t="s">
        <v>7362</v>
      </c>
      <c r="D1697" s="32" t="s">
        <v>7353</v>
      </c>
      <c r="E1697" s="22" t="s">
        <v>3394</v>
      </c>
      <c r="F1697" s="22" t="s">
        <v>3360</v>
      </c>
      <c r="G1697" s="32" t="s">
        <v>5753</v>
      </c>
      <c r="H1697" s="22" t="s">
        <v>7363</v>
      </c>
      <c r="I1697" s="22" t="s">
        <v>3363</v>
      </c>
    </row>
    <row r="1698" customFormat="false" ht="15" hidden="false" customHeight="true" outlineLevel="0" collapsed="false">
      <c r="A1698" s="24" t="s">
        <v>2532</v>
      </c>
      <c r="B1698" s="32" t="s">
        <v>7364</v>
      </c>
      <c r="C1698" s="22" t="s">
        <v>7365</v>
      </c>
      <c r="D1698" s="32" t="s">
        <v>7353</v>
      </c>
      <c r="E1698" s="22" t="s">
        <v>3394</v>
      </c>
      <c r="F1698" s="22" t="s">
        <v>3360</v>
      </c>
      <c r="G1698" s="32" t="s">
        <v>5753</v>
      </c>
      <c r="H1698" s="22"/>
      <c r="I1698" s="22" t="s">
        <v>3363</v>
      </c>
    </row>
    <row r="1699" customFormat="false" ht="15" hidden="false" customHeight="true" outlineLevel="0" collapsed="false">
      <c r="A1699" s="24" t="s">
        <v>2532</v>
      </c>
      <c r="B1699" s="32" t="s">
        <v>7366</v>
      </c>
      <c r="C1699" s="22" t="s">
        <v>7367</v>
      </c>
      <c r="D1699" s="32" t="s">
        <v>7368</v>
      </c>
      <c r="E1699" s="22" t="s">
        <v>3389</v>
      </c>
      <c r="F1699" s="22" t="s">
        <v>3378</v>
      </c>
      <c r="G1699" s="32" t="s">
        <v>5943</v>
      </c>
      <c r="H1699" s="22"/>
      <c r="I1699" s="22" t="s">
        <v>3363</v>
      </c>
    </row>
    <row r="1700" customFormat="false" ht="15" hidden="false" customHeight="true" outlineLevel="0" collapsed="false">
      <c r="A1700" s="24" t="s">
        <v>2532</v>
      </c>
      <c r="B1700" s="32" t="s">
        <v>7369</v>
      </c>
      <c r="C1700" s="22" t="s">
        <v>7370</v>
      </c>
      <c r="D1700" s="32" t="s">
        <v>7368</v>
      </c>
      <c r="E1700" s="22" t="s">
        <v>3394</v>
      </c>
      <c r="F1700" s="22" t="s">
        <v>3378</v>
      </c>
      <c r="G1700" s="32" t="s">
        <v>5753</v>
      </c>
      <c r="H1700" s="22"/>
      <c r="I1700" s="22" t="s">
        <v>3363</v>
      </c>
    </row>
    <row r="1701" customFormat="false" ht="15" hidden="false" customHeight="true" outlineLevel="0" collapsed="false">
      <c r="A1701" s="24" t="s">
        <v>2532</v>
      </c>
      <c r="B1701" s="32" t="s">
        <v>7371</v>
      </c>
      <c r="C1701" s="22" t="s">
        <v>7372</v>
      </c>
      <c r="D1701" s="32" t="s">
        <v>7373</v>
      </c>
      <c r="E1701" s="22" t="s">
        <v>3359</v>
      </c>
      <c r="F1701" s="22" t="s">
        <v>3378</v>
      </c>
      <c r="G1701" s="32"/>
      <c r="H1701" s="22" t="s">
        <v>7374</v>
      </c>
      <c r="I1701" s="22" t="s">
        <v>3363</v>
      </c>
    </row>
    <row r="1702" customFormat="false" ht="15" hidden="false" customHeight="true" outlineLevel="0" collapsed="false">
      <c r="A1702" s="24" t="s">
        <v>2560</v>
      </c>
      <c r="B1702" s="32" t="s">
        <v>5672</v>
      </c>
      <c r="C1702" s="22" t="s">
        <v>7134</v>
      </c>
      <c r="D1702" s="32" t="s">
        <v>5720</v>
      </c>
      <c r="E1702" s="22" t="s">
        <v>3389</v>
      </c>
      <c r="F1702" s="22" t="s">
        <v>3360</v>
      </c>
      <c r="G1702" s="32" t="s">
        <v>5943</v>
      </c>
      <c r="H1702" s="22"/>
      <c r="I1702" s="22" t="s">
        <v>3363</v>
      </c>
    </row>
    <row r="1703" customFormat="false" ht="15" hidden="false" customHeight="true" outlineLevel="0" collapsed="false">
      <c r="A1703" s="24" t="s">
        <v>2560</v>
      </c>
      <c r="B1703" s="32" t="s">
        <v>5674</v>
      </c>
      <c r="C1703" s="22" t="s">
        <v>7135</v>
      </c>
      <c r="D1703" s="32" t="s">
        <v>5720</v>
      </c>
      <c r="E1703" s="22" t="s">
        <v>3389</v>
      </c>
      <c r="F1703" s="22" t="s">
        <v>3360</v>
      </c>
      <c r="G1703" s="32" t="s">
        <v>5943</v>
      </c>
      <c r="H1703" s="22"/>
      <c r="I1703" s="22" t="s">
        <v>3363</v>
      </c>
    </row>
    <row r="1704" customFormat="false" ht="15" hidden="false" customHeight="true" outlineLevel="0" collapsed="false">
      <c r="A1704" s="24" t="s">
        <v>2560</v>
      </c>
      <c r="B1704" s="32" t="s">
        <v>7375</v>
      </c>
      <c r="C1704" s="22" t="s">
        <v>7376</v>
      </c>
      <c r="D1704" s="32" t="s">
        <v>7057</v>
      </c>
      <c r="E1704" s="22" t="s">
        <v>3359</v>
      </c>
      <c r="F1704" s="22" t="s">
        <v>3360</v>
      </c>
      <c r="G1704" s="32"/>
      <c r="H1704" s="22"/>
      <c r="I1704" s="22" t="s">
        <v>3363</v>
      </c>
    </row>
    <row r="1705" customFormat="false" ht="15" hidden="false" customHeight="true" outlineLevel="0" collapsed="false">
      <c r="A1705" s="24" t="s">
        <v>2560</v>
      </c>
      <c r="B1705" s="32" t="s">
        <v>7173</v>
      </c>
      <c r="C1705" s="22" t="s">
        <v>7377</v>
      </c>
      <c r="D1705" s="32" t="s">
        <v>7057</v>
      </c>
      <c r="E1705" s="22" t="s">
        <v>3359</v>
      </c>
      <c r="F1705" s="22" t="s">
        <v>3360</v>
      </c>
      <c r="G1705" s="32"/>
      <c r="H1705" s="22"/>
      <c r="I1705" s="22" t="s">
        <v>3363</v>
      </c>
    </row>
    <row r="1706" customFormat="false" ht="15" hidden="false" customHeight="true" outlineLevel="0" collapsed="false">
      <c r="A1706" s="24" t="s">
        <v>2560</v>
      </c>
      <c r="B1706" s="32" t="s">
        <v>7378</v>
      </c>
      <c r="C1706" s="22" t="s">
        <v>7379</v>
      </c>
      <c r="D1706" s="32" t="s">
        <v>7057</v>
      </c>
      <c r="E1706" s="22" t="s">
        <v>3359</v>
      </c>
      <c r="F1706" s="22" t="s">
        <v>3378</v>
      </c>
      <c r="G1706" s="32" t="s">
        <v>7380</v>
      </c>
      <c r="H1706" s="22"/>
      <c r="I1706" s="22" t="s">
        <v>3363</v>
      </c>
    </row>
    <row r="1707" customFormat="false" ht="15" hidden="false" customHeight="true" outlineLevel="0" collapsed="false">
      <c r="A1707" s="24" t="s">
        <v>2560</v>
      </c>
      <c r="B1707" s="32" t="s">
        <v>7381</v>
      </c>
      <c r="C1707" s="22" t="s">
        <v>3698</v>
      </c>
      <c r="D1707" s="32" t="s">
        <v>7057</v>
      </c>
      <c r="E1707" s="22" t="s">
        <v>3359</v>
      </c>
      <c r="F1707" s="22" t="s">
        <v>3378</v>
      </c>
      <c r="G1707" s="32"/>
      <c r="H1707" s="22"/>
      <c r="I1707" s="22" t="s">
        <v>3363</v>
      </c>
    </row>
    <row r="1708" customFormat="false" ht="15" hidden="false" customHeight="true" outlineLevel="0" collapsed="false">
      <c r="A1708" s="24" t="s">
        <v>2560</v>
      </c>
      <c r="B1708" s="32" t="s">
        <v>7382</v>
      </c>
      <c r="C1708" s="22" t="s">
        <v>7383</v>
      </c>
      <c r="D1708" s="32" t="s">
        <v>7057</v>
      </c>
      <c r="E1708" s="22" t="s">
        <v>3359</v>
      </c>
      <c r="F1708" s="22" t="s">
        <v>3378</v>
      </c>
      <c r="G1708" s="32"/>
      <c r="H1708" s="22"/>
      <c r="I1708" s="22" t="s">
        <v>3363</v>
      </c>
    </row>
    <row r="1709" customFormat="false" ht="15" hidden="false" customHeight="true" outlineLevel="0" collapsed="false">
      <c r="A1709" s="24" t="s">
        <v>2560</v>
      </c>
      <c r="B1709" s="32" t="s">
        <v>7180</v>
      </c>
      <c r="C1709" s="22" t="s">
        <v>5190</v>
      </c>
      <c r="D1709" s="32" t="s">
        <v>7057</v>
      </c>
      <c r="E1709" s="22" t="s">
        <v>3359</v>
      </c>
      <c r="F1709" s="22" t="s">
        <v>3360</v>
      </c>
      <c r="G1709" s="32"/>
      <c r="H1709" s="22"/>
      <c r="I1709" s="22" t="s">
        <v>3363</v>
      </c>
    </row>
    <row r="1710" customFormat="false" ht="15" hidden="false" customHeight="true" outlineLevel="0" collapsed="false">
      <c r="A1710" s="24" t="s">
        <v>2560</v>
      </c>
      <c r="B1710" s="32" t="s">
        <v>7384</v>
      </c>
      <c r="C1710" s="22" t="s">
        <v>7385</v>
      </c>
      <c r="D1710" s="32" t="s">
        <v>7057</v>
      </c>
      <c r="E1710" s="22" t="s">
        <v>3394</v>
      </c>
      <c r="F1710" s="22" t="s">
        <v>3360</v>
      </c>
      <c r="G1710" s="32" t="s">
        <v>7179</v>
      </c>
      <c r="H1710" s="22"/>
      <c r="I1710" s="22" t="s">
        <v>3363</v>
      </c>
    </row>
    <row r="1711" customFormat="false" ht="15" hidden="false" customHeight="true" outlineLevel="0" collapsed="false">
      <c r="A1711" s="24" t="s">
        <v>2560</v>
      </c>
      <c r="B1711" s="32" t="s">
        <v>7386</v>
      </c>
      <c r="C1711" s="22" t="s">
        <v>7387</v>
      </c>
      <c r="D1711" s="32" t="s">
        <v>7057</v>
      </c>
      <c r="E1711" s="22" t="s">
        <v>3394</v>
      </c>
      <c r="F1711" s="22" t="s">
        <v>3360</v>
      </c>
      <c r="G1711" s="32" t="s">
        <v>5753</v>
      </c>
      <c r="H1711" s="22"/>
      <c r="I1711" s="22" t="s">
        <v>3363</v>
      </c>
    </row>
    <row r="1712" customFormat="false" ht="15" hidden="false" customHeight="true" outlineLevel="0" collapsed="false">
      <c r="A1712" s="24" t="s">
        <v>2560</v>
      </c>
      <c r="B1712" s="32" t="s">
        <v>7388</v>
      </c>
      <c r="C1712" s="22" t="s">
        <v>7389</v>
      </c>
      <c r="D1712" s="32" t="s">
        <v>7057</v>
      </c>
      <c r="E1712" s="22" t="s">
        <v>3394</v>
      </c>
      <c r="F1712" s="22" t="s">
        <v>3360</v>
      </c>
      <c r="G1712" s="32" t="s">
        <v>7179</v>
      </c>
      <c r="H1712" s="22" t="s">
        <v>7390</v>
      </c>
      <c r="I1712" s="22" t="s">
        <v>3363</v>
      </c>
    </row>
    <row r="1713" customFormat="false" ht="15" hidden="false" customHeight="true" outlineLevel="0" collapsed="false">
      <c r="A1713" s="24" t="s">
        <v>2560</v>
      </c>
      <c r="B1713" s="32" t="s">
        <v>7391</v>
      </c>
      <c r="C1713" s="22" t="s">
        <v>7392</v>
      </c>
      <c r="D1713" s="32" t="s">
        <v>7057</v>
      </c>
      <c r="E1713" s="22" t="s">
        <v>3394</v>
      </c>
      <c r="F1713" s="22" t="s">
        <v>3360</v>
      </c>
      <c r="G1713" s="32" t="s">
        <v>5753</v>
      </c>
      <c r="H1713" s="22"/>
      <c r="I1713" s="22" t="s">
        <v>3363</v>
      </c>
    </row>
    <row r="1714" customFormat="false" ht="15" hidden="false" customHeight="true" outlineLevel="0" collapsed="false">
      <c r="A1714" s="24" t="s">
        <v>2560</v>
      </c>
      <c r="B1714" s="32" t="s">
        <v>7393</v>
      </c>
      <c r="C1714" s="22" t="s">
        <v>7394</v>
      </c>
      <c r="D1714" s="32" t="s">
        <v>7057</v>
      </c>
      <c r="E1714" s="22" t="s">
        <v>3394</v>
      </c>
      <c r="F1714" s="22" t="s">
        <v>3360</v>
      </c>
      <c r="G1714" s="32" t="s">
        <v>7179</v>
      </c>
      <c r="H1714" s="22" t="s">
        <v>7395</v>
      </c>
      <c r="I1714" s="22" t="s">
        <v>3363</v>
      </c>
    </row>
    <row r="1715" customFormat="false" ht="15" hidden="false" customHeight="true" outlineLevel="0" collapsed="false">
      <c r="A1715" s="24" t="s">
        <v>2560</v>
      </c>
      <c r="B1715" s="32" t="s">
        <v>4980</v>
      </c>
      <c r="C1715" s="22" t="s">
        <v>7396</v>
      </c>
      <c r="D1715" s="32" t="s">
        <v>7057</v>
      </c>
      <c r="E1715" s="22" t="s">
        <v>3394</v>
      </c>
      <c r="F1715" s="22" t="s">
        <v>3360</v>
      </c>
      <c r="G1715" s="32" t="s">
        <v>5753</v>
      </c>
      <c r="H1715" s="22"/>
      <c r="I1715" s="22" t="s">
        <v>3363</v>
      </c>
    </row>
    <row r="1716" customFormat="false" ht="15" hidden="false" customHeight="true" outlineLevel="0" collapsed="false">
      <c r="A1716" s="24" t="s">
        <v>2560</v>
      </c>
      <c r="B1716" s="32" t="s">
        <v>7397</v>
      </c>
      <c r="C1716" s="22" t="s">
        <v>7398</v>
      </c>
      <c r="D1716" s="32" t="s">
        <v>7057</v>
      </c>
      <c r="E1716" s="22" t="s">
        <v>3394</v>
      </c>
      <c r="F1716" s="22" t="s">
        <v>3360</v>
      </c>
      <c r="G1716" s="32" t="s">
        <v>7399</v>
      </c>
      <c r="H1716" s="22"/>
      <c r="I1716" s="22" t="s">
        <v>3363</v>
      </c>
    </row>
    <row r="1717" customFormat="false" ht="15" hidden="false" customHeight="true" outlineLevel="0" collapsed="false">
      <c r="A1717" s="24" t="s">
        <v>2560</v>
      </c>
      <c r="B1717" s="32" t="s">
        <v>7400</v>
      </c>
      <c r="C1717" s="22" t="s">
        <v>7401</v>
      </c>
      <c r="D1717" s="32" t="s">
        <v>7057</v>
      </c>
      <c r="E1717" s="22" t="s">
        <v>3394</v>
      </c>
      <c r="F1717" s="22" t="s">
        <v>3378</v>
      </c>
      <c r="G1717" s="32" t="s">
        <v>6603</v>
      </c>
      <c r="H1717" s="22" t="s">
        <v>7402</v>
      </c>
      <c r="I1717" s="22" t="s">
        <v>3363</v>
      </c>
    </row>
    <row r="1718" customFormat="false" ht="15" hidden="false" customHeight="true" outlineLevel="0" collapsed="false">
      <c r="A1718" s="24" t="s">
        <v>2560</v>
      </c>
      <c r="B1718" s="32" t="s">
        <v>7403</v>
      </c>
      <c r="C1718" s="22" t="s">
        <v>7404</v>
      </c>
      <c r="D1718" s="32" t="s">
        <v>7057</v>
      </c>
      <c r="E1718" s="22" t="s">
        <v>3394</v>
      </c>
      <c r="F1718" s="22" t="s">
        <v>3360</v>
      </c>
      <c r="G1718" s="32" t="s">
        <v>5753</v>
      </c>
      <c r="H1718" s="22" t="s">
        <v>7405</v>
      </c>
      <c r="I1718" s="22" t="s">
        <v>3363</v>
      </c>
    </row>
    <row r="1719" customFormat="false" ht="15" hidden="false" customHeight="true" outlineLevel="0" collapsed="false">
      <c r="A1719" s="24" t="s">
        <v>2560</v>
      </c>
      <c r="B1719" s="32" t="s">
        <v>7406</v>
      </c>
      <c r="C1719" s="22" t="s">
        <v>7407</v>
      </c>
      <c r="D1719" s="32" t="s">
        <v>7408</v>
      </c>
      <c r="E1719" s="22" t="s">
        <v>3394</v>
      </c>
      <c r="F1719" s="22" t="s">
        <v>3378</v>
      </c>
      <c r="G1719" s="32" t="s">
        <v>7179</v>
      </c>
      <c r="H1719" s="22" t="s">
        <v>7409</v>
      </c>
      <c r="I1719" s="22" t="s">
        <v>3363</v>
      </c>
    </row>
    <row r="1720" customFormat="false" ht="15" hidden="false" customHeight="true" outlineLevel="0" collapsed="false">
      <c r="A1720" s="24" t="s">
        <v>2561</v>
      </c>
      <c r="B1720" s="32" t="s">
        <v>6576</v>
      </c>
      <c r="C1720" s="22" t="s">
        <v>6564</v>
      </c>
      <c r="D1720" s="32" t="s">
        <v>5720</v>
      </c>
      <c r="E1720" s="22" t="s">
        <v>3359</v>
      </c>
      <c r="F1720" s="22" t="s">
        <v>3360</v>
      </c>
      <c r="G1720" s="32"/>
      <c r="H1720" s="22"/>
      <c r="I1720" s="22" t="s">
        <v>3363</v>
      </c>
    </row>
    <row r="1721" customFormat="false" ht="15" hidden="false" customHeight="true" outlineLevel="0" collapsed="false">
      <c r="A1721" s="24" t="s">
        <v>2561</v>
      </c>
      <c r="B1721" s="32" t="s">
        <v>7410</v>
      </c>
      <c r="C1721" s="22" t="s">
        <v>7411</v>
      </c>
      <c r="D1721" s="32" t="s">
        <v>5720</v>
      </c>
      <c r="E1721" s="22" t="s">
        <v>3394</v>
      </c>
      <c r="F1721" s="22" t="s">
        <v>3360</v>
      </c>
      <c r="G1721" s="32" t="s">
        <v>5753</v>
      </c>
      <c r="H1721" s="22"/>
      <c r="I1721" s="22" t="s">
        <v>3363</v>
      </c>
    </row>
    <row r="1722" customFormat="false" ht="15" hidden="false" customHeight="true" outlineLevel="0" collapsed="false">
      <c r="A1722" s="24" t="s">
        <v>2561</v>
      </c>
      <c r="B1722" s="32" t="s">
        <v>7412</v>
      </c>
      <c r="C1722" s="22" t="s">
        <v>7413</v>
      </c>
      <c r="D1722" s="32" t="s">
        <v>5720</v>
      </c>
      <c r="E1722" s="22" t="s">
        <v>3389</v>
      </c>
      <c r="F1722" s="22" t="s">
        <v>3360</v>
      </c>
      <c r="G1722" s="32" t="s">
        <v>5943</v>
      </c>
      <c r="H1722" s="22" t="s">
        <v>7414</v>
      </c>
      <c r="I1722" s="22" t="s">
        <v>3363</v>
      </c>
    </row>
    <row r="1723" customFormat="false" ht="15" hidden="false" customHeight="true" outlineLevel="0" collapsed="false">
      <c r="A1723" s="24" t="s">
        <v>2561</v>
      </c>
      <c r="B1723" s="32" t="s">
        <v>7415</v>
      </c>
      <c r="C1723" s="22" t="s">
        <v>7416</v>
      </c>
      <c r="D1723" s="32" t="s">
        <v>5720</v>
      </c>
      <c r="E1723" s="22" t="s">
        <v>3389</v>
      </c>
      <c r="F1723" s="22" t="s">
        <v>3378</v>
      </c>
      <c r="G1723" s="32" t="s">
        <v>5943</v>
      </c>
      <c r="H1723" s="22"/>
      <c r="I1723" s="22" t="s">
        <v>3363</v>
      </c>
    </row>
    <row r="1724" customFormat="false" ht="15" hidden="false" customHeight="true" outlineLevel="0" collapsed="false">
      <c r="A1724" s="24" t="s">
        <v>2561</v>
      </c>
      <c r="B1724" s="32" t="s">
        <v>7417</v>
      </c>
      <c r="C1724" s="22" t="s">
        <v>7418</v>
      </c>
      <c r="D1724" s="32" t="s">
        <v>7175</v>
      </c>
      <c r="E1724" s="22" t="s">
        <v>3394</v>
      </c>
      <c r="F1724" s="22" t="s">
        <v>3378</v>
      </c>
      <c r="G1724" s="32" t="s">
        <v>5753</v>
      </c>
      <c r="H1724" s="22"/>
      <c r="I1724" s="22" t="s">
        <v>3363</v>
      </c>
    </row>
    <row r="1725" customFormat="false" ht="15" hidden="false" customHeight="true" outlineLevel="0" collapsed="false">
      <c r="A1725" s="24" t="s">
        <v>2561</v>
      </c>
      <c r="B1725" s="32" t="s">
        <v>7419</v>
      </c>
      <c r="C1725" s="22" t="s">
        <v>7420</v>
      </c>
      <c r="D1725" s="32" t="s">
        <v>7175</v>
      </c>
      <c r="E1725" s="22" t="s">
        <v>3394</v>
      </c>
      <c r="F1725" s="22" t="s">
        <v>3378</v>
      </c>
      <c r="G1725" s="32" t="s">
        <v>5753</v>
      </c>
      <c r="H1725" s="22"/>
      <c r="I1725" s="22" t="s">
        <v>3363</v>
      </c>
    </row>
    <row r="1726" customFormat="false" ht="15" hidden="false" customHeight="true" outlineLevel="0" collapsed="false">
      <c r="A1726" s="24" t="s">
        <v>2561</v>
      </c>
      <c r="B1726" s="32" t="s">
        <v>7421</v>
      </c>
      <c r="C1726" s="22" t="s">
        <v>7422</v>
      </c>
      <c r="D1726" s="32" t="s">
        <v>7175</v>
      </c>
      <c r="E1726" s="22" t="s">
        <v>3394</v>
      </c>
      <c r="F1726" s="22" t="s">
        <v>3378</v>
      </c>
      <c r="G1726" s="32" t="s">
        <v>5753</v>
      </c>
      <c r="H1726" s="22"/>
      <c r="I1726" s="22" t="s">
        <v>3363</v>
      </c>
    </row>
    <row r="1727" customFormat="false" ht="15" hidden="false" customHeight="true" outlineLevel="0" collapsed="false">
      <c r="A1727" s="24" t="s">
        <v>2561</v>
      </c>
      <c r="B1727" s="32" t="s">
        <v>7423</v>
      </c>
      <c r="C1727" s="22" t="s">
        <v>7424</v>
      </c>
      <c r="D1727" s="32" t="s">
        <v>7175</v>
      </c>
      <c r="E1727" s="22" t="s">
        <v>3394</v>
      </c>
      <c r="F1727" s="22" t="s">
        <v>3360</v>
      </c>
      <c r="G1727" s="32" t="s">
        <v>5753</v>
      </c>
      <c r="H1727" s="22" t="s">
        <v>7425</v>
      </c>
      <c r="I1727" s="22" t="s">
        <v>3363</v>
      </c>
    </row>
    <row r="1728" customFormat="false" ht="15" hidden="false" customHeight="true" outlineLevel="0" collapsed="false">
      <c r="A1728" s="24" t="s">
        <v>2561</v>
      </c>
      <c r="B1728" s="32" t="s">
        <v>7426</v>
      </c>
      <c r="C1728" s="22" t="s">
        <v>7427</v>
      </c>
      <c r="D1728" s="32" t="s">
        <v>7428</v>
      </c>
      <c r="E1728" s="22" t="s">
        <v>3394</v>
      </c>
      <c r="F1728" s="22" t="s">
        <v>3360</v>
      </c>
      <c r="G1728" s="32" t="s">
        <v>5753</v>
      </c>
      <c r="H1728" s="22" t="s">
        <v>7429</v>
      </c>
      <c r="I1728" s="22" t="s">
        <v>3363</v>
      </c>
    </row>
    <row r="1729" customFormat="false" ht="15" hidden="false" customHeight="true" outlineLevel="0" collapsed="false">
      <c r="A1729" s="24" t="s">
        <v>2561</v>
      </c>
      <c r="B1729" s="32" t="s">
        <v>7430</v>
      </c>
      <c r="C1729" s="22" t="s">
        <v>7431</v>
      </c>
      <c r="D1729" s="32" t="s">
        <v>7428</v>
      </c>
      <c r="E1729" s="22" t="s">
        <v>3394</v>
      </c>
      <c r="F1729" s="22" t="s">
        <v>3378</v>
      </c>
      <c r="G1729" s="32" t="s">
        <v>5753</v>
      </c>
      <c r="H1729" s="22"/>
      <c r="I1729" s="22" t="s">
        <v>3363</v>
      </c>
    </row>
    <row r="1730" customFormat="false" ht="15" hidden="false" customHeight="true" outlineLevel="0" collapsed="false">
      <c r="A1730" s="24" t="s">
        <v>2561</v>
      </c>
      <c r="B1730" s="32" t="s">
        <v>7432</v>
      </c>
      <c r="C1730" s="22" t="s">
        <v>7433</v>
      </c>
      <c r="D1730" s="32" t="s">
        <v>7434</v>
      </c>
      <c r="E1730" s="22" t="s">
        <v>3394</v>
      </c>
      <c r="F1730" s="22" t="s">
        <v>3378</v>
      </c>
      <c r="G1730" s="32" t="s">
        <v>5753</v>
      </c>
      <c r="H1730" s="22" t="s">
        <v>7435</v>
      </c>
      <c r="I1730" s="22" t="s">
        <v>3363</v>
      </c>
    </row>
    <row r="1731" customFormat="false" ht="15" hidden="false" customHeight="true" outlineLevel="0" collapsed="false">
      <c r="A1731" s="24" t="s">
        <v>2561</v>
      </c>
      <c r="B1731" s="32" t="s">
        <v>7436</v>
      </c>
      <c r="C1731" s="22" t="s">
        <v>7437</v>
      </c>
      <c r="D1731" s="32" t="s">
        <v>7438</v>
      </c>
      <c r="E1731" s="22" t="s">
        <v>3394</v>
      </c>
      <c r="F1731" s="22" t="s">
        <v>3378</v>
      </c>
      <c r="G1731" s="32"/>
      <c r="H1731" s="22"/>
      <c r="I1731" s="22" t="s">
        <v>3363</v>
      </c>
    </row>
    <row r="1732" customFormat="false" ht="15" hidden="false" customHeight="true" outlineLevel="0" collapsed="false">
      <c r="A1732" s="24" t="s">
        <v>2561</v>
      </c>
      <c r="B1732" s="32" t="s">
        <v>7439</v>
      </c>
      <c r="C1732" s="22" t="s">
        <v>7440</v>
      </c>
      <c r="D1732" s="32" t="s">
        <v>7438</v>
      </c>
      <c r="E1732" s="22" t="s">
        <v>3394</v>
      </c>
      <c r="F1732" s="22" t="s">
        <v>3378</v>
      </c>
      <c r="G1732" s="32" t="s">
        <v>5753</v>
      </c>
      <c r="H1732" s="22"/>
      <c r="I1732" s="22" t="s">
        <v>3363</v>
      </c>
    </row>
    <row r="1733" customFormat="false" ht="15" hidden="false" customHeight="true" outlineLevel="0" collapsed="false">
      <c r="A1733" s="24" t="s">
        <v>2561</v>
      </c>
      <c r="B1733" s="32" t="s">
        <v>7441</v>
      </c>
      <c r="C1733" s="22" t="s">
        <v>7442</v>
      </c>
      <c r="D1733" s="32" t="s">
        <v>7438</v>
      </c>
      <c r="E1733" s="22" t="s">
        <v>3394</v>
      </c>
      <c r="F1733" s="22" t="s">
        <v>3378</v>
      </c>
      <c r="G1733" s="32" t="s">
        <v>5753</v>
      </c>
      <c r="H1733" s="22" t="s">
        <v>7443</v>
      </c>
      <c r="I1733" s="22" t="s">
        <v>3363</v>
      </c>
    </row>
    <row r="1734" customFormat="false" ht="15" hidden="false" customHeight="true" outlineLevel="0" collapsed="false">
      <c r="A1734" s="24" t="s">
        <v>2478</v>
      </c>
      <c r="B1734" s="32" t="s">
        <v>7444</v>
      </c>
      <c r="C1734" s="22" t="s">
        <v>7413</v>
      </c>
      <c r="D1734" s="32" t="s">
        <v>5720</v>
      </c>
      <c r="E1734" s="22" t="s">
        <v>3389</v>
      </c>
      <c r="F1734" s="22" t="s">
        <v>3360</v>
      </c>
      <c r="G1734" s="32" t="s">
        <v>5943</v>
      </c>
      <c r="H1734" s="22"/>
      <c r="I1734" s="22" t="s">
        <v>3363</v>
      </c>
    </row>
    <row r="1735" customFormat="false" ht="15" hidden="false" customHeight="true" outlineLevel="0" collapsed="false">
      <c r="A1735" s="24" t="s">
        <v>2478</v>
      </c>
      <c r="B1735" s="32" t="s">
        <v>7156</v>
      </c>
      <c r="C1735" s="22" t="s">
        <v>7445</v>
      </c>
      <c r="D1735" s="32" t="s">
        <v>7057</v>
      </c>
      <c r="E1735" s="22" t="s">
        <v>3359</v>
      </c>
      <c r="F1735" s="22" t="s">
        <v>3360</v>
      </c>
      <c r="G1735" s="32"/>
      <c r="H1735" s="22"/>
      <c r="I1735" s="22" t="s">
        <v>3363</v>
      </c>
    </row>
    <row r="1736" customFormat="false" ht="24.75" hidden="false" customHeight="true" outlineLevel="0" collapsed="false">
      <c r="A1736" s="24" t="s">
        <v>2478</v>
      </c>
      <c r="B1736" s="32" t="s">
        <v>7158</v>
      </c>
      <c r="C1736" s="22" t="s">
        <v>3828</v>
      </c>
      <c r="D1736" s="32" t="s">
        <v>7057</v>
      </c>
      <c r="E1736" s="22" t="s">
        <v>3359</v>
      </c>
      <c r="F1736" s="22" t="s">
        <v>3378</v>
      </c>
      <c r="G1736" s="32" t="s">
        <v>7160</v>
      </c>
      <c r="H1736" s="22"/>
      <c r="I1736" s="22" t="s">
        <v>3363</v>
      </c>
    </row>
    <row r="1737" customFormat="false" ht="15" hidden="false" customHeight="true" outlineLevel="0" collapsed="false">
      <c r="A1737" s="24" t="s">
        <v>2478</v>
      </c>
      <c r="B1737" s="32" t="s">
        <v>6637</v>
      </c>
      <c r="C1737" s="22" t="s">
        <v>5838</v>
      </c>
      <c r="D1737" s="32" t="s">
        <v>7057</v>
      </c>
      <c r="E1737" s="22" t="s">
        <v>3359</v>
      </c>
      <c r="F1737" s="22" t="s">
        <v>3378</v>
      </c>
      <c r="G1737" s="32" t="s">
        <v>5721</v>
      </c>
      <c r="H1737" s="22"/>
      <c r="I1737" s="22" t="s">
        <v>3363</v>
      </c>
    </row>
    <row r="1738" customFormat="false" ht="15" hidden="false" customHeight="true" outlineLevel="0" collapsed="false">
      <c r="A1738" s="24" t="s">
        <v>2478</v>
      </c>
      <c r="B1738" s="32" t="s">
        <v>7243</v>
      </c>
      <c r="C1738" s="22" t="s">
        <v>7446</v>
      </c>
      <c r="D1738" s="32" t="s">
        <v>7057</v>
      </c>
      <c r="E1738" s="22" t="s">
        <v>3359</v>
      </c>
      <c r="F1738" s="22" t="s">
        <v>3360</v>
      </c>
      <c r="G1738" s="32"/>
      <c r="H1738" s="22" t="s">
        <v>7447</v>
      </c>
      <c r="I1738" s="22" t="s">
        <v>3363</v>
      </c>
    </row>
    <row r="1739" customFormat="false" ht="15" hidden="false" customHeight="true" outlineLevel="0" collapsed="false">
      <c r="A1739" s="24" t="s">
        <v>2478</v>
      </c>
      <c r="B1739" s="32" t="s">
        <v>7448</v>
      </c>
      <c r="C1739" s="22" t="s">
        <v>7449</v>
      </c>
      <c r="D1739" s="32" t="s">
        <v>7057</v>
      </c>
      <c r="E1739" s="22" t="s">
        <v>3389</v>
      </c>
      <c r="F1739" s="22" t="s">
        <v>3360</v>
      </c>
      <c r="G1739" s="32" t="s">
        <v>5943</v>
      </c>
      <c r="H1739" s="22"/>
      <c r="I1739" s="22" t="s">
        <v>3363</v>
      </c>
    </row>
    <row r="1740" customFormat="false" ht="15" hidden="false" customHeight="true" outlineLevel="0" collapsed="false">
      <c r="A1740" s="24" t="s">
        <v>2478</v>
      </c>
      <c r="B1740" s="32" t="s">
        <v>7450</v>
      </c>
      <c r="C1740" s="22" t="s">
        <v>7451</v>
      </c>
      <c r="D1740" s="32" t="s">
        <v>7057</v>
      </c>
      <c r="E1740" s="22" t="s">
        <v>3389</v>
      </c>
      <c r="F1740" s="22" t="s">
        <v>3378</v>
      </c>
      <c r="G1740" s="32" t="s">
        <v>5943</v>
      </c>
      <c r="H1740" s="22"/>
      <c r="I1740" s="22" t="s">
        <v>3363</v>
      </c>
    </row>
    <row r="1741" customFormat="false" ht="15" hidden="false" customHeight="true" outlineLevel="0" collapsed="false">
      <c r="A1741" s="24" t="s">
        <v>2478</v>
      </c>
      <c r="B1741" s="32" t="s">
        <v>7452</v>
      </c>
      <c r="C1741" s="22" t="s">
        <v>7453</v>
      </c>
      <c r="D1741" s="32" t="s">
        <v>7057</v>
      </c>
      <c r="E1741" s="22" t="s">
        <v>3437</v>
      </c>
      <c r="F1741" s="22" t="s">
        <v>3378</v>
      </c>
      <c r="G1741" s="32" t="s">
        <v>3749</v>
      </c>
      <c r="H1741" s="22"/>
      <c r="I1741" s="22" t="s">
        <v>3363</v>
      </c>
    </row>
    <row r="1742" customFormat="false" ht="15" hidden="false" customHeight="true" outlineLevel="0" collapsed="false">
      <c r="A1742" s="24" t="s">
        <v>2478</v>
      </c>
      <c r="B1742" s="32" t="s">
        <v>7454</v>
      </c>
      <c r="C1742" s="22" t="s">
        <v>7455</v>
      </c>
      <c r="D1742" s="32" t="s">
        <v>7057</v>
      </c>
      <c r="E1742" s="22" t="s">
        <v>3394</v>
      </c>
      <c r="F1742" s="22" t="s">
        <v>3360</v>
      </c>
      <c r="G1742" s="32" t="s">
        <v>5753</v>
      </c>
      <c r="H1742" s="22"/>
      <c r="I1742" s="22" t="s">
        <v>3363</v>
      </c>
    </row>
    <row r="1743" customFormat="false" ht="24.75" hidden="false" customHeight="true" outlineLevel="0" collapsed="false">
      <c r="A1743" s="24" t="s">
        <v>2478</v>
      </c>
      <c r="B1743" s="32" t="s">
        <v>7456</v>
      </c>
      <c r="C1743" s="22" t="s">
        <v>7457</v>
      </c>
      <c r="D1743" s="32" t="s">
        <v>7458</v>
      </c>
      <c r="E1743" s="22" t="s">
        <v>3394</v>
      </c>
      <c r="F1743" s="22" t="s">
        <v>3378</v>
      </c>
      <c r="G1743" s="32" t="s">
        <v>5753</v>
      </c>
      <c r="H1743" s="22" t="s">
        <v>7459</v>
      </c>
      <c r="I1743" s="22" t="s">
        <v>3363</v>
      </c>
    </row>
    <row r="1744" customFormat="false" ht="15" hidden="false" customHeight="true" outlineLevel="0" collapsed="false">
      <c r="A1744" s="24" t="s">
        <v>2478</v>
      </c>
      <c r="B1744" s="32" t="s">
        <v>7460</v>
      </c>
      <c r="C1744" s="22" t="s">
        <v>7461</v>
      </c>
      <c r="D1744" s="32" t="s">
        <v>7458</v>
      </c>
      <c r="E1744" s="22" t="s">
        <v>3394</v>
      </c>
      <c r="F1744" s="22" t="s">
        <v>3378</v>
      </c>
      <c r="G1744" s="32" t="s">
        <v>5753</v>
      </c>
      <c r="H1744" s="22"/>
      <c r="I1744" s="22" t="s">
        <v>3363</v>
      </c>
    </row>
    <row r="1745" customFormat="false" ht="15" hidden="false" customHeight="true" outlineLevel="0" collapsed="false">
      <c r="A1745" s="24" t="s">
        <v>2478</v>
      </c>
      <c r="B1745" s="32" t="s">
        <v>7462</v>
      </c>
      <c r="C1745" s="22" t="s">
        <v>7463</v>
      </c>
      <c r="D1745" s="32" t="s">
        <v>7458</v>
      </c>
      <c r="E1745" s="22" t="s">
        <v>3394</v>
      </c>
      <c r="F1745" s="22" t="s">
        <v>3378</v>
      </c>
      <c r="G1745" s="32" t="s">
        <v>5753</v>
      </c>
      <c r="H1745" s="22"/>
      <c r="I1745" s="22" t="s">
        <v>3363</v>
      </c>
    </row>
    <row r="1746" customFormat="false" ht="15" hidden="false" customHeight="true" outlineLevel="0" collapsed="false">
      <c r="A1746" s="24" t="s">
        <v>2478</v>
      </c>
      <c r="B1746" s="32" t="s">
        <v>7464</v>
      </c>
      <c r="C1746" s="22" t="s">
        <v>7465</v>
      </c>
      <c r="D1746" s="32" t="s">
        <v>7458</v>
      </c>
      <c r="E1746" s="22" t="s">
        <v>3394</v>
      </c>
      <c r="F1746" s="22" t="s">
        <v>3378</v>
      </c>
      <c r="G1746" s="32" t="s">
        <v>5753</v>
      </c>
      <c r="H1746" s="22"/>
      <c r="I1746" s="22" t="s">
        <v>3363</v>
      </c>
    </row>
    <row r="1747" customFormat="false" ht="15" hidden="false" customHeight="true" outlineLevel="0" collapsed="false">
      <c r="A1747" s="24" t="s">
        <v>2478</v>
      </c>
      <c r="B1747" s="32" t="s">
        <v>7466</v>
      </c>
      <c r="C1747" s="22" t="s">
        <v>7467</v>
      </c>
      <c r="D1747" s="32" t="s">
        <v>7468</v>
      </c>
      <c r="E1747" s="22" t="s">
        <v>3377</v>
      </c>
      <c r="F1747" s="22" t="s">
        <v>3378</v>
      </c>
      <c r="G1747" s="32" t="s">
        <v>5947</v>
      </c>
      <c r="H1747" s="22"/>
      <c r="I1747" s="22" t="s">
        <v>3363</v>
      </c>
    </row>
    <row r="1748" customFormat="false" ht="15" hidden="false" customHeight="true" outlineLevel="0" collapsed="false">
      <c r="A1748" s="24" t="s">
        <v>2478</v>
      </c>
      <c r="B1748" s="32" t="s">
        <v>7469</v>
      </c>
      <c r="C1748" s="22" t="s">
        <v>7470</v>
      </c>
      <c r="D1748" s="32" t="s">
        <v>7458</v>
      </c>
      <c r="E1748" s="22" t="s">
        <v>3394</v>
      </c>
      <c r="F1748" s="22" t="s">
        <v>3378</v>
      </c>
      <c r="G1748" s="32" t="s">
        <v>5753</v>
      </c>
      <c r="H1748" s="22"/>
      <c r="I1748" s="22" t="s">
        <v>3363</v>
      </c>
    </row>
    <row r="1749" customFormat="false" ht="37.5" hidden="false" customHeight="true" outlineLevel="0" collapsed="false">
      <c r="A1749" s="24" t="s">
        <v>2478</v>
      </c>
      <c r="B1749" s="32" t="s">
        <v>7471</v>
      </c>
      <c r="C1749" s="22" t="s">
        <v>7472</v>
      </c>
      <c r="D1749" s="32" t="s">
        <v>7468</v>
      </c>
      <c r="E1749" s="22" t="s">
        <v>3377</v>
      </c>
      <c r="F1749" s="22" t="s">
        <v>3378</v>
      </c>
      <c r="G1749" s="32" t="s">
        <v>7473</v>
      </c>
      <c r="H1749" s="22"/>
      <c r="I1749" s="22" t="s">
        <v>3363</v>
      </c>
    </row>
    <row r="1750" customFormat="false" ht="15" hidden="false" customHeight="true" outlineLevel="0" collapsed="false">
      <c r="A1750" s="24" t="s">
        <v>1929</v>
      </c>
      <c r="B1750" s="32" t="s">
        <v>7444</v>
      </c>
      <c r="C1750" s="22" t="s">
        <v>7413</v>
      </c>
      <c r="D1750" s="32" t="s">
        <v>5720</v>
      </c>
      <c r="E1750" s="22" t="s">
        <v>3389</v>
      </c>
      <c r="F1750" s="22" t="s">
        <v>3360</v>
      </c>
      <c r="G1750" s="32" t="s">
        <v>5943</v>
      </c>
      <c r="H1750" s="22"/>
      <c r="I1750" s="22" t="s">
        <v>3363</v>
      </c>
    </row>
    <row r="1751" customFormat="false" ht="15" hidden="false" customHeight="true" outlineLevel="0" collapsed="false">
      <c r="A1751" s="24" t="s">
        <v>1929</v>
      </c>
      <c r="B1751" s="32" t="s">
        <v>7156</v>
      </c>
      <c r="C1751" s="22" t="s">
        <v>7445</v>
      </c>
      <c r="D1751" s="32" t="s">
        <v>7057</v>
      </c>
      <c r="E1751" s="22" t="s">
        <v>3359</v>
      </c>
      <c r="F1751" s="22" t="s">
        <v>3360</v>
      </c>
      <c r="G1751" s="32"/>
      <c r="H1751" s="22"/>
      <c r="I1751" s="22" t="s">
        <v>3363</v>
      </c>
    </row>
    <row r="1752" customFormat="false" ht="24.75" hidden="false" customHeight="true" outlineLevel="0" collapsed="false">
      <c r="A1752" s="24" t="s">
        <v>1929</v>
      </c>
      <c r="B1752" s="32" t="s">
        <v>7158</v>
      </c>
      <c r="C1752" s="22" t="s">
        <v>3828</v>
      </c>
      <c r="D1752" s="32" t="s">
        <v>7057</v>
      </c>
      <c r="E1752" s="22" t="s">
        <v>3359</v>
      </c>
      <c r="F1752" s="22" t="s">
        <v>3378</v>
      </c>
      <c r="G1752" s="32" t="s">
        <v>7160</v>
      </c>
      <c r="H1752" s="22"/>
      <c r="I1752" s="22" t="s">
        <v>3363</v>
      </c>
    </row>
    <row r="1753" customFormat="false" ht="15" hidden="false" customHeight="true" outlineLevel="0" collapsed="false">
      <c r="A1753" s="24" t="s">
        <v>1929</v>
      </c>
      <c r="B1753" s="32" t="s">
        <v>6637</v>
      </c>
      <c r="C1753" s="22" t="s">
        <v>5838</v>
      </c>
      <c r="D1753" s="32" t="s">
        <v>7057</v>
      </c>
      <c r="E1753" s="22" t="s">
        <v>3359</v>
      </c>
      <c r="F1753" s="22" t="s">
        <v>3378</v>
      </c>
      <c r="G1753" s="32" t="s">
        <v>5721</v>
      </c>
      <c r="H1753" s="22"/>
      <c r="I1753" s="22" t="s">
        <v>3363</v>
      </c>
    </row>
    <row r="1754" customFormat="false" ht="15" hidden="false" customHeight="true" outlineLevel="0" collapsed="false">
      <c r="A1754" s="24" t="s">
        <v>1929</v>
      </c>
      <c r="B1754" s="32" t="s">
        <v>7243</v>
      </c>
      <c r="C1754" s="22" t="s">
        <v>7446</v>
      </c>
      <c r="D1754" s="32" t="s">
        <v>7057</v>
      </c>
      <c r="E1754" s="22" t="s">
        <v>3359</v>
      </c>
      <c r="F1754" s="22" t="s">
        <v>3360</v>
      </c>
      <c r="G1754" s="32"/>
      <c r="H1754" s="22" t="s">
        <v>7447</v>
      </c>
      <c r="I1754" s="22" t="s">
        <v>3363</v>
      </c>
    </row>
    <row r="1755" customFormat="false" ht="15" hidden="false" customHeight="true" outlineLevel="0" collapsed="false">
      <c r="A1755" s="24" t="s">
        <v>1929</v>
      </c>
      <c r="B1755" s="32" t="s">
        <v>7448</v>
      </c>
      <c r="C1755" s="22" t="s">
        <v>7449</v>
      </c>
      <c r="D1755" s="32" t="s">
        <v>7057</v>
      </c>
      <c r="E1755" s="22" t="s">
        <v>3389</v>
      </c>
      <c r="F1755" s="22" t="s">
        <v>3360</v>
      </c>
      <c r="G1755" s="32" t="s">
        <v>5943</v>
      </c>
      <c r="H1755" s="22"/>
      <c r="I1755" s="22" t="s">
        <v>3363</v>
      </c>
    </row>
    <row r="1756" customFormat="false" ht="15" hidden="false" customHeight="true" outlineLevel="0" collapsed="false">
      <c r="A1756" s="24" t="s">
        <v>1929</v>
      </c>
      <c r="B1756" s="32" t="s">
        <v>7450</v>
      </c>
      <c r="C1756" s="22" t="s">
        <v>7451</v>
      </c>
      <c r="D1756" s="32" t="s">
        <v>7057</v>
      </c>
      <c r="E1756" s="22" t="s">
        <v>3389</v>
      </c>
      <c r="F1756" s="22" t="s">
        <v>3378</v>
      </c>
      <c r="G1756" s="32" t="s">
        <v>5943</v>
      </c>
      <c r="H1756" s="22"/>
      <c r="I1756" s="22" t="s">
        <v>3363</v>
      </c>
    </row>
    <row r="1757" customFormat="false" ht="15" hidden="false" customHeight="true" outlineLevel="0" collapsed="false">
      <c r="A1757" s="24" t="s">
        <v>1929</v>
      </c>
      <c r="B1757" s="32" t="s">
        <v>7452</v>
      </c>
      <c r="C1757" s="22" t="s">
        <v>7453</v>
      </c>
      <c r="D1757" s="32" t="s">
        <v>7057</v>
      </c>
      <c r="E1757" s="22" t="s">
        <v>3437</v>
      </c>
      <c r="F1757" s="22" t="s">
        <v>3378</v>
      </c>
      <c r="G1757" s="32" t="s">
        <v>3749</v>
      </c>
      <c r="H1757" s="22"/>
      <c r="I1757" s="22" t="s">
        <v>3363</v>
      </c>
    </row>
    <row r="1758" customFormat="false" ht="15" hidden="false" customHeight="true" outlineLevel="0" collapsed="false">
      <c r="A1758" s="24" t="s">
        <v>1929</v>
      </c>
      <c r="B1758" s="32" t="s">
        <v>7454</v>
      </c>
      <c r="C1758" s="22" t="s">
        <v>7455</v>
      </c>
      <c r="D1758" s="32" t="s">
        <v>7057</v>
      </c>
      <c r="E1758" s="22" t="s">
        <v>3394</v>
      </c>
      <c r="F1758" s="22" t="s">
        <v>3360</v>
      </c>
      <c r="G1758" s="32" t="s">
        <v>5753</v>
      </c>
      <c r="H1758" s="22"/>
      <c r="I1758" s="22" t="s">
        <v>3363</v>
      </c>
    </row>
    <row r="1759" customFormat="false" ht="24.75" hidden="false" customHeight="true" outlineLevel="0" collapsed="false">
      <c r="A1759" s="24" t="s">
        <v>1929</v>
      </c>
      <c r="B1759" s="32" t="s">
        <v>7474</v>
      </c>
      <c r="C1759" s="22" t="s">
        <v>7475</v>
      </c>
      <c r="D1759" s="32" t="s">
        <v>7458</v>
      </c>
      <c r="E1759" s="22" t="s">
        <v>3394</v>
      </c>
      <c r="F1759" s="22" t="s">
        <v>3378</v>
      </c>
      <c r="G1759" s="32" t="s">
        <v>5753</v>
      </c>
      <c r="H1759" s="22" t="s">
        <v>7459</v>
      </c>
      <c r="I1759" s="22" t="s">
        <v>3363</v>
      </c>
    </row>
    <row r="1760" customFormat="false" ht="15" hidden="false" customHeight="true" outlineLevel="0" collapsed="false">
      <c r="A1760" s="24" t="s">
        <v>1929</v>
      </c>
      <c r="B1760" s="32" t="s">
        <v>7462</v>
      </c>
      <c r="C1760" s="22" t="s">
        <v>7463</v>
      </c>
      <c r="D1760" s="32" t="s">
        <v>7458</v>
      </c>
      <c r="E1760" s="22" t="s">
        <v>3394</v>
      </c>
      <c r="F1760" s="22" t="s">
        <v>3378</v>
      </c>
      <c r="G1760" s="32" t="s">
        <v>5753</v>
      </c>
      <c r="H1760" s="22"/>
      <c r="I1760" s="22" t="s">
        <v>3363</v>
      </c>
    </row>
    <row r="1761" customFormat="false" ht="15" hidden="false" customHeight="true" outlineLevel="0" collapsed="false">
      <c r="A1761" s="24" t="s">
        <v>1929</v>
      </c>
      <c r="B1761" s="32" t="s">
        <v>7464</v>
      </c>
      <c r="C1761" s="22" t="s">
        <v>7465</v>
      </c>
      <c r="D1761" s="32" t="s">
        <v>7458</v>
      </c>
      <c r="E1761" s="22" t="s">
        <v>3394</v>
      </c>
      <c r="F1761" s="22" t="s">
        <v>3378</v>
      </c>
      <c r="G1761" s="32" t="s">
        <v>5753</v>
      </c>
      <c r="H1761" s="22"/>
      <c r="I1761" s="22" t="s">
        <v>3363</v>
      </c>
    </row>
    <row r="1762" customFormat="false" ht="15" hidden="false" customHeight="true" outlineLevel="0" collapsed="false">
      <c r="A1762" s="24" t="s">
        <v>1929</v>
      </c>
      <c r="B1762" s="32" t="s">
        <v>7469</v>
      </c>
      <c r="C1762" s="22" t="s">
        <v>7470</v>
      </c>
      <c r="D1762" s="32" t="s">
        <v>7458</v>
      </c>
      <c r="E1762" s="22" t="s">
        <v>3394</v>
      </c>
      <c r="F1762" s="22" t="s">
        <v>3378</v>
      </c>
      <c r="G1762" s="32" t="s">
        <v>5753</v>
      </c>
      <c r="H1762" s="22"/>
      <c r="I1762" s="22" t="s">
        <v>3363</v>
      </c>
    </row>
    <row r="1763" customFormat="false" ht="15" hidden="false" customHeight="true" outlineLevel="0" collapsed="false">
      <c r="A1763" s="24" t="s">
        <v>1929</v>
      </c>
      <c r="B1763" s="32" t="s">
        <v>7466</v>
      </c>
      <c r="C1763" s="22" t="s">
        <v>7467</v>
      </c>
      <c r="D1763" s="32" t="s">
        <v>7468</v>
      </c>
      <c r="E1763" s="22" t="s">
        <v>3377</v>
      </c>
      <c r="F1763" s="22" t="s">
        <v>3378</v>
      </c>
      <c r="G1763" s="32" t="s">
        <v>5947</v>
      </c>
      <c r="H1763" s="22"/>
      <c r="I1763" s="22" t="s">
        <v>3363</v>
      </c>
    </row>
    <row r="1764" customFormat="false" ht="15" hidden="false" customHeight="true" outlineLevel="0" collapsed="false">
      <c r="A1764" s="24" t="s">
        <v>1929</v>
      </c>
      <c r="B1764" s="32" t="s">
        <v>7476</v>
      </c>
      <c r="C1764" s="22" t="s">
        <v>7477</v>
      </c>
      <c r="D1764" s="32" t="s">
        <v>7468</v>
      </c>
      <c r="E1764" s="22" t="s">
        <v>3377</v>
      </c>
      <c r="F1764" s="22" t="s">
        <v>3378</v>
      </c>
      <c r="G1764" s="32" t="s">
        <v>7223</v>
      </c>
      <c r="H1764" s="22" t="s">
        <v>7224</v>
      </c>
      <c r="I1764" s="22" t="s">
        <v>3363</v>
      </c>
    </row>
    <row r="1765" customFormat="false" ht="24.75" hidden="false" customHeight="true" outlineLevel="0" collapsed="false">
      <c r="A1765" s="24" t="s">
        <v>1929</v>
      </c>
      <c r="B1765" s="32" t="s">
        <v>7478</v>
      </c>
      <c r="C1765" s="22" t="s">
        <v>7479</v>
      </c>
      <c r="D1765" s="32" t="s">
        <v>7480</v>
      </c>
      <c r="E1765" s="22" t="s">
        <v>3389</v>
      </c>
      <c r="F1765" s="22" t="s">
        <v>3378</v>
      </c>
      <c r="G1765" s="32" t="s">
        <v>5943</v>
      </c>
      <c r="H1765" s="22" t="s">
        <v>7481</v>
      </c>
      <c r="I1765" s="22" t="s">
        <v>3363</v>
      </c>
    </row>
    <row r="1766" customFormat="false" ht="24.75" hidden="false" customHeight="true" outlineLevel="0" collapsed="false">
      <c r="A1766" s="24" t="s">
        <v>1929</v>
      </c>
      <c r="B1766" s="32" t="s">
        <v>7482</v>
      </c>
      <c r="C1766" s="22" t="s">
        <v>7483</v>
      </c>
      <c r="D1766" s="32" t="s">
        <v>7480</v>
      </c>
      <c r="E1766" s="22" t="s">
        <v>3437</v>
      </c>
      <c r="F1766" s="22" t="s">
        <v>3378</v>
      </c>
      <c r="G1766" s="32" t="s">
        <v>7484</v>
      </c>
      <c r="H1766" s="22"/>
      <c r="I1766" s="22" t="s">
        <v>3363</v>
      </c>
    </row>
    <row r="1767" customFormat="false" ht="24.75" hidden="false" customHeight="true" outlineLevel="0" collapsed="false">
      <c r="A1767" s="24" t="s">
        <v>1930</v>
      </c>
      <c r="B1767" s="32" t="s">
        <v>7485</v>
      </c>
      <c r="C1767" s="22" t="s">
        <v>7486</v>
      </c>
      <c r="D1767" s="32" t="s">
        <v>7057</v>
      </c>
      <c r="E1767" s="22" t="s">
        <v>3359</v>
      </c>
      <c r="F1767" s="22" t="s">
        <v>3360</v>
      </c>
      <c r="G1767" s="32"/>
      <c r="H1767" s="22"/>
      <c r="I1767" s="22" t="s">
        <v>3363</v>
      </c>
    </row>
    <row r="1768" customFormat="false" ht="24.75" hidden="false" customHeight="true" outlineLevel="0" collapsed="false">
      <c r="A1768" s="24" t="s">
        <v>1930</v>
      </c>
      <c r="B1768" s="32" t="s">
        <v>7487</v>
      </c>
      <c r="C1768" s="22" t="s">
        <v>7488</v>
      </c>
      <c r="D1768" s="32" t="s">
        <v>7057</v>
      </c>
      <c r="E1768" s="22" t="s">
        <v>3359</v>
      </c>
      <c r="F1768" s="22" t="s">
        <v>3360</v>
      </c>
      <c r="G1768" s="32"/>
      <c r="H1768" s="22"/>
      <c r="I1768" s="22" t="s">
        <v>3363</v>
      </c>
    </row>
    <row r="1769" customFormat="false" ht="24.75" hidden="false" customHeight="true" outlineLevel="0" collapsed="false">
      <c r="A1769" s="24" t="s">
        <v>1930</v>
      </c>
      <c r="B1769" s="32" t="s">
        <v>7489</v>
      </c>
      <c r="C1769" s="22" t="s">
        <v>5838</v>
      </c>
      <c r="D1769" s="32" t="s">
        <v>7057</v>
      </c>
      <c r="E1769" s="22" t="s">
        <v>3359</v>
      </c>
      <c r="F1769" s="22" t="s">
        <v>3360</v>
      </c>
      <c r="G1769" s="32" t="s">
        <v>5721</v>
      </c>
      <c r="H1769" s="22" t="s">
        <v>7490</v>
      </c>
      <c r="I1769" s="22" t="s">
        <v>3363</v>
      </c>
    </row>
    <row r="1770" customFormat="false" ht="24.75" hidden="false" customHeight="true" outlineLevel="0" collapsed="false">
      <c r="A1770" s="24" t="s">
        <v>1930</v>
      </c>
      <c r="B1770" s="32" t="s">
        <v>7491</v>
      </c>
      <c r="C1770" s="22" t="s">
        <v>3828</v>
      </c>
      <c r="D1770" s="32" t="s">
        <v>7057</v>
      </c>
      <c r="E1770" s="22" t="s">
        <v>3359</v>
      </c>
      <c r="F1770" s="22" t="s">
        <v>3378</v>
      </c>
      <c r="G1770" s="32" t="s">
        <v>7160</v>
      </c>
      <c r="H1770" s="22"/>
      <c r="I1770" s="22" t="s">
        <v>3363</v>
      </c>
    </row>
    <row r="1771" customFormat="false" ht="24.75" hidden="false" customHeight="true" outlineLevel="0" collapsed="false">
      <c r="A1771" s="24" t="s">
        <v>1930</v>
      </c>
      <c r="B1771" s="32" t="s">
        <v>7492</v>
      </c>
      <c r="C1771" s="22" t="s">
        <v>7493</v>
      </c>
      <c r="D1771" s="32" t="s">
        <v>7057</v>
      </c>
      <c r="E1771" s="22" t="s">
        <v>3359</v>
      </c>
      <c r="F1771" s="22" t="s">
        <v>3378</v>
      </c>
      <c r="G1771" s="32" t="s">
        <v>7494</v>
      </c>
      <c r="H1771" s="22"/>
      <c r="I1771" s="22" t="s">
        <v>3363</v>
      </c>
    </row>
    <row r="1772" customFormat="false" ht="24.75" hidden="false" customHeight="true" outlineLevel="0" collapsed="false">
      <c r="A1772" s="24" t="s">
        <v>1930</v>
      </c>
      <c r="B1772" s="32" t="s">
        <v>7476</v>
      </c>
      <c r="C1772" s="22" t="s">
        <v>7495</v>
      </c>
      <c r="D1772" s="32" t="s">
        <v>7057</v>
      </c>
      <c r="E1772" s="22" t="s">
        <v>3377</v>
      </c>
      <c r="F1772" s="22" t="s">
        <v>3378</v>
      </c>
      <c r="G1772" s="32" t="s">
        <v>7496</v>
      </c>
      <c r="H1772" s="22"/>
      <c r="I1772" s="22" t="s">
        <v>3363</v>
      </c>
    </row>
    <row r="1773" customFormat="false" ht="24.75" hidden="false" customHeight="true" outlineLevel="0" collapsed="false">
      <c r="A1773" s="24" t="s">
        <v>1930</v>
      </c>
      <c r="B1773" s="32" t="s">
        <v>7497</v>
      </c>
      <c r="C1773" s="22" t="s">
        <v>7498</v>
      </c>
      <c r="D1773" s="32" t="s">
        <v>7057</v>
      </c>
      <c r="E1773" s="22" t="s">
        <v>3377</v>
      </c>
      <c r="F1773" s="22" t="s">
        <v>3378</v>
      </c>
      <c r="G1773" s="32" t="s">
        <v>7499</v>
      </c>
      <c r="H1773" s="22" t="s">
        <v>7500</v>
      </c>
      <c r="I1773" s="22" t="s">
        <v>3363</v>
      </c>
    </row>
    <row r="1774" customFormat="false" ht="24.75" hidden="false" customHeight="true" outlineLevel="0" collapsed="false">
      <c r="A1774" s="24" t="s">
        <v>1930</v>
      </c>
      <c r="B1774" s="32" t="s">
        <v>7501</v>
      </c>
      <c r="C1774" s="22" t="s">
        <v>7502</v>
      </c>
      <c r="D1774" s="32" t="s">
        <v>7057</v>
      </c>
      <c r="E1774" s="22" t="s">
        <v>3389</v>
      </c>
      <c r="F1774" s="22" t="s">
        <v>3378</v>
      </c>
      <c r="G1774" s="32" t="s">
        <v>5943</v>
      </c>
      <c r="H1774" s="22"/>
      <c r="I1774" s="22" t="s">
        <v>3363</v>
      </c>
    </row>
    <row r="1775" customFormat="false" ht="24.75" hidden="false" customHeight="true" outlineLevel="0" collapsed="false">
      <c r="A1775" s="24" t="s">
        <v>1930</v>
      </c>
      <c r="B1775" s="32" t="s">
        <v>7503</v>
      </c>
      <c r="C1775" s="22" t="s">
        <v>7504</v>
      </c>
      <c r="D1775" s="32" t="s">
        <v>7057</v>
      </c>
      <c r="E1775" s="22" t="s">
        <v>3389</v>
      </c>
      <c r="F1775" s="22" t="s">
        <v>3378</v>
      </c>
      <c r="G1775" s="32" t="s">
        <v>5943</v>
      </c>
      <c r="H1775" s="22"/>
      <c r="I1775" s="22" t="s">
        <v>3363</v>
      </c>
    </row>
    <row r="1776" customFormat="false" ht="24.75" hidden="false" customHeight="true" outlineLevel="0" collapsed="false">
      <c r="A1776" s="24" t="s">
        <v>1930</v>
      </c>
      <c r="B1776" s="32" t="s">
        <v>7505</v>
      </c>
      <c r="C1776" s="22" t="s">
        <v>7506</v>
      </c>
      <c r="D1776" s="32" t="s">
        <v>7057</v>
      </c>
      <c r="E1776" s="22" t="s">
        <v>3389</v>
      </c>
      <c r="F1776" s="22" t="s">
        <v>3378</v>
      </c>
      <c r="G1776" s="32" t="s">
        <v>5943</v>
      </c>
      <c r="H1776" s="22"/>
      <c r="I1776" s="22" t="s">
        <v>3363</v>
      </c>
    </row>
    <row r="1777" customFormat="false" ht="24.75" hidden="false" customHeight="true" outlineLevel="0" collapsed="false">
      <c r="A1777" s="24" t="s">
        <v>1930</v>
      </c>
      <c r="B1777" s="32" t="s">
        <v>7507</v>
      </c>
      <c r="C1777" s="22" t="s">
        <v>7508</v>
      </c>
      <c r="D1777" s="32" t="s">
        <v>7057</v>
      </c>
      <c r="E1777" s="22" t="s">
        <v>3437</v>
      </c>
      <c r="F1777" s="22" t="s">
        <v>3378</v>
      </c>
      <c r="G1777" s="32"/>
      <c r="H1777" s="22"/>
      <c r="I1777" s="22" t="s">
        <v>3363</v>
      </c>
    </row>
    <row r="1778" customFormat="false" ht="15" hidden="false" customHeight="true" outlineLevel="0" collapsed="false">
      <c r="A1778" s="24" t="s">
        <v>1336</v>
      </c>
      <c r="B1778" s="32" t="s">
        <v>7509</v>
      </c>
      <c r="C1778" s="22" t="s">
        <v>7510</v>
      </c>
      <c r="D1778" s="32" t="s">
        <v>7057</v>
      </c>
      <c r="E1778" s="22" t="s">
        <v>3359</v>
      </c>
      <c r="F1778" s="22" t="s">
        <v>3360</v>
      </c>
      <c r="G1778" s="32"/>
      <c r="H1778" s="22"/>
      <c r="I1778" s="22" t="s">
        <v>3363</v>
      </c>
    </row>
    <row r="1779" customFormat="false" ht="15" hidden="false" customHeight="true" outlineLevel="0" collapsed="false">
      <c r="A1779" s="24" t="s">
        <v>1336</v>
      </c>
      <c r="B1779" s="32" t="s">
        <v>7156</v>
      </c>
      <c r="C1779" s="22" t="s">
        <v>7511</v>
      </c>
      <c r="D1779" s="32" t="s">
        <v>7057</v>
      </c>
      <c r="E1779" s="22" t="s">
        <v>3359</v>
      </c>
      <c r="F1779" s="22" t="s">
        <v>3360</v>
      </c>
      <c r="G1779" s="32"/>
      <c r="H1779" s="22"/>
      <c r="I1779" s="22" t="s">
        <v>3363</v>
      </c>
    </row>
    <row r="1780" customFormat="false" ht="15" hidden="false" customHeight="true" outlineLevel="0" collapsed="false">
      <c r="A1780" s="24" t="s">
        <v>1336</v>
      </c>
      <c r="B1780" s="32" t="s">
        <v>7234</v>
      </c>
      <c r="C1780" s="22" t="s">
        <v>7512</v>
      </c>
      <c r="D1780" s="32" t="s">
        <v>7057</v>
      </c>
      <c r="E1780" s="22" t="s">
        <v>3359</v>
      </c>
      <c r="F1780" s="22" t="s">
        <v>3360</v>
      </c>
      <c r="G1780" s="32" t="s">
        <v>7513</v>
      </c>
      <c r="H1780" s="22"/>
      <c r="I1780" s="22" t="s">
        <v>3363</v>
      </c>
    </row>
    <row r="1781" customFormat="false" ht="24.75" hidden="false" customHeight="true" outlineLevel="0" collapsed="false">
      <c r="A1781" s="24" t="s">
        <v>1336</v>
      </c>
      <c r="B1781" s="32" t="s">
        <v>3356</v>
      </c>
      <c r="C1781" s="22" t="s">
        <v>7514</v>
      </c>
      <c r="D1781" s="32" t="s">
        <v>7057</v>
      </c>
      <c r="E1781" s="22" t="s">
        <v>3359</v>
      </c>
      <c r="F1781" s="22" t="s">
        <v>3378</v>
      </c>
      <c r="G1781" s="32" t="s">
        <v>7160</v>
      </c>
      <c r="H1781" s="22"/>
      <c r="I1781" s="22" t="s">
        <v>3363</v>
      </c>
    </row>
    <row r="1782" customFormat="false" ht="24.75" hidden="false" customHeight="true" outlineLevel="0" collapsed="false">
      <c r="A1782" s="24" t="s">
        <v>1336</v>
      </c>
      <c r="B1782" s="32" t="s">
        <v>7515</v>
      </c>
      <c r="C1782" s="22" t="s">
        <v>7516</v>
      </c>
      <c r="D1782" s="32" t="s">
        <v>7057</v>
      </c>
      <c r="E1782" s="22" t="s">
        <v>3377</v>
      </c>
      <c r="F1782" s="22" t="s">
        <v>3378</v>
      </c>
      <c r="G1782" s="32" t="s">
        <v>7170</v>
      </c>
      <c r="H1782" s="22"/>
      <c r="I1782" s="22" t="s">
        <v>3363</v>
      </c>
    </row>
    <row r="1783" customFormat="false" ht="15" hidden="false" customHeight="true" outlineLevel="0" collapsed="false">
      <c r="A1783" s="24" t="s">
        <v>1336</v>
      </c>
      <c r="B1783" s="32" t="s">
        <v>7517</v>
      </c>
      <c r="C1783" s="22" t="s">
        <v>7105</v>
      </c>
      <c r="D1783" s="32" t="s">
        <v>7057</v>
      </c>
      <c r="E1783" s="22" t="s">
        <v>3359</v>
      </c>
      <c r="F1783" s="22" t="s">
        <v>3378</v>
      </c>
      <c r="G1783" s="32" t="s">
        <v>7518</v>
      </c>
      <c r="H1783" s="22"/>
      <c r="I1783" s="22" t="s">
        <v>3363</v>
      </c>
    </row>
    <row r="1784" customFormat="false" ht="15" hidden="false" customHeight="true" outlineLevel="0" collapsed="false">
      <c r="A1784" s="24" t="s">
        <v>1336</v>
      </c>
      <c r="B1784" s="32" t="s">
        <v>5718</v>
      </c>
      <c r="C1784" s="22" t="s">
        <v>7162</v>
      </c>
      <c r="D1784" s="32" t="s">
        <v>7057</v>
      </c>
      <c r="E1784" s="22" t="s">
        <v>3359</v>
      </c>
      <c r="F1784" s="22" t="s">
        <v>3378</v>
      </c>
      <c r="G1784" s="32" t="s">
        <v>5721</v>
      </c>
      <c r="H1784" s="22"/>
      <c r="I1784" s="22" t="s">
        <v>3363</v>
      </c>
    </row>
    <row r="1785" customFormat="false" ht="15" hidden="false" customHeight="true" outlineLevel="0" collapsed="false">
      <c r="A1785" s="24" t="s">
        <v>1336</v>
      </c>
      <c r="B1785" s="32" t="s">
        <v>7519</v>
      </c>
      <c r="C1785" s="22" t="s">
        <v>7520</v>
      </c>
      <c r="D1785" s="32" t="s">
        <v>7057</v>
      </c>
      <c r="E1785" s="22" t="s">
        <v>3377</v>
      </c>
      <c r="F1785" s="22" t="s">
        <v>3378</v>
      </c>
      <c r="G1785" s="32" t="s">
        <v>7521</v>
      </c>
      <c r="H1785" s="22" t="s">
        <v>7522</v>
      </c>
      <c r="I1785" s="22" t="s">
        <v>3363</v>
      </c>
    </row>
    <row r="1786" customFormat="false" ht="15" hidden="false" customHeight="true" outlineLevel="0" collapsed="false">
      <c r="A1786" s="24" t="s">
        <v>1336</v>
      </c>
      <c r="B1786" s="32" t="s">
        <v>6117</v>
      </c>
      <c r="C1786" s="22" t="s">
        <v>7523</v>
      </c>
      <c r="D1786" s="32" t="s">
        <v>7057</v>
      </c>
      <c r="E1786" s="22" t="s">
        <v>3359</v>
      </c>
      <c r="F1786" s="22" t="s">
        <v>3378</v>
      </c>
      <c r="G1786" s="32" t="s">
        <v>5749</v>
      </c>
      <c r="H1786" s="22" t="s">
        <v>7524</v>
      </c>
      <c r="I1786" s="22" t="s">
        <v>3363</v>
      </c>
    </row>
    <row r="1787" customFormat="false" ht="24.75" hidden="false" customHeight="true" outlineLevel="0" collapsed="false">
      <c r="A1787" s="24" t="s">
        <v>1336</v>
      </c>
      <c r="B1787" s="32" t="s">
        <v>6641</v>
      </c>
      <c r="C1787" s="22" t="s">
        <v>7525</v>
      </c>
      <c r="D1787" s="32" t="s">
        <v>7057</v>
      </c>
      <c r="E1787" s="22" t="s">
        <v>3377</v>
      </c>
      <c r="F1787" s="22" t="s">
        <v>3378</v>
      </c>
      <c r="G1787" s="32" t="s">
        <v>7526</v>
      </c>
      <c r="H1787" s="22"/>
      <c r="I1787" s="22" t="s">
        <v>3363</v>
      </c>
    </row>
    <row r="1788" customFormat="false" ht="15" hidden="false" customHeight="true" outlineLevel="0" collapsed="false">
      <c r="A1788" s="24" t="s">
        <v>1336</v>
      </c>
      <c r="B1788" s="32" t="s">
        <v>7527</v>
      </c>
      <c r="C1788" s="22" t="s">
        <v>7528</v>
      </c>
      <c r="D1788" s="32" t="s">
        <v>7057</v>
      </c>
      <c r="E1788" s="22" t="s">
        <v>3359</v>
      </c>
      <c r="F1788" s="22" t="s">
        <v>3378</v>
      </c>
      <c r="G1788" s="32"/>
      <c r="H1788" s="22"/>
      <c r="I1788" s="22" t="s">
        <v>3363</v>
      </c>
    </row>
    <row r="1789" customFormat="false" ht="15" hidden="false" customHeight="true" outlineLevel="0" collapsed="false">
      <c r="A1789" s="24" t="s">
        <v>1336</v>
      </c>
      <c r="B1789" s="32" t="s">
        <v>7529</v>
      </c>
      <c r="C1789" s="22" t="s">
        <v>7530</v>
      </c>
      <c r="D1789" s="32" t="s">
        <v>7057</v>
      </c>
      <c r="E1789" s="22" t="s">
        <v>3359</v>
      </c>
      <c r="F1789" s="22" t="s">
        <v>3378</v>
      </c>
      <c r="G1789" s="32"/>
      <c r="H1789" s="22"/>
      <c r="I1789" s="22" t="s">
        <v>3363</v>
      </c>
    </row>
    <row r="1790" customFormat="false" ht="15" hidden="false" customHeight="true" outlineLevel="0" collapsed="false">
      <c r="A1790" s="24" t="s">
        <v>1336</v>
      </c>
      <c r="B1790" s="32" t="s">
        <v>7531</v>
      </c>
      <c r="C1790" s="22" t="s">
        <v>7532</v>
      </c>
      <c r="D1790" s="32" t="s">
        <v>7057</v>
      </c>
      <c r="E1790" s="22" t="s">
        <v>3394</v>
      </c>
      <c r="F1790" s="22" t="s">
        <v>3378</v>
      </c>
      <c r="G1790" s="32"/>
      <c r="H1790" s="22"/>
      <c r="I1790" s="22" t="s">
        <v>3363</v>
      </c>
    </row>
    <row r="1791" customFormat="false" ht="15" hidden="false" customHeight="true" outlineLevel="0" collapsed="false">
      <c r="A1791" s="24" t="s">
        <v>1336</v>
      </c>
      <c r="B1791" s="32" t="s">
        <v>7533</v>
      </c>
      <c r="C1791" s="22" t="s">
        <v>7534</v>
      </c>
      <c r="D1791" s="32" t="s">
        <v>7057</v>
      </c>
      <c r="E1791" s="22" t="s">
        <v>3389</v>
      </c>
      <c r="F1791" s="22" t="s">
        <v>3378</v>
      </c>
      <c r="G1791" s="32" t="s">
        <v>5943</v>
      </c>
      <c r="H1791" s="22"/>
      <c r="I1791" s="22" t="s">
        <v>3363</v>
      </c>
    </row>
    <row r="1792" customFormat="false" ht="15" hidden="false" customHeight="true" outlineLevel="0" collapsed="false">
      <c r="A1792" s="24" t="s">
        <v>1336</v>
      </c>
      <c r="B1792" s="32" t="s">
        <v>7535</v>
      </c>
      <c r="C1792" s="22" t="s">
        <v>7536</v>
      </c>
      <c r="D1792" s="32" t="s">
        <v>7057</v>
      </c>
      <c r="E1792" s="22" t="s">
        <v>3389</v>
      </c>
      <c r="F1792" s="22" t="s">
        <v>3378</v>
      </c>
      <c r="G1792" s="32" t="s">
        <v>5943</v>
      </c>
      <c r="H1792" s="22"/>
      <c r="I1792" s="22" t="s">
        <v>3363</v>
      </c>
    </row>
    <row r="1793" customFormat="false" ht="15" hidden="false" customHeight="true" outlineLevel="0" collapsed="false">
      <c r="A1793" s="24" t="s">
        <v>1336</v>
      </c>
      <c r="B1793" s="32" t="s">
        <v>7537</v>
      </c>
      <c r="C1793" s="22" t="s">
        <v>7538</v>
      </c>
      <c r="D1793" s="32" t="s">
        <v>7057</v>
      </c>
      <c r="E1793" s="22" t="s">
        <v>3394</v>
      </c>
      <c r="F1793" s="22" t="s">
        <v>3378</v>
      </c>
      <c r="G1793" s="32" t="s">
        <v>5753</v>
      </c>
      <c r="H1793" s="22"/>
      <c r="I1793" s="22" t="s">
        <v>3363</v>
      </c>
    </row>
    <row r="1794" customFormat="false" ht="15" hidden="false" customHeight="true" outlineLevel="0" collapsed="false">
      <c r="A1794" s="24" t="s">
        <v>1336</v>
      </c>
      <c r="B1794" s="32" t="s">
        <v>7476</v>
      </c>
      <c r="C1794" s="22" t="s">
        <v>7477</v>
      </c>
      <c r="D1794" s="32" t="s">
        <v>7057</v>
      </c>
      <c r="E1794" s="22" t="s">
        <v>3377</v>
      </c>
      <c r="F1794" s="22" t="s">
        <v>3378</v>
      </c>
      <c r="G1794" s="32" t="s">
        <v>7223</v>
      </c>
      <c r="H1794" s="22"/>
      <c r="I1794" s="22" t="s">
        <v>3363</v>
      </c>
    </row>
    <row r="1795" customFormat="false" ht="15" hidden="false" customHeight="true" outlineLevel="0" collapsed="false">
      <c r="A1795" s="24" t="s">
        <v>1336</v>
      </c>
      <c r="B1795" s="32" t="s">
        <v>7492</v>
      </c>
      <c r="C1795" s="22" t="s">
        <v>7539</v>
      </c>
      <c r="D1795" s="32" t="s">
        <v>7057</v>
      </c>
      <c r="E1795" s="22" t="s">
        <v>3359</v>
      </c>
      <c r="F1795" s="22" t="s">
        <v>3378</v>
      </c>
      <c r="G1795" s="32"/>
      <c r="H1795" s="22"/>
      <c r="I1795" s="22" t="s">
        <v>3363</v>
      </c>
    </row>
    <row r="1796" customFormat="false" ht="24.75" hidden="false" customHeight="true" outlineLevel="0" collapsed="false">
      <c r="A1796" s="24" t="s">
        <v>1336</v>
      </c>
      <c r="B1796" s="32" t="s">
        <v>7540</v>
      </c>
      <c r="C1796" s="22" t="s">
        <v>7541</v>
      </c>
      <c r="D1796" s="32" t="s">
        <v>7057</v>
      </c>
      <c r="E1796" s="22" t="s">
        <v>3377</v>
      </c>
      <c r="F1796" s="22" t="s">
        <v>3378</v>
      </c>
      <c r="G1796" s="32" t="s">
        <v>5947</v>
      </c>
      <c r="H1796" s="22"/>
      <c r="I1796" s="22" t="s">
        <v>3363</v>
      </c>
    </row>
    <row r="1797" customFormat="false" ht="15" hidden="false" customHeight="true" outlineLevel="0" collapsed="false">
      <c r="A1797" s="24" t="s">
        <v>1336</v>
      </c>
      <c r="B1797" s="32" t="s">
        <v>7542</v>
      </c>
      <c r="C1797" s="22" t="s">
        <v>7543</v>
      </c>
      <c r="D1797" s="32" t="s">
        <v>7057</v>
      </c>
      <c r="E1797" s="22" t="s">
        <v>3359</v>
      </c>
      <c r="F1797" s="22" t="s">
        <v>3378</v>
      </c>
      <c r="G1797" s="32"/>
      <c r="H1797" s="22"/>
      <c r="I1797" s="22" t="s">
        <v>3363</v>
      </c>
    </row>
    <row r="1798" customFormat="false" ht="15" hidden="false" customHeight="true" outlineLevel="0" collapsed="false">
      <c r="A1798" s="24" t="s">
        <v>1336</v>
      </c>
      <c r="B1798" s="32" t="s">
        <v>7300</v>
      </c>
      <c r="C1798" s="22" t="s">
        <v>7301</v>
      </c>
      <c r="D1798" s="32" t="s">
        <v>7057</v>
      </c>
      <c r="E1798" s="22" t="s">
        <v>3359</v>
      </c>
      <c r="F1798" s="22" t="s">
        <v>3378</v>
      </c>
      <c r="G1798" s="32" t="s">
        <v>7302</v>
      </c>
      <c r="H1798" s="22"/>
      <c r="I1798" s="22" t="s">
        <v>3363</v>
      </c>
    </row>
    <row r="1799" customFormat="false" ht="15" hidden="false" customHeight="true" outlineLevel="0" collapsed="false">
      <c r="A1799" s="24" t="s">
        <v>1336</v>
      </c>
      <c r="B1799" s="32" t="s">
        <v>7544</v>
      </c>
      <c r="C1799" s="22" t="s">
        <v>7545</v>
      </c>
      <c r="D1799" s="32" t="s">
        <v>7057</v>
      </c>
      <c r="E1799" s="22" t="s">
        <v>3377</v>
      </c>
      <c r="F1799" s="22" t="s">
        <v>3378</v>
      </c>
      <c r="G1799" s="32" t="s">
        <v>7546</v>
      </c>
      <c r="H1799" s="22" t="s">
        <v>7547</v>
      </c>
      <c r="I1799" s="22" t="s">
        <v>3363</v>
      </c>
    </row>
    <row r="1800" customFormat="false" ht="15" hidden="false" customHeight="true" outlineLevel="0" collapsed="false">
      <c r="A1800" s="24" t="s">
        <v>892</v>
      </c>
      <c r="B1800" s="32" t="s">
        <v>7548</v>
      </c>
      <c r="C1800" s="22" t="s">
        <v>5838</v>
      </c>
      <c r="D1800" s="32" t="s">
        <v>5720</v>
      </c>
      <c r="E1800" s="22" t="s">
        <v>3359</v>
      </c>
      <c r="F1800" s="22" t="s">
        <v>3360</v>
      </c>
      <c r="G1800" s="32" t="s">
        <v>5721</v>
      </c>
      <c r="H1800" s="22"/>
      <c r="I1800" s="22" t="s">
        <v>3363</v>
      </c>
    </row>
    <row r="1801" customFormat="false" ht="15" hidden="false" customHeight="true" outlineLevel="0" collapsed="false">
      <c r="A1801" s="24" t="s">
        <v>892</v>
      </c>
      <c r="B1801" s="32" t="s">
        <v>7549</v>
      </c>
      <c r="C1801" s="22" t="s">
        <v>7550</v>
      </c>
      <c r="D1801" s="32" t="s">
        <v>5720</v>
      </c>
      <c r="E1801" s="22" t="s">
        <v>3389</v>
      </c>
      <c r="F1801" s="22" t="s">
        <v>3360</v>
      </c>
      <c r="G1801" s="32" t="s">
        <v>5943</v>
      </c>
      <c r="H1801" s="22"/>
      <c r="I1801" s="22" t="s">
        <v>3363</v>
      </c>
    </row>
    <row r="1802" customFormat="false" ht="15" hidden="false" customHeight="true" outlineLevel="0" collapsed="false">
      <c r="A1802" s="24" t="s">
        <v>892</v>
      </c>
      <c r="B1802" s="32" t="s">
        <v>7551</v>
      </c>
      <c r="C1802" s="22" t="s">
        <v>7552</v>
      </c>
      <c r="D1802" s="32" t="s">
        <v>7057</v>
      </c>
      <c r="E1802" s="22" t="s">
        <v>3377</v>
      </c>
      <c r="F1802" s="22" t="s">
        <v>3360</v>
      </c>
      <c r="G1802" s="32" t="s">
        <v>7553</v>
      </c>
      <c r="H1802" s="22"/>
      <c r="I1802" s="22" t="s">
        <v>3363</v>
      </c>
    </row>
    <row r="1803" customFormat="false" ht="24.75" hidden="false" customHeight="true" outlineLevel="0" collapsed="false">
      <c r="A1803" s="24" t="s">
        <v>892</v>
      </c>
      <c r="B1803" s="32" t="s">
        <v>7554</v>
      </c>
      <c r="C1803" s="22" t="s">
        <v>7555</v>
      </c>
      <c r="D1803" s="32" t="s">
        <v>7057</v>
      </c>
      <c r="E1803" s="22" t="s">
        <v>3359</v>
      </c>
      <c r="F1803" s="22" t="s">
        <v>3360</v>
      </c>
      <c r="G1803" s="32"/>
      <c r="H1803" s="22" t="s">
        <v>7556</v>
      </c>
      <c r="I1803" s="22" t="s">
        <v>3363</v>
      </c>
    </row>
    <row r="1804" customFormat="false" ht="15" hidden="false" customHeight="true" outlineLevel="0" collapsed="false">
      <c r="A1804" s="24" t="s">
        <v>892</v>
      </c>
      <c r="B1804" s="32" t="s">
        <v>7557</v>
      </c>
      <c r="C1804" s="22" t="s">
        <v>7558</v>
      </c>
      <c r="D1804" s="32" t="s">
        <v>7057</v>
      </c>
      <c r="E1804" s="22" t="s">
        <v>3359</v>
      </c>
      <c r="F1804" s="22" t="s">
        <v>3360</v>
      </c>
      <c r="G1804" s="32"/>
      <c r="H1804" s="22"/>
      <c r="I1804" s="22" t="s">
        <v>3363</v>
      </c>
    </row>
    <row r="1805" customFormat="false" ht="15" hidden="false" customHeight="true" outlineLevel="0" collapsed="false">
      <c r="A1805" s="24" t="s">
        <v>892</v>
      </c>
      <c r="B1805" s="32" t="s">
        <v>7559</v>
      </c>
      <c r="C1805" s="22" t="s">
        <v>7560</v>
      </c>
      <c r="D1805" s="32" t="s">
        <v>7057</v>
      </c>
      <c r="E1805" s="22" t="s">
        <v>3359</v>
      </c>
      <c r="F1805" s="22" t="s">
        <v>3378</v>
      </c>
      <c r="G1805" s="32"/>
      <c r="H1805" s="22"/>
      <c r="I1805" s="22" t="s">
        <v>3363</v>
      </c>
    </row>
    <row r="1806" customFormat="false" ht="24.75" hidden="false" customHeight="true" outlineLevel="0" collapsed="false">
      <c r="A1806" s="24" t="s">
        <v>892</v>
      </c>
      <c r="B1806" s="32" t="s">
        <v>7561</v>
      </c>
      <c r="C1806" s="22" t="s">
        <v>7562</v>
      </c>
      <c r="D1806" s="32" t="s">
        <v>7057</v>
      </c>
      <c r="E1806" s="22" t="s">
        <v>3394</v>
      </c>
      <c r="F1806" s="22" t="s">
        <v>3360</v>
      </c>
      <c r="G1806" s="32" t="s">
        <v>7563</v>
      </c>
      <c r="H1806" s="22"/>
      <c r="I1806" s="22" t="s">
        <v>3363</v>
      </c>
    </row>
    <row r="1807" customFormat="false" ht="24.75" hidden="false" customHeight="true" outlineLevel="0" collapsed="false">
      <c r="A1807" s="24" t="s">
        <v>892</v>
      </c>
      <c r="B1807" s="32" t="s">
        <v>6682</v>
      </c>
      <c r="C1807" s="22" t="s">
        <v>7564</v>
      </c>
      <c r="D1807" s="32" t="s">
        <v>7057</v>
      </c>
      <c r="E1807" s="22" t="s">
        <v>3394</v>
      </c>
      <c r="F1807" s="22" t="s">
        <v>3360</v>
      </c>
      <c r="G1807" s="32" t="s">
        <v>5753</v>
      </c>
      <c r="H1807" s="22"/>
      <c r="I1807" s="22" t="s">
        <v>3363</v>
      </c>
    </row>
    <row r="1808" customFormat="false" ht="24.75" hidden="false" customHeight="true" outlineLevel="0" collapsed="false">
      <c r="A1808" s="24" t="s">
        <v>892</v>
      </c>
      <c r="B1808" s="32" t="s">
        <v>7565</v>
      </c>
      <c r="C1808" s="22" t="s">
        <v>7566</v>
      </c>
      <c r="D1808" s="32" t="s">
        <v>5720</v>
      </c>
      <c r="E1808" s="22" t="s">
        <v>3377</v>
      </c>
      <c r="F1808" s="22" t="s">
        <v>3378</v>
      </c>
      <c r="G1808" s="32" t="s">
        <v>7567</v>
      </c>
      <c r="H1808" s="22" t="s">
        <v>7568</v>
      </c>
      <c r="I1808" s="22" t="s">
        <v>3363</v>
      </c>
    </row>
    <row r="1809" customFormat="false" ht="15" hidden="false" customHeight="true" outlineLevel="0" collapsed="false">
      <c r="A1809" s="24" t="s">
        <v>892</v>
      </c>
      <c r="B1809" s="32" t="s">
        <v>7569</v>
      </c>
      <c r="C1809" s="22" t="s">
        <v>7570</v>
      </c>
      <c r="D1809" s="32" t="s">
        <v>7571</v>
      </c>
      <c r="E1809" s="22" t="s">
        <v>3394</v>
      </c>
      <c r="F1809" s="22" t="s">
        <v>3378</v>
      </c>
      <c r="G1809" s="32" t="s">
        <v>5753</v>
      </c>
      <c r="H1809" s="22" t="s">
        <v>7572</v>
      </c>
      <c r="I1809" s="22" t="s">
        <v>3363</v>
      </c>
    </row>
    <row r="1810" customFormat="false" ht="15" hidden="false" customHeight="true" outlineLevel="0" collapsed="false">
      <c r="A1810" s="24" t="s">
        <v>892</v>
      </c>
      <c r="B1810" s="32" t="s">
        <v>7573</v>
      </c>
      <c r="C1810" s="22" t="s">
        <v>7574</v>
      </c>
      <c r="D1810" s="32" t="s">
        <v>7571</v>
      </c>
      <c r="E1810" s="22" t="s">
        <v>3394</v>
      </c>
      <c r="F1810" s="22" t="s">
        <v>3378</v>
      </c>
      <c r="G1810" s="32" t="s">
        <v>5753</v>
      </c>
      <c r="H1810" s="22" t="s">
        <v>7575</v>
      </c>
      <c r="I1810" s="22" t="s">
        <v>3363</v>
      </c>
    </row>
    <row r="1811" customFormat="false" ht="24.75" hidden="false" customHeight="true" outlineLevel="0" collapsed="false">
      <c r="A1811" s="24" t="s">
        <v>892</v>
      </c>
      <c r="B1811" s="32" t="s">
        <v>7576</v>
      </c>
      <c r="C1811" s="22" t="s">
        <v>7577</v>
      </c>
      <c r="D1811" s="32" t="s">
        <v>7578</v>
      </c>
      <c r="E1811" s="22" t="s">
        <v>3394</v>
      </c>
      <c r="F1811" s="22" t="s">
        <v>3378</v>
      </c>
      <c r="G1811" s="32" t="s">
        <v>5753</v>
      </c>
      <c r="H1811" s="22"/>
      <c r="I1811" s="22" t="s">
        <v>3363</v>
      </c>
    </row>
    <row r="1812" customFormat="false" ht="15" hidden="false" customHeight="true" outlineLevel="0" collapsed="false">
      <c r="A1812" s="24" t="s">
        <v>892</v>
      </c>
      <c r="B1812" s="32" t="s">
        <v>7579</v>
      </c>
      <c r="C1812" s="22" t="s">
        <v>7580</v>
      </c>
      <c r="D1812" s="32" t="s">
        <v>7578</v>
      </c>
      <c r="E1812" s="22" t="s">
        <v>3394</v>
      </c>
      <c r="F1812" s="22" t="s">
        <v>3378</v>
      </c>
      <c r="G1812" s="32" t="s">
        <v>5753</v>
      </c>
      <c r="H1812" s="22"/>
      <c r="I1812" s="22" t="s">
        <v>3363</v>
      </c>
    </row>
    <row r="1813" customFormat="false" ht="15" hidden="false" customHeight="true" outlineLevel="0" collapsed="false">
      <c r="A1813" s="24" t="s">
        <v>2668</v>
      </c>
      <c r="B1813" s="32" t="s">
        <v>4049</v>
      </c>
      <c r="C1813" s="22" t="s">
        <v>7581</v>
      </c>
      <c r="D1813" s="32" t="s">
        <v>5720</v>
      </c>
      <c r="E1813" s="22" t="s">
        <v>3359</v>
      </c>
      <c r="F1813" s="22" t="s">
        <v>3360</v>
      </c>
      <c r="G1813" s="32"/>
      <c r="H1813" s="22"/>
      <c r="I1813" s="22" t="s">
        <v>3363</v>
      </c>
    </row>
    <row r="1814" customFormat="false" ht="24.75" hidden="false" customHeight="true" outlineLevel="0" collapsed="false">
      <c r="A1814" s="24" t="s">
        <v>2668</v>
      </c>
      <c r="B1814" s="32" t="s">
        <v>4046</v>
      </c>
      <c r="C1814" s="22" t="s">
        <v>3357</v>
      </c>
      <c r="D1814" s="32" t="s">
        <v>5720</v>
      </c>
      <c r="E1814" s="22" t="s">
        <v>3359</v>
      </c>
      <c r="F1814" s="22" t="s">
        <v>3360</v>
      </c>
      <c r="G1814" s="32" t="s">
        <v>7160</v>
      </c>
      <c r="H1814" s="22"/>
      <c r="I1814" s="22" t="s">
        <v>3363</v>
      </c>
    </row>
    <row r="1815" customFormat="false" ht="15" hidden="false" customHeight="true" outlineLevel="0" collapsed="false">
      <c r="A1815" s="24" t="s">
        <v>2668</v>
      </c>
      <c r="B1815" s="32" t="s">
        <v>7582</v>
      </c>
      <c r="C1815" s="22" t="s">
        <v>7583</v>
      </c>
      <c r="D1815" s="32" t="s">
        <v>5720</v>
      </c>
      <c r="E1815" s="22" t="s">
        <v>3359</v>
      </c>
      <c r="F1815" s="22" t="s">
        <v>3378</v>
      </c>
      <c r="G1815" s="32"/>
      <c r="H1815" s="22"/>
      <c r="I1815" s="22" t="s">
        <v>3363</v>
      </c>
    </row>
    <row r="1816" customFormat="false" ht="24.75" hidden="false" customHeight="true" outlineLevel="0" collapsed="false">
      <c r="A1816" s="24" t="s">
        <v>2668</v>
      </c>
      <c r="B1816" s="32" t="s">
        <v>4071</v>
      </c>
      <c r="C1816" s="22" t="s">
        <v>7584</v>
      </c>
      <c r="D1816" s="32" t="s">
        <v>5720</v>
      </c>
      <c r="E1816" s="22" t="s">
        <v>3359</v>
      </c>
      <c r="F1816" s="22" t="s">
        <v>3360</v>
      </c>
      <c r="G1816" s="32" t="s">
        <v>7585</v>
      </c>
      <c r="H1816" s="22" t="s">
        <v>7586</v>
      </c>
      <c r="I1816" s="22" t="s">
        <v>3363</v>
      </c>
    </row>
    <row r="1817" customFormat="false" ht="15" hidden="false" customHeight="true" outlineLevel="0" collapsed="false">
      <c r="A1817" s="24" t="s">
        <v>2668</v>
      </c>
      <c r="B1817" s="32" t="s">
        <v>4072</v>
      </c>
      <c r="C1817" s="22" t="s">
        <v>7587</v>
      </c>
      <c r="D1817" s="32" t="s">
        <v>5720</v>
      </c>
      <c r="E1817" s="22" t="s">
        <v>3389</v>
      </c>
      <c r="F1817" s="22" t="s">
        <v>3360</v>
      </c>
      <c r="G1817" s="32" t="s">
        <v>5943</v>
      </c>
      <c r="H1817" s="22"/>
      <c r="I1817" s="22" t="s">
        <v>3363</v>
      </c>
    </row>
    <row r="1818" customFormat="false" ht="15" hidden="false" customHeight="true" outlineLevel="0" collapsed="false">
      <c r="A1818" s="24" t="s">
        <v>2668</v>
      </c>
      <c r="B1818" s="32" t="s">
        <v>7588</v>
      </c>
      <c r="C1818" s="22" t="s">
        <v>5130</v>
      </c>
      <c r="D1818" s="32" t="s">
        <v>5720</v>
      </c>
      <c r="E1818" s="22" t="s">
        <v>3377</v>
      </c>
      <c r="F1818" s="22" t="s">
        <v>3360</v>
      </c>
      <c r="G1818" s="32" t="s">
        <v>7589</v>
      </c>
      <c r="H1818" s="22"/>
      <c r="I1818" s="22" t="s">
        <v>3363</v>
      </c>
    </row>
    <row r="1819" customFormat="false" ht="15" hidden="false" customHeight="true" outlineLevel="0" collapsed="false">
      <c r="A1819" s="24" t="s">
        <v>2668</v>
      </c>
      <c r="B1819" s="32" t="s">
        <v>7590</v>
      </c>
      <c r="C1819" s="22" t="s">
        <v>7591</v>
      </c>
      <c r="D1819" s="32" t="s">
        <v>5720</v>
      </c>
      <c r="E1819" s="22" t="s">
        <v>3359</v>
      </c>
      <c r="F1819" s="22" t="s">
        <v>3360</v>
      </c>
      <c r="G1819" s="32"/>
      <c r="H1819" s="22"/>
      <c r="I1819" s="22" t="s">
        <v>3363</v>
      </c>
    </row>
    <row r="1820" customFormat="false" ht="24.75" hidden="false" customHeight="true" outlineLevel="0" collapsed="false">
      <c r="A1820" s="24" t="s">
        <v>2668</v>
      </c>
      <c r="B1820" s="32" t="s">
        <v>3847</v>
      </c>
      <c r="C1820" s="22" t="s">
        <v>7592</v>
      </c>
      <c r="D1820" s="32" t="s">
        <v>5720</v>
      </c>
      <c r="E1820" s="22" t="s">
        <v>3359</v>
      </c>
      <c r="F1820" s="22" t="s">
        <v>3378</v>
      </c>
      <c r="G1820" s="32" t="s">
        <v>7160</v>
      </c>
      <c r="H1820" s="22"/>
      <c r="I1820" s="22" t="s">
        <v>3363</v>
      </c>
    </row>
    <row r="1821" customFormat="false" ht="24.75" hidden="false" customHeight="true" outlineLevel="0" collapsed="false">
      <c r="A1821" s="24" t="s">
        <v>2668</v>
      </c>
      <c r="B1821" s="32" t="s">
        <v>7593</v>
      </c>
      <c r="C1821" s="22" t="s">
        <v>7594</v>
      </c>
      <c r="D1821" s="32" t="s">
        <v>5720</v>
      </c>
      <c r="E1821" s="22" t="s">
        <v>3359</v>
      </c>
      <c r="F1821" s="22" t="s">
        <v>6286</v>
      </c>
      <c r="G1821" s="32"/>
      <c r="H1821" s="22" t="s">
        <v>7595</v>
      </c>
      <c r="I1821" s="22" t="s">
        <v>3363</v>
      </c>
    </row>
    <row r="1822" customFormat="false" ht="15" hidden="false" customHeight="true" outlineLevel="0" collapsed="false">
      <c r="A1822" s="24" t="s">
        <v>2668</v>
      </c>
      <c r="B1822" s="32" t="s">
        <v>7176</v>
      </c>
      <c r="C1822" s="22" t="s">
        <v>3701</v>
      </c>
      <c r="D1822" s="32" t="s">
        <v>7233</v>
      </c>
      <c r="E1822" s="22" t="s">
        <v>3359</v>
      </c>
      <c r="F1822" s="22" t="s">
        <v>3360</v>
      </c>
      <c r="G1822" s="32"/>
      <c r="H1822" s="22"/>
      <c r="I1822" s="22" t="s">
        <v>3363</v>
      </c>
    </row>
    <row r="1823" customFormat="false" ht="15" hidden="false" customHeight="true" outlineLevel="0" collapsed="false">
      <c r="A1823" s="24" t="s">
        <v>2668</v>
      </c>
      <c r="B1823" s="32" t="s">
        <v>5519</v>
      </c>
      <c r="C1823" s="22" t="s">
        <v>7596</v>
      </c>
      <c r="D1823" s="32" t="s">
        <v>7233</v>
      </c>
      <c r="E1823" s="22" t="s">
        <v>3359</v>
      </c>
      <c r="F1823" s="22" t="s">
        <v>3360</v>
      </c>
      <c r="G1823" s="32"/>
      <c r="H1823" s="22"/>
      <c r="I1823" s="22" t="s">
        <v>3363</v>
      </c>
    </row>
    <row r="1824" customFormat="false" ht="15" hidden="false" customHeight="true" outlineLevel="0" collapsed="false">
      <c r="A1824" s="24" t="s">
        <v>2668</v>
      </c>
      <c r="B1824" s="32" t="s">
        <v>7178</v>
      </c>
      <c r="C1824" s="22" t="s">
        <v>3714</v>
      </c>
      <c r="D1824" s="32" t="s">
        <v>7233</v>
      </c>
      <c r="E1824" s="22" t="s">
        <v>3394</v>
      </c>
      <c r="F1824" s="22" t="s">
        <v>3378</v>
      </c>
      <c r="G1824" s="32"/>
      <c r="H1824" s="22"/>
      <c r="I1824" s="22" t="s">
        <v>3363</v>
      </c>
    </row>
    <row r="1825" customFormat="false" ht="15" hidden="false" customHeight="true" outlineLevel="0" collapsed="false">
      <c r="A1825" s="24" t="s">
        <v>2668</v>
      </c>
      <c r="B1825" s="32" t="s">
        <v>7597</v>
      </c>
      <c r="C1825" s="22" t="s">
        <v>5190</v>
      </c>
      <c r="D1825" s="32" t="s">
        <v>7233</v>
      </c>
      <c r="E1825" s="22" t="s">
        <v>3359</v>
      </c>
      <c r="F1825" s="22" t="s">
        <v>3378</v>
      </c>
      <c r="G1825" s="32"/>
      <c r="H1825" s="22"/>
      <c r="I1825" s="22" t="s">
        <v>3363</v>
      </c>
    </row>
    <row r="1826" customFormat="false" ht="15" hidden="false" customHeight="true" outlineLevel="0" collapsed="false">
      <c r="A1826" s="24" t="s">
        <v>2668</v>
      </c>
      <c r="B1826" s="32" t="s">
        <v>3857</v>
      </c>
      <c r="C1826" s="22" t="s">
        <v>3489</v>
      </c>
      <c r="D1826" s="32" t="s">
        <v>7233</v>
      </c>
      <c r="E1826" s="22" t="s">
        <v>3394</v>
      </c>
      <c r="F1826" s="22" t="s">
        <v>3360</v>
      </c>
      <c r="G1826" s="32" t="s">
        <v>5753</v>
      </c>
      <c r="H1826" s="22"/>
      <c r="I1826" s="22" t="s">
        <v>3363</v>
      </c>
    </row>
    <row r="1827" customFormat="false" ht="15" hidden="false" customHeight="true" outlineLevel="0" collapsed="false">
      <c r="A1827" s="24" t="s">
        <v>2668</v>
      </c>
      <c r="B1827" s="32" t="s">
        <v>7185</v>
      </c>
      <c r="C1827" s="22" t="s">
        <v>7598</v>
      </c>
      <c r="D1827" s="32" t="s">
        <v>7233</v>
      </c>
      <c r="E1827" s="22" t="s">
        <v>3394</v>
      </c>
      <c r="F1827" s="22" t="s">
        <v>3360</v>
      </c>
      <c r="G1827" s="32"/>
      <c r="H1827" s="22"/>
      <c r="I1827" s="22" t="s">
        <v>3363</v>
      </c>
    </row>
    <row r="1828" customFormat="false" ht="15" hidden="false" customHeight="true" outlineLevel="0" collapsed="false">
      <c r="A1828" s="24" t="s">
        <v>2668</v>
      </c>
      <c r="B1828" s="32" t="s">
        <v>7188</v>
      </c>
      <c r="C1828" s="22" t="s">
        <v>5214</v>
      </c>
      <c r="D1828" s="32" t="s">
        <v>6550</v>
      </c>
      <c r="E1828" s="22" t="s">
        <v>3394</v>
      </c>
      <c r="F1828" s="22" t="s">
        <v>3378</v>
      </c>
      <c r="G1828" s="32" t="s">
        <v>5753</v>
      </c>
      <c r="H1828" s="22"/>
      <c r="I1828" s="22" t="s">
        <v>3363</v>
      </c>
    </row>
    <row r="1829" customFormat="false" ht="15" hidden="false" customHeight="true" outlineLevel="0" collapsed="false">
      <c r="A1829" s="24" t="s">
        <v>2668</v>
      </c>
      <c r="B1829" s="32" t="s">
        <v>7189</v>
      </c>
      <c r="C1829" s="22" t="s">
        <v>5217</v>
      </c>
      <c r="D1829" s="32" t="s">
        <v>6550</v>
      </c>
      <c r="E1829" s="22" t="s">
        <v>3394</v>
      </c>
      <c r="F1829" s="22" t="s">
        <v>3378</v>
      </c>
      <c r="G1829" s="32" t="s">
        <v>5753</v>
      </c>
      <c r="H1829" s="22"/>
      <c r="I1829" s="22" t="s">
        <v>3363</v>
      </c>
    </row>
    <row r="1830" customFormat="false" ht="15" hidden="false" customHeight="true" outlineLevel="0" collapsed="false">
      <c r="A1830" s="24" t="s">
        <v>2668</v>
      </c>
      <c r="B1830" s="32" t="s">
        <v>7599</v>
      </c>
      <c r="C1830" s="22" t="s">
        <v>7600</v>
      </c>
      <c r="D1830" s="32" t="s">
        <v>6550</v>
      </c>
      <c r="E1830" s="22" t="s">
        <v>3394</v>
      </c>
      <c r="F1830" s="22" t="s">
        <v>3378</v>
      </c>
      <c r="G1830" s="32" t="s">
        <v>5753</v>
      </c>
      <c r="H1830" s="22"/>
      <c r="I1830" s="22" t="s">
        <v>3363</v>
      </c>
    </row>
    <row r="1831" customFormat="false" ht="15" hidden="false" customHeight="true" outlineLevel="0" collapsed="false">
      <c r="A1831" s="24" t="s">
        <v>2668</v>
      </c>
      <c r="B1831" s="32" t="s">
        <v>7191</v>
      </c>
      <c r="C1831" s="22" t="s">
        <v>3495</v>
      </c>
      <c r="D1831" s="32" t="s">
        <v>6550</v>
      </c>
      <c r="E1831" s="22" t="s">
        <v>3394</v>
      </c>
      <c r="F1831" s="22" t="s">
        <v>3378</v>
      </c>
      <c r="G1831" s="32" t="s">
        <v>5753</v>
      </c>
      <c r="H1831" s="22"/>
      <c r="I1831" s="22" t="s">
        <v>3363</v>
      </c>
    </row>
    <row r="1832" customFormat="false" ht="15" hidden="false" customHeight="true" outlineLevel="0" collapsed="false">
      <c r="A1832" s="24" t="s">
        <v>2668</v>
      </c>
      <c r="B1832" s="32" t="s">
        <v>7601</v>
      </c>
      <c r="C1832" s="22" t="s">
        <v>5427</v>
      </c>
      <c r="D1832" s="32" t="s">
        <v>6562</v>
      </c>
      <c r="E1832" s="22" t="s">
        <v>3394</v>
      </c>
      <c r="F1832" s="22" t="s">
        <v>3360</v>
      </c>
      <c r="G1832" s="32" t="s">
        <v>5753</v>
      </c>
      <c r="H1832" s="22"/>
      <c r="I1832" s="22" t="s">
        <v>3363</v>
      </c>
    </row>
    <row r="1833" customFormat="false" ht="24.75" hidden="false" customHeight="true" outlineLevel="0" collapsed="false">
      <c r="A1833" s="24" t="s">
        <v>2668</v>
      </c>
      <c r="B1833" s="32" t="s">
        <v>4077</v>
      </c>
      <c r="C1833" s="22" t="s">
        <v>7602</v>
      </c>
      <c r="D1833" s="32" t="s">
        <v>5720</v>
      </c>
      <c r="E1833" s="22" t="s">
        <v>3377</v>
      </c>
      <c r="F1833" s="22" t="s">
        <v>3360</v>
      </c>
      <c r="G1833" s="32" t="s">
        <v>5947</v>
      </c>
      <c r="H1833" s="22"/>
      <c r="I1833" s="22" t="s">
        <v>3363</v>
      </c>
    </row>
    <row r="1834" customFormat="false" ht="15" hidden="false" customHeight="true" outlineLevel="0" collapsed="false">
      <c r="A1834" s="24" t="s">
        <v>2668</v>
      </c>
      <c r="B1834" s="32" t="s">
        <v>4094</v>
      </c>
      <c r="C1834" s="22" t="s">
        <v>3421</v>
      </c>
      <c r="D1834" s="32" t="s">
        <v>7198</v>
      </c>
      <c r="E1834" s="22" t="s">
        <v>3359</v>
      </c>
      <c r="F1834" s="22" t="s">
        <v>3378</v>
      </c>
      <c r="G1834" s="32" t="s">
        <v>3423</v>
      </c>
      <c r="H1834" s="22" t="s">
        <v>7603</v>
      </c>
      <c r="I1834" s="22" t="s">
        <v>3363</v>
      </c>
    </row>
    <row r="1835" customFormat="false" ht="15" hidden="false" customHeight="true" outlineLevel="0" collapsed="false">
      <c r="A1835" s="24" t="s">
        <v>2668</v>
      </c>
      <c r="B1835" s="32" t="s">
        <v>7604</v>
      </c>
      <c r="C1835" s="22" t="s">
        <v>7605</v>
      </c>
      <c r="D1835" s="32" t="s">
        <v>7198</v>
      </c>
      <c r="E1835" s="22" t="s">
        <v>3359</v>
      </c>
      <c r="F1835" s="22" t="s">
        <v>3378</v>
      </c>
      <c r="G1835" s="32"/>
      <c r="H1835" s="22"/>
      <c r="I1835" s="22" t="s">
        <v>3363</v>
      </c>
    </row>
    <row r="1836" customFormat="false" ht="15" hidden="false" customHeight="true" outlineLevel="0" collapsed="false">
      <c r="A1836" s="24" t="s">
        <v>2668</v>
      </c>
      <c r="B1836" s="32" t="s">
        <v>7606</v>
      </c>
      <c r="C1836" s="22" t="s">
        <v>7607</v>
      </c>
      <c r="D1836" s="32" t="s">
        <v>7198</v>
      </c>
      <c r="E1836" s="22" t="s">
        <v>3389</v>
      </c>
      <c r="F1836" s="22" t="s">
        <v>3378</v>
      </c>
      <c r="G1836" s="32" t="s">
        <v>5943</v>
      </c>
      <c r="H1836" s="22"/>
      <c r="I1836" s="22" t="s">
        <v>3363</v>
      </c>
    </row>
    <row r="1837" customFormat="false" ht="15" hidden="false" customHeight="true" outlineLevel="0" collapsed="false">
      <c r="A1837" s="24" t="s">
        <v>2668</v>
      </c>
      <c r="B1837" s="32" t="s">
        <v>7608</v>
      </c>
      <c r="C1837" s="22" t="s">
        <v>7609</v>
      </c>
      <c r="D1837" s="32" t="s">
        <v>7610</v>
      </c>
      <c r="E1837" s="22" t="s">
        <v>5602</v>
      </c>
      <c r="F1837" s="22" t="s">
        <v>3378</v>
      </c>
      <c r="G1837" s="32"/>
      <c r="H1837" s="22"/>
      <c r="I1837" s="22" t="s">
        <v>3363</v>
      </c>
    </row>
    <row r="1838" customFormat="false" ht="15" hidden="false" customHeight="true" outlineLevel="0" collapsed="false">
      <c r="A1838" s="24" t="s">
        <v>2668</v>
      </c>
      <c r="B1838" s="32" t="s">
        <v>7611</v>
      </c>
      <c r="C1838" s="22" t="s">
        <v>7612</v>
      </c>
      <c r="D1838" s="32" t="s">
        <v>7613</v>
      </c>
      <c r="E1838" s="22" t="s">
        <v>3394</v>
      </c>
      <c r="F1838" s="22" t="s">
        <v>3378</v>
      </c>
      <c r="G1838" s="32" t="s">
        <v>7614</v>
      </c>
      <c r="H1838" s="22" t="s">
        <v>7615</v>
      </c>
      <c r="I1838" s="22" t="s">
        <v>3363</v>
      </c>
    </row>
    <row r="1839" customFormat="false" ht="24.75" hidden="false" customHeight="true" outlineLevel="0" collapsed="false">
      <c r="A1839" s="24" t="s">
        <v>720</v>
      </c>
      <c r="B1839" s="32" t="s">
        <v>3356</v>
      </c>
      <c r="C1839" s="22" t="s">
        <v>3828</v>
      </c>
      <c r="D1839" s="32" t="s">
        <v>5720</v>
      </c>
      <c r="E1839" s="22" t="s">
        <v>3359</v>
      </c>
      <c r="F1839" s="22" t="s">
        <v>3360</v>
      </c>
      <c r="G1839" s="32" t="s">
        <v>7616</v>
      </c>
      <c r="H1839" s="22"/>
      <c r="I1839" s="22" t="s">
        <v>7617</v>
      </c>
    </row>
    <row r="1840" customFormat="false" ht="24.75" hidden="false" customHeight="true" outlineLevel="0" collapsed="false">
      <c r="A1840" s="24" t="s">
        <v>720</v>
      </c>
      <c r="B1840" s="32" t="s">
        <v>3874</v>
      </c>
      <c r="C1840" s="22" t="s">
        <v>5642</v>
      </c>
      <c r="D1840" s="32" t="s">
        <v>7057</v>
      </c>
      <c r="E1840" s="22" t="s">
        <v>3359</v>
      </c>
      <c r="F1840" s="22" t="s">
        <v>3360</v>
      </c>
      <c r="G1840" s="32" t="s">
        <v>7618</v>
      </c>
      <c r="H1840" s="22" t="s">
        <v>7619</v>
      </c>
      <c r="I1840" s="22" t="s">
        <v>7617</v>
      </c>
    </row>
    <row r="1841" customFormat="false" ht="24.75" hidden="false" customHeight="true" outlineLevel="0" collapsed="false">
      <c r="A1841" s="24" t="s">
        <v>720</v>
      </c>
      <c r="B1841" s="32" t="s">
        <v>7620</v>
      </c>
      <c r="C1841" s="22" t="s">
        <v>7305</v>
      </c>
      <c r="D1841" s="32" t="s">
        <v>7057</v>
      </c>
      <c r="E1841" s="22" t="s">
        <v>3394</v>
      </c>
      <c r="F1841" s="22" t="s">
        <v>3360</v>
      </c>
      <c r="G1841" s="32" t="s">
        <v>7621</v>
      </c>
      <c r="H1841" s="22" t="s">
        <v>7622</v>
      </c>
      <c r="I1841" s="22" t="s">
        <v>7617</v>
      </c>
    </row>
    <row r="1842" customFormat="false" ht="24.75" hidden="false" customHeight="true" outlineLevel="0" collapsed="false">
      <c r="A1842" s="24" t="s">
        <v>720</v>
      </c>
      <c r="B1842" s="32" t="s">
        <v>7623</v>
      </c>
      <c r="C1842" s="22" t="s">
        <v>7624</v>
      </c>
      <c r="D1842" s="32" t="s">
        <v>7057</v>
      </c>
      <c r="E1842" s="22" t="s">
        <v>3394</v>
      </c>
      <c r="F1842" s="22" t="s">
        <v>3360</v>
      </c>
      <c r="G1842" s="32" t="s">
        <v>7625</v>
      </c>
      <c r="H1842" s="22" t="s">
        <v>7626</v>
      </c>
      <c r="I1842" s="22" t="s">
        <v>7617</v>
      </c>
    </row>
    <row r="1843" customFormat="false" ht="24.75" hidden="false" customHeight="true" outlineLevel="0" collapsed="false">
      <c r="A1843" s="24" t="s">
        <v>720</v>
      </c>
      <c r="B1843" s="32" t="s">
        <v>7627</v>
      </c>
      <c r="C1843" s="22" t="s">
        <v>7628</v>
      </c>
      <c r="D1843" s="32" t="s">
        <v>7057</v>
      </c>
      <c r="E1843" s="22" t="s">
        <v>3394</v>
      </c>
      <c r="F1843" s="22" t="s">
        <v>3360</v>
      </c>
      <c r="G1843" s="32" t="s">
        <v>7625</v>
      </c>
      <c r="H1843" s="22" t="s">
        <v>7629</v>
      </c>
      <c r="I1843" s="22" t="s">
        <v>7617</v>
      </c>
    </row>
    <row r="1844" customFormat="false" ht="24.75" hidden="false" customHeight="true" outlineLevel="0" collapsed="false">
      <c r="A1844" s="24" t="s">
        <v>720</v>
      </c>
      <c r="B1844" s="32" t="s">
        <v>7630</v>
      </c>
      <c r="C1844" s="22" t="s">
        <v>6676</v>
      </c>
      <c r="D1844" s="32" t="s">
        <v>7057</v>
      </c>
      <c r="E1844" s="22" t="s">
        <v>3394</v>
      </c>
      <c r="F1844" s="22" t="s">
        <v>3360</v>
      </c>
      <c r="G1844" s="32" t="s">
        <v>7625</v>
      </c>
      <c r="H1844" s="22" t="s">
        <v>7631</v>
      </c>
      <c r="I1844" s="22" t="s">
        <v>7617</v>
      </c>
    </row>
    <row r="1845" customFormat="false" ht="24.75" hidden="false" customHeight="true" outlineLevel="0" collapsed="false">
      <c r="A1845" s="24" t="s">
        <v>720</v>
      </c>
      <c r="B1845" s="32" t="s">
        <v>3819</v>
      </c>
      <c r="C1845" s="22" t="s">
        <v>7632</v>
      </c>
      <c r="D1845" s="32" t="s">
        <v>7057</v>
      </c>
      <c r="E1845" s="22" t="s">
        <v>3359</v>
      </c>
      <c r="F1845" s="22" t="s">
        <v>3378</v>
      </c>
      <c r="G1845" s="32"/>
      <c r="H1845" s="22" t="s">
        <v>7633</v>
      </c>
      <c r="I1845" s="22" t="s">
        <v>7617</v>
      </c>
    </row>
    <row r="1846" customFormat="false" ht="24.75" hidden="false" customHeight="true" outlineLevel="0" collapsed="false">
      <c r="A1846" s="24" t="s">
        <v>3330</v>
      </c>
      <c r="B1846" s="32" t="s">
        <v>7634</v>
      </c>
      <c r="C1846" s="22" t="s">
        <v>7635</v>
      </c>
      <c r="D1846" s="32" t="s">
        <v>7057</v>
      </c>
      <c r="E1846" s="22" t="s">
        <v>3359</v>
      </c>
      <c r="F1846" s="22" t="s">
        <v>3360</v>
      </c>
      <c r="G1846" s="32" t="s">
        <v>7636</v>
      </c>
      <c r="H1846" s="22" t="s">
        <v>7637</v>
      </c>
      <c r="I1846" s="22" t="s">
        <v>7617</v>
      </c>
    </row>
    <row r="1847" customFormat="false" ht="24.75" hidden="false" customHeight="true" outlineLevel="0" collapsed="false">
      <c r="A1847" s="24" t="s">
        <v>3330</v>
      </c>
      <c r="B1847" s="32" t="s">
        <v>5519</v>
      </c>
      <c r="C1847" s="22" t="s">
        <v>7596</v>
      </c>
      <c r="D1847" s="32" t="s">
        <v>7057</v>
      </c>
      <c r="E1847" s="22" t="s">
        <v>3359</v>
      </c>
      <c r="F1847" s="22" t="s">
        <v>3378</v>
      </c>
      <c r="G1847" s="32"/>
      <c r="H1847" s="22"/>
      <c r="I1847" s="22" t="s">
        <v>7617</v>
      </c>
    </row>
    <row r="1848" customFormat="false" ht="24.75" hidden="false" customHeight="true" outlineLevel="0" collapsed="false">
      <c r="A1848" s="24" t="s">
        <v>3330</v>
      </c>
      <c r="B1848" s="32" t="s">
        <v>7638</v>
      </c>
      <c r="C1848" s="22" t="s">
        <v>7639</v>
      </c>
      <c r="D1848" s="32" t="s">
        <v>7057</v>
      </c>
      <c r="E1848" s="22" t="s">
        <v>3359</v>
      </c>
      <c r="F1848" s="22" t="s">
        <v>3378</v>
      </c>
      <c r="G1848" s="32"/>
      <c r="H1848" s="22" t="s">
        <v>7640</v>
      </c>
      <c r="I1848" s="22" t="s">
        <v>7617</v>
      </c>
    </row>
    <row r="1849" customFormat="false" ht="24.75" hidden="false" customHeight="true" outlineLevel="0" collapsed="false">
      <c r="A1849" s="24" t="s">
        <v>3330</v>
      </c>
      <c r="B1849" s="32" t="s">
        <v>3855</v>
      </c>
      <c r="C1849" s="22" t="s">
        <v>7641</v>
      </c>
      <c r="D1849" s="32" t="s">
        <v>7057</v>
      </c>
      <c r="E1849" s="22" t="s">
        <v>3394</v>
      </c>
      <c r="F1849" s="22" t="s">
        <v>3360</v>
      </c>
      <c r="G1849" s="32" t="s">
        <v>7642</v>
      </c>
      <c r="H1849" s="22" t="s">
        <v>7643</v>
      </c>
      <c r="I1849" s="22" t="s">
        <v>7617</v>
      </c>
    </row>
    <row r="1850" customFormat="false" ht="24.75" hidden="false" customHeight="true" outlineLevel="0" collapsed="false">
      <c r="A1850" s="24" t="s">
        <v>3330</v>
      </c>
      <c r="B1850" s="32" t="s">
        <v>7644</v>
      </c>
      <c r="C1850" s="22" t="s">
        <v>7645</v>
      </c>
      <c r="D1850" s="32" t="s">
        <v>7057</v>
      </c>
      <c r="E1850" s="22" t="s">
        <v>3394</v>
      </c>
      <c r="F1850" s="22" t="s">
        <v>3378</v>
      </c>
      <c r="G1850" s="32" t="s">
        <v>7646</v>
      </c>
      <c r="H1850" s="22" t="s">
        <v>7647</v>
      </c>
      <c r="I1850" s="22" t="s">
        <v>7617</v>
      </c>
    </row>
    <row r="1851" customFormat="false" ht="24.75" hidden="false" customHeight="true" outlineLevel="0" collapsed="false">
      <c r="A1851" s="24" t="s">
        <v>3330</v>
      </c>
      <c r="B1851" s="32" t="s">
        <v>7648</v>
      </c>
      <c r="C1851" s="22" t="s">
        <v>7649</v>
      </c>
      <c r="D1851" s="32" t="s">
        <v>7057</v>
      </c>
      <c r="E1851" s="22" t="s">
        <v>3359</v>
      </c>
      <c r="F1851" s="22" t="s">
        <v>3378</v>
      </c>
      <c r="G1851" s="32"/>
      <c r="H1851" s="22" t="s">
        <v>7650</v>
      </c>
      <c r="I1851" s="22" t="s">
        <v>7617</v>
      </c>
    </row>
    <row r="1852" customFormat="false" ht="24.75" hidden="false" customHeight="true" outlineLevel="0" collapsed="false">
      <c r="A1852" s="24" t="s">
        <v>3330</v>
      </c>
      <c r="B1852" s="32" t="s">
        <v>157</v>
      </c>
      <c r="C1852" s="22" t="s">
        <v>122</v>
      </c>
      <c r="D1852" s="32" t="s">
        <v>7057</v>
      </c>
      <c r="E1852" s="22" t="s">
        <v>3389</v>
      </c>
      <c r="F1852" s="22" t="s">
        <v>3360</v>
      </c>
      <c r="G1852" s="32" t="s">
        <v>5943</v>
      </c>
      <c r="H1852" s="22" t="s">
        <v>7651</v>
      </c>
      <c r="I1852" s="22" t="s">
        <v>7617</v>
      </c>
    </row>
    <row r="1853" customFormat="false" ht="24.75" hidden="false" customHeight="true" outlineLevel="0" collapsed="false">
      <c r="A1853" s="24" t="s">
        <v>3330</v>
      </c>
      <c r="B1853" s="32" t="s">
        <v>158</v>
      </c>
      <c r="C1853" s="22" t="s">
        <v>123</v>
      </c>
      <c r="D1853" s="32" t="s">
        <v>7057</v>
      </c>
      <c r="E1853" s="22" t="s">
        <v>3389</v>
      </c>
      <c r="F1853" s="22" t="s">
        <v>3378</v>
      </c>
      <c r="G1853" s="32" t="s">
        <v>7652</v>
      </c>
      <c r="H1853" s="22"/>
      <c r="I1853" s="22" t="s">
        <v>7617</v>
      </c>
    </row>
    <row r="1854" customFormat="false" ht="24.75" hidden="false" customHeight="true" outlineLevel="0" collapsed="false">
      <c r="A1854" s="24" t="s">
        <v>3330</v>
      </c>
      <c r="B1854" s="32" t="s">
        <v>7653</v>
      </c>
      <c r="C1854" s="22" t="s">
        <v>7654</v>
      </c>
      <c r="D1854" s="32" t="s">
        <v>7057</v>
      </c>
      <c r="E1854" s="22" t="s">
        <v>3359</v>
      </c>
      <c r="F1854" s="22" t="s">
        <v>3360</v>
      </c>
      <c r="G1854" s="32"/>
      <c r="H1854" s="22" t="s">
        <v>7655</v>
      </c>
      <c r="I1854" s="22" t="s">
        <v>7617</v>
      </c>
    </row>
    <row r="1855" customFormat="false" ht="24.75" hidden="false" customHeight="true" outlineLevel="0" collapsed="false">
      <c r="A1855" s="24" t="s">
        <v>3334</v>
      </c>
      <c r="B1855" s="32" t="s">
        <v>7656</v>
      </c>
      <c r="C1855" s="22" t="s">
        <v>7657</v>
      </c>
      <c r="D1855" s="32" t="s">
        <v>7057</v>
      </c>
      <c r="E1855" s="22" t="s">
        <v>3359</v>
      </c>
      <c r="F1855" s="22" t="s">
        <v>3360</v>
      </c>
      <c r="G1855" s="32"/>
      <c r="H1855" s="22" t="s">
        <v>7658</v>
      </c>
      <c r="I1855" s="22" t="s">
        <v>7617</v>
      </c>
    </row>
    <row r="1856" customFormat="false" ht="24.75" hidden="false" customHeight="true" outlineLevel="0" collapsed="false">
      <c r="A1856" s="24" t="s">
        <v>3334</v>
      </c>
      <c r="B1856" s="32" t="s">
        <v>7659</v>
      </c>
      <c r="C1856" s="22" t="s">
        <v>7660</v>
      </c>
      <c r="D1856" s="32" t="s">
        <v>7057</v>
      </c>
      <c r="E1856" s="22" t="s">
        <v>3359</v>
      </c>
      <c r="F1856" s="22" t="s">
        <v>3360</v>
      </c>
      <c r="G1856" s="32"/>
      <c r="H1856" s="22" t="s">
        <v>7661</v>
      </c>
      <c r="I1856" s="22" t="s">
        <v>7617</v>
      </c>
    </row>
    <row r="1857" customFormat="false" ht="24.75" hidden="false" customHeight="true" outlineLevel="0" collapsed="false">
      <c r="A1857" s="24" t="s">
        <v>3334</v>
      </c>
      <c r="B1857" s="32" t="s">
        <v>7662</v>
      </c>
      <c r="C1857" s="22" t="s">
        <v>7663</v>
      </c>
      <c r="D1857" s="32" t="s">
        <v>7057</v>
      </c>
      <c r="E1857" s="22" t="s">
        <v>3377</v>
      </c>
      <c r="F1857" s="22" t="s">
        <v>3360</v>
      </c>
      <c r="G1857" s="32" t="s">
        <v>7664</v>
      </c>
      <c r="H1857" s="22" t="s">
        <v>7665</v>
      </c>
      <c r="I1857" s="22" t="s">
        <v>7617</v>
      </c>
    </row>
    <row r="1858" customFormat="false" ht="24.75" hidden="false" customHeight="true" outlineLevel="0" collapsed="false">
      <c r="A1858" s="24" t="s">
        <v>3334</v>
      </c>
      <c r="B1858" s="32" t="s">
        <v>3855</v>
      </c>
      <c r="C1858" s="22" t="s">
        <v>5210</v>
      </c>
      <c r="D1858" s="32" t="s">
        <v>7057</v>
      </c>
      <c r="E1858" s="22" t="s">
        <v>3394</v>
      </c>
      <c r="F1858" s="22" t="s">
        <v>3360</v>
      </c>
      <c r="G1858" s="32" t="s">
        <v>7642</v>
      </c>
      <c r="H1858" s="22"/>
      <c r="I1858" s="22" t="s">
        <v>7617</v>
      </c>
    </row>
    <row r="1859" customFormat="false" ht="24.75" hidden="false" customHeight="true" outlineLevel="0" collapsed="false">
      <c r="A1859" s="24" t="s">
        <v>3334</v>
      </c>
      <c r="B1859" s="32" t="s">
        <v>7666</v>
      </c>
      <c r="C1859" s="22" t="s">
        <v>7667</v>
      </c>
      <c r="D1859" s="32" t="s">
        <v>7057</v>
      </c>
      <c r="E1859" s="22" t="s">
        <v>3359</v>
      </c>
      <c r="F1859" s="22" t="s">
        <v>3378</v>
      </c>
      <c r="G1859" s="32"/>
      <c r="H1859" s="22" t="s">
        <v>7668</v>
      </c>
      <c r="I1859" s="22" t="s">
        <v>7617</v>
      </c>
    </row>
    <row r="1860" customFormat="false" ht="24.75" hidden="false" customHeight="true" outlineLevel="0" collapsed="false">
      <c r="A1860" s="24" t="s">
        <v>3334</v>
      </c>
      <c r="B1860" s="32" t="s">
        <v>7669</v>
      </c>
      <c r="C1860" s="22" t="s">
        <v>7670</v>
      </c>
      <c r="D1860" s="32" t="s">
        <v>7057</v>
      </c>
      <c r="E1860" s="22" t="s">
        <v>3377</v>
      </c>
      <c r="F1860" s="22" t="s">
        <v>3360</v>
      </c>
      <c r="G1860" s="32" t="s">
        <v>5947</v>
      </c>
      <c r="H1860" s="22"/>
      <c r="I1860" s="22" t="s">
        <v>7617</v>
      </c>
    </row>
    <row r="1861" customFormat="false" ht="24.75" hidden="false" customHeight="true" outlineLevel="0" collapsed="false">
      <c r="A1861" s="24" t="s">
        <v>3334</v>
      </c>
      <c r="B1861" s="32" t="s">
        <v>157</v>
      </c>
      <c r="C1861" s="22" t="s">
        <v>122</v>
      </c>
      <c r="D1861" s="32" t="s">
        <v>7057</v>
      </c>
      <c r="E1861" s="22" t="s">
        <v>3389</v>
      </c>
      <c r="F1861" s="22" t="s">
        <v>3360</v>
      </c>
      <c r="G1861" s="32" t="s">
        <v>5943</v>
      </c>
      <c r="H1861" s="22"/>
      <c r="I1861" s="22" t="s">
        <v>7617</v>
      </c>
    </row>
    <row r="1862" customFormat="false" ht="24.75" hidden="false" customHeight="true" outlineLevel="0" collapsed="false">
      <c r="A1862" s="24" t="s">
        <v>3334</v>
      </c>
      <c r="B1862" s="32" t="s">
        <v>158</v>
      </c>
      <c r="C1862" s="22" t="s">
        <v>123</v>
      </c>
      <c r="D1862" s="32" t="s">
        <v>7057</v>
      </c>
      <c r="E1862" s="22" t="s">
        <v>3389</v>
      </c>
      <c r="F1862" s="22" t="s">
        <v>3378</v>
      </c>
      <c r="G1862" s="32" t="s">
        <v>5943</v>
      </c>
      <c r="H1862" s="22"/>
      <c r="I1862" s="22" t="s">
        <v>7617</v>
      </c>
    </row>
    <row r="1863" customFormat="false" ht="24.75" hidden="false" customHeight="true" outlineLevel="0" collapsed="false">
      <c r="A1863" s="24" t="s">
        <v>3338</v>
      </c>
      <c r="B1863" s="32" t="s">
        <v>7671</v>
      </c>
      <c r="C1863" s="22" t="s">
        <v>7672</v>
      </c>
      <c r="D1863" s="32" t="s">
        <v>5720</v>
      </c>
      <c r="E1863" s="22" t="s">
        <v>3359</v>
      </c>
      <c r="F1863" s="22" t="s">
        <v>3360</v>
      </c>
      <c r="G1863" s="32" t="s">
        <v>7616</v>
      </c>
      <c r="H1863" s="22"/>
      <c r="I1863" s="22" t="s">
        <v>7617</v>
      </c>
    </row>
    <row r="1864" customFormat="false" ht="24.75" hidden="false" customHeight="true" outlineLevel="0" collapsed="false">
      <c r="A1864" s="24" t="s">
        <v>3338</v>
      </c>
      <c r="B1864" s="32" t="s">
        <v>3874</v>
      </c>
      <c r="C1864" s="22" t="s">
        <v>7673</v>
      </c>
      <c r="D1864" s="32" t="s">
        <v>5720</v>
      </c>
      <c r="E1864" s="22" t="s">
        <v>3359</v>
      </c>
      <c r="F1864" s="22" t="s">
        <v>3360</v>
      </c>
      <c r="G1864" s="32" t="s">
        <v>7618</v>
      </c>
      <c r="H1864" s="22"/>
      <c r="I1864" s="22" t="s">
        <v>7617</v>
      </c>
    </row>
    <row r="1865" customFormat="false" ht="24.75" hidden="false" customHeight="true" outlineLevel="0" collapsed="false">
      <c r="A1865" s="24" t="s">
        <v>3338</v>
      </c>
      <c r="B1865" s="32" t="s">
        <v>4122</v>
      </c>
      <c r="C1865" s="22" t="s">
        <v>5130</v>
      </c>
      <c r="D1865" s="32" t="s">
        <v>7057</v>
      </c>
      <c r="E1865" s="22" t="s">
        <v>3377</v>
      </c>
      <c r="F1865" s="22" t="s">
        <v>3360</v>
      </c>
      <c r="G1865" s="32" t="s">
        <v>7674</v>
      </c>
      <c r="H1865" s="22"/>
      <c r="I1865" s="22" t="s">
        <v>7617</v>
      </c>
    </row>
    <row r="1866" customFormat="false" ht="24.75" hidden="false" customHeight="true" outlineLevel="0" collapsed="false">
      <c r="A1866" s="24" t="s">
        <v>3338</v>
      </c>
      <c r="B1866" s="32" t="s">
        <v>7675</v>
      </c>
      <c r="C1866" s="22" t="s">
        <v>7676</v>
      </c>
      <c r="D1866" s="32" t="s">
        <v>7057</v>
      </c>
      <c r="E1866" s="22" t="s">
        <v>3359</v>
      </c>
      <c r="F1866" s="22" t="s">
        <v>3360</v>
      </c>
      <c r="G1866" s="32" t="s">
        <v>3477</v>
      </c>
      <c r="H1866" s="22" t="s">
        <v>7677</v>
      </c>
      <c r="I1866" s="22" t="s">
        <v>7617</v>
      </c>
    </row>
    <row r="1867" customFormat="false" ht="24.75" hidden="false" customHeight="true" outlineLevel="0" collapsed="false">
      <c r="A1867" s="24" t="s">
        <v>3338</v>
      </c>
      <c r="B1867" s="32" t="s">
        <v>7678</v>
      </c>
      <c r="C1867" s="22" t="s">
        <v>7679</v>
      </c>
      <c r="D1867" s="32" t="s">
        <v>7057</v>
      </c>
      <c r="E1867" s="22" t="s">
        <v>3389</v>
      </c>
      <c r="F1867" s="22" t="s">
        <v>3360</v>
      </c>
      <c r="G1867" s="32" t="s">
        <v>5943</v>
      </c>
      <c r="H1867" s="22"/>
      <c r="I1867" s="22" t="s">
        <v>7617</v>
      </c>
    </row>
    <row r="1868" customFormat="false" ht="24.75" hidden="false" customHeight="true" outlineLevel="0" collapsed="false">
      <c r="A1868" s="24" t="s">
        <v>3338</v>
      </c>
      <c r="B1868" s="32" t="s">
        <v>3847</v>
      </c>
      <c r="C1868" s="22" t="s">
        <v>4190</v>
      </c>
      <c r="D1868" s="32" t="s">
        <v>7057</v>
      </c>
      <c r="E1868" s="22" t="s">
        <v>3359</v>
      </c>
      <c r="F1868" s="22" t="s">
        <v>3360</v>
      </c>
      <c r="G1868" s="32" t="s">
        <v>7616</v>
      </c>
      <c r="H1868" s="22"/>
      <c r="I1868" s="22" t="s">
        <v>7617</v>
      </c>
    </row>
    <row r="1869" customFormat="false" ht="24.75" hidden="false" customHeight="true" outlineLevel="0" collapsed="false">
      <c r="A1869" s="24" t="s">
        <v>3338</v>
      </c>
      <c r="B1869" s="32" t="s">
        <v>7627</v>
      </c>
      <c r="C1869" s="22" t="s">
        <v>7680</v>
      </c>
      <c r="D1869" s="32" t="s">
        <v>7057</v>
      </c>
      <c r="E1869" s="22" t="s">
        <v>3394</v>
      </c>
      <c r="F1869" s="22" t="s">
        <v>3360</v>
      </c>
      <c r="G1869" s="32" t="s">
        <v>7621</v>
      </c>
      <c r="H1869" s="22"/>
      <c r="I1869" s="22" t="s">
        <v>7617</v>
      </c>
    </row>
    <row r="1870" customFormat="false" ht="24.75" hidden="false" customHeight="true" outlineLevel="0" collapsed="false">
      <c r="A1870" s="24" t="s">
        <v>3338</v>
      </c>
      <c r="B1870" s="32" t="s">
        <v>7669</v>
      </c>
      <c r="C1870" s="22" t="s">
        <v>7681</v>
      </c>
      <c r="D1870" s="32" t="s">
        <v>7057</v>
      </c>
      <c r="E1870" s="22" t="s">
        <v>3377</v>
      </c>
      <c r="F1870" s="22" t="s">
        <v>3360</v>
      </c>
      <c r="G1870" s="32" t="s">
        <v>5947</v>
      </c>
      <c r="H1870" s="22"/>
      <c r="I1870" s="22" t="s">
        <v>7617</v>
      </c>
    </row>
    <row r="1871" customFormat="false" ht="24.75" hidden="false" customHeight="true" outlineLevel="0" collapsed="false">
      <c r="A1871" s="24" t="s">
        <v>3338</v>
      </c>
      <c r="B1871" s="32" t="s">
        <v>7682</v>
      </c>
      <c r="C1871" s="22" t="s">
        <v>7683</v>
      </c>
      <c r="D1871" s="32" t="s">
        <v>7057</v>
      </c>
      <c r="E1871" s="22" t="s">
        <v>3394</v>
      </c>
      <c r="F1871" s="22" t="s">
        <v>3378</v>
      </c>
      <c r="G1871" s="32" t="s">
        <v>7684</v>
      </c>
      <c r="H1871" s="22" t="s">
        <v>7685</v>
      </c>
      <c r="I1871" s="22" t="s">
        <v>7617</v>
      </c>
    </row>
    <row r="1872" customFormat="false" ht="24.75" hidden="false" customHeight="true" outlineLevel="0" collapsed="false">
      <c r="A1872" s="24" t="s">
        <v>3338</v>
      </c>
      <c r="B1872" s="32" t="s">
        <v>7686</v>
      </c>
      <c r="C1872" s="22" t="s">
        <v>7687</v>
      </c>
      <c r="D1872" s="32" t="s">
        <v>7057</v>
      </c>
      <c r="E1872" s="22" t="s">
        <v>3359</v>
      </c>
      <c r="F1872" s="22" t="s">
        <v>3378</v>
      </c>
      <c r="G1872" s="32"/>
      <c r="H1872" s="22"/>
      <c r="I1872" s="22" t="s">
        <v>7617</v>
      </c>
    </row>
    <row r="1873" customFormat="false" ht="24.75" hidden="false" customHeight="true" outlineLevel="0" collapsed="false">
      <c r="A1873" s="24" t="s">
        <v>3342</v>
      </c>
      <c r="B1873" s="32" t="s">
        <v>7275</v>
      </c>
      <c r="C1873" s="22" t="s">
        <v>7688</v>
      </c>
      <c r="D1873" s="32" t="s">
        <v>5720</v>
      </c>
      <c r="E1873" s="22" t="s">
        <v>3359</v>
      </c>
      <c r="F1873" s="22" t="s">
        <v>3360</v>
      </c>
      <c r="G1873" s="32"/>
      <c r="H1873" s="22" t="s">
        <v>7689</v>
      </c>
      <c r="I1873" s="22" t="s">
        <v>7617</v>
      </c>
    </row>
    <row r="1874" customFormat="false" ht="24.75" hidden="false" customHeight="true" outlineLevel="0" collapsed="false">
      <c r="A1874" s="24" t="s">
        <v>3342</v>
      </c>
      <c r="B1874" s="32" t="s">
        <v>7277</v>
      </c>
      <c r="C1874" s="22" t="s">
        <v>5885</v>
      </c>
      <c r="D1874" s="32" t="s">
        <v>5720</v>
      </c>
      <c r="E1874" s="22" t="s">
        <v>3359</v>
      </c>
      <c r="F1874" s="22" t="s">
        <v>3360</v>
      </c>
      <c r="G1874" s="32"/>
      <c r="H1874" s="22"/>
      <c r="I1874" s="22" t="s">
        <v>7617</v>
      </c>
    </row>
    <row r="1875" customFormat="false" ht="24.75" hidden="false" customHeight="true" outlineLevel="0" collapsed="false">
      <c r="A1875" s="24" t="s">
        <v>3342</v>
      </c>
      <c r="B1875" s="32" t="s">
        <v>7444</v>
      </c>
      <c r="C1875" s="22" t="s">
        <v>7413</v>
      </c>
      <c r="D1875" s="32" t="s">
        <v>5720</v>
      </c>
      <c r="E1875" s="22" t="s">
        <v>3389</v>
      </c>
      <c r="F1875" s="22" t="s">
        <v>3360</v>
      </c>
      <c r="G1875" s="32" t="s">
        <v>5943</v>
      </c>
      <c r="H1875" s="22"/>
      <c r="I1875" s="22" t="s">
        <v>7617</v>
      </c>
    </row>
    <row r="1876" customFormat="false" ht="24.75" hidden="false" customHeight="true" outlineLevel="0" collapsed="false">
      <c r="A1876" s="24" t="s">
        <v>3342</v>
      </c>
      <c r="B1876" s="32" t="s">
        <v>7690</v>
      </c>
      <c r="C1876" s="22" t="s">
        <v>7691</v>
      </c>
      <c r="D1876" s="32" t="s">
        <v>5918</v>
      </c>
      <c r="E1876" s="22" t="s">
        <v>3394</v>
      </c>
      <c r="F1876" s="22" t="s">
        <v>3360</v>
      </c>
      <c r="G1876" s="32" t="s">
        <v>7692</v>
      </c>
      <c r="H1876" s="22"/>
      <c r="I1876" s="22" t="s">
        <v>7617</v>
      </c>
    </row>
    <row r="1877" customFormat="false" ht="24.75" hidden="false" customHeight="true" outlineLevel="0" collapsed="false">
      <c r="A1877" s="24" t="s">
        <v>3342</v>
      </c>
      <c r="B1877" s="32" t="s">
        <v>7693</v>
      </c>
      <c r="C1877" s="22" t="s">
        <v>7694</v>
      </c>
      <c r="D1877" s="32" t="s">
        <v>5918</v>
      </c>
      <c r="E1877" s="22" t="s">
        <v>3394</v>
      </c>
      <c r="F1877" s="22" t="s">
        <v>3378</v>
      </c>
      <c r="G1877" s="32" t="s">
        <v>3713</v>
      </c>
      <c r="H1877" s="22"/>
      <c r="I1877" s="22" t="s">
        <v>7617</v>
      </c>
    </row>
    <row r="1878" customFormat="false" ht="24.75" hidden="false" customHeight="true" outlineLevel="0" collapsed="false">
      <c r="A1878" s="24" t="s">
        <v>3342</v>
      </c>
      <c r="B1878" s="32" t="s">
        <v>7695</v>
      </c>
      <c r="C1878" s="22" t="s">
        <v>7696</v>
      </c>
      <c r="D1878" s="32" t="s">
        <v>5918</v>
      </c>
      <c r="E1878" s="22" t="s">
        <v>3394</v>
      </c>
      <c r="F1878" s="22" t="s">
        <v>3378</v>
      </c>
      <c r="G1878" s="32" t="s">
        <v>3713</v>
      </c>
      <c r="H1878" s="22"/>
      <c r="I1878" s="22" t="s">
        <v>7617</v>
      </c>
    </row>
    <row r="1879" customFormat="false" ht="24.75" hidden="false" customHeight="true" outlineLevel="0" collapsed="false">
      <c r="A1879" s="24" t="s">
        <v>3342</v>
      </c>
      <c r="B1879" s="32" t="s">
        <v>7697</v>
      </c>
      <c r="C1879" s="22" t="s">
        <v>7698</v>
      </c>
      <c r="D1879" s="32" t="s">
        <v>5918</v>
      </c>
      <c r="E1879" s="22" t="s">
        <v>3394</v>
      </c>
      <c r="F1879" s="22" t="s">
        <v>3378</v>
      </c>
      <c r="G1879" s="32" t="s">
        <v>3713</v>
      </c>
      <c r="H1879" s="22"/>
      <c r="I1879" s="22" t="s">
        <v>7617</v>
      </c>
    </row>
    <row r="1880" customFormat="false" ht="24.75" hidden="false" customHeight="true" outlineLevel="0" collapsed="false">
      <c r="A1880" s="24" t="s">
        <v>3342</v>
      </c>
      <c r="B1880" s="32" t="s">
        <v>7699</v>
      </c>
      <c r="C1880" s="22" t="s">
        <v>7700</v>
      </c>
      <c r="D1880" s="32" t="s">
        <v>5918</v>
      </c>
      <c r="E1880" s="22" t="s">
        <v>3394</v>
      </c>
      <c r="F1880" s="22" t="s">
        <v>3378</v>
      </c>
      <c r="G1880" s="32" t="s">
        <v>3713</v>
      </c>
      <c r="H1880" s="22"/>
      <c r="I1880" s="22" t="s">
        <v>7617</v>
      </c>
    </row>
    <row r="1881" customFormat="false" ht="37.5" hidden="false" customHeight="true" outlineLevel="0" collapsed="false">
      <c r="A1881" s="24" t="s">
        <v>3342</v>
      </c>
      <c r="B1881" s="32" t="s">
        <v>7701</v>
      </c>
      <c r="C1881" s="22" t="s">
        <v>7702</v>
      </c>
      <c r="D1881" s="32" t="s">
        <v>5918</v>
      </c>
      <c r="E1881" s="22" t="s">
        <v>3394</v>
      </c>
      <c r="F1881" s="22" t="s">
        <v>3360</v>
      </c>
      <c r="G1881" s="32" t="s">
        <v>7692</v>
      </c>
      <c r="H1881" s="22" t="s">
        <v>7703</v>
      </c>
      <c r="I1881" s="22" t="s">
        <v>7617</v>
      </c>
    </row>
    <row r="1882" customFormat="false" ht="24.75" hidden="false" customHeight="true" outlineLevel="0" collapsed="false">
      <c r="A1882" s="24" t="s">
        <v>3342</v>
      </c>
      <c r="B1882" s="32" t="s">
        <v>7704</v>
      </c>
      <c r="C1882" s="22" t="s">
        <v>7705</v>
      </c>
      <c r="D1882" s="32" t="s">
        <v>7706</v>
      </c>
      <c r="E1882" s="22" t="s">
        <v>3359</v>
      </c>
      <c r="F1882" s="22" t="s">
        <v>3378</v>
      </c>
      <c r="G1882" s="32"/>
      <c r="H1882" s="22" t="s">
        <v>7707</v>
      </c>
      <c r="I1882" s="22" t="s">
        <v>7617</v>
      </c>
    </row>
    <row r="1883" customFormat="false" ht="24.75" hidden="false" customHeight="true" outlineLevel="0" collapsed="false">
      <c r="A1883" s="24" t="s">
        <v>3342</v>
      </c>
      <c r="B1883" s="32" t="s">
        <v>7708</v>
      </c>
      <c r="C1883" s="22" t="s">
        <v>7709</v>
      </c>
      <c r="D1883" s="32" t="s">
        <v>7706</v>
      </c>
      <c r="E1883" s="22" t="s">
        <v>3394</v>
      </c>
      <c r="F1883" s="22" t="s">
        <v>3378</v>
      </c>
      <c r="G1883" s="32" t="s">
        <v>3713</v>
      </c>
      <c r="H1883" s="22"/>
      <c r="I1883" s="22" t="s">
        <v>7617</v>
      </c>
    </row>
    <row r="1884" customFormat="false" ht="24.75" hidden="false" customHeight="true" outlineLevel="0" collapsed="false">
      <c r="A1884" s="24" t="s">
        <v>185</v>
      </c>
      <c r="B1884" s="32" t="s">
        <v>7593</v>
      </c>
      <c r="C1884" s="22"/>
      <c r="D1884" s="32"/>
      <c r="E1884" s="22" t="s">
        <v>7710</v>
      </c>
      <c r="F1884" s="22"/>
      <c r="G1884" s="32"/>
      <c r="H1884" s="22" t="s">
        <v>7711</v>
      </c>
      <c r="I1884" s="22" t="s">
        <v>7712</v>
      </c>
    </row>
    <row r="1885" customFormat="false" ht="24.75" hidden="false" customHeight="true" outlineLevel="0" collapsed="false">
      <c r="A1885" s="24" t="s">
        <v>185</v>
      </c>
      <c r="B1885" s="32" t="s">
        <v>5122</v>
      </c>
      <c r="C1885" s="22"/>
      <c r="D1885" s="32"/>
      <c r="E1885" s="22" t="s">
        <v>7713</v>
      </c>
      <c r="F1885" s="22"/>
      <c r="G1885" s="32"/>
      <c r="H1885" s="22" t="s">
        <v>7714</v>
      </c>
      <c r="I1885" s="22" t="s">
        <v>7712</v>
      </c>
    </row>
    <row r="1886" customFormat="false" ht="24.75" hidden="false" customHeight="true" outlineLevel="0" collapsed="false">
      <c r="A1886" s="24" t="s">
        <v>185</v>
      </c>
      <c r="B1886" s="32" t="s">
        <v>7715</v>
      </c>
      <c r="C1886" s="22"/>
      <c r="D1886" s="32"/>
      <c r="E1886" s="22" t="s">
        <v>3359</v>
      </c>
      <c r="F1886" s="22"/>
      <c r="G1886" s="32"/>
      <c r="H1886" s="22" t="s">
        <v>7716</v>
      </c>
      <c r="I1886" s="22" t="s">
        <v>7712</v>
      </c>
    </row>
    <row r="1887" customFormat="false" ht="15" hidden="false" customHeight="true" outlineLevel="0" collapsed="false">
      <c r="A1887" s="24" t="s">
        <v>185</v>
      </c>
      <c r="B1887" s="32" t="s">
        <v>7717</v>
      </c>
      <c r="C1887" s="22"/>
      <c r="D1887" s="32"/>
      <c r="E1887" s="22" t="s">
        <v>3389</v>
      </c>
      <c r="F1887" s="22"/>
      <c r="G1887" s="32"/>
      <c r="H1887" s="22" t="s">
        <v>7718</v>
      </c>
      <c r="I1887" s="22" t="s">
        <v>7712</v>
      </c>
    </row>
    <row r="1888" customFormat="false" ht="24.75" hidden="false" customHeight="true" outlineLevel="0" collapsed="false">
      <c r="A1888" s="24" t="s">
        <v>185</v>
      </c>
      <c r="B1888" s="32" t="s">
        <v>4151</v>
      </c>
      <c r="C1888" s="22"/>
      <c r="D1888" s="32"/>
      <c r="E1888" s="22" t="s">
        <v>3359</v>
      </c>
      <c r="F1888" s="22"/>
      <c r="G1888" s="32"/>
      <c r="H1888" s="22" t="s">
        <v>7719</v>
      </c>
      <c r="I1888" s="22" t="s">
        <v>7712</v>
      </c>
    </row>
    <row r="1889" customFormat="false" ht="24.75" hidden="false" customHeight="true" outlineLevel="0" collapsed="false">
      <c r="A1889" s="24" t="s">
        <v>185</v>
      </c>
      <c r="B1889" s="32" t="s">
        <v>7720</v>
      </c>
      <c r="C1889" s="22"/>
      <c r="D1889" s="32"/>
      <c r="E1889" s="22" t="s">
        <v>7710</v>
      </c>
      <c r="F1889" s="22"/>
      <c r="G1889" s="32"/>
      <c r="H1889" s="22" t="s">
        <v>7721</v>
      </c>
      <c r="I1889" s="22" t="s">
        <v>7712</v>
      </c>
    </row>
    <row r="1890" customFormat="false" ht="24.75" hidden="false" customHeight="true" outlineLevel="0" collapsed="false">
      <c r="A1890" s="24" t="s">
        <v>523</v>
      </c>
      <c r="B1890" s="32" t="s">
        <v>7593</v>
      </c>
      <c r="C1890" s="22"/>
      <c r="D1890" s="32"/>
      <c r="E1890" s="22" t="s">
        <v>7710</v>
      </c>
      <c r="F1890" s="22"/>
      <c r="G1890" s="32"/>
      <c r="H1890" s="22" t="s">
        <v>7722</v>
      </c>
      <c r="I1890" s="22" t="s">
        <v>7712</v>
      </c>
    </row>
    <row r="1891" customFormat="false" ht="37.5" hidden="false" customHeight="true" outlineLevel="0" collapsed="false">
      <c r="A1891" s="24" t="s">
        <v>637</v>
      </c>
      <c r="B1891" s="32" t="s">
        <v>7243</v>
      </c>
      <c r="C1891" s="22"/>
      <c r="D1891" s="32"/>
      <c r="E1891" s="22" t="s">
        <v>3359</v>
      </c>
      <c r="F1891" s="22"/>
      <c r="G1891" s="32"/>
      <c r="H1891" s="22" t="s">
        <v>7723</v>
      </c>
      <c r="I1891" s="22" t="s">
        <v>7712</v>
      </c>
    </row>
    <row r="1892" customFormat="false" ht="24.75" hidden="false" customHeight="true" outlineLevel="0" collapsed="false">
      <c r="A1892" s="24" t="s">
        <v>893</v>
      </c>
      <c r="B1892" s="32" t="s">
        <v>7724</v>
      </c>
      <c r="C1892" s="22"/>
      <c r="D1892" s="32"/>
      <c r="E1892" s="22" t="s">
        <v>7713</v>
      </c>
      <c r="F1892" s="22"/>
      <c r="G1892" s="32"/>
      <c r="H1892" s="22" t="s">
        <v>7725</v>
      </c>
      <c r="I1892" s="22" t="s">
        <v>7712</v>
      </c>
    </row>
    <row r="1893" customFormat="false" ht="49.5" hidden="false" customHeight="true" outlineLevel="0" collapsed="false">
      <c r="A1893" s="24" t="s">
        <v>185</v>
      </c>
      <c r="B1893" s="32" t="s">
        <v>7726</v>
      </c>
      <c r="C1893" s="22"/>
      <c r="D1893" s="32"/>
      <c r="E1893" s="22" t="s">
        <v>7727</v>
      </c>
      <c r="F1893" s="22"/>
      <c r="G1893" s="32"/>
      <c r="H1893" s="22" t="s">
        <v>7728</v>
      </c>
      <c r="I1893" s="22" t="s">
        <v>7712</v>
      </c>
    </row>
    <row r="1894" customFormat="false" ht="37.5" hidden="false" customHeight="true" outlineLevel="0" collapsed="false">
      <c r="A1894" s="24" t="s">
        <v>525</v>
      </c>
      <c r="B1894" s="32" t="s">
        <v>3847</v>
      </c>
      <c r="C1894" s="22"/>
      <c r="D1894" s="32"/>
      <c r="E1894" s="22" t="s">
        <v>7713</v>
      </c>
      <c r="F1894" s="22"/>
      <c r="G1894" s="32"/>
      <c r="H1894" s="22" t="s">
        <v>7729</v>
      </c>
      <c r="I1894" s="22" t="s">
        <v>7712</v>
      </c>
    </row>
    <row r="1895" customFormat="false" ht="24.75" hidden="false" customHeight="true" outlineLevel="0" collapsed="false">
      <c r="A1895" s="24" t="s">
        <v>523</v>
      </c>
      <c r="B1895" s="32" t="s">
        <v>7730</v>
      </c>
      <c r="C1895" s="22"/>
      <c r="D1895" s="32"/>
      <c r="E1895" s="22" t="s">
        <v>7731</v>
      </c>
      <c r="F1895" s="22"/>
      <c r="G1895" s="32"/>
      <c r="H1895" s="22" t="s">
        <v>7732</v>
      </c>
      <c r="I1895" s="22" t="s">
        <v>7712</v>
      </c>
    </row>
    <row r="1896" customFormat="false" ht="24.75" hidden="false" customHeight="true" outlineLevel="0" collapsed="false">
      <c r="A1896" s="24" t="s">
        <v>3330</v>
      </c>
      <c r="B1896" s="32" t="s">
        <v>7733</v>
      </c>
      <c r="C1896" s="22"/>
      <c r="D1896" s="32"/>
      <c r="E1896" s="22" t="s">
        <v>7734</v>
      </c>
      <c r="F1896" s="22"/>
      <c r="G1896" s="32"/>
      <c r="H1896" s="22" t="s">
        <v>7735</v>
      </c>
      <c r="I1896" s="22" t="s">
        <v>7712</v>
      </c>
    </row>
    <row r="1897" customFormat="false" ht="49.5" hidden="false" customHeight="true" outlineLevel="0" collapsed="false">
      <c r="A1897" s="24" t="s">
        <v>1138</v>
      </c>
      <c r="B1897" s="32" t="s">
        <v>7736</v>
      </c>
      <c r="C1897" s="22"/>
      <c r="D1897" s="32"/>
      <c r="E1897" s="22" t="s">
        <v>7737</v>
      </c>
      <c r="F1897" s="22"/>
      <c r="G1897" s="32"/>
      <c r="H1897" s="22" t="s">
        <v>7738</v>
      </c>
      <c r="I1897" s="22" t="s">
        <v>7712</v>
      </c>
    </row>
    <row r="1898" customFormat="false" ht="37.5" hidden="false" customHeight="true" outlineLevel="0" collapsed="false">
      <c r="A1898" s="24" t="s">
        <v>1165</v>
      </c>
      <c r="B1898" s="32" t="s">
        <v>7739</v>
      </c>
      <c r="C1898" s="22"/>
      <c r="D1898" s="32"/>
      <c r="E1898" s="22" t="s">
        <v>7737</v>
      </c>
      <c r="F1898" s="22"/>
      <c r="G1898" s="32"/>
      <c r="H1898" s="22" t="s">
        <v>7740</v>
      </c>
      <c r="I1898" s="22" t="s">
        <v>7712</v>
      </c>
    </row>
    <row r="1899" customFormat="false" ht="24.75" hidden="false" customHeight="true" outlineLevel="0" collapsed="false">
      <c r="A1899" s="24" t="s">
        <v>523</v>
      </c>
      <c r="B1899" s="32" t="s">
        <v>4143</v>
      </c>
      <c r="C1899" s="22"/>
      <c r="D1899" s="32"/>
      <c r="E1899" s="22" t="s">
        <v>3359</v>
      </c>
      <c r="F1899" s="22"/>
      <c r="G1899" s="32"/>
      <c r="H1899" s="22" t="s">
        <v>7741</v>
      </c>
      <c r="I1899" s="22" t="s">
        <v>7712</v>
      </c>
    </row>
    <row r="1900" customFormat="false" ht="24.75" hidden="false" customHeight="true" outlineLevel="0" collapsed="false">
      <c r="A1900" s="24" t="s">
        <v>523</v>
      </c>
      <c r="B1900" s="32" t="s">
        <v>4148</v>
      </c>
      <c r="C1900" s="22"/>
      <c r="D1900" s="32"/>
      <c r="E1900" s="22" t="s">
        <v>3389</v>
      </c>
      <c r="F1900" s="22"/>
      <c r="G1900" s="32"/>
      <c r="H1900" s="22" t="s">
        <v>7742</v>
      </c>
      <c r="I1900" s="22" t="s">
        <v>7712</v>
      </c>
    </row>
    <row r="1901" customFormat="false" ht="24.75" hidden="false" customHeight="true" outlineLevel="0" collapsed="false">
      <c r="A1901" s="24" t="s">
        <v>523</v>
      </c>
      <c r="B1901" s="32" t="s">
        <v>4151</v>
      </c>
      <c r="C1901" s="22"/>
      <c r="D1901" s="32"/>
      <c r="E1901" s="22" t="s">
        <v>3359</v>
      </c>
      <c r="F1901" s="22"/>
      <c r="G1901" s="32"/>
      <c r="H1901" s="22" t="s">
        <v>7743</v>
      </c>
      <c r="I1901" s="22" t="s">
        <v>7712</v>
      </c>
    </row>
    <row r="1902" customFormat="false" ht="37.5" hidden="false" customHeight="true" outlineLevel="0" collapsed="false">
      <c r="A1902" s="24" t="s">
        <v>1307</v>
      </c>
      <c r="B1902" s="32" t="s">
        <v>7744</v>
      </c>
      <c r="C1902" s="22"/>
      <c r="D1902" s="32"/>
      <c r="E1902" s="22" t="s">
        <v>3389</v>
      </c>
      <c r="F1902" s="22"/>
      <c r="G1902" s="32"/>
      <c r="H1902" s="22" t="s">
        <v>7745</v>
      </c>
      <c r="I1902" s="22" t="s">
        <v>7712</v>
      </c>
    </row>
    <row r="1903" customFormat="false" ht="37.5" hidden="false" customHeight="true" outlineLevel="0" collapsed="false">
      <c r="A1903" s="24" t="s">
        <v>1534</v>
      </c>
      <c r="B1903" s="32" t="s">
        <v>7746</v>
      </c>
      <c r="C1903" s="22"/>
      <c r="D1903" s="32"/>
      <c r="E1903" s="22" t="s">
        <v>3389</v>
      </c>
      <c r="F1903" s="22"/>
      <c r="G1903" s="32"/>
      <c r="H1903" s="22" t="s">
        <v>7747</v>
      </c>
      <c r="I1903" s="22" t="s">
        <v>7712</v>
      </c>
    </row>
    <row r="1904" customFormat="false" ht="24.75" hidden="false" customHeight="true" outlineLevel="0" collapsed="false">
      <c r="A1904" s="24" t="s">
        <v>1563</v>
      </c>
      <c r="B1904" s="32" t="s">
        <v>7748</v>
      </c>
      <c r="C1904" s="22"/>
      <c r="D1904" s="32"/>
      <c r="E1904" s="22" t="s">
        <v>7749</v>
      </c>
      <c r="F1904" s="22"/>
      <c r="G1904" s="32"/>
      <c r="H1904" s="22" t="s">
        <v>7750</v>
      </c>
      <c r="I1904" s="22" t="s">
        <v>7712</v>
      </c>
    </row>
    <row r="1905" customFormat="false" ht="37.5" hidden="false" customHeight="true" outlineLevel="0" collapsed="false">
      <c r="A1905" s="24" t="s">
        <v>185</v>
      </c>
      <c r="B1905" s="32" t="s">
        <v>7751</v>
      </c>
      <c r="C1905" s="22"/>
      <c r="D1905" s="32"/>
      <c r="E1905" s="22" t="s">
        <v>3359</v>
      </c>
      <c r="F1905" s="22"/>
      <c r="G1905" s="32"/>
      <c r="H1905" s="22" t="s">
        <v>7752</v>
      </c>
      <c r="I1905" s="22" t="s">
        <v>7712</v>
      </c>
    </row>
    <row r="1906" customFormat="false" ht="49.5" hidden="false" customHeight="true" outlineLevel="0" collapsed="false">
      <c r="A1906" s="24" t="s">
        <v>1680</v>
      </c>
      <c r="B1906" s="32" t="s">
        <v>7753</v>
      </c>
      <c r="C1906" s="22"/>
      <c r="D1906" s="32"/>
      <c r="E1906" s="22" t="s">
        <v>7754</v>
      </c>
      <c r="F1906" s="22"/>
      <c r="G1906" s="32"/>
      <c r="H1906" s="22" t="s">
        <v>7755</v>
      </c>
      <c r="I1906" s="22" t="s">
        <v>7712</v>
      </c>
    </row>
    <row r="1907" customFormat="false" ht="24.75" hidden="false" customHeight="true" outlineLevel="0" collapsed="false">
      <c r="A1907" s="24" t="s">
        <v>1680</v>
      </c>
      <c r="B1907" s="32" t="s">
        <v>7756</v>
      </c>
      <c r="C1907" s="22"/>
      <c r="D1907" s="32"/>
      <c r="E1907" s="22" t="s">
        <v>3713</v>
      </c>
      <c r="F1907" s="22"/>
      <c r="G1907" s="32"/>
      <c r="H1907" s="22" t="s">
        <v>7757</v>
      </c>
      <c r="I1907" s="22" t="s">
        <v>7712</v>
      </c>
    </row>
    <row r="1908" customFormat="false" ht="37.5" hidden="false" customHeight="true" outlineLevel="0" collapsed="false">
      <c r="A1908" s="24" t="s">
        <v>1650</v>
      </c>
      <c r="B1908" s="32" t="s">
        <v>7758</v>
      </c>
      <c r="C1908" s="22"/>
      <c r="D1908" s="32"/>
      <c r="E1908" s="22" t="s">
        <v>7754</v>
      </c>
      <c r="F1908" s="22"/>
      <c r="G1908" s="32"/>
      <c r="H1908" s="22" t="s">
        <v>7759</v>
      </c>
      <c r="I1908" s="22" t="s">
        <v>7712</v>
      </c>
    </row>
    <row r="1909" customFormat="false" ht="24.75" hidden="false" customHeight="true" outlineLevel="0" collapsed="false">
      <c r="A1909" s="24" t="s">
        <v>1848</v>
      </c>
      <c r="B1909" s="32" t="s">
        <v>7760</v>
      </c>
      <c r="C1909" s="22"/>
      <c r="D1909" s="32"/>
      <c r="E1909" s="22" t="s">
        <v>3713</v>
      </c>
      <c r="F1909" s="22"/>
      <c r="G1909" s="32"/>
      <c r="H1909" s="22" t="s">
        <v>7761</v>
      </c>
      <c r="I1909" s="22" t="s">
        <v>7712</v>
      </c>
    </row>
    <row r="1910" customFormat="false" ht="15" hidden="false" customHeight="true" outlineLevel="0" collapsed="false">
      <c r="A1910" s="24" t="s">
        <v>1848</v>
      </c>
      <c r="B1910" s="32" t="s">
        <v>7762</v>
      </c>
      <c r="C1910" s="22"/>
      <c r="D1910" s="32"/>
      <c r="E1910" s="22" t="s">
        <v>7754</v>
      </c>
      <c r="F1910" s="22"/>
      <c r="G1910" s="32"/>
      <c r="H1910" s="22" t="s">
        <v>7763</v>
      </c>
      <c r="I1910" s="22" t="s">
        <v>7712</v>
      </c>
    </row>
    <row r="1911" customFormat="false" ht="24.75" hidden="false" customHeight="true" outlineLevel="0" collapsed="false">
      <c r="A1911" s="24" t="s">
        <v>637</v>
      </c>
      <c r="B1911" s="32" t="s">
        <v>7764</v>
      </c>
      <c r="C1911" s="22"/>
      <c r="D1911" s="32"/>
      <c r="E1911" s="22" t="s">
        <v>7754</v>
      </c>
      <c r="F1911" s="22"/>
      <c r="G1911" s="32"/>
      <c r="H1911" s="22" t="s">
        <v>7765</v>
      </c>
      <c r="I1911" s="22" t="s">
        <v>7712</v>
      </c>
    </row>
    <row r="1912" customFormat="false" ht="37.5" hidden="false" customHeight="true" outlineLevel="0" collapsed="false">
      <c r="A1912" s="24" t="s">
        <v>1563</v>
      </c>
      <c r="B1912" s="32" t="s">
        <v>7766</v>
      </c>
      <c r="C1912" s="22"/>
      <c r="D1912" s="32"/>
      <c r="E1912" s="22" t="s">
        <v>3359</v>
      </c>
      <c r="F1912" s="22"/>
      <c r="G1912" s="32"/>
      <c r="H1912" s="22" t="s">
        <v>7767</v>
      </c>
      <c r="I1912" s="22" t="s">
        <v>7712</v>
      </c>
    </row>
    <row r="1913" customFormat="false" ht="37.5" hidden="false" customHeight="true" outlineLevel="0" collapsed="false">
      <c r="A1913" s="24" t="s">
        <v>1336</v>
      </c>
      <c r="B1913" s="32" t="s">
        <v>7768</v>
      </c>
      <c r="C1913" s="22"/>
      <c r="D1913" s="32"/>
      <c r="E1913" s="22" t="s">
        <v>3713</v>
      </c>
      <c r="F1913" s="22"/>
      <c r="G1913" s="32"/>
      <c r="H1913" s="22" t="s">
        <v>7769</v>
      </c>
      <c r="I1913" s="22" t="s">
        <v>7712</v>
      </c>
    </row>
    <row r="1914" customFormat="false" ht="24.75" hidden="false" customHeight="true" outlineLevel="0" collapsed="false">
      <c r="A1914" s="24" t="s">
        <v>892</v>
      </c>
      <c r="B1914" s="32" t="s">
        <v>7770</v>
      </c>
      <c r="C1914" s="22"/>
      <c r="D1914" s="32"/>
      <c r="E1914" s="22" t="s">
        <v>7754</v>
      </c>
      <c r="F1914" s="22"/>
      <c r="G1914" s="32"/>
      <c r="H1914" s="22" t="s">
        <v>7771</v>
      </c>
      <c r="I1914" s="22" t="s">
        <v>7712</v>
      </c>
    </row>
    <row r="1915" customFormat="false" ht="99.75" hidden="false" customHeight="true" outlineLevel="0" collapsed="false">
      <c r="A1915" s="24" t="s">
        <v>186</v>
      </c>
      <c r="B1915" s="32" t="s">
        <v>7772</v>
      </c>
      <c r="C1915" s="22"/>
      <c r="D1915" s="32"/>
      <c r="E1915" s="22" t="s">
        <v>7773</v>
      </c>
      <c r="F1915" s="22"/>
      <c r="G1915" s="32"/>
      <c r="H1915" s="22" t="s">
        <v>7774</v>
      </c>
      <c r="I1915" s="22" t="s">
        <v>7712</v>
      </c>
    </row>
    <row r="1916" customFormat="false" ht="24.75" hidden="false" customHeight="true" outlineLevel="0" collapsed="false">
      <c r="A1916" s="24" t="s">
        <v>185</v>
      </c>
      <c r="B1916" s="32" t="s">
        <v>7775</v>
      </c>
      <c r="C1916" s="22"/>
      <c r="D1916" s="32"/>
      <c r="E1916" s="22" t="s">
        <v>7776</v>
      </c>
      <c r="F1916" s="22"/>
      <c r="G1916" s="32"/>
      <c r="H1916" s="22" t="s">
        <v>7777</v>
      </c>
      <c r="I1916" s="22" t="s">
        <v>7712</v>
      </c>
    </row>
    <row r="1917" customFormat="false" ht="24.75" hidden="false" customHeight="true" outlineLevel="0" collapsed="false">
      <c r="A1917" s="24" t="s">
        <v>1848</v>
      </c>
      <c r="B1917" s="32" t="s">
        <v>7778</v>
      </c>
      <c r="C1917" s="22"/>
      <c r="D1917" s="32"/>
      <c r="E1917" s="22" t="s">
        <v>7779</v>
      </c>
      <c r="F1917" s="22"/>
      <c r="G1917" s="32"/>
      <c r="H1917" s="22" t="s">
        <v>7780</v>
      </c>
      <c r="I1917" s="22" t="s">
        <v>7712</v>
      </c>
    </row>
    <row r="1918" customFormat="false" ht="24.75" hidden="false" customHeight="true" outlineLevel="0" collapsed="false">
      <c r="A1918" s="24" t="s">
        <v>185</v>
      </c>
      <c r="B1918" s="32" t="s">
        <v>7781</v>
      </c>
      <c r="C1918" s="22"/>
      <c r="D1918" s="32"/>
      <c r="E1918" s="22" t="s">
        <v>7782</v>
      </c>
      <c r="F1918" s="22" t="s">
        <v>3378</v>
      </c>
      <c r="G1918" s="32"/>
      <c r="H1918" s="22" t="s">
        <v>7783</v>
      </c>
      <c r="I1918" s="22" t="s">
        <v>7784</v>
      </c>
    </row>
    <row r="1919" customFormat="false" ht="24.75" hidden="false" customHeight="true" outlineLevel="0" collapsed="false">
      <c r="A1919" s="24" t="s">
        <v>185</v>
      </c>
      <c r="B1919" s="32" t="s">
        <v>4350</v>
      </c>
      <c r="C1919" s="22"/>
      <c r="D1919" s="32"/>
      <c r="E1919" s="22" t="s">
        <v>7785</v>
      </c>
      <c r="F1919" s="22" t="s">
        <v>3378</v>
      </c>
      <c r="G1919" s="32"/>
      <c r="H1919" s="22" t="s">
        <v>7786</v>
      </c>
      <c r="I1919" s="22" t="s">
        <v>7784</v>
      </c>
    </row>
    <row r="1920" customFormat="false" ht="15" hidden="false" customHeight="true" outlineLevel="0" collapsed="false">
      <c r="A1920" s="24" t="s">
        <v>185</v>
      </c>
      <c r="B1920" s="32" t="s">
        <v>7787</v>
      </c>
      <c r="C1920" s="22"/>
      <c r="D1920" s="32"/>
      <c r="E1920" s="22" t="s">
        <v>3713</v>
      </c>
      <c r="F1920" s="22" t="s">
        <v>3378</v>
      </c>
      <c r="G1920" s="32"/>
      <c r="H1920" s="22" t="s">
        <v>7788</v>
      </c>
      <c r="I1920" s="22" t="s">
        <v>7784</v>
      </c>
    </row>
    <row r="1921" customFormat="false" ht="15" hidden="false" customHeight="true" outlineLevel="0" collapsed="false">
      <c r="A1921" s="24" t="s">
        <v>185</v>
      </c>
      <c r="B1921" s="32" t="s">
        <v>7789</v>
      </c>
      <c r="C1921" s="22"/>
      <c r="D1921" s="32"/>
      <c r="E1921" s="22" t="s">
        <v>3713</v>
      </c>
      <c r="F1921" s="22" t="s">
        <v>3378</v>
      </c>
      <c r="G1921" s="32"/>
      <c r="H1921" s="22" t="s">
        <v>7790</v>
      </c>
      <c r="I1921" s="22" t="s">
        <v>7784</v>
      </c>
    </row>
    <row r="1922" customFormat="false" ht="15" hidden="false" customHeight="true" outlineLevel="0" collapsed="false">
      <c r="A1922" s="24" t="s">
        <v>185</v>
      </c>
      <c r="B1922" s="32" t="s">
        <v>7791</v>
      </c>
      <c r="C1922" s="22"/>
      <c r="D1922" s="32"/>
      <c r="E1922" s="22" t="s">
        <v>3713</v>
      </c>
      <c r="F1922" s="22" t="s">
        <v>3378</v>
      </c>
      <c r="G1922" s="32"/>
      <c r="H1922" s="22" t="s">
        <v>7792</v>
      </c>
      <c r="I1922" s="22" t="s">
        <v>7784</v>
      </c>
    </row>
    <row r="1923" customFormat="false" ht="15" hidden="false" customHeight="true" outlineLevel="0" collapsed="false">
      <c r="A1923" s="24" t="s">
        <v>185</v>
      </c>
      <c r="B1923" s="32" t="s">
        <v>7793</v>
      </c>
      <c r="C1923" s="22"/>
      <c r="D1923" s="32"/>
      <c r="E1923" s="22" t="s">
        <v>3713</v>
      </c>
      <c r="F1923" s="22" t="s">
        <v>3378</v>
      </c>
      <c r="G1923" s="32"/>
      <c r="H1923" s="22" t="s">
        <v>7794</v>
      </c>
      <c r="I1923" s="22" t="s">
        <v>7784</v>
      </c>
    </row>
    <row r="1924" customFormat="false" ht="15" hidden="false" customHeight="true" outlineLevel="0" collapsed="false">
      <c r="A1924" s="24" t="s">
        <v>185</v>
      </c>
      <c r="B1924" s="32" t="s">
        <v>7795</v>
      </c>
      <c r="C1924" s="22"/>
      <c r="D1924" s="32"/>
      <c r="E1924" s="22" t="s">
        <v>3713</v>
      </c>
      <c r="F1924" s="22" t="s">
        <v>3378</v>
      </c>
      <c r="G1924" s="32"/>
      <c r="H1924" s="22" t="s">
        <v>7796</v>
      </c>
      <c r="I1924" s="22" t="s">
        <v>7784</v>
      </c>
    </row>
    <row r="1925" customFormat="false" ht="37.5" hidden="false" customHeight="true" outlineLevel="0" collapsed="false">
      <c r="A1925" s="24" t="s">
        <v>185</v>
      </c>
      <c r="B1925" s="32" t="s">
        <v>7797</v>
      </c>
      <c r="C1925" s="22"/>
      <c r="D1925" s="32"/>
      <c r="E1925" s="22" t="s">
        <v>7798</v>
      </c>
      <c r="F1925" s="22" t="s">
        <v>3378</v>
      </c>
      <c r="G1925" s="32"/>
      <c r="H1925" s="22" t="s">
        <v>7799</v>
      </c>
      <c r="I1925" s="22" t="s">
        <v>7784</v>
      </c>
    </row>
    <row r="1926" customFormat="false" ht="24.75" hidden="false" customHeight="true" outlineLevel="0" collapsed="false">
      <c r="A1926" s="24" t="s">
        <v>185</v>
      </c>
      <c r="B1926" s="32" t="s">
        <v>4106</v>
      </c>
      <c r="C1926" s="22"/>
      <c r="D1926" s="32"/>
      <c r="E1926" s="22" t="s">
        <v>7800</v>
      </c>
      <c r="F1926" s="22" t="s">
        <v>3378</v>
      </c>
      <c r="G1926" s="32"/>
      <c r="H1926" s="22" t="s">
        <v>7801</v>
      </c>
      <c r="I1926" s="22" t="s">
        <v>7784</v>
      </c>
    </row>
    <row r="1927" customFormat="false" ht="49.5" hidden="false" customHeight="true" outlineLevel="0" collapsed="false">
      <c r="A1927" s="24" t="s">
        <v>186</v>
      </c>
      <c r="B1927" s="32" t="s">
        <v>7802</v>
      </c>
      <c r="C1927" s="22"/>
      <c r="D1927" s="32"/>
      <c r="E1927" s="22" t="s">
        <v>7754</v>
      </c>
      <c r="F1927" s="22" t="s">
        <v>3378</v>
      </c>
      <c r="G1927" s="32"/>
      <c r="H1927" s="22" t="s">
        <v>7803</v>
      </c>
      <c r="I1927" s="22" t="s">
        <v>7784</v>
      </c>
    </row>
    <row r="1928" customFormat="false" ht="49.5" hidden="false" customHeight="true" outlineLevel="0" collapsed="false">
      <c r="A1928" s="24" t="s">
        <v>185</v>
      </c>
      <c r="B1928" s="32" t="s">
        <v>7804</v>
      </c>
      <c r="C1928" s="22"/>
      <c r="D1928" s="32"/>
      <c r="E1928" s="22" t="s">
        <v>7754</v>
      </c>
      <c r="F1928" s="22" t="s">
        <v>3378</v>
      </c>
      <c r="G1928" s="32"/>
      <c r="H1928" s="22" t="s">
        <v>7805</v>
      </c>
      <c r="I1928" s="22" t="s">
        <v>7784</v>
      </c>
    </row>
    <row r="1929" customFormat="false" ht="37.5" hidden="false" customHeight="true" outlineLevel="0" collapsed="false">
      <c r="A1929" s="24" t="s">
        <v>186</v>
      </c>
      <c r="B1929" s="32" t="s">
        <v>7806</v>
      </c>
      <c r="C1929" s="22"/>
      <c r="D1929" s="32"/>
      <c r="E1929" s="22" t="s">
        <v>3389</v>
      </c>
      <c r="F1929" s="22" t="s">
        <v>3378</v>
      </c>
      <c r="G1929" s="32"/>
      <c r="H1929" s="22" t="s">
        <v>7807</v>
      </c>
      <c r="I1929" s="22" t="s">
        <v>7784</v>
      </c>
    </row>
    <row r="1930" customFormat="false" ht="37.5" hidden="false" customHeight="true" outlineLevel="0" collapsed="false">
      <c r="A1930" s="24" t="s">
        <v>186</v>
      </c>
      <c r="B1930" s="32" t="s">
        <v>7808</v>
      </c>
      <c r="C1930" s="22"/>
      <c r="D1930" s="32"/>
      <c r="E1930" s="22" t="s">
        <v>7809</v>
      </c>
      <c r="F1930" s="22" t="s">
        <v>3378</v>
      </c>
      <c r="G1930" s="32"/>
      <c r="H1930" s="22" t="s">
        <v>7810</v>
      </c>
      <c r="I1930" s="22" t="s">
        <v>7784</v>
      </c>
    </row>
    <row r="1931" customFormat="false" ht="24.75" hidden="false" customHeight="true" outlineLevel="0" collapsed="false">
      <c r="A1931" s="24" t="s">
        <v>385</v>
      </c>
      <c r="B1931" s="32" t="s">
        <v>7781</v>
      </c>
      <c r="C1931" s="22"/>
      <c r="D1931" s="32"/>
      <c r="E1931" s="22" t="s">
        <v>7782</v>
      </c>
      <c r="F1931" s="22" t="s">
        <v>3378</v>
      </c>
      <c r="G1931" s="32"/>
      <c r="H1931" s="22" t="s">
        <v>7811</v>
      </c>
      <c r="I1931" s="22" t="s">
        <v>7784</v>
      </c>
    </row>
    <row r="1932" customFormat="false" ht="37.5" hidden="false" customHeight="true" outlineLevel="0" collapsed="false">
      <c r="A1932" s="24" t="s">
        <v>185</v>
      </c>
      <c r="B1932" s="32" t="s">
        <v>5129</v>
      </c>
      <c r="C1932" s="22"/>
      <c r="D1932" s="32"/>
      <c r="E1932" s="22" t="s">
        <v>3377</v>
      </c>
      <c r="F1932" s="22" t="s">
        <v>3378</v>
      </c>
      <c r="G1932" s="32"/>
      <c r="H1932" s="22" t="s">
        <v>7812</v>
      </c>
      <c r="I1932" s="22" t="s">
        <v>7784</v>
      </c>
    </row>
    <row r="1933" customFormat="false" ht="24.75" hidden="false" customHeight="true" outlineLevel="0" collapsed="false">
      <c r="A1933" s="24" t="s">
        <v>185</v>
      </c>
      <c r="B1933" s="32" t="s">
        <v>7813</v>
      </c>
      <c r="C1933" s="22"/>
      <c r="D1933" s="32"/>
      <c r="E1933" s="22" t="s">
        <v>7814</v>
      </c>
      <c r="F1933" s="22" t="s">
        <v>3378</v>
      </c>
      <c r="G1933" s="32"/>
      <c r="H1933" s="22" t="s">
        <v>7815</v>
      </c>
      <c r="I1933" s="22" t="s">
        <v>7784</v>
      </c>
    </row>
    <row r="1934" customFormat="false" ht="24.75" hidden="false" customHeight="true" outlineLevel="0" collapsed="false">
      <c r="A1934" s="24" t="s">
        <v>439</v>
      </c>
      <c r="B1934" s="32" t="s">
        <v>7813</v>
      </c>
      <c r="C1934" s="22"/>
      <c r="D1934" s="32"/>
      <c r="E1934" s="22" t="s">
        <v>7814</v>
      </c>
      <c r="F1934" s="22" t="s">
        <v>3378</v>
      </c>
      <c r="G1934" s="32"/>
      <c r="H1934" s="22" t="s">
        <v>7816</v>
      </c>
      <c r="I1934" s="22" t="s">
        <v>7784</v>
      </c>
    </row>
    <row r="1935" customFormat="false" ht="24.75" hidden="false" customHeight="true" outlineLevel="0" collapsed="false">
      <c r="A1935" s="24" t="s">
        <v>185</v>
      </c>
      <c r="B1935" s="32" t="s">
        <v>7817</v>
      </c>
      <c r="C1935" s="22"/>
      <c r="D1935" s="32"/>
      <c r="E1935" s="22" t="s">
        <v>7818</v>
      </c>
      <c r="F1935" s="22" t="s">
        <v>3378</v>
      </c>
      <c r="G1935" s="32"/>
      <c r="H1935" s="22" t="s">
        <v>7819</v>
      </c>
      <c r="I1935" s="22" t="s">
        <v>7784</v>
      </c>
    </row>
    <row r="1936" customFormat="false" ht="24.75" hidden="false" customHeight="true" outlineLevel="0" collapsed="false">
      <c r="A1936" s="24" t="s">
        <v>185</v>
      </c>
      <c r="B1936" s="32" t="s">
        <v>7820</v>
      </c>
      <c r="C1936" s="22"/>
      <c r="D1936" s="32"/>
      <c r="E1936" s="22" t="s">
        <v>7754</v>
      </c>
      <c r="F1936" s="22" t="s">
        <v>3378</v>
      </c>
      <c r="G1936" s="32"/>
      <c r="H1936" s="22" t="s">
        <v>7821</v>
      </c>
      <c r="I1936" s="22" t="s">
        <v>7784</v>
      </c>
    </row>
    <row r="1937" customFormat="false" ht="24.75" hidden="false" customHeight="true" outlineLevel="0" collapsed="false">
      <c r="A1937" s="24" t="s">
        <v>185</v>
      </c>
      <c r="B1937" s="32" t="s">
        <v>7822</v>
      </c>
      <c r="C1937" s="22"/>
      <c r="D1937" s="32"/>
      <c r="E1937" s="22" t="s">
        <v>5196</v>
      </c>
      <c r="F1937" s="22" t="s">
        <v>3378</v>
      </c>
      <c r="G1937" s="32"/>
      <c r="H1937" s="22" t="s">
        <v>7823</v>
      </c>
      <c r="I1937" s="22" t="s">
        <v>7784</v>
      </c>
    </row>
    <row r="1938" customFormat="false" ht="24.75" hidden="false" customHeight="true" outlineLevel="0" collapsed="false">
      <c r="A1938" s="24" t="s">
        <v>186</v>
      </c>
      <c r="B1938" s="32" t="s">
        <v>7824</v>
      </c>
      <c r="C1938" s="22"/>
      <c r="D1938" s="32"/>
      <c r="E1938" s="22" t="s">
        <v>3713</v>
      </c>
      <c r="F1938" s="22" t="s">
        <v>3378</v>
      </c>
      <c r="G1938" s="32"/>
      <c r="H1938" s="22" t="s">
        <v>7825</v>
      </c>
      <c r="I1938" s="22" t="s">
        <v>7784</v>
      </c>
    </row>
    <row r="1939" customFormat="false" ht="37.5" hidden="false" customHeight="true" outlineLevel="0" collapsed="false">
      <c r="A1939" s="24" t="s">
        <v>186</v>
      </c>
      <c r="B1939" s="32" t="s">
        <v>7826</v>
      </c>
      <c r="C1939" s="22"/>
      <c r="D1939" s="32"/>
      <c r="E1939" s="22" t="s">
        <v>3713</v>
      </c>
      <c r="F1939" s="22" t="s">
        <v>3378</v>
      </c>
      <c r="G1939" s="32"/>
      <c r="H1939" s="22" t="s">
        <v>7827</v>
      </c>
      <c r="I1939" s="22" t="s">
        <v>7784</v>
      </c>
    </row>
    <row r="1940" customFormat="false" ht="24.75" hidden="false" customHeight="true" outlineLevel="0" collapsed="false">
      <c r="A1940" s="24" t="s">
        <v>186</v>
      </c>
      <c r="B1940" s="32" t="s">
        <v>7828</v>
      </c>
      <c r="C1940" s="22"/>
      <c r="D1940" s="32"/>
      <c r="E1940" s="22" t="s">
        <v>3713</v>
      </c>
      <c r="F1940" s="22" t="s">
        <v>3378</v>
      </c>
      <c r="G1940" s="32"/>
      <c r="H1940" s="22" t="s">
        <v>7829</v>
      </c>
      <c r="I1940" s="22" t="s">
        <v>7784</v>
      </c>
    </row>
    <row r="1941" customFormat="false" ht="37.5" hidden="false" customHeight="true" outlineLevel="0" collapsed="false">
      <c r="A1941" s="24" t="s">
        <v>186</v>
      </c>
      <c r="B1941" s="32" t="s">
        <v>7830</v>
      </c>
      <c r="C1941" s="22"/>
      <c r="D1941" s="32"/>
      <c r="E1941" s="22" t="s">
        <v>3713</v>
      </c>
      <c r="F1941" s="22" t="s">
        <v>3378</v>
      </c>
      <c r="G1941" s="32"/>
      <c r="H1941" s="22" t="s">
        <v>7831</v>
      </c>
      <c r="I1941" s="22" t="s">
        <v>7784</v>
      </c>
    </row>
    <row r="1942" customFormat="false" ht="37.5" hidden="false" customHeight="true" outlineLevel="0" collapsed="false">
      <c r="A1942" s="24" t="s">
        <v>185</v>
      </c>
      <c r="B1942" s="32" t="s">
        <v>3733</v>
      </c>
      <c r="C1942" s="22"/>
      <c r="D1942" s="32"/>
      <c r="E1942" s="22" t="s">
        <v>7832</v>
      </c>
      <c r="F1942" s="22" t="s">
        <v>3378</v>
      </c>
      <c r="G1942" s="32"/>
      <c r="H1942" s="22" t="s">
        <v>7833</v>
      </c>
      <c r="I1942" s="22" t="s">
        <v>7784</v>
      </c>
    </row>
    <row r="1943" customFormat="false" ht="24.75" hidden="false" customHeight="true" outlineLevel="0" collapsed="false">
      <c r="A1943" s="24" t="s">
        <v>185</v>
      </c>
      <c r="B1943" s="32" t="s">
        <v>7834</v>
      </c>
      <c r="C1943" s="22"/>
      <c r="D1943" s="32"/>
      <c r="E1943" s="22" t="s">
        <v>3359</v>
      </c>
      <c r="F1943" s="22" t="s">
        <v>3378</v>
      </c>
      <c r="G1943" s="32"/>
      <c r="H1943" s="22" t="s">
        <v>7835</v>
      </c>
      <c r="I1943" s="22" t="s">
        <v>7784</v>
      </c>
    </row>
    <row r="1944" customFormat="false" ht="24.75" hidden="false" customHeight="true" outlineLevel="0" collapsed="false">
      <c r="A1944" s="24" t="s">
        <v>185</v>
      </c>
      <c r="B1944" s="32" t="s">
        <v>7836</v>
      </c>
      <c r="C1944" s="22"/>
      <c r="D1944" s="32"/>
      <c r="E1944" s="22" t="s">
        <v>3359</v>
      </c>
      <c r="F1944" s="22" t="s">
        <v>3378</v>
      </c>
      <c r="G1944" s="32"/>
      <c r="H1944" s="22" t="s">
        <v>7837</v>
      </c>
      <c r="I1944" s="22" t="s">
        <v>7784</v>
      </c>
    </row>
    <row r="1945" customFormat="false" ht="24.75" hidden="false" customHeight="true" outlineLevel="0" collapsed="false">
      <c r="A1945" s="24" t="s">
        <v>185</v>
      </c>
      <c r="B1945" s="32" t="s">
        <v>7838</v>
      </c>
      <c r="C1945" s="22"/>
      <c r="D1945" s="32"/>
      <c r="E1945" s="22" t="s">
        <v>3359</v>
      </c>
      <c r="F1945" s="22" t="s">
        <v>3378</v>
      </c>
      <c r="G1945" s="32"/>
      <c r="H1945" s="22" t="s">
        <v>7839</v>
      </c>
      <c r="I1945" s="22" t="s">
        <v>7784</v>
      </c>
    </row>
    <row r="1946" customFormat="false" ht="24.75" hidden="false" customHeight="true" outlineLevel="0" collapsed="false">
      <c r="A1946" s="24" t="s">
        <v>185</v>
      </c>
      <c r="B1946" s="32" t="s">
        <v>7840</v>
      </c>
      <c r="C1946" s="22"/>
      <c r="D1946" s="32"/>
      <c r="E1946" s="22" t="s">
        <v>3437</v>
      </c>
      <c r="F1946" s="22" t="s">
        <v>3378</v>
      </c>
      <c r="G1946" s="32"/>
      <c r="H1946" s="22" t="s">
        <v>7841</v>
      </c>
      <c r="I1946" s="22" t="s">
        <v>7784</v>
      </c>
    </row>
    <row r="1947" customFormat="false" ht="37.5" hidden="false" customHeight="true" outlineLevel="0" collapsed="false">
      <c r="A1947" s="24" t="s">
        <v>185</v>
      </c>
      <c r="B1947" s="32" t="s">
        <v>7842</v>
      </c>
      <c r="C1947" s="22"/>
      <c r="D1947" s="32"/>
      <c r="E1947" s="22" t="s">
        <v>3437</v>
      </c>
      <c r="F1947" s="22" t="s">
        <v>3378</v>
      </c>
      <c r="G1947" s="32"/>
      <c r="H1947" s="22" t="s">
        <v>7843</v>
      </c>
      <c r="I1947" s="22" t="s">
        <v>7784</v>
      </c>
    </row>
    <row r="1948" customFormat="false" ht="37.5" hidden="false" customHeight="true" outlineLevel="0" collapsed="false">
      <c r="A1948" s="24" t="s">
        <v>523</v>
      </c>
      <c r="B1948" s="32" t="s">
        <v>5129</v>
      </c>
      <c r="C1948" s="22"/>
      <c r="D1948" s="32"/>
      <c r="E1948" s="22" t="s">
        <v>7809</v>
      </c>
      <c r="F1948" s="22" t="s">
        <v>3378</v>
      </c>
      <c r="G1948" s="32"/>
      <c r="H1948" s="22" t="s">
        <v>7844</v>
      </c>
      <c r="I1948" s="22" t="s">
        <v>7784</v>
      </c>
    </row>
    <row r="1949" customFormat="false" ht="49.5" hidden="false" customHeight="true" outlineLevel="0" collapsed="false">
      <c r="A1949" s="24" t="s">
        <v>524</v>
      </c>
      <c r="B1949" s="32" t="s">
        <v>5129</v>
      </c>
      <c r="C1949" s="22"/>
      <c r="D1949" s="32"/>
      <c r="E1949" s="22" t="s">
        <v>7809</v>
      </c>
      <c r="F1949" s="22" t="s">
        <v>3378</v>
      </c>
      <c r="G1949" s="32"/>
      <c r="H1949" s="22" t="s">
        <v>7845</v>
      </c>
      <c r="I1949" s="22" t="s">
        <v>7784</v>
      </c>
    </row>
    <row r="1950" customFormat="false" ht="24.75" hidden="false" customHeight="true" outlineLevel="0" collapsed="false">
      <c r="A1950" s="24" t="s">
        <v>523</v>
      </c>
      <c r="B1950" s="32" t="s">
        <v>7781</v>
      </c>
      <c r="C1950" s="22"/>
      <c r="D1950" s="32"/>
      <c r="E1950" s="22" t="s">
        <v>7782</v>
      </c>
      <c r="F1950" s="22" t="s">
        <v>3378</v>
      </c>
      <c r="G1950" s="32"/>
      <c r="H1950" s="22" t="s">
        <v>7846</v>
      </c>
      <c r="I1950" s="22" t="s">
        <v>7784</v>
      </c>
    </row>
    <row r="1951" customFormat="false" ht="24.75" hidden="false" customHeight="true" outlineLevel="0" collapsed="false">
      <c r="A1951" s="24" t="s">
        <v>523</v>
      </c>
      <c r="B1951" s="32" t="s">
        <v>7847</v>
      </c>
      <c r="C1951" s="22"/>
      <c r="D1951" s="32"/>
      <c r="E1951" s="22" t="s">
        <v>7731</v>
      </c>
      <c r="F1951" s="22" t="s">
        <v>3378</v>
      </c>
      <c r="G1951" s="32"/>
      <c r="H1951" s="22" t="s">
        <v>7848</v>
      </c>
      <c r="I1951" s="22" t="s">
        <v>7784</v>
      </c>
    </row>
    <row r="1952" customFormat="false" ht="49.5" hidden="false" customHeight="true" outlineLevel="0" collapsed="false">
      <c r="A1952" s="24" t="s">
        <v>524</v>
      </c>
      <c r="B1952" s="32" t="s">
        <v>7849</v>
      </c>
      <c r="C1952" s="22"/>
      <c r="D1952" s="32"/>
      <c r="E1952" s="22" t="s">
        <v>7625</v>
      </c>
      <c r="F1952" s="22" t="s">
        <v>3378</v>
      </c>
      <c r="G1952" s="32"/>
      <c r="H1952" s="22" t="s">
        <v>7850</v>
      </c>
      <c r="I1952" s="22" t="s">
        <v>7784</v>
      </c>
    </row>
    <row r="1953" customFormat="false" ht="37.5" hidden="false" customHeight="true" outlineLevel="0" collapsed="false">
      <c r="A1953" s="24" t="s">
        <v>524</v>
      </c>
      <c r="B1953" s="32" t="s">
        <v>7851</v>
      </c>
      <c r="C1953" s="22"/>
      <c r="D1953" s="32"/>
      <c r="E1953" s="22" t="s">
        <v>7625</v>
      </c>
      <c r="F1953" s="22" t="s">
        <v>3378</v>
      </c>
      <c r="G1953" s="32"/>
      <c r="H1953" s="22" t="s">
        <v>7852</v>
      </c>
      <c r="I1953" s="22" t="s">
        <v>7784</v>
      </c>
    </row>
    <row r="1954" customFormat="false" ht="37.5" hidden="false" customHeight="true" outlineLevel="0" collapsed="false">
      <c r="A1954" s="24" t="s">
        <v>524</v>
      </c>
      <c r="B1954" s="32" t="s">
        <v>7853</v>
      </c>
      <c r="C1954" s="22"/>
      <c r="D1954" s="32"/>
      <c r="E1954" s="22" t="s">
        <v>7625</v>
      </c>
      <c r="F1954" s="22" t="s">
        <v>3378</v>
      </c>
      <c r="G1954" s="32"/>
      <c r="H1954" s="22" t="s">
        <v>7854</v>
      </c>
      <c r="I1954" s="22" t="s">
        <v>7784</v>
      </c>
    </row>
    <row r="1955" customFormat="false" ht="24.75" hidden="false" customHeight="true" outlineLevel="0" collapsed="false">
      <c r="A1955" s="24" t="s">
        <v>525</v>
      </c>
      <c r="B1955" s="32" t="s">
        <v>5129</v>
      </c>
      <c r="C1955" s="22"/>
      <c r="D1955" s="32"/>
      <c r="E1955" s="22" t="s">
        <v>7809</v>
      </c>
      <c r="F1955" s="22" t="s">
        <v>3378</v>
      </c>
      <c r="G1955" s="32"/>
      <c r="H1955" s="22" t="s">
        <v>7855</v>
      </c>
      <c r="I1955" s="22" t="s">
        <v>7784</v>
      </c>
    </row>
    <row r="1956" customFormat="false" ht="24.75" hidden="false" customHeight="true" outlineLevel="0" collapsed="false">
      <c r="A1956" s="24" t="s">
        <v>525</v>
      </c>
      <c r="B1956" s="32" t="s">
        <v>7781</v>
      </c>
      <c r="C1956" s="22"/>
      <c r="D1956" s="32"/>
      <c r="E1956" s="22" t="s">
        <v>7782</v>
      </c>
      <c r="F1956" s="22" t="s">
        <v>3378</v>
      </c>
      <c r="G1956" s="32"/>
      <c r="H1956" s="22" t="s">
        <v>7856</v>
      </c>
      <c r="I1956" s="22" t="s">
        <v>7784</v>
      </c>
    </row>
    <row r="1957" customFormat="false" ht="49.5" hidden="false" customHeight="true" outlineLevel="0" collapsed="false">
      <c r="A1957" s="24" t="s">
        <v>523</v>
      </c>
      <c r="B1957" s="32" t="s">
        <v>7857</v>
      </c>
      <c r="C1957" s="22"/>
      <c r="D1957" s="32"/>
      <c r="E1957" s="22" t="s">
        <v>7858</v>
      </c>
      <c r="F1957" s="22" t="s">
        <v>3378</v>
      </c>
      <c r="G1957" s="32"/>
      <c r="H1957" s="22" t="s">
        <v>7859</v>
      </c>
      <c r="I1957" s="22" t="s">
        <v>7784</v>
      </c>
    </row>
    <row r="1958" customFormat="false" ht="24.75" hidden="false" customHeight="true" outlineLevel="0" collapsed="false">
      <c r="A1958" s="24" t="s">
        <v>525</v>
      </c>
      <c r="B1958" s="32" t="s">
        <v>7860</v>
      </c>
      <c r="C1958" s="22"/>
      <c r="D1958" s="32"/>
      <c r="E1958" s="22" t="s">
        <v>7754</v>
      </c>
      <c r="F1958" s="22" t="s">
        <v>3378</v>
      </c>
      <c r="G1958" s="32"/>
      <c r="H1958" s="22" t="s">
        <v>7861</v>
      </c>
      <c r="I1958" s="22" t="s">
        <v>7784</v>
      </c>
    </row>
    <row r="1959" customFormat="false" ht="15" hidden="false" customHeight="true" outlineLevel="0" collapsed="false">
      <c r="A1959" s="24" t="s">
        <v>523</v>
      </c>
      <c r="B1959" s="32" t="s">
        <v>7860</v>
      </c>
      <c r="C1959" s="22"/>
      <c r="D1959" s="32"/>
      <c r="E1959" s="22" t="s">
        <v>7754</v>
      </c>
      <c r="F1959" s="22" t="s">
        <v>3378</v>
      </c>
      <c r="G1959" s="32"/>
      <c r="H1959" s="22" t="s">
        <v>7862</v>
      </c>
      <c r="I1959" s="22" t="s">
        <v>7784</v>
      </c>
    </row>
    <row r="1960" customFormat="false" ht="37.5" hidden="false" customHeight="true" outlineLevel="0" collapsed="false">
      <c r="A1960" s="24" t="s">
        <v>523</v>
      </c>
      <c r="B1960" s="32" t="s">
        <v>7863</v>
      </c>
      <c r="C1960" s="22"/>
      <c r="D1960" s="32"/>
      <c r="E1960" s="22" t="s">
        <v>3713</v>
      </c>
      <c r="F1960" s="22" t="s">
        <v>3378</v>
      </c>
      <c r="G1960" s="32"/>
      <c r="H1960" s="22" t="s">
        <v>7864</v>
      </c>
      <c r="I1960" s="22" t="s">
        <v>7784</v>
      </c>
    </row>
    <row r="1961" customFormat="false" ht="49.5" hidden="false" customHeight="true" outlineLevel="0" collapsed="false">
      <c r="A1961" s="24" t="s">
        <v>525</v>
      </c>
      <c r="B1961" s="32" t="s">
        <v>7865</v>
      </c>
      <c r="C1961" s="22"/>
      <c r="D1961" s="32"/>
      <c r="E1961" s="22" t="s">
        <v>3389</v>
      </c>
      <c r="F1961" s="22" t="s">
        <v>3378</v>
      </c>
      <c r="G1961" s="32"/>
      <c r="H1961" s="22" t="s">
        <v>7866</v>
      </c>
      <c r="I1961" s="22" t="s">
        <v>7784</v>
      </c>
    </row>
    <row r="1962" customFormat="false" ht="24.75" hidden="false" customHeight="true" outlineLevel="0" collapsed="false">
      <c r="A1962" s="24" t="s">
        <v>610</v>
      </c>
      <c r="B1962" s="32" t="s">
        <v>5129</v>
      </c>
      <c r="C1962" s="22"/>
      <c r="D1962" s="32"/>
      <c r="E1962" s="22" t="s">
        <v>7809</v>
      </c>
      <c r="F1962" s="22" t="s">
        <v>3378</v>
      </c>
      <c r="G1962" s="32"/>
      <c r="H1962" s="22" t="s">
        <v>7867</v>
      </c>
      <c r="I1962" s="22" t="s">
        <v>7784</v>
      </c>
    </row>
    <row r="1963" customFormat="false" ht="24.75" hidden="false" customHeight="true" outlineLevel="0" collapsed="false">
      <c r="A1963" s="24" t="s">
        <v>610</v>
      </c>
      <c r="B1963" s="32" t="s">
        <v>7860</v>
      </c>
      <c r="C1963" s="22"/>
      <c r="D1963" s="32"/>
      <c r="E1963" s="22" t="s">
        <v>7754</v>
      </c>
      <c r="F1963" s="22" t="s">
        <v>3378</v>
      </c>
      <c r="G1963" s="32"/>
      <c r="H1963" s="22" t="s">
        <v>7868</v>
      </c>
      <c r="I1963" s="22" t="s">
        <v>7784</v>
      </c>
    </row>
    <row r="1964" customFormat="false" ht="24.75" hidden="false" customHeight="true" outlineLevel="0" collapsed="false">
      <c r="A1964" s="24" t="s">
        <v>524</v>
      </c>
      <c r="B1964" s="32" t="s">
        <v>7860</v>
      </c>
      <c r="C1964" s="22"/>
      <c r="D1964" s="32"/>
      <c r="E1964" s="22" t="s">
        <v>7754</v>
      </c>
      <c r="F1964" s="22" t="s">
        <v>3378</v>
      </c>
      <c r="G1964" s="32"/>
      <c r="H1964" s="22" t="s">
        <v>7861</v>
      </c>
      <c r="I1964" s="22" t="s">
        <v>7784</v>
      </c>
    </row>
    <row r="1965" customFormat="false" ht="24.75" hidden="false" customHeight="true" outlineLevel="0" collapsed="false">
      <c r="A1965" s="24" t="s">
        <v>637</v>
      </c>
      <c r="B1965" s="32" t="s">
        <v>7158</v>
      </c>
      <c r="C1965" s="22"/>
      <c r="D1965" s="32"/>
      <c r="E1965" s="22" t="s">
        <v>7713</v>
      </c>
      <c r="F1965" s="22" t="s">
        <v>3378</v>
      </c>
      <c r="G1965" s="32"/>
      <c r="H1965" s="22" t="s">
        <v>7869</v>
      </c>
      <c r="I1965" s="22" t="s">
        <v>7784</v>
      </c>
    </row>
    <row r="1966" customFormat="false" ht="24.75" hidden="false" customHeight="true" outlineLevel="0" collapsed="false">
      <c r="A1966" s="24" t="s">
        <v>523</v>
      </c>
      <c r="B1966" s="32" t="s">
        <v>7349</v>
      </c>
      <c r="C1966" s="22"/>
      <c r="D1966" s="32"/>
      <c r="E1966" s="22" t="s">
        <v>3713</v>
      </c>
      <c r="F1966" s="22" t="s">
        <v>3378</v>
      </c>
      <c r="G1966" s="32"/>
      <c r="H1966" s="22" t="s">
        <v>7870</v>
      </c>
      <c r="I1966" s="22" t="s">
        <v>7784</v>
      </c>
    </row>
    <row r="1967" customFormat="false" ht="37.5" hidden="false" customHeight="true" outlineLevel="0" collapsed="false">
      <c r="A1967" s="24" t="s">
        <v>692</v>
      </c>
      <c r="B1967" s="32" t="s">
        <v>7871</v>
      </c>
      <c r="C1967" s="22"/>
      <c r="D1967" s="32"/>
      <c r="E1967" s="22" t="s">
        <v>7731</v>
      </c>
      <c r="F1967" s="22" t="s">
        <v>3378</v>
      </c>
      <c r="G1967" s="32"/>
      <c r="H1967" s="22" t="s">
        <v>7872</v>
      </c>
      <c r="I1967" s="22" t="s">
        <v>7784</v>
      </c>
    </row>
    <row r="1968" customFormat="false" ht="24.75" hidden="false" customHeight="true" outlineLevel="0" collapsed="false">
      <c r="A1968" s="24" t="s">
        <v>749</v>
      </c>
      <c r="B1968" s="32" t="s">
        <v>7873</v>
      </c>
      <c r="C1968" s="22"/>
      <c r="D1968" s="32"/>
      <c r="E1968" s="22" t="s">
        <v>3713</v>
      </c>
      <c r="F1968" s="22" t="s">
        <v>3378</v>
      </c>
      <c r="G1968" s="32"/>
      <c r="H1968" s="22" t="s">
        <v>7874</v>
      </c>
      <c r="I1968" s="22" t="s">
        <v>7784</v>
      </c>
    </row>
    <row r="1969" customFormat="false" ht="37.5" hidden="false" customHeight="true" outlineLevel="0" collapsed="false">
      <c r="A1969" s="24" t="s">
        <v>750</v>
      </c>
      <c r="B1969" s="32" t="s">
        <v>7875</v>
      </c>
      <c r="C1969" s="22"/>
      <c r="D1969" s="32"/>
      <c r="E1969" s="22" t="s">
        <v>3713</v>
      </c>
      <c r="F1969" s="22" t="s">
        <v>3378</v>
      </c>
      <c r="G1969" s="32"/>
      <c r="H1969" s="22" t="s">
        <v>7876</v>
      </c>
      <c r="I1969" s="22" t="s">
        <v>7784</v>
      </c>
    </row>
    <row r="1970" customFormat="false" ht="24.75" hidden="false" customHeight="true" outlineLevel="0" collapsed="false">
      <c r="A1970" s="24" t="s">
        <v>749</v>
      </c>
      <c r="B1970" s="32" t="s">
        <v>7877</v>
      </c>
      <c r="C1970" s="22"/>
      <c r="D1970" s="32"/>
      <c r="E1970" s="22" t="s">
        <v>3713</v>
      </c>
      <c r="F1970" s="22" t="s">
        <v>3378</v>
      </c>
      <c r="G1970" s="32"/>
      <c r="H1970" s="22" t="s">
        <v>7878</v>
      </c>
      <c r="I1970" s="22" t="s">
        <v>7784</v>
      </c>
    </row>
    <row r="1971" customFormat="false" ht="24.75" hidden="false" customHeight="true" outlineLevel="0" collapsed="false">
      <c r="A1971" s="24" t="s">
        <v>749</v>
      </c>
      <c r="B1971" s="32" t="s">
        <v>7879</v>
      </c>
      <c r="C1971" s="22"/>
      <c r="D1971" s="32"/>
      <c r="E1971" s="22" t="s">
        <v>3713</v>
      </c>
      <c r="F1971" s="22" t="s">
        <v>3378</v>
      </c>
      <c r="G1971" s="32"/>
      <c r="H1971" s="22" t="s">
        <v>7880</v>
      </c>
      <c r="I1971" s="22" t="s">
        <v>7784</v>
      </c>
    </row>
    <row r="1972" customFormat="false" ht="24.75" hidden="false" customHeight="true" outlineLevel="0" collapsed="false">
      <c r="A1972" s="24" t="s">
        <v>778</v>
      </c>
      <c r="B1972" s="32" t="s">
        <v>7881</v>
      </c>
      <c r="C1972" s="22"/>
      <c r="D1972" s="32"/>
      <c r="E1972" s="22" t="s">
        <v>3713</v>
      </c>
      <c r="F1972" s="22" t="s">
        <v>3378</v>
      </c>
      <c r="G1972" s="32"/>
      <c r="H1972" s="22" t="s">
        <v>7882</v>
      </c>
      <c r="I1972" s="22" t="s">
        <v>7784</v>
      </c>
    </row>
    <row r="1973" customFormat="false" ht="24.75" hidden="false" customHeight="true" outlineLevel="0" collapsed="false">
      <c r="A1973" s="24" t="s">
        <v>892</v>
      </c>
      <c r="B1973" s="32" t="s">
        <v>7781</v>
      </c>
      <c r="C1973" s="22"/>
      <c r="D1973" s="32"/>
      <c r="E1973" s="22" t="s">
        <v>7782</v>
      </c>
      <c r="F1973" s="22" t="s">
        <v>3378</v>
      </c>
      <c r="G1973" s="32"/>
      <c r="H1973" s="22" t="s">
        <v>7883</v>
      </c>
      <c r="I1973" s="22" t="s">
        <v>7784</v>
      </c>
    </row>
    <row r="1974" customFormat="false" ht="49.5" hidden="false" customHeight="true" outlineLevel="0" collapsed="false">
      <c r="A1974" s="24" t="s">
        <v>892</v>
      </c>
      <c r="B1974" s="32" t="s">
        <v>7884</v>
      </c>
      <c r="C1974" s="22"/>
      <c r="D1974" s="32"/>
      <c r="E1974" s="22" t="s">
        <v>3713</v>
      </c>
      <c r="F1974" s="22" t="s">
        <v>3378</v>
      </c>
      <c r="G1974" s="32"/>
      <c r="H1974" s="22" t="s">
        <v>7885</v>
      </c>
      <c r="I1974" s="22" t="s">
        <v>7784</v>
      </c>
    </row>
    <row r="1975" customFormat="false" ht="24.75" hidden="false" customHeight="true" outlineLevel="0" collapsed="false">
      <c r="A1975" s="24" t="s">
        <v>808</v>
      </c>
      <c r="B1975" s="32" t="s">
        <v>7886</v>
      </c>
      <c r="C1975" s="22"/>
      <c r="D1975" s="32"/>
      <c r="E1975" s="22" t="s">
        <v>3713</v>
      </c>
      <c r="F1975" s="22" t="s">
        <v>3378</v>
      </c>
      <c r="G1975" s="32"/>
      <c r="H1975" s="22" t="s">
        <v>7887</v>
      </c>
      <c r="I1975" s="22" t="s">
        <v>7784</v>
      </c>
    </row>
    <row r="1976" customFormat="false" ht="37.5" hidden="false" customHeight="true" outlineLevel="0" collapsed="false">
      <c r="A1976" s="24" t="s">
        <v>893</v>
      </c>
      <c r="B1976" s="32" t="s">
        <v>7888</v>
      </c>
      <c r="C1976" s="22"/>
      <c r="D1976" s="32"/>
      <c r="E1976" s="22" t="s">
        <v>3713</v>
      </c>
      <c r="F1976" s="22" t="s">
        <v>3378</v>
      </c>
      <c r="G1976" s="32"/>
      <c r="H1976" s="22" t="s">
        <v>7889</v>
      </c>
      <c r="I1976" s="22" t="s">
        <v>7784</v>
      </c>
    </row>
    <row r="1977" customFormat="false" ht="24.75" hidden="false" customHeight="true" outlineLevel="0" collapsed="false">
      <c r="A1977" s="24" t="s">
        <v>893</v>
      </c>
      <c r="B1977" s="32" t="s">
        <v>7781</v>
      </c>
      <c r="C1977" s="22"/>
      <c r="D1977" s="32"/>
      <c r="E1977" s="22" t="s">
        <v>7782</v>
      </c>
      <c r="F1977" s="22" t="s">
        <v>3378</v>
      </c>
      <c r="G1977" s="32"/>
      <c r="H1977" s="22" t="s">
        <v>7890</v>
      </c>
      <c r="I1977" s="22" t="s">
        <v>7784</v>
      </c>
    </row>
    <row r="1978" customFormat="false" ht="24.75" hidden="false" customHeight="true" outlineLevel="0" collapsed="false">
      <c r="A1978" s="24" t="s">
        <v>893</v>
      </c>
      <c r="B1978" s="32" t="s">
        <v>7891</v>
      </c>
      <c r="C1978" s="22"/>
      <c r="D1978" s="32"/>
      <c r="E1978" s="22" t="s">
        <v>3713</v>
      </c>
      <c r="F1978" s="22" t="s">
        <v>3378</v>
      </c>
      <c r="G1978" s="32"/>
      <c r="H1978" s="22" t="s">
        <v>7892</v>
      </c>
      <c r="I1978" s="22" t="s">
        <v>7784</v>
      </c>
    </row>
    <row r="1979" customFormat="false" ht="24.75" hidden="false" customHeight="true" outlineLevel="0" collapsed="false">
      <c r="A1979" s="24" t="s">
        <v>893</v>
      </c>
      <c r="B1979" s="32" t="s">
        <v>2129</v>
      </c>
      <c r="C1979" s="22"/>
      <c r="D1979" s="32"/>
      <c r="E1979" s="22" t="s">
        <v>7731</v>
      </c>
      <c r="F1979" s="22" t="s">
        <v>3378</v>
      </c>
      <c r="G1979" s="32"/>
      <c r="H1979" s="22" t="s">
        <v>7893</v>
      </c>
      <c r="I1979" s="22" t="s">
        <v>7784</v>
      </c>
    </row>
    <row r="1980" customFormat="false" ht="37.5" hidden="false" customHeight="true" outlineLevel="0" collapsed="false">
      <c r="A1980" s="24" t="s">
        <v>893</v>
      </c>
      <c r="B1980" s="32" t="s">
        <v>7894</v>
      </c>
      <c r="C1980" s="22"/>
      <c r="D1980" s="32"/>
      <c r="E1980" s="22" t="s">
        <v>3713</v>
      </c>
      <c r="F1980" s="22" t="s">
        <v>3378</v>
      </c>
      <c r="G1980" s="32"/>
      <c r="H1980" s="22" t="s">
        <v>7895</v>
      </c>
      <c r="I1980" s="22" t="s">
        <v>7784</v>
      </c>
    </row>
    <row r="1981" customFormat="false" ht="24.75" hidden="false" customHeight="true" outlineLevel="0" collapsed="false">
      <c r="A1981" s="24" t="s">
        <v>893</v>
      </c>
      <c r="B1981" s="32" t="s">
        <v>7896</v>
      </c>
      <c r="C1981" s="22"/>
      <c r="D1981" s="32"/>
      <c r="E1981" s="22" t="s">
        <v>3713</v>
      </c>
      <c r="F1981" s="22" t="s">
        <v>3378</v>
      </c>
      <c r="G1981" s="32"/>
      <c r="H1981" s="22" t="s">
        <v>7897</v>
      </c>
      <c r="I1981" s="22" t="s">
        <v>7784</v>
      </c>
    </row>
    <row r="1982" customFormat="false" ht="24.75" hidden="false" customHeight="true" outlineLevel="0" collapsed="false">
      <c r="A1982" s="24" t="s">
        <v>893</v>
      </c>
      <c r="B1982" s="32" t="s">
        <v>7898</v>
      </c>
      <c r="C1982" s="22"/>
      <c r="D1982" s="32"/>
      <c r="E1982" s="22" t="s">
        <v>3713</v>
      </c>
      <c r="F1982" s="22" t="s">
        <v>3378</v>
      </c>
      <c r="G1982" s="32"/>
      <c r="H1982" s="22" t="s">
        <v>7899</v>
      </c>
      <c r="I1982" s="22" t="s">
        <v>7784</v>
      </c>
    </row>
    <row r="1983" customFormat="false" ht="37.5" hidden="false" customHeight="true" outlineLevel="0" collapsed="false">
      <c r="A1983" s="24" t="s">
        <v>893</v>
      </c>
      <c r="B1983" s="32" t="s">
        <v>7900</v>
      </c>
      <c r="C1983" s="22"/>
      <c r="D1983" s="32"/>
      <c r="E1983" s="22" t="s">
        <v>3713</v>
      </c>
      <c r="F1983" s="22" t="s">
        <v>3378</v>
      </c>
      <c r="G1983" s="32"/>
      <c r="H1983" s="22" t="s">
        <v>7901</v>
      </c>
      <c r="I1983" s="22" t="s">
        <v>7784</v>
      </c>
    </row>
    <row r="1984" customFormat="false" ht="37.5" hidden="false" customHeight="true" outlineLevel="0" collapsed="false">
      <c r="A1984" s="24" t="s">
        <v>893</v>
      </c>
      <c r="B1984" s="32" t="s">
        <v>7902</v>
      </c>
      <c r="C1984" s="22"/>
      <c r="D1984" s="32"/>
      <c r="E1984" s="22" t="s">
        <v>3713</v>
      </c>
      <c r="F1984" s="22" t="s">
        <v>3378</v>
      </c>
      <c r="G1984" s="32"/>
      <c r="H1984" s="22" t="s">
        <v>7903</v>
      </c>
      <c r="I1984" s="22" t="s">
        <v>7784</v>
      </c>
    </row>
    <row r="1985" customFormat="false" ht="37.5" hidden="false" customHeight="true" outlineLevel="0" collapsed="false">
      <c r="A1985" s="24" t="s">
        <v>893</v>
      </c>
      <c r="B1985" s="32" t="s">
        <v>7904</v>
      </c>
      <c r="C1985" s="22"/>
      <c r="D1985" s="32"/>
      <c r="E1985" s="22" t="s">
        <v>3713</v>
      </c>
      <c r="F1985" s="22" t="s">
        <v>3378</v>
      </c>
      <c r="G1985" s="32"/>
      <c r="H1985" s="22" t="s">
        <v>7905</v>
      </c>
      <c r="I1985" s="22" t="s">
        <v>7784</v>
      </c>
    </row>
    <row r="1986" customFormat="false" ht="24.75" hidden="false" customHeight="true" outlineLevel="0" collapsed="false">
      <c r="A1986" s="24" t="s">
        <v>893</v>
      </c>
      <c r="B1986" s="32" t="s">
        <v>7906</v>
      </c>
      <c r="C1986" s="22"/>
      <c r="D1986" s="32"/>
      <c r="E1986" s="22" t="s">
        <v>3713</v>
      </c>
      <c r="F1986" s="22" t="s">
        <v>3378</v>
      </c>
      <c r="G1986" s="32"/>
      <c r="H1986" s="22" t="s">
        <v>7907</v>
      </c>
      <c r="I1986" s="22" t="s">
        <v>7784</v>
      </c>
    </row>
    <row r="1987" customFormat="false" ht="37.5" hidden="false" customHeight="true" outlineLevel="0" collapsed="false">
      <c r="A1987" s="24" t="s">
        <v>185</v>
      </c>
      <c r="B1987" s="32" t="s">
        <v>3561</v>
      </c>
      <c r="C1987" s="22"/>
      <c r="D1987" s="32"/>
      <c r="E1987" s="22" t="s">
        <v>7908</v>
      </c>
      <c r="F1987" s="22" t="s">
        <v>3378</v>
      </c>
      <c r="G1987" s="32"/>
      <c r="H1987" s="22" t="s">
        <v>7909</v>
      </c>
      <c r="I1987" s="22" t="s">
        <v>7784</v>
      </c>
    </row>
    <row r="1988" customFormat="false" ht="15" hidden="false" customHeight="true" outlineLevel="0" collapsed="false">
      <c r="A1988" s="24" t="s">
        <v>185</v>
      </c>
      <c r="B1988" s="32" t="s">
        <v>7910</v>
      </c>
      <c r="C1988" s="22"/>
      <c r="D1988" s="32"/>
      <c r="E1988" s="22" t="s">
        <v>3713</v>
      </c>
      <c r="F1988" s="22" t="s">
        <v>3378</v>
      </c>
      <c r="G1988" s="32"/>
      <c r="H1988" s="22" t="s">
        <v>7911</v>
      </c>
      <c r="I1988" s="22" t="s">
        <v>7784</v>
      </c>
    </row>
    <row r="1989" customFormat="false" ht="15" hidden="false" customHeight="true" outlineLevel="0" collapsed="false">
      <c r="A1989" s="24" t="s">
        <v>185</v>
      </c>
      <c r="B1989" s="32" t="s">
        <v>7912</v>
      </c>
      <c r="C1989" s="22"/>
      <c r="D1989" s="32"/>
      <c r="E1989" s="22" t="s">
        <v>3713</v>
      </c>
      <c r="F1989" s="22" t="s">
        <v>3378</v>
      </c>
      <c r="G1989" s="32"/>
      <c r="H1989" s="22" t="s">
        <v>7913</v>
      </c>
      <c r="I1989" s="22" t="s">
        <v>7784</v>
      </c>
    </row>
    <row r="1990" customFormat="false" ht="24.75" hidden="false" customHeight="true" outlineLevel="0" collapsed="false">
      <c r="A1990" s="24" t="s">
        <v>185</v>
      </c>
      <c r="B1990" s="32" t="s">
        <v>7914</v>
      </c>
      <c r="C1990" s="22"/>
      <c r="D1990" s="32"/>
      <c r="E1990" s="22" t="s">
        <v>3713</v>
      </c>
      <c r="F1990" s="22" t="s">
        <v>3378</v>
      </c>
      <c r="G1990" s="32"/>
      <c r="H1990" s="22" t="s">
        <v>7915</v>
      </c>
      <c r="I1990" s="22" t="s">
        <v>7784</v>
      </c>
    </row>
    <row r="1991" customFormat="false" ht="24.75" hidden="false" customHeight="true" outlineLevel="0" collapsed="false">
      <c r="A1991" s="24" t="s">
        <v>525</v>
      </c>
      <c r="B1991" s="32" t="s">
        <v>7916</v>
      </c>
      <c r="C1991" s="22"/>
      <c r="D1991" s="32"/>
      <c r="E1991" s="22" t="s">
        <v>3713</v>
      </c>
      <c r="F1991" s="22" t="s">
        <v>3378</v>
      </c>
      <c r="G1991" s="32"/>
      <c r="H1991" s="22" t="s">
        <v>7917</v>
      </c>
      <c r="I1991" s="22" t="s">
        <v>7784</v>
      </c>
    </row>
    <row r="1992" customFormat="false" ht="24.75" hidden="false" customHeight="true" outlineLevel="0" collapsed="false">
      <c r="A1992" s="24" t="s">
        <v>523</v>
      </c>
      <c r="B1992" s="32" t="s">
        <v>7918</v>
      </c>
      <c r="C1992" s="22"/>
      <c r="D1992" s="32"/>
      <c r="E1992" s="22" t="s">
        <v>3713</v>
      </c>
      <c r="F1992" s="22" t="s">
        <v>3378</v>
      </c>
      <c r="G1992" s="32"/>
      <c r="H1992" s="22" t="s">
        <v>7919</v>
      </c>
      <c r="I1992" s="22" t="s">
        <v>7784</v>
      </c>
    </row>
    <row r="1993" customFormat="false" ht="24.75" hidden="false" customHeight="true" outlineLevel="0" collapsed="false">
      <c r="A1993" s="24" t="s">
        <v>523</v>
      </c>
      <c r="B1993" s="32" t="s">
        <v>7920</v>
      </c>
      <c r="C1993" s="22"/>
      <c r="D1993" s="32"/>
      <c r="E1993" s="22" t="s">
        <v>7782</v>
      </c>
      <c r="F1993" s="22" t="s">
        <v>3378</v>
      </c>
      <c r="G1993" s="32"/>
      <c r="H1993" s="22" t="s">
        <v>7846</v>
      </c>
      <c r="I1993" s="22" t="s">
        <v>7784</v>
      </c>
    </row>
    <row r="1994" customFormat="false" ht="24.75" hidden="false" customHeight="true" outlineLevel="0" collapsed="false">
      <c r="A1994" s="24" t="s">
        <v>185</v>
      </c>
      <c r="B1994" s="32" t="s">
        <v>7921</v>
      </c>
      <c r="C1994" s="22"/>
      <c r="D1994" s="32"/>
      <c r="E1994" s="22" t="s">
        <v>3389</v>
      </c>
      <c r="F1994" s="22" t="s">
        <v>3378</v>
      </c>
      <c r="G1994" s="32"/>
      <c r="H1994" s="22" t="s">
        <v>7922</v>
      </c>
      <c r="I1994" s="22" t="s">
        <v>7784</v>
      </c>
    </row>
    <row r="1995" customFormat="false" ht="24.75" hidden="false" customHeight="true" outlineLevel="0" collapsed="false">
      <c r="A1995" s="24" t="s">
        <v>185</v>
      </c>
      <c r="B1995" s="32" t="s">
        <v>7644</v>
      </c>
      <c r="C1995" s="22"/>
      <c r="D1995" s="32"/>
      <c r="E1995" s="22" t="s">
        <v>7646</v>
      </c>
      <c r="F1995" s="22" t="s">
        <v>3378</v>
      </c>
      <c r="G1995" s="32"/>
      <c r="H1995" s="22" t="s">
        <v>7923</v>
      </c>
      <c r="I1995" s="22" t="s">
        <v>7784</v>
      </c>
    </row>
    <row r="1996" customFormat="false" ht="37.5" hidden="false" customHeight="true" outlineLevel="0" collapsed="false">
      <c r="A1996" s="24" t="s">
        <v>692</v>
      </c>
      <c r="B1996" s="32" t="s">
        <v>7924</v>
      </c>
      <c r="C1996" s="22"/>
      <c r="D1996" s="32"/>
      <c r="E1996" s="22" t="s">
        <v>3713</v>
      </c>
      <c r="F1996" s="22" t="s">
        <v>3378</v>
      </c>
      <c r="G1996" s="32"/>
      <c r="H1996" s="22" t="s">
        <v>7925</v>
      </c>
      <c r="I1996" s="22" t="s">
        <v>7784</v>
      </c>
    </row>
    <row r="1997" customFormat="false" ht="15" hidden="false" customHeight="true" outlineLevel="0" collapsed="false">
      <c r="A1997" s="24" t="s">
        <v>1138</v>
      </c>
      <c r="B1997" s="32" t="s">
        <v>7926</v>
      </c>
      <c r="C1997" s="22"/>
      <c r="D1997" s="32"/>
      <c r="E1997" s="22" t="s">
        <v>3713</v>
      </c>
      <c r="F1997" s="22" t="s">
        <v>3378</v>
      </c>
      <c r="G1997" s="32"/>
      <c r="H1997" s="22" t="s">
        <v>7927</v>
      </c>
      <c r="I1997" s="22" t="s">
        <v>7784</v>
      </c>
    </row>
    <row r="1998" customFormat="false" ht="24.75" hidden="false" customHeight="true" outlineLevel="0" collapsed="false">
      <c r="A1998" s="24" t="s">
        <v>692</v>
      </c>
      <c r="B1998" s="32" t="s">
        <v>7928</v>
      </c>
      <c r="C1998" s="22"/>
      <c r="D1998" s="32"/>
      <c r="E1998" s="22" t="s">
        <v>3713</v>
      </c>
      <c r="F1998" s="22" t="s">
        <v>3378</v>
      </c>
      <c r="G1998" s="32"/>
      <c r="H1998" s="22" t="s">
        <v>7929</v>
      </c>
      <c r="I1998" s="22" t="s">
        <v>7784</v>
      </c>
    </row>
    <row r="1999" customFormat="false" ht="37.5" hidden="false" customHeight="true" outlineLevel="0" collapsed="false">
      <c r="A1999" s="24" t="s">
        <v>749</v>
      </c>
      <c r="B1999" s="32" t="s">
        <v>7930</v>
      </c>
      <c r="C1999" s="22"/>
      <c r="D1999" s="32"/>
      <c r="E1999" s="22" t="s">
        <v>3713</v>
      </c>
      <c r="F1999" s="22" t="s">
        <v>3378</v>
      </c>
      <c r="G1999" s="32"/>
      <c r="H1999" s="22" t="s">
        <v>7931</v>
      </c>
      <c r="I1999" s="22" t="s">
        <v>7784</v>
      </c>
    </row>
    <row r="2000" customFormat="false" ht="24.75" hidden="false" customHeight="true" outlineLevel="0" collapsed="false">
      <c r="A2000" s="24" t="s">
        <v>185</v>
      </c>
      <c r="B2000" s="32" t="s">
        <v>7932</v>
      </c>
      <c r="C2000" s="22"/>
      <c r="D2000" s="32"/>
      <c r="E2000" s="22" t="s">
        <v>7731</v>
      </c>
      <c r="F2000" s="22" t="s">
        <v>3378</v>
      </c>
      <c r="G2000" s="32"/>
      <c r="H2000" s="22" t="s">
        <v>7933</v>
      </c>
      <c r="I2000" s="22" t="s">
        <v>7784</v>
      </c>
    </row>
    <row r="2001" customFormat="false" ht="24.75" hidden="false" customHeight="true" outlineLevel="0" collapsed="false">
      <c r="A2001" s="24" t="s">
        <v>1165</v>
      </c>
      <c r="B2001" s="32" t="s">
        <v>7934</v>
      </c>
      <c r="C2001" s="22"/>
      <c r="D2001" s="32"/>
      <c r="E2001" s="22" t="s">
        <v>7935</v>
      </c>
      <c r="F2001" s="22" t="s">
        <v>3378</v>
      </c>
      <c r="G2001" s="32"/>
      <c r="H2001" s="22" t="s">
        <v>7936</v>
      </c>
      <c r="I2001" s="22" t="s">
        <v>7784</v>
      </c>
    </row>
    <row r="2002" customFormat="false" ht="37.5" hidden="false" customHeight="true" outlineLevel="0" collapsed="false">
      <c r="A2002" s="24" t="s">
        <v>185</v>
      </c>
      <c r="B2002" s="32" t="s">
        <v>7937</v>
      </c>
      <c r="C2002" s="22"/>
      <c r="D2002" s="32"/>
      <c r="E2002" s="22" t="s">
        <v>3713</v>
      </c>
      <c r="F2002" s="22" t="s">
        <v>3378</v>
      </c>
      <c r="G2002" s="32"/>
      <c r="H2002" s="22" t="s">
        <v>7938</v>
      </c>
      <c r="I2002" s="22" t="s">
        <v>7784</v>
      </c>
    </row>
    <row r="2003" customFormat="false" ht="15" hidden="false" customHeight="true" outlineLevel="0" collapsed="false">
      <c r="A2003" s="24" t="s">
        <v>1165</v>
      </c>
      <c r="B2003" s="32" t="s">
        <v>7939</v>
      </c>
      <c r="C2003" s="22"/>
      <c r="D2003" s="32"/>
      <c r="E2003" s="22" t="s">
        <v>3713</v>
      </c>
      <c r="F2003" s="22" t="s">
        <v>3378</v>
      </c>
      <c r="G2003" s="32"/>
      <c r="H2003" s="22" t="s">
        <v>7940</v>
      </c>
      <c r="I2003" s="22" t="s">
        <v>7784</v>
      </c>
    </row>
    <row r="2004" customFormat="false" ht="24.75" hidden="false" customHeight="true" outlineLevel="0" collapsed="false">
      <c r="A2004" s="24" t="s">
        <v>692</v>
      </c>
      <c r="B2004" s="32" t="s">
        <v>3853</v>
      </c>
      <c r="C2004" s="22"/>
      <c r="D2004" s="32"/>
      <c r="E2004" s="22" t="s">
        <v>7935</v>
      </c>
      <c r="F2004" s="22" t="s">
        <v>3378</v>
      </c>
      <c r="G2004" s="32"/>
      <c r="H2004" s="22" t="s">
        <v>7941</v>
      </c>
      <c r="I2004" s="22" t="s">
        <v>7784</v>
      </c>
    </row>
    <row r="2005" customFormat="false" ht="37.5" hidden="false" customHeight="true" outlineLevel="0" collapsed="false">
      <c r="A2005" s="24" t="s">
        <v>692</v>
      </c>
      <c r="B2005" s="32" t="s">
        <v>7185</v>
      </c>
      <c r="C2005" s="22"/>
      <c r="D2005" s="32"/>
      <c r="E2005" s="22" t="s">
        <v>7942</v>
      </c>
      <c r="F2005" s="22" t="s">
        <v>3378</v>
      </c>
      <c r="G2005" s="32"/>
      <c r="H2005" s="22" t="s">
        <v>7943</v>
      </c>
      <c r="I2005" s="22" t="s">
        <v>7784</v>
      </c>
    </row>
    <row r="2006" customFormat="false" ht="24.75" hidden="false" customHeight="true" outlineLevel="0" collapsed="false">
      <c r="A2006" s="24" t="s">
        <v>692</v>
      </c>
      <c r="B2006" s="32" t="s">
        <v>7932</v>
      </c>
      <c r="C2006" s="22"/>
      <c r="D2006" s="32"/>
      <c r="E2006" s="22" t="s">
        <v>3359</v>
      </c>
      <c r="F2006" s="22" t="s">
        <v>3378</v>
      </c>
      <c r="G2006" s="32"/>
      <c r="H2006" s="22" t="s">
        <v>7944</v>
      </c>
      <c r="I2006" s="22" t="s">
        <v>7784</v>
      </c>
    </row>
    <row r="2007" customFormat="false" ht="37.5" hidden="false" customHeight="true" outlineLevel="0" collapsed="false">
      <c r="A2007" s="24" t="s">
        <v>692</v>
      </c>
      <c r="B2007" s="32" t="s">
        <v>7945</v>
      </c>
      <c r="C2007" s="22"/>
      <c r="D2007" s="32"/>
      <c r="E2007" s="22" t="s">
        <v>3713</v>
      </c>
      <c r="F2007" s="22" t="s">
        <v>3378</v>
      </c>
      <c r="G2007" s="32"/>
      <c r="H2007" s="22" t="s">
        <v>7946</v>
      </c>
      <c r="I2007" s="22" t="s">
        <v>7784</v>
      </c>
    </row>
    <row r="2008" customFormat="false" ht="24.75" hidden="false" customHeight="true" outlineLevel="0" collapsed="false">
      <c r="A2008" s="24" t="s">
        <v>692</v>
      </c>
      <c r="B2008" s="32" t="s">
        <v>7947</v>
      </c>
      <c r="C2008" s="22"/>
      <c r="D2008" s="32"/>
      <c r="E2008" s="22" t="s">
        <v>3713</v>
      </c>
      <c r="F2008" s="22" t="s">
        <v>3378</v>
      </c>
      <c r="G2008" s="32"/>
      <c r="H2008" s="22" t="s">
        <v>7948</v>
      </c>
      <c r="I2008" s="22" t="s">
        <v>7784</v>
      </c>
    </row>
    <row r="2009" customFormat="false" ht="37.5" hidden="false" customHeight="true" outlineLevel="0" collapsed="false">
      <c r="A2009" s="24" t="s">
        <v>692</v>
      </c>
      <c r="B2009" s="32" t="s">
        <v>7949</v>
      </c>
      <c r="C2009" s="22"/>
      <c r="D2009" s="32"/>
      <c r="E2009" s="22" t="s">
        <v>3713</v>
      </c>
      <c r="F2009" s="22" t="s">
        <v>3378</v>
      </c>
      <c r="G2009" s="32"/>
      <c r="H2009" s="22" t="s">
        <v>7950</v>
      </c>
      <c r="I2009" s="22" t="s">
        <v>7784</v>
      </c>
    </row>
    <row r="2010" customFormat="false" ht="24.75" hidden="false" customHeight="true" outlineLevel="0" collapsed="false">
      <c r="A2010" s="24" t="s">
        <v>185</v>
      </c>
      <c r="B2010" s="32" t="s">
        <v>1535</v>
      </c>
      <c r="C2010" s="22"/>
      <c r="D2010" s="32"/>
      <c r="E2010" s="22" t="s">
        <v>7779</v>
      </c>
      <c r="F2010" s="22" t="s">
        <v>3378</v>
      </c>
      <c r="G2010" s="32"/>
      <c r="H2010" s="22" t="s">
        <v>7951</v>
      </c>
      <c r="I2010" s="22" t="s">
        <v>7784</v>
      </c>
    </row>
    <row r="2011" customFormat="false" ht="24.75" hidden="false" customHeight="true" outlineLevel="0" collapsed="false">
      <c r="A2011" s="24" t="s">
        <v>185</v>
      </c>
      <c r="B2011" s="32" t="s">
        <v>7952</v>
      </c>
      <c r="C2011" s="22"/>
      <c r="D2011" s="32"/>
      <c r="E2011" s="22" t="s">
        <v>3713</v>
      </c>
      <c r="F2011" s="22" t="s">
        <v>3378</v>
      </c>
      <c r="G2011" s="32"/>
      <c r="H2011" s="22" t="s">
        <v>7953</v>
      </c>
      <c r="I2011" s="22" t="s">
        <v>7784</v>
      </c>
    </row>
    <row r="2012" customFormat="false" ht="24.75" hidden="false" customHeight="true" outlineLevel="0" collapsed="false">
      <c r="A2012" s="24" t="s">
        <v>1274</v>
      </c>
      <c r="B2012" s="32" t="s">
        <v>7954</v>
      </c>
      <c r="C2012" s="22"/>
      <c r="D2012" s="32"/>
      <c r="E2012" s="22" t="s">
        <v>3713</v>
      </c>
      <c r="F2012" s="22" t="s">
        <v>3378</v>
      </c>
      <c r="G2012" s="32"/>
      <c r="H2012" s="22" t="s">
        <v>7955</v>
      </c>
      <c r="I2012" s="22" t="s">
        <v>7784</v>
      </c>
    </row>
    <row r="2013" customFormat="false" ht="24.75" hidden="false" customHeight="true" outlineLevel="0" collapsed="false">
      <c r="A2013" s="24" t="s">
        <v>523</v>
      </c>
      <c r="B2013" s="32" t="s">
        <v>7956</v>
      </c>
      <c r="C2013" s="22"/>
      <c r="D2013" s="32"/>
      <c r="E2013" s="22" t="s">
        <v>3713</v>
      </c>
      <c r="F2013" s="22" t="s">
        <v>3378</v>
      </c>
      <c r="G2013" s="32"/>
      <c r="H2013" s="22" t="s">
        <v>7957</v>
      </c>
      <c r="I2013" s="22" t="s">
        <v>7784</v>
      </c>
    </row>
    <row r="2014" customFormat="false" ht="37.5" hidden="false" customHeight="true" outlineLevel="0" collapsed="false">
      <c r="A2014" s="24" t="s">
        <v>1275</v>
      </c>
      <c r="B2014" s="32" t="s">
        <v>7958</v>
      </c>
      <c r="C2014" s="22"/>
      <c r="D2014" s="32"/>
      <c r="E2014" s="22" t="s">
        <v>7625</v>
      </c>
      <c r="F2014" s="22" t="s">
        <v>3378</v>
      </c>
      <c r="G2014" s="32"/>
      <c r="H2014" s="22" t="s">
        <v>7959</v>
      </c>
      <c r="I2014" s="22" t="s">
        <v>7784</v>
      </c>
    </row>
    <row r="2015" customFormat="false" ht="37.5" hidden="false" customHeight="true" outlineLevel="0" collapsed="false">
      <c r="A2015" s="24" t="s">
        <v>185</v>
      </c>
      <c r="B2015" s="32" t="s">
        <v>7960</v>
      </c>
      <c r="C2015" s="22"/>
      <c r="D2015" s="32"/>
      <c r="E2015" s="22" t="s">
        <v>3713</v>
      </c>
      <c r="F2015" s="22" t="s">
        <v>3378</v>
      </c>
      <c r="G2015" s="32"/>
      <c r="H2015" s="22" t="s">
        <v>7961</v>
      </c>
      <c r="I2015" s="22" t="s">
        <v>7784</v>
      </c>
    </row>
    <row r="2016" customFormat="false" ht="37.5" hidden="false" customHeight="true" outlineLevel="0" collapsed="false">
      <c r="A2016" s="24" t="s">
        <v>1306</v>
      </c>
      <c r="B2016" s="32" t="s">
        <v>7962</v>
      </c>
      <c r="C2016" s="22"/>
      <c r="D2016" s="32"/>
      <c r="E2016" s="22" t="s">
        <v>3389</v>
      </c>
      <c r="F2016" s="22" t="s">
        <v>3378</v>
      </c>
      <c r="G2016" s="32"/>
      <c r="H2016" s="22" t="s">
        <v>7963</v>
      </c>
      <c r="I2016" s="22" t="s">
        <v>7784</v>
      </c>
    </row>
    <row r="2017" customFormat="false" ht="37.5" hidden="false" customHeight="true" outlineLevel="0" collapsed="false">
      <c r="A2017" s="24" t="s">
        <v>692</v>
      </c>
      <c r="B2017" s="32" t="s">
        <v>7964</v>
      </c>
      <c r="C2017" s="22"/>
      <c r="D2017" s="32"/>
      <c r="E2017" s="22" t="s">
        <v>3359</v>
      </c>
      <c r="F2017" s="22" t="s">
        <v>3378</v>
      </c>
      <c r="G2017" s="32"/>
      <c r="H2017" s="22" t="s">
        <v>7965</v>
      </c>
      <c r="I2017" s="22" t="s">
        <v>7784</v>
      </c>
    </row>
    <row r="2018" customFormat="false" ht="24.75" hidden="false" customHeight="true" outlineLevel="0" collapsed="false">
      <c r="A2018" s="24" t="s">
        <v>692</v>
      </c>
      <c r="B2018" s="32" t="s">
        <v>7966</v>
      </c>
      <c r="C2018" s="22"/>
      <c r="D2018" s="32"/>
      <c r="E2018" s="22" t="s">
        <v>3713</v>
      </c>
      <c r="F2018" s="22" t="s">
        <v>3378</v>
      </c>
      <c r="G2018" s="32"/>
      <c r="H2018" s="22" t="s">
        <v>7967</v>
      </c>
      <c r="I2018" s="22" t="s">
        <v>7784</v>
      </c>
    </row>
    <row r="2019" customFormat="false" ht="24.75" hidden="false" customHeight="true" outlineLevel="0" collapsed="false">
      <c r="A2019" s="24" t="s">
        <v>1307</v>
      </c>
      <c r="B2019" s="32" t="s">
        <v>6665</v>
      </c>
      <c r="C2019" s="22"/>
      <c r="D2019" s="32"/>
      <c r="E2019" s="22" t="s">
        <v>7968</v>
      </c>
      <c r="F2019" s="22" t="s">
        <v>3378</v>
      </c>
      <c r="G2019" s="32"/>
      <c r="H2019" s="22" t="s">
        <v>7969</v>
      </c>
      <c r="I2019" s="22" t="s">
        <v>7784</v>
      </c>
    </row>
    <row r="2020" customFormat="false" ht="24.75" hidden="false" customHeight="true" outlineLevel="0" collapsed="false">
      <c r="A2020" s="24" t="s">
        <v>692</v>
      </c>
      <c r="B2020" s="32" t="s">
        <v>7970</v>
      </c>
      <c r="C2020" s="22"/>
      <c r="D2020" s="32"/>
      <c r="E2020" s="22" t="s">
        <v>3389</v>
      </c>
      <c r="F2020" s="22" t="s">
        <v>3378</v>
      </c>
      <c r="G2020" s="32"/>
      <c r="H2020" s="22" t="s">
        <v>7971</v>
      </c>
      <c r="I2020" s="22" t="s">
        <v>7784</v>
      </c>
    </row>
    <row r="2021" customFormat="false" ht="37.5" hidden="false" customHeight="true" outlineLevel="0" collapsed="false">
      <c r="A2021" s="24" t="s">
        <v>1477</v>
      </c>
      <c r="B2021" s="32" t="s">
        <v>7972</v>
      </c>
      <c r="C2021" s="22"/>
      <c r="D2021" s="32"/>
      <c r="E2021" s="22" t="s">
        <v>3713</v>
      </c>
      <c r="F2021" s="22" t="s">
        <v>3378</v>
      </c>
      <c r="G2021" s="32"/>
      <c r="H2021" s="22" t="s">
        <v>7973</v>
      </c>
      <c r="I2021" s="22" t="s">
        <v>7784</v>
      </c>
    </row>
    <row r="2022" customFormat="false" ht="24.75" hidden="false" customHeight="true" outlineLevel="0" collapsed="false">
      <c r="A2022" s="24" t="s">
        <v>1563</v>
      </c>
      <c r="B2022" s="32" t="s">
        <v>7974</v>
      </c>
      <c r="C2022" s="22"/>
      <c r="D2022" s="32"/>
      <c r="E2022" s="22" t="s">
        <v>7975</v>
      </c>
      <c r="F2022" s="22" t="s">
        <v>3378</v>
      </c>
      <c r="G2022" s="32"/>
      <c r="H2022" s="22" t="s">
        <v>7976</v>
      </c>
      <c r="I2022" s="22" t="s">
        <v>7784</v>
      </c>
    </row>
    <row r="2023" customFormat="false" ht="24.75" hidden="false" customHeight="true" outlineLevel="0" collapsed="false">
      <c r="A2023" s="24" t="s">
        <v>1563</v>
      </c>
      <c r="B2023" s="32" t="s">
        <v>7977</v>
      </c>
      <c r="C2023" s="22"/>
      <c r="D2023" s="32"/>
      <c r="E2023" s="22" t="s">
        <v>3713</v>
      </c>
      <c r="F2023" s="22" t="s">
        <v>3378</v>
      </c>
      <c r="G2023" s="32"/>
      <c r="H2023" s="22" t="s">
        <v>7978</v>
      </c>
      <c r="I2023" s="22" t="s">
        <v>7784</v>
      </c>
    </row>
    <row r="2024" customFormat="false" ht="24.75" hidden="false" customHeight="true" outlineLevel="0" collapsed="false">
      <c r="A2024" s="24" t="s">
        <v>692</v>
      </c>
      <c r="B2024" s="32" t="s">
        <v>7979</v>
      </c>
      <c r="C2024" s="22"/>
      <c r="D2024" s="32"/>
      <c r="E2024" s="22" t="s">
        <v>3713</v>
      </c>
      <c r="F2024" s="22" t="s">
        <v>3378</v>
      </c>
      <c r="G2024" s="32"/>
      <c r="H2024" s="22" t="s">
        <v>7980</v>
      </c>
      <c r="I2024" s="22" t="s">
        <v>7784</v>
      </c>
    </row>
    <row r="2025" customFormat="false" ht="24.75" hidden="false" customHeight="true" outlineLevel="0" collapsed="false">
      <c r="A2025" s="24" t="s">
        <v>692</v>
      </c>
      <c r="B2025" s="32" t="s">
        <v>7981</v>
      </c>
      <c r="C2025" s="22"/>
      <c r="D2025" s="32"/>
      <c r="E2025" s="22" t="s">
        <v>3713</v>
      </c>
      <c r="F2025" s="22" t="s">
        <v>3378</v>
      </c>
      <c r="G2025" s="32"/>
      <c r="H2025" s="22" t="s">
        <v>7982</v>
      </c>
      <c r="I2025" s="22" t="s">
        <v>7784</v>
      </c>
    </row>
    <row r="2026" customFormat="false" ht="37.5" hidden="false" customHeight="true" outlineLevel="0" collapsed="false">
      <c r="A2026" s="24" t="s">
        <v>1306</v>
      </c>
      <c r="B2026" s="32" t="s">
        <v>7983</v>
      </c>
      <c r="C2026" s="22"/>
      <c r="D2026" s="32"/>
      <c r="E2026" s="22" t="s">
        <v>3713</v>
      </c>
      <c r="F2026" s="22" t="s">
        <v>3378</v>
      </c>
      <c r="G2026" s="32"/>
      <c r="H2026" s="22" t="s">
        <v>7984</v>
      </c>
      <c r="I2026" s="22" t="s">
        <v>7784</v>
      </c>
    </row>
    <row r="2027" customFormat="false" ht="24.75" hidden="false" customHeight="true" outlineLevel="0" collapsed="false">
      <c r="A2027" s="24" t="s">
        <v>692</v>
      </c>
      <c r="B2027" s="32" t="s">
        <v>7542</v>
      </c>
      <c r="C2027" s="22"/>
      <c r="D2027" s="32"/>
      <c r="E2027" s="22" t="s">
        <v>3359</v>
      </c>
      <c r="F2027" s="22" t="s">
        <v>3378</v>
      </c>
      <c r="G2027" s="32"/>
      <c r="H2027" s="22" t="s">
        <v>7985</v>
      </c>
      <c r="I2027" s="22" t="s">
        <v>7784</v>
      </c>
    </row>
    <row r="2028" customFormat="false" ht="24.75" hidden="false" customHeight="true" outlineLevel="0" collapsed="false">
      <c r="A2028" s="24" t="s">
        <v>692</v>
      </c>
      <c r="B2028" s="32" t="s">
        <v>7098</v>
      </c>
      <c r="C2028" s="22"/>
      <c r="D2028" s="32"/>
      <c r="E2028" s="22" t="s">
        <v>3713</v>
      </c>
      <c r="F2028" s="22" t="s">
        <v>3378</v>
      </c>
      <c r="G2028" s="32"/>
      <c r="H2028" s="22" t="s">
        <v>7986</v>
      </c>
      <c r="I2028" s="22" t="s">
        <v>7784</v>
      </c>
    </row>
    <row r="2029" customFormat="false" ht="24.75" hidden="false" customHeight="true" outlineLevel="0" collapsed="false">
      <c r="A2029" s="24" t="s">
        <v>1651</v>
      </c>
      <c r="B2029" s="32" t="s">
        <v>7987</v>
      </c>
      <c r="C2029" s="22"/>
      <c r="D2029" s="32"/>
      <c r="E2029" s="22" t="s">
        <v>3713</v>
      </c>
      <c r="F2029" s="22" t="s">
        <v>3378</v>
      </c>
      <c r="G2029" s="32"/>
      <c r="H2029" s="22" t="s">
        <v>7988</v>
      </c>
      <c r="I2029" s="22" t="s">
        <v>7784</v>
      </c>
    </row>
    <row r="2030" customFormat="false" ht="37.5" hidden="false" customHeight="true" outlineLevel="0" collapsed="false">
      <c r="A2030" s="24" t="s">
        <v>1651</v>
      </c>
      <c r="B2030" s="32" t="s">
        <v>7989</v>
      </c>
      <c r="C2030" s="22"/>
      <c r="D2030" s="32"/>
      <c r="E2030" s="22" t="s">
        <v>3713</v>
      </c>
      <c r="F2030" s="22" t="s">
        <v>3378</v>
      </c>
      <c r="G2030" s="32"/>
      <c r="H2030" s="22" t="s">
        <v>7990</v>
      </c>
      <c r="I2030" s="22" t="s">
        <v>7784</v>
      </c>
    </row>
    <row r="2031" customFormat="false" ht="24.75" hidden="false" customHeight="true" outlineLevel="0" collapsed="false">
      <c r="A2031" s="24" t="s">
        <v>692</v>
      </c>
      <c r="B2031" s="32" t="s">
        <v>7991</v>
      </c>
      <c r="C2031" s="22"/>
      <c r="D2031" s="32"/>
      <c r="E2031" s="22" t="s">
        <v>3713</v>
      </c>
      <c r="F2031" s="22" t="s">
        <v>3378</v>
      </c>
      <c r="G2031" s="32"/>
      <c r="H2031" s="22" t="s">
        <v>7992</v>
      </c>
      <c r="I2031" s="22" t="s">
        <v>7784</v>
      </c>
    </row>
    <row r="2032" customFormat="false" ht="37.5" hidden="false" customHeight="true" outlineLevel="0" collapsed="false">
      <c r="A2032" s="24" t="s">
        <v>1680</v>
      </c>
      <c r="B2032" s="32" t="s">
        <v>7993</v>
      </c>
      <c r="C2032" s="22"/>
      <c r="D2032" s="32"/>
      <c r="E2032" s="22" t="s">
        <v>3359</v>
      </c>
      <c r="F2032" s="22" t="s">
        <v>3378</v>
      </c>
      <c r="G2032" s="32"/>
      <c r="H2032" s="22" t="s">
        <v>7994</v>
      </c>
      <c r="I2032" s="22" t="s">
        <v>7784</v>
      </c>
    </row>
    <row r="2033" customFormat="false" ht="15" hidden="false" customHeight="true" outlineLevel="0" collapsed="false">
      <c r="A2033" s="24" t="s">
        <v>1680</v>
      </c>
      <c r="B2033" s="32" t="s">
        <v>7995</v>
      </c>
      <c r="C2033" s="22"/>
      <c r="D2033" s="32"/>
      <c r="E2033" s="22" t="s">
        <v>3713</v>
      </c>
      <c r="F2033" s="22" t="s">
        <v>3378</v>
      </c>
      <c r="G2033" s="32"/>
      <c r="H2033" s="22" t="s">
        <v>7996</v>
      </c>
      <c r="I2033" s="22" t="s">
        <v>7784</v>
      </c>
    </row>
    <row r="2034" customFormat="false" ht="24.75" hidden="false" customHeight="true" outlineLevel="0" collapsed="false">
      <c r="A2034" s="24" t="s">
        <v>692</v>
      </c>
      <c r="B2034" s="32" t="s">
        <v>7997</v>
      </c>
      <c r="C2034" s="22"/>
      <c r="D2034" s="32"/>
      <c r="E2034" s="22" t="s">
        <v>3713</v>
      </c>
      <c r="F2034" s="22" t="s">
        <v>3378</v>
      </c>
      <c r="G2034" s="32"/>
      <c r="H2034" s="22" t="s">
        <v>7998</v>
      </c>
      <c r="I2034" s="22" t="s">
        <v>7784</v>
      </c>
    </row>
    <row r="2035" customFormat="false" ht="24.75" hidden="false" customHeight="true" outlineLevel="0" collapsed="false">
      <c r="A2035" s="24" t="s">
        <v>893</v>
      </c>
      <c r="B2035" s="32" t="s">
        <v>5718</v>
      </c>
      <c r="C2035" s="22"/>
      <c r="D2035" s="32"/>
      <c r="E2035" s="22" t="s">
        <v>3359</v>
      </c>
      <c r="F2035" s="22" t="s">
        <v>3378</v>
      </c>
      <c r="G2035" s="32"/>
      <c r="H2035" s="22" t="s">
        <v>7999</v>
      </c>
      <c r="I2035" s="22" t="s">
        <v>7784</v>
      </c>
    </row>
    <row r="2036" customFormat="false" ht="24.75" hidden="false" customHeight="true" outlineLevel="0" collapsed="false">
      <c r="A2036" s="24" t="s">
        <v>270</v>
      </c>
      <c r="B2036" s="32" t="s">
        <v>5718</v>
      </c>
      <c r="C2036" s="22"/>
      <c r="D2036" s="32"/>
      <c r="E2036" s="22" t="s">
        <v>3359</v>
      </c>
      <c r="F2036" s="22" t="s">
        <v>3378</v>
      </c>
      <c r="G2036" s="32"/>
      <c r="H2036" s="22" t="s">
        <v>8000</v>
      </c>
      <c r="I2036" s="22" t="s">
        <v>7784</v>
      </c>
    </row>
    <row r="2037" customFormat="false" ht="24.75" hidden="false" customHeight="true" outlineLevel="0" collapsed="false">
      <c r="A2037" s="24" t="s">
        <v>270</v>
      </c>
      <c r="B2037" s="32" t="s">
        <v>7781</v>
      </c>
      <c r="C2037" s="22"/>
      <c r="D2037" s="32"/>
      <c r="E2037" s="22" t="s">
        <v>7782</v>
      </c>
      <c r="F2037" s="22" t="s">
        <v>3378</v>
      </c>
      <c r="G2037" s="32"/>
      <c r="H2037" s="22" t="s">
        <v>8001</v>
      </c>
      <c r="I2037" s="22" t="s">
        <v>7784</v>
      </c>
    </row>
    <row r="2038" customFormat="false" ht="24.75" hidden="false" customHeight="true" outlineLevel="0" collapsed="false">
      <c r="A2038" s="24" t="s">
        <v>893</v>
      </c>
      <c r="B2038" s="32" t="s">
        <v>7569</v>
      </c>
      <c r="C2038" s="22"/>
      <c r="D2038" s="32"/>
      <c r="E2038" s="22" t="s">
        <v>3713</v>
      </c>
      <c r="F2038" s="22" t="s">
        <v>3378</v>
      </c>
      <c r="G2038" s="32"/>
      <c r="H2038" s="22" t="s">
        <v>8002</v>
      </c>
      <c r="I2038" s="22" t="s">
        <v>7784</v>
      </c>
    </row>
    <row r="2039" customFormat="false" ht="24.75" hidden="false" customHeight="true" outlineLevel="0" collapsed="false">
      <c r="A2039" s="24" t="s">
        <v>270</v>
      </c>
      <c r="B2039" s="32" t="s">
        <v>8003</v>
      </c>
      <c r="C2039" s="22"/>
      <c r="D2039" s="32"/>
      <c r="E2039" s="22" t="s">
        <v>3713</v>
      </c>
      <c r="F2039" s="22" t="s">
        <v>3378</v>
      </c>
      <c r="G2039" s="32"/>
      <c r="H2039" s="22" t="s">
        <v>8004</v>
      </c>
      <c r="I2039" s="22" t="s">
        <v>7784</v>
      </c>
    </row>
    <row r="2040" customFormat="false" ht="15" hidden="false" customHeight="true" outlineLevel="0" collapsed="false">
      <c r="A2040" s="24" t="s">
        <v>1307</v>
      </c>
      <c r="B2040" s="32" t="s">
        <v>8005</v>
      </c>
      <c r="C2040" s="22"/>
      <c r="D2040" s="32"/>
      <c r="E2040" s="22" t="s">
        <v>3359</v>
      </c>
      <c r="F2040" s="22" t="s">
        <v>3378</v>
      </c>
      <c r="G2040" s="32"/>
      <c r="H2040" s="22" t="s">
        <v>8006</v>
      </c>
      <c r="I2040" s="22" t="s">
        <v>7784</v>
      </c>
    </row>
    <row r="2041" customFormat="false" ht="15" hidden="false" customHeight="true" outlineLevel="0" collapsed="false">
      <c r="A2041" s="24" t="s">
        <v>1848</v>
      </c>
      <c r="B2041" s="32" t="s">
        <v>8007</v>
      </c>
      <c r="C2041" s="22"/>
      <c r="D2041" s="32"/>
      <c r="E2041" s="22" t="s">
        <v>7754</v>
      </c>
      <c r="F2041" s="22" t="s">
        <v>3378</v>
      </c>
      <c r="G2041" s="32"/>
      <c r="H2041" s="22" t="s">
        <v>8008</v>
      </c>
      <c r="I2041" s="22" t="s">
        <v>7784</v>
      </c>
    </row>
    <row r="2042" customFormat="false" ht="49.5" hidden="false" customHeight="true" outlineLevel="0" collapsed="false">
      <c r="A2042" s="24" t="s">
        <v>637</v>
      </c>
      <c r="B2042" s="32" t="s">
        <v>8009</v>
      </c>
      <c r="C2042" s="22"/>
      <c r="D2042" s="32"/>
      <c r="E2042" s="22" t="s">
        <v>3713</v>
      </c>
      <c r="F2042" s="22" t="s">
        <v>3378</v>
      </c>
      <c r="G2042" s="32"/>
      <c r="H2042" s="22" t="s">
        <v>8010</v>
      </c>
      <c r="I2042" s="22" t="s">
        <v>7784</v>
      </c>
    </row>
    <row r="2043" customFormat="false" ht="24.75" hidden="false" customHeight="true" outlineLevel="0" collapsed="false">
      <c r="A2043" s="24" t="s">
        <v>2041</v>
      </c>
      <c r="B2043" s="32" t="s">
        <v>8011</v>
      </c>
      <c r="C2043" s="22"/>
      <c r="D2043" s="32"/>
      <c r="E2043" s="22" t="s">
        <v>3359</v>
      </c>
      <c r="F2043" s="22" t="s">
        <v>3378</v>
      </c>
      <c r="G2043" s="32"/>
      <c r="H2043" s="22" t="s">
        <v>8012</v>
      </c>
      <c r="I2043" s="22" t="s">
        <v>7784</v>
      </c>
    </row>
    <row r="2044" customFormat="false" ht="15" hidden="false" customHeight="true" outlineLevel="0" collapsed="false">
      <c r="A2044" s="24" t="s">
        <v>2040</v>
      </c>
      <c r="B2044" s="32" t="s">
        <v>8013</v>
      </c>
      <c r="C2044" s="22"/>
      <c r="D2044" s="32"/>
      <c r="E2044" s="22" t="s">
        <v>3437</v>
      </c>
      <c r="F2044" s="22" t="s">
        <v>3378</v>
      </c>
      <c r="G2044" s="32"/>
      <c r="H2044" s="22" t="s">
        <v>8014</v>
      </c>
      <c r="I2044" s="22" t="s">
        <v>7784</v>
      </c>
    </row>
    <row r="2045" customFormat="false" ht="37.5" hidden="false" customHeight="true" outlineLevel="0" collapsed="false">
      <c r="A2045" s="24" t="s">
        <v>2099</v>
      </c>
      <c r="B2045" s="32" t="s">
        <v>7932</v>
      </c>
      <c r="C2045" s="22"/>
      <c r="D2045" s="32"/>
      <c r="E2045" s="22" t="s">
        <v>7975</v>
      </c>
      <c r="F2045" s="22" t="s">
        <v>3378</v>
      </c>
      <c r="G2045" s="32"/>
      <c r="H2045" s="22" t="s">
        <v>8015</v>
      </c>
      <c r="I2045" s="22" t="s">
        <v>7784</v>
      </c>
    </row>
    <row r="2046" customFormat="false" ht="24.75" hidden="false" customHeight="true" outlineLevel="0" collapsed="false">
      <c r="A2046" s="24" t="s">
        <v>692</v>
      </c>
      <c r="B2046" s="32" t="s">
        <v>8016</v>
      </c>
      <c r="C2046" s="22"/>
      <c r="D2046" s="32"/>
      <c r="E2046" s="22" t="s">
        <v>3713</v>
      </c>
      <c r="F2046" s="22" t="s">
        <v>3378</v>
      </c>
      <c r="G2046" s="32"/>
      <c r="H2046" s="22" t="s">
        <v>8017</v>
      </c>
      <c r="I2046" s="22" t="s">
        <v>7784</v>
      </c>
    </row>
    <row r="2047" customFormat="false" ht="24.75" hidden="false" customHeight="true" outlineLevel="0" collapsed="false">
      <c r="A2047" s="24" t="s">
        <v>692</v>
      </c>
      <c r="B2047" s="32" t="s">
        <v>8018</v>
      </c>
      <c r="C2047" s="22"/>
      <c r="D2047" s="32"/>
      <c r="E2047" s="22" t="s">
        <v>3713</v>
      </c>
      <c r="F2047" s="22" t="s">
        <v>3378</v>
      </c>
      <c r="G2047" s="32"/>
      <c r="H2047" s="22" t="s">
        <v>8019</v>
      </c>
      <c r="I2047" s="22" t="s">
        <v>7784</v>
      </c>
    </row>
    <row r="2048" customFormat="false" ht="24.75" hidden="false" customHeight="true" outlineLevel="0" collapsed="false">
      <c r="A2048" s="24" t="s">
        <v>692</v>
      </c>
      <c r="B2048" s="32" t="s">
        <v>8020</v>
      </c>
      <c r="C2048" s="22"/>
      <c r="D2048" s="32"/>
      <c r="E2048" s="22" t="s">
        <v>3713</v>
      </c>
      <c r="F2048" s="22" t="s">
        <v>3378</v>
      </c>
      <c r="G2048" s="32"/>
      <c r="H2048" s="22" t="s">
        <v>8021</v>
      </c>
      <c r="I2048" s="22" t="s">
        <v>7784</v>
      </c>
    </row>
    <row r="2049" customFormat="false" ht="24.75" hidden="false" customHeight="true" outlineLevel="0" collapsed="false">
      <c r="A2049" s="24" t="s">
        <v>692</v>
      </c>
      <c r="B2049" s="32" t="s">
        <v>8022</v>
      </c>
      <c r="C2049" s="22"/>
      <c r="D2049" s="32"/>
      <c r="E2049" s="22" t="s">
        <v>3713</v>
      </c>
      <c r="F2049" s="22" t="s">
        <v>3378</v>
      </c>
      <c r="G2049" s="32"/>
      <c r="H2049" s="22" t="s">
        <v>8023</v>
      </c>
      <c r="I2049" s="22" t="s">
        <v>7784</v>
      </c>
    </row>
    <row r="2050" customFormat="false" ht="24.75" hidden="false" customHeight="true" outlineLevel="0" collapsed="false">
      <c r="A2050" s="24" t="s">
        <v>692</v>
      </c>
      <c r="B2050" s="32" t="s">
        <v>8024</v>
      </c>
      <c r="C2050" s="22"/>
      <c r="D2050" s="32"/>
      <c r="E2050" s="22" t="s">
        <v>3713</v>
      </c>
      <c r="F2050" s="22" t="s">
        <v>3378</v>
      </c>
      <c r="G2050" s="32"/>
      <c r="H2050" s="22" t="s">
        <v>8025</v>
      </c>
      <c r="I2050" s="22" t="s">
        <v>7784</v>
      </c>
    </row>
    <row r="2051" customFormat="false" ht="24.75" hidden="false" customHeight="true" outlineLevel="0" collapsed="false">
      <c r="A2051" s="24" t="s">
        <v>692</v>
      </c>
      <c r="B2051" s="32" t="s">
        <v>8026</v>
      </c>
      <c r="C2051" s="22"/>
      <c r="D2051" s="32"/>
      <c r="E2051" s="22" t="s">
        <v>3713</v>
      </c>
      <c r="F2051" s="22" t="s">
        <v>3378</v>
      </c>
      <c r="G2051" s="32"/>
      <c r="H2051" s="22" t="s">
        <v>8027</v>
      </c>
      <c r="I2051" s="22" t="s">
        <v>7784</v>
      </c>
    </row>
    <row r="2052" customFormat="false" ht="24.75" hidden="false" customHeight="true" outlineLevel="0" collapsed="false">
      <c r="A2052" s="24" t="s">
        <v>893</v>
      </c>
      <c r="B2052" s="32" t="s">
        <v>8028</v>
      </c>
      <c r="C2052" s="22"/>
      <c r="D2052" s="32"/>
      <c r="E2052" s="22" t="s">
        <v>3713</v>
      </c>
      <c r="F2052" s="22" t="s">
        <v>3378</v>
      </c>
      <c r="G2052" s="32"/>
      <c r="H2052" s="22" t="s">
        <v>8029</v>
      </c>
      <c r="I2052" s="22" t="s">
        <v>7784</v>
      </c>
    </row>
    <row r="2053" customFormat="false" ht="24.75" hidden="false" customHeight="true" outlineLevel="0" collapsed="false">
      <c r="A2053" s="24" t="s">
        <v>893</v>
      </c>
      <c r="B2053" s="32" t="s">
        <v>8030</v>
      </c>
      <c r="C2053" s="22"/>
      <c r="D2053" s="32"/>
      <c r="E2053" s="22" t="s">
        <v>3713</v>
      </c>
      <c r="F2053" s="22" t="s">
        <v>3378</v>
      </c>
      <c r="G2053" s="32"/>
      <c r="H2053" s="22" t="s">
        <v>8031</v>
      </c>
      <c r="I2053" s="22" t="s">
        <v>7784</v>
      </c>
    </row>
    <row r="2054" customFormat="false" ht="24.75" hidden="false" customHeight="true" outlineLevel="0" collapsed="false">
      <c r="A2054" s="24" t="s">
        <v>637</v>
      </c>
      <c r="B2054" s="32" t="s">
        <v>7314</v>
      </c>
      <c r="C2054" s="22"/>
      <c r="D2054" s="32"/>
      <c r="E2054" s="22" t="s">
        <v>3359</v>
      </c>
      <c r="F2054" s="22" t="s">
        <v>3378</v>
      </c>
      <c r="G2054" s="32"/>
      <c r="H2054" s="22" t="s">
        <v>8032</v>
      </c>
      <c r="I2054" s="22" t="s">
        <v>7784</v>
      </c>
    </row>
    <row r="2055" customFormat="false" ht="15" hidden="false" customHeight="true" outlineLevel="0" collapsed="false">
      <c r="A2055" s="24" t="s">
        <v>2041</v>
      </c>
      <c r="B2055" s="32" t="s">
        <v>7098</v>
      </c>
      <c r="C2055" s="22"/>
      <c r="D2055" s="32"/>
      <c r="E2055" s="22" t="s">
        <v>3713</v>
      </c>
      <c r="F2055" s="22" t="s">
        <v>3378</v>
      </c>
      <c r="G2055" s="32"/>
      <c r="H2055" s="22" t="s">
        <v>8033</v>
      </c>
      <c r="I2055" s="22" t="s">
        <v>7784</v>
      </c>
    </row>
    <row r="2056" customFormat="false" ht="24.75" hidden="false" customHeight="true" outlineLevel="0" collapsed="false">
      <c r="A2056" s="24" t="s">
        <v>637</v>
      </c>
      <c r="B2056" s="32" t="s">
        <v>7098</v>
      </c>
      <c r="C2056" s="22"/>
      <c r="D2056" s="32"/>
      <c r="E2056" s="22" t="s">
        <v>3713</v>
      </c>
      <c r="F2056" s="22" t="s">
        <v>3378</v>
      </c>
      <c r="G2056" s="32"/>
      <c r="H2056" s="22" t="s">
        <v>8034</v>
      </c>
      <c r="I2056" s="22" t="s">
        <v>7784</v>
      </c>
    </row>
    <row r="2057" customFormat="false" ht="24.75" hidden="false" customHeight="true" outlineLevel="0" collapsed="false">
      <c r="A2057" s="24" t="s">
        <v>637</v>
      </c>
      <c r="B2057" s="32" t="s">
        <v>6675</v>
      </c>
      <c r="C2057" s="22"/>
      <c r="D2057" s="32"/>
      <c r="E2057" s="22" t="s">
        <v>3713</v>
      </c>
      <c r="F2057" s="22" t="s">
        <v>3378</v>
      </c>
      <c r="G2057" s="32"/>
      <c r="H2057" s="22" t="s">
        <v>8035</v>
      </c>
      <c r="I2057" s="22" t="s">
        <v>7784</v>
      </c>
    </row>
    <row r="2058" customFormat="false" ht="15" hidden="false" customHeight="true" outlineLevel="0" collapsed="false">
      <c r="A2058" s="24" t="s">
        <v>2041</v>
      </c>
      <c r="B2058" s="32" t="s">
        <v>8036</v>
      </c>
      <c r="C2058" s="22"/>
      <c r="D2058" s="32"/>
      <c r="E2058" s="22" t="s">
        <v>3713</v>
      </c>
      <c r="F2058" s="22" t="s">
        <v>3378</v>
      </c>
      <c r="G2058" s="32"/>
      <c r="H2058" s="22" t="s">
        <v>8037</v>
      </c>
      <c r="I2058" s="22" t="s">
        <v>7784</v>
      </c>
    </row>
    <row r="2059" customFormat="false" ht="15" hidden="false" customHeight="true" outlineLevel="0" collapsed="false">
      <c r="A2059" s="24" t="s">
        <v>692</v>
      </c>
      <c r="B2059" s="32" t="s">
        <v>8038</v>
      </c>
      <c r="C2059" s="22"/>
      <c r="D2059" s="32"/>
      <c r="E2059" s="22" t="s">
        <v>3713</v>
      </c>
      <c r="F2059" s="22" t="s">
        <v>3378</v>
      </c>
      <c r="G2059" s="32"/>
      <c r="H2059" s="22" t="s">
        <v>8039</v>
      </c>
      <c r="I2059" s="22" t="s">
        <v>7784</v>
      </c>
    </row>
    <row r="2060" customFormat="false" ht="24.75" hidden="false" customHeight="true" outlineLevel="0" collapsed="false">
      <c r="A2060" s="24" t="s">
        <v>692</v>
      </c>
      <c r="B2060" s="32" t="s">
        <v>8040</v>
      </c>
      <c r="C2060" s="22"/>
      <c r="D2060" s="32"/>
      <c r="E2060" s="22" t="s">
        <v>3713</v>
      </c>
      <c r="F2060" s="22" t="s">
        <v>3378</v>
      </c>
      <c r="G2060" s="32"/>
      <c r="H2060" s="22" t="s">
        <v>8041</v>
      </c>
      <c r="I2060" s="22" t="s">
        <v>7784</v>
      </c>
    </row>
    <row r="2061" customFormat="false" ht="37.5" hidden="false" customHeight="true" outlineLevel="0" collapsed="false">
      <c r="A2061" s="24" t="s">
        <v>524</v>
      </c>
      <c r="B2061" s="32" t="s">
        <v>8042</v>
      </c>
      <c r="C2061" s="22"/>
      <c r="D2061" s="32"/>
      <c r="E2061" s="22" t="s">
        <v>3713</v>
      </c>
      <c r="F2061" s="22" t="s">
        <v>3378</v>
      </c>
      <c r="G2061" s="32"/>
      <c r="H2061" s="22" t="s">
        <v>8043</v>
      </c>
      <c r="I2061" s="22" t="s">
        <v>7784</v>
      </c>
    </row>
    <row r="2062" customFormat="false" ht="24.75" hidden="false" customHeight="true" outlineLevel="0" collapsed="false">
      <c r="A2062" s="24" t="s">
        <v>2041</v>
      </c>
      <c r="B2062" s="32" t="s">
        <v>8044</v>
      </c>
      <c r="C2062" s="22"/>
      <c r="D2062" s="32"/>
      <c r="E2062" s="22" t="s">
        <v>8045</v>
      </c>
      <c r="F2062" s="22" t="s">
        <v>3378</v>
      </c>
      <c r="G2062" s="32"/>
      <c r="H2062" s="22" t="s">
        <v>8046</v>
      </c>
      <c r="I2062" s="22" t="s">
        <v>7784</v>
      </c>
    </row>
    <row r="2063" customFormat="false" ht="24.75" hidden="false" customHeight="true" outlineLevel="0" collapsed="false">
      <c r="A2063" s="24" t="s">
        <v>2041</v>
      </c>
      <c r="B2063" s="32" t="s">
        <v>8047</v>
      </c>
      <c r="C2063" s="22"/>
      <c r="D2063" s="32"/>
      <c r="E2063" s="22" t="s">
        <v>7975</v>
      </c>
      <c r="F2063" s="22" t="s">
        <v>3378</v>
      </c>
      <c r="G2063" s="32"/>
      <c r="H2063" s="22" t="s">
        <v>8048</v>
      </c>
      <c r="I2063" s="22" t="s">
        <v>7784</v>
      </c>
    </row>
    <row r="2064" customFormat="false" ht="24.75" hidden="false" customHeight="true" outlineLevel="0" collapsed="false">
      <c r="A2064" s="24" t="s">
        <v>692</v>
      </c>
      <c r="B2064" s="32" t="s">
        <v>8049</v>
      </c>
      <c r="C2064" s="22"/>
      <c r="D2064" s="32"/>
      <c r="E2064" s="22" t="s">
        <v>7975</v>
      </c>
      <c r="F2064" s="22" t="s">
        <v>3378</v>
      </c>
      <c r="G2064" s="32"/>
      <c r="H2064" s="22" t="s">
        <v>8050</v>
      </c>
      <c r="I2064" s="22" t="s">
        <v>7784</v>
      </c>
    </row>
    <row r="2065" customFormat="false" ht="15" hidden="false" customHeight="true" outlineLevel="0" collapsed="false">
      <c r="A2065" s="24" t="s">
        <v>2041</v>
      </c>
      <c r="B2065" s="32" t="s">
        <v>8051</v>
      </c>
      <c r="C2065" s="22"/>
      <c r="D2065" s="32"/>
      <c r="E2065" s="22" t="s">
        <v>3713</v>
      </c>
      <c r="F2065" s="22" t="s">
        <v>3378</v>
      </c>
      <c r="G2065" s="32"/>
      <c r="H2065" s="22" t="s">
        <v>8052</v>
      </c>
      <c r="I2065" s="22" t="s">
        <v>7784</v>
      </c>
    </row>
    <row r="2066" customFormat="false" ht="24.75" hidden="false" customHeight="true" outlineLevel="0" collapsed="false">
      <c r="A2066" s="24" t="s">
        <v>692</v>
      </c>
      <c r="B2066" s="32" t="s">
        <v>8053</v>
      </c>
      <c r="C2066" s="22"/>
      <c r="D2066" s="32"/>
      <c r="E2066" s="22" t="s">
        <v>3713</v>
      </c>
      <c r="F2066" s="22" t="s">
        <v>3378</v>
      </c>
      <c r="G2066" s="32"/>
      <c r="H2066" s="22" t="s">
        <v>8054</v>
      </c>
      <c r="I2066" s="22" t="s">
        <v>7784</v>
      </c>
    </row>
    <row r="2067" customFormat="false" ht="24.75" hidden="false" customHeight="true" outlineLevel="0" collapsed="false">
      <c r="A2067" s="24" t="s">
        <v>2041</v>
      </c>
      <c r="B2067" s="32" t="s">
        <v>8055</v>
      </c>
      <c r="C2067" s="22"/>
      <c r="D2067" s="32"/>
      <c r="E2067" s="22" t="s">
        <v>3713</v>
      </c>
      <c r="F2067" s="22" t="s">
        <v>3378</v>
      </c>
      <c r="G2067" s="32"/>
      <c r="H2067" s="22" t="s">
        <v>8056</v>
      </c>
      <c r="I2067" s="22" t="s">
        <v>7784</v>
      </c>
    </row>
    <row r="2068" customFormat="false" ht="37.5" hidden="false" customHeight="true" outlineLevel="0" collapsed="false">
      <c r="A2068" s="24" t="s">
        <v>692</v>
      </c>
      <c r="B2068" s="32" t="s">
        <v>8057</v>
      </c>
      <c r="C2068" s="22"/>
      <c r="D2068" s="32"/>
      <c r="E2068" s="22" t="s">
        <v>3713</v>
      </c>
      <c r="F2068" s="22" t="s">
        <v>3378</v>
      </c>
      <c r="G2068" s="32"/>
      <c r="H2068" s="22" t="s">
        <v>8058</v>
      </c>
      <c r="I2068" s="22" t="s">
        <v>7784</v>
      </c>
    </row>
    <row r="2069" customFormat="false" ht="24.75" hidden="false" customHeight="true" outlineLevel="0" collapsed="false">
      <c r="A2069" s="24" t="s">
        <v>2041</v>
      </c>
      <c r="B2069" s="32" t="s">
        <v>8059</v>
      </c>
      <c r="C2069" s="22"/>
      <c r="D2069" s="32"/>
      <c r="E2069" s="22" t="s">
        <v>3389</v>
      </c>
      <c r="F2069" s="22" t="s">
        <v>3378</v>
      </c>
      <c r="G2069" s="32"/>
      <c r="H2069" s="22" t="s">
        <v>8060</v>
      </c>
      <c r="I2069" s="22" t="s">
        <v>7784</v>
      </c>
    </row>
    <row r="2070" customFormat="false" ht="24.75" hidden="false" customHeight="true" outlineLevel="0" collapsed="false">
      <c r="A2070" s="24" t="s">
        <v>692</v>
      </c>
      <c r="B2070" s="32" t="s">
        <v>8061</v>
      </c>
      <c r="C2070" s="22"/>
      <c r="D2070" s="32"/>
      <c r="E2070" s="22" t="s">
        <v>3389</v>
      </c>
      <c r="F2070" s="22" t="s">
        <v>3378</v>
      </c>
      <c r="G2070" s="32"/>
      <c r="H2070" s="22" t="s">
        <v>8062</v>
      </c>
      <c r="I2070" s="22" t="s">
        <v>7784</v>
      </c>
    </row>
    <row r="2071" customFormat="false" ht="24.75" hidden="false" customHeight="true" outlineLevel="0" collapsed="false">
      <c r="A2071" s="24" t="s">
        <v>2041</v>
      </c>
      <c r="B2071" s="32" t="s">
        <v>8063</v>
      </c>
      <c r="C2071" s="22"/>
      <c r="D2071" s="32"/>
      <c r="E2071" s="22" t="s">
        <v>3713</v>
      </c>
      <c r="F2071" s="22" t="s">
        <v>3378</v>
      </c>
      <c r="G2071" s="32"/>
      <c r="H2071" s="22" t="s">
        <v>8064</v>
      </c>
      <c r="I2071" s="22" t="s">
        <v>7784</v>
      </c>
    </row>
    <row r="2072" customFormat="false" ht="15" hidden="false" customHeight="true" outlineLevel="0" collapsed="false">
      <c r="A2072" s="24" t="s">
        <v>2041</v>
      </c>
      <c r="B2072" s="32" t="s">
        <v>8065</v>
      </c>
      <c r="C2072" s="22"/>
      <c r="D2072" s="32"/>
      <c r="E2072" s="22" t="s">
        <v>3713</v>
      </c>
      <c r="F2072" s="22" t="s">
        <v>3378</v>
      </c>
      <c r="G2072" s="32"/>
      <c r="H2072" s="22" t="s">
        <v>8066</v>
      </c>
      <c r="I2072" s="22" t="s">
        <v>7784</v>
      </c>
    </row>
    <row r="2073" customFormat="false" ht="24.75" hidden="false" customHeight="true" outlineLevel="0" collapsed="false">
      <c r="A2073" s="24" t="s">
        <v>692</v>
      </c>
      <c r="B2073" s="32" t="s">
        <v>8067</v>
      </c>
      <c r="C2073" s="22"/>
      <c r="D2073" s="32"/>
      <c r="E2073" s="22" t="s">
        <v>3713</v>
      </c>
      <c r="F2073" s="22" t="s">
        <v>3378</v>
      </c>
      <c r="G2073" s="32"/>
      <c r="H2073" s="22" t="s">
        <v>8068</v>
      </c>
      <c r="I2073" s="22" t="s">
        <v>7784</v>
      </c>
    </row>
    <row r="2074" customFormat="false" ht="24.75" hidden="false" customHeight="true" outlineLevel="0" collapsed="false">
      <c r="A2074" s="24" t="s">
        <v>692</v>
      </c>
      <c r="B2074" s="32" t="s">
        <v>8069</v>
      </c>
      <c r="C2074" s="22"/>
      <c r="D2074" s="32"/>
      <c r="E2074" s="22" t="s">
        <v>3713</v>
      </c>
      <c r="F2074" s="22" t="s">
        <v>3378</v>
      </c>
      <c r="G2074" s="32"/>
      <c r="H2074" s="22" t="s">
        <v>8070</v>
      </c>
      <c r="I2074" s="22" t="s">
        <v>7784</v>
      </c>
    </row>
    <row r="2075" customFormat="false" ht="24.75" hidden="false" customHeight="true" outlineLevel="0" collapsed="false">
      <c r="A2075" s="24" t="s">
        <v>892</v>
      </c>
      <c r="B2075" s="32" t="s">
        <v>8071</v>
      </c>
      <c r="C2075" s="22"/>
      <c r="D2075" s="32"/>
      <c r="E2075" s="22" t="s">
        <v>3713</v>
      </c>
      <c r="F2075" s="22" t="s">
        <v>3378</v>
      </c>
      <c r="G2075" s="32"/>
      <c r="H2075" s="22" t="s">
        <v>8072</v>
      </c>
      <c r="I2075" s="22" t="s">
        <v>7784</v>
      </c>
    </row>
    <row r="2076" customFormat="false" ht="24.75" hidden="false" customHeight="true" outlineLevel="0" collapsed="false">
      <c r="A2076" s="24" t="s">
        <v>892</v>
      </c>
      <c r="B2076" s="32" t="s">
        <v>8073</v>
      </c>
      <c r="C2076" s="22"/>
      <c r="D2076" s="32"/>
      <c r="E2076" s="22" t="s">
        <v>3713</v>
      </c>
      <c r="F2076" s="22" t="s">
        <v>3378</v>
      </c>
      <c r="G2076" s="32"/>
      <c r="H2076" s="22" t="s">
        <v>8074</v>
      </c>
      <c r="I2076" s="22" t="s">
        <v>7784</v>
      </c>
    </row>
    <row r="2077" customFormat="false" ht="24.75" hidden="false" customHeight="true" outlineLevel="0" collapsed="false">
      <c r="A2077" s="24" t="s">
        <v>893</v>
      </c>
      <c r="B2077" s="32" t="s">
        <v>8075</v>
      </c>
      <c r="C2077" s="22"/>
      <c r="D2077" s="32"/>
      <c r="E2077" s="22" t="s">
        <v>3713</v>
      </c>
      <c r="F2077" s="22" t="s">
        <v>3378</v>
      </c>
      <c r="G2077" s="32"/>
      <c r="H2077" s="22" t="s">
        <v>8076</v>
      </c>
      <c r="I2077" s="22" t="s">
        <v>7784</v>
      </c>
    </row>
    <row r="2078" customFormat="false" ht="24.75" hidden="false" customHeight="true" outlineLevel="0" collapsed="false">
      <c r="A2078" s="24" t="s">
        <v>893</v>
      </c>
      <c r="B2078" s="32" t="s">
        <v>8077</v>
      </c>
      <c r="C2078" s="22"/>
      <c r="D2078" s="32"/>
      <c r="E2078" s="22" t="s">
        <v>3713</v>
      </c>
      <c r="F2078" s="22" t="s">
        <v>3378</v>
      </c>
      <c r="G2078" s="32"/>
      <c r="H2078" s="22" t="s">
        <v>8078</v>
      </c>
      <c r="I2078" s="22" t="s">
        <v>7784</v>
      </c>
    </row>
    <row r="2079" customFormat="false" ht="37.5" hidden="false" customHeight="true" outlineLevel="0" collapsed="false">
      <c r="A2079" s="24" t="s">
        <v>692</v>
      </c>
      <c r="B2079" s="32" t="s">
        <v>8079</v>
      </c>
      <c r="C2079" s="22"/>
      <c r="D2079" s="32"/>
      <c r="E2079" s="22" t="s">
        <v>3713</v>
      </c>
      <c r="F2079" s="22" t="s">
        <v>3378</v>
      </c>
      <c r="G2079" s="32"/>
      <c r="H2079" s="22" t="s">
        <v>8080</v>
      </c>
      <c r="I2079" s="22" t="s">
        <v>7784</v>
      </c>
    </row>
    <row r="2080" customFormat="false" ht="24.75" hidden="false" customHeight="true" outlineLevel="0" collapsed="false">
      <c r="A2080" s="24" t="s">
        <v>2532</v>
      </c>
      <c r="B2080" s="32" t="s">
        <v>8081</v>
      </c>
      <c r="C2080" s="22"/>
      <c r="D2080" s="32"/>
      <c r="E2080" s="22" t="s">
        <v>3713</v>
      </c>
      <c r="F2080" s="22" t="s">
        <v>3378</v>
      </c>
      <c r="G2080" s="32"/>
      <c r="H2080" s="22" t="s">
        <v>8082</v>
      </c>
      <c r="I2080" s="22" t="s">
        <v>7784</v>
      </c>
    </row>
    <row r="2081" customFormat="false" ht="24.75" hidden="false" customHeight="true" outlineLevel="0" collapsed="false">
      <c r="A2081" s="24" t="s">
        <v>893</v>
      </c>
      <c r="B2081" s="32" t="s">
        <v>8083</v>
      </c>
      <c r="C2081" s="22"/>
      <c r="D2081" s="32"/>
      <c r="E2081" s="22" t="s">
        <v>3713</v>
      </c>
      <c r="F2081" s="22" t="s">
        <v>3378</v>
      </c>
      <c r="G2081" s="32"/>
      <c r="H2081" s="22" t="s">
        <v>8084</v>
      </c>
      <c r="I2081" s="22" t="s">
        <v>7784</v>
      </c>
    </row>
    <row r="2082" customFormat="false" ht="24.75" hidden="false" customHeight="true" outlineLevel="0" collapsed="false">
      <c r="A2082" s="24" t="s">
        <v>2532</v>
      </c>
      <c r="B2082" s="32" t="s">
        <v>8085</v>
      </c>
      <c r="C2082" s="22"/>
      <c r="D2082" s="32"/>
      <c r="E2082" s="22" t="s">
        <v>3713</v>
      </c>
      <c r="F2082" s="22" t="s">
        <v>3378</v>
      </c>
      <c r="G2082" s="32"/>
      <c r="H2082" s="22" t="s">
        <v>8086</v>
      </c>
      <c r="I2082" s="22" t="s">
        <v>7784</v>
      </c>
    </row>
    <row r="2083" customFormat="false" ht="37.5" hidden="false" customHeight="true" outlineLevel="0" collapsed="false">
      <c r="A2083" s="24" t="s">
        <v>893</v>
      </c>
      <c r="B2083" s="32" t="s">
        <v>8087</v>
      </c>
      <c r="C2083" s="22"/>
      <c r="D2083" s="32"/>
      <c r="E2083" s="22" t="s">
        <v>3713</v>
      </c>
      <c r="F2083" s="22" t="s">
        <v>3378</v>
      </c>
      <c r="G2083" s="32"/>
      <c r="H2083" s="22" t="s">
        <v>8088</v>
      </c>
      <c r="I2083" s="22" t="s">
        <v>7784</v>
      </c>
    </row>
    <row r="2084" customFormat="false" ht="24.75" hidden="false" customHeight="true" outlineLevel="0" collapsed="false">
      <c r="A2084" s="24" t="s">
        <v>692</v>
      </c>
      <c r="B2084" s="32" t="s">
        <v>8089</v>
      </c>
      <c r="C2084" s="22"/>
      <c r="D2084" s="32"/>
      <c r="E2084" s="22" t="s">
        <v>3713</v>
      </c>
      <c r="F2084" s="22" t="s">
        <v>3378</v>
      </c>
      <c r="G2084" s="32"/>
      <c r="H2084" s="22" t="s">
        <v>8090</v>
      </c>
      <c r="I2084" s="22" t="s">
        <v>7784</v>
      </c>
    </row>
    <row r="2085" customFormat="false" ht="24.75" hidden="false" customHeight="true" outlineLevel="0" collapsed="false">
      <c r="A2085" s="24" t="s">
        <v>2532</v>
      </c>
      <c r="B2085" s="32" t="s">
        <v>8091</v>
      </c>
      <c r="C2085" s="22"/>
      <c r="D2085" s="32"/>
      <c r="E2085" s="22" t="s">
        <v>3713</v>
      </c>
      <c r="F2085" s="22" t="s">
        <v>3378</v>
      </c>
      <c r="G2085" s="32"/>
      <c r="H2085" s="22" t="s">
        <v>8092</v>
      </c>
      <c r="I2085" s="22" t="s">
        <v>7784</v>
      </c>
    </row>
    <row r="2086" customFormat="false" ht="24.75" hidden="false" customHeight="true" outlineLevel="0" collapsed="false">
      <c r="A2086" s="24" t="s">
        <v>692</v>
      </c>
      <c r="B2086" s="32" t="s">
        <v>8093</v>
      </c>
      <c r="C2086" s="22"/>
      <c r="D2086" s="32"/>
      <c r="E2086" s="22" t="s">
        <v>3713</v>
      </c>
      <c r="F2086" s="22" t="s">
        <v>3378</v>
      </c>
      <c r="G2086" s="32"/>
      <c r="H2086" s="22" t="s">
        <v>8094</v>
      </c>
      <c r="I2086" s="22" t="s">
        <v>7784</v>
      </c>
    </row>
    <row r="2087" customFormat="false" ht="24.75" hidden="false" customHeight="true" outlineLevel="0" collapsed="false">
      <c r="A2087" s="24" t="s">
        <v>2532</v>
      </c>
      <c r="B2087" s="32" t="s">
        <v>8095</v>
      </c>
      <c r="C2087" s="22"/>
      <c r="D2087" s="32"/>
      <c r="E2087" s="22" t="s">
        <v>3713</v>
      </c>
      <c r="F2087" s="22" t="s">
        <v>3378</v>
      </c>
      <c r="G2087" s="32"/>
      <c r="H2087" s="22" t="s">
        <v>8096</v>
      </c>
      <c r="I2087" s="22" t="s">
        <v>7784</v>
      </c>
    </row>
    <row r="2088" customFormat="false" ht="24.75" hidden="false" customHeight="true" outlineLevel="0" collapsed="false">
      <c r="A2088" s="24" t="s">
        <v>692</v>
      </c>
      <c r="B2088" s="32" t="s">
        <v>8097</v>
      </c>
      <c r="C2088" s="22"/>
      <c r="D2088" s="32"/>
      <c r="E2088" s="22" t="s">
        <v>3713</v>
      </c>
      <c r="F2088" s="22" t="s">
        <v>3378</v>
      </c>
      <c r="G2088" s="32"/>
      <c r="H2088" s="22" t="s">
        <v>8098</v>
      </c>
      <c r="I2088" s="22" t="s">
        <v>7784</v>
      </c>
    </row>
    <row r="2089" customFormat="false" ht="24.75" hidden="false" customHeight="true" outlineLevel="0" collapsed="false">
      <c r="A2089" s="24" t="s">
        <v>2561</v>
      </c>
      <c r="B2089" s="32" t="s">
        <v>8099</v>
      </c>
      <c r="C2089" s="22"/>
      <c r="D2089" s="32"/>
      <c r="E2089" s="22" t="s">
        <v>8100</v>
      </c>
      <c r="F2089" s="22" t="s">
        <v>3378</v>
      </c>
      <c r="G2089" s="32"/>
      <c r="H2089" s="22" t="s">
        <v>8101</v>
      </c>
      <c r="I2089" s="22" t="s">
        <v>7784</v>
      </c>
    </row>
    <row r="2090" customFormat="false" ht="24.75" hidden="false" customHeight="true" outlineLevel="0" collapsed="false">
      <c r="A2090" s="24" t="s">
        <v>692</v>
      </c>
      <c r="B2090" s="32" t="s">
        <v>8102</v>
      </c>
      <c r="C2090" s="22"/>
      <c r="D2090" s="32"/>
      <c r="E2090" s="22" t="s">
        <v>3389</v>
      </c>
      <c r="F2090" s="22" t="s">
        <v>3378</v>
      </c>
      <c r="G2090" s="32"/>
      <c r="H2090" s="22" t="s">
        <v>8103</v>
      </c>
      <c r="I2090" s="22" t="s">
        <v>7784</v>
      </c>
    </row>
    <row r="2091" customFormat="false" ht="24.75" hidden="false" customHeight="true" outlineLevel="0" collapsed="false">
      <c r="A2091" s="24" t="s">
        <v>692</v>
      </c>
      <c r="B2091" s="32" t="s">
        <v>8104</v>
      </c>
      <c r="C2091" s="22"/>
      <c r="D2091" s="32"/>
      <c r="E2091" s="22" t="s">
        <v>3713</v>
      </c>
      <c r="F2091" s="22" t="s">
        <v>3378</v>
      </c>
      <c r="G2091" s="32"/>
      <c r="H2091" s="22" t="s">
        <v>8105</v>
      </c>
      <c r="I2091" s="22" t="s">
        <v>7784</v>
      </c>
    </row>
    <row r="2092" customFormat="false" ht="24.75" hidden="false" customHeight="true" outlineLevel="0" collapsed="false">
      <c r="A2092" s="24" t="s">
        <v>2561</v>
      </c>
      <c r="B2092" s="32" t="s">
        <v>8104</v>
      </c>
      <c r="C2092" s="22"/>
      <c r="D2092" s="32"/>
      <c r="E2092" s="22" t="s">
        <v>3713</v>
      </c>
      <c r="F2092" s="22" t="s">
        <v>3378</v>
      </c>
      <c r="G2092" s="32"/>
      <c r="H2092" s="22" t="s">
        <v>8106</v>
      </c>
      <c r="I2092" s="22" t="s">
        <v>7784</v>
      </c>
    </row>
    <row r="2093" customFormat="false" ht="24.75" hidden="false" customHeight="true" outlineLevel="0" collapsed="false">
      <c r="A2093" s="24" t="s">
        <v>692</v>
      </c>
      <c r="B2093" s="32" t="s">
        <v>8107</v>
      </c>
      <c r="C2093" s="22"/>
      <c r="D2093" s="32"/>
      <c r="E2093" s="22" t="s">
        <v>3713</v>
      </c>
      <c r="F2093" s="22" t="s">
        <v>3378</v>
      </c>
      <c r="G2093" s="32"/>
      <c r="H2093" s="22" t="s">
        <v>8108</v>
      </c>
      <c r="I2093" s="22" t="s">
        <v>7784</v>
      </c>
    </row>
    <row r="2094" customFormat="false" ht="24.75" hidden="false" customHeight="true" outlineLevel="0" collapsed="false">
      <c r="A2094" s="24" t="s">
        <v>692</v>
      </c>
      <c r="B2094" s="32" t="s">
        <v>8109</v>
      </c>
      <c r="C2094" s="22"/>
      <c r="D2094" s="32"/>
      <c r="E2094" s="22" t="s">
        <v>3713</v>
      </c>
      <c r="F2094" s="22" t="s">
        <v>3378</v>
      </c>
      <c r="G2094" s="32"/>
      <c r="H2094" s="22" t="s">
        <v>8110</v>
      </c>
      <c r="I2094" s="22" t="s">
        <v>7784</v>
      </c>
    </row>
    <row r="2095" customFormat="false" ht="24.75" hidden="false" customHeight="true" outlineLevel="0" collapsed="false">
      <c r="A2095" s="24" t="s">
        <v>892</v>
      </c>
      <c r="B2095" s="32" t="s">
        <v>8111</v>
      </c>
      <c r="C2095" s="22"/>
      <c r="D2095" s="32"/>
      <c r="E2095" s="22" t="s">
        <v>7754</v>
      </c>
      <c r="F2095" s="22" t="s">
        <v>3378</v>
      </c>
      <c r="G2095" s="32"/>
      <c r="H2095" s="22" t="s">
        <v>8112</v>
      </c>
      <c r="I2095" s="22" t="s">
        <v>7784</v>
      </c>
    </row>
    <row r="2096" customFormat="false" ht="24.75" hidden="false" customHeight="true" outlineLevel="0" collapsed="false">
      <c r="A2096" s="24" t="s">
        <v>692</v>
      </c>
      <c r="B2096" s="32" t="s">
        <v>8113</v>
      </c>
      <c r="C2096" s="22"/>
      <c r="D2096" s="32"/>
      <c r="E2096" s="22" t="s">
        <v>7754</v>
      </c>
      <c r="F2096" s="22" t="s">
        <v>3378</v>
      </c>
      <c r="G2096" s="32"/>
      <c r="H2096" s="22" t="s">
        <v>8114</v>
      </c>
      <c r="I2096" s="22" t="s">
        <v>7784</v>
      </c>
    </row>
    <row r="2097" customFormat="false" ht="24.75" hidden="false" customHeight="true" outlineLevel="0" collapsed="false">
      <c r="A2097" s="24" t="s">
        <v>692</v>
      </c>
      <c r="B2097" s="32" t="s">
        <v>8115</v>
      </c>
      <c r="C2097" s="22"/>
      <c r="D2097" s="32"/>
      <c r="E2097" s="22" t="s">
        <v>3713</v>
      </c>
      <c r="F2097" s="22" t="s">
        <v>3378</v>
      </c>
      <c r="G2097" s="32"/>
      <c r="H2097" s="22" t="s">
        <v>8116</v>
      </c>
      <c r="I2097" s="22" t="s">
        <v>7784</v>
      </c>
    </row>
    <row r="2098" customFormat="false" ht="24.75" hidden="false" customHeight="true" outlineLevel="0" collapsed="false">
      <c r="A2098" s="24" t="s">
        <v>692</v>
      </c>
      <c r="B2098" s="32" t="s">
        <v>8117</v>
      </c>
      <c r="C2098" s="22"/>
      <c r="D2098" s="32"/>
      <c r="E2098" s="22" t="s">
        <v>3713</v>
      </c>
      <c r="F2098" s="22" t="s">
        <v>3378</v>
      </c>
      <c r="G2098" s="32"/>
      <c r="H2098" s="22" t="s">
        <v>8118</v>
      </c>
      <c r="I2098" s="22" t="s">
        <v>7784</v>
      </c>
    </row>
    <row r="2099" customFormat="false" ht="15" hidden="false" customHeight="true" outlineLevel="0" collapsed="false">
      <c r="A2099" s="24" t="s">
        <v>2041</v>
      </c>
      <c r="B2099" s="32" t="s">
        <v>8119</v>
      </c>
      <c r="C2099" s="22"/>
      <c r="D2099" s="32"/>
      <c r="E2099" s="22" t="s">
        <v>3713</v>
      </c>
      <c r="F2099" s="22" t="s">
        <v>3378</v>
      </c>
      <c r="G2099" s="32"/>
      <c r="H2099" s="22" t="s">
        <v>8120</v>
      </c>
      <c r="I2099" s="22" t="s">
        <v>7784</v>
      </c>
    </row>
    <row r="2100" customFormat="false" ht="24.75" hidden="false" customHeight="true" outlineLevel="0" collapsed="false">
      <c r="A2100" s="24" t="s">
        <v>692</v>
      </c>
      <c r="B2100" s="32" t="s">
        <v>8121</v>
      </c>
      <c r="C2100" s="22"/>
      <c r="D2100" s="32"/>
      <c r="E2100" s="22" t="s">
        <v>3713</v>
      </c>
      <c r="F2100" s="22" t="s">
        <v>3378</v>
      </c>
      <c r="G2100" s="32"/>
      <c r="H2100" s="22" t="s">
        <v>8068</v>
      </c>
      <c r="I2100" s="22" t="s">
        <v>7784</v>
      </c>
    </row>
  </sheetData>
  <autoFilter ref="A4:I2100"/>
  <mergeCells count="2">
    <mergeCell ref="A1:H1"/>
    <mergeCell ref="A2:I2"/>
  </mergeCells>
  <hyperlinks>
    <hyperlink ref="I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I75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2"/>
    <col collapsed="false" customWidth="true" hidden="false" outlineLevel="0" max="6" min="6" style="0" width="60"/>
    <col collapsed="false" customWidth="true" hidden="false" outlineLevel="0" max="7" min="7" style="0" width="30"/>
    <col collapsed="false" customWidth="true" hidden="false" outlineLevel="0" max="8" min="8" style="0" width="11"/>
    <col collapsed="false" customWidth="true" hidden="false" outlineLevel="0" max="9" min="9" style="0" width="40"/>
  </cols>
  <sheetData>
    <row r="1" customFormat="false" ht="30" hidden="false" customHeight="true" outlineLevel="0" collapsed="false">
      <c r="A1" s="18" t="s">
        <v>8122</v>
      </c>
      <c r="B1" s="18"/>
      <c r="C1" s="18"/>
      <c r="D1" s="18"/>
      <c r="E1" s="18"/>
      <c r="F1" s="18"/>
      <c r="G1" s="18"/>
      <c r="H1" s="18"/>
      <c r="I1" s="19" t="s">
        <v>29</v>
      </c>
    </row>
    <row r="2" customFormat="false" ht="31.5" hidden="false" customHeight="true" outlineLevel="0" collapsed="false">
      <c r="A2" s="20" t="s">
        <v>8123</v>
      </c>
      <c r="B2" s="20"/>
      <c r="C2" s="20"/>
      <c r="D2" s="20"/>
      <c r="E2" s="20"/>
      <c r="F2" s="20"/>
      <c r="G2" s="20"/>
      <c r="H2" s="20"/>
      <c r="I2" s="20"/>
    </row>
    <row r="4" customFormat="false" ht="33.75" hidden="false" customHeight="true" outlineLevel="0" collapsed="false">
      <c r="A4" s="21" t="s">
        <v>2785</v>
      </c>
      <c r="B4" s="21" t="s">
        <v>8124</v>
      </c>
      <c r="C4" s="21" t="s">
        <v>8125</v>
      </c>
      <c r="D4" s="21" t="s">
        <v>8126</v>
      </c>
      <c r="E4" s="21" t="s">
        <v>3351</v>
      </c>
      <c r="F4" s="21" t="s">
        <v>8127</v>
      </c>
      <c r="G4" s="21" t="s">
        <v>34</v>
      </c>
      <c r="H4" s="21" t="s">
        <v>8128</v>
      </c>
      <c r="I4" s="21" t="s">
        <v>8129</v>
      </c>
    </row>
    <row r="5" customFormat="false" ht="15" hidden="false" customHeight="true" outlineLevel="0" collapsed="false">
      <c r="A5" s="24" t="s">
        <v>185</v>
      </c>
      <c r="B5" s="32" t="s">
        <v>5155</v>
      </c>
      <c r="C5" s="32" t="s">
        <v>7158</v>
      </c>
      <c r="D5" s="22" t="s">
        <v>3363</v>
      </c>
      <c r="E5" s="22" t="s">
        <v>3359</v>
      </c>
      <c r="F5" s="22" t="s">
        <v>8130</v>
      </c>
      <c r="G5" s="22" t="s">
        <v>8131</v>
      </c>
      <c r="H5" s="35" t="s">
        <v>8132</v>
      </c>
      <c r="I5" s="22"/>
    </row>
    <row r="6" customFormat="false" ht="37.5" hidden="false" customHeight="true" outlineLevel="0" collapsed="false">
      <c r="A6" s="24" t="s">
        <v>186</v>
      </c>
      <c r="B6" s="32" t="s">
        <v>8133</v>
      </c>
      <c r="C6" s="32" t="s">
        <v>3369</v>
      </c>
      <c r="D6" s="22" t="s">
        <v>3363</v>
      </c>
      <c r="E6" s="22" t="s">
        <v>3359</v>
      </c>
      <c r="F6" s="22" t="s">
        <v>8134</v>
      </c>
      <c r="G6" s="22" t="s">
        <v>8135</v>
      </c>
      <c r="H6" s="35" t="s">
        <v>8132</v>
      </c>
      <c r="I6" s="22" t="s">
        <v>8136</v>
      </c>
    </row>
    <row r="7" customFormat="false" ht="37.5" hidden="false" customHeight="true" outlineLevel="0" collapsed="false">
      <c r="A7" s="24" t="s">
        <v>185</v>
      </c>
      <c r="B7" s="32" t="s">
        <v>4071</v>
      </c>
      <c r="C7" s="32" t="s">
        <v>6633</v>
      </c>
      <c r="D7" s="22" t="s">
        <v>3363</v>
      </c>
      <c r="E7" s="22" t="s">
        <v>3359</v>
      </c>
      <c r="F7" s="22" t="s">
        <v>8137</v>
      </c>
      <c r="G7" s="22" t="s">
        <v>8138</v>
      </c>
      <c r="H7" s="35" t="s">
        <v>8132</v>
      </c>
      <c r="I7" s="22" t="s">
        <v>8139</v>
      </c>
    </row>
    <row r="8" customFormat="false" ht="37.5" hidden="false" customHeight="true" outlineLevel="0" collapsed="false">
      <c r="A8" s="24" t="s">
        <v>186</v>
      </c>
      <c r="B8" s="32" t="s">
        <v>8140</v>
      </c>
      <c r="C8" s="32" t="s">
        <v>3381</v>
      </c>
      <c r="D8" s="22" t="s">
        <v>3363</v>
      </c>
      <c r="E8" s="22" t="s">
        <v>3359</v>
      </c>
      <c r="F8" s="22" t="s">
        <v>8141</v>
      </c>
      <c r="G8" s="22" t="s">
        <v>8142</v>
      </c>
      <c r="H8" s="35" t="s">
        <v>8132</v>
      </c>
      <c r="I8" s="22" t="s">
        <v>8143</v>
      </c>
    </row>
    <row r="9" customFormat="false" ht="24.75" hidden="false" customHeight="true" outlineLevel="0" collapsed="false">
      <c r="A9" s="24" t="s">
        <v>185</v>
      </c>
      <c r="B9" s="32" t="s">
        <v>7781</v>
      </c>
      <c r="C9" s="32" t="s">
        <v>7781</v>
      </c>
      <c r="D9" s="22" t="s">
        <v>7784</v>
      </c>
      <c r="E9" s="22" t="s">
        <v>7782</v>
      </c>
      <c r="F9" s="22" t="s">
        <v>8144</v>
      </c>
      <c r="G9" s="22" t="s">
        <v>8145</v>
      </c>
      <c r="H9" s="35" t="s">
        <v>8132</v>
      </c>
      <c r="I9" s="22"/>
    </row>
    <row r="10" customFormat="false" ht="24.75" hidden="false" customHeight="true" outlineLevel="0" collapsed="false">
      <c r="A10" s="24" t="s">
        <v>186</v>
      </c>
      <c r="B10" s="32" t="s">
        <v>8146</v>
      </c>
      <c r="C10" s="32" t="s">
        <v>3386</v>
      </c>
      <c r="D10" s="22" t="s">
        <v>3363</v>
      </c>
      <c r="E10" s="22" t="s">
        <v>3389</v>
      </c>
      <c r="F10" s="22" t="s">
        <v>8147</v>
      </c>
      <c r="G10" s="22" t="s">
        <v>8148</v>
      </c>
      <c r="H10" s="35" t="s">
        <v>8132</v>
      </c>
      <c r="I10" s="22" t="s">
        <v>8149</v>
      </c>
    </row>
    <row r="11" customFormat="false" ht="24.75" hidden="false" customHeight="true" outlineLevel="0" collapsed="false">
      <c r="A11" s="24" t="s">
        <v>185</v>
      </c>
      <c r="B11" s="32" t="s">
        <v>4072</v>
      </c>
      <c r="C11" s="32" t="s">
        <v>6625</v>
      </c>
      <c r="D11" s="22" t="s">
        <v>3363</v>
      </c>
      <c r="E11" s="22" t="s">
        <v>3389</v>
      </c>
      <c r="F11" s="22" t="s">
        <v>8150</v>
      </c>
      <c r="G11" s="22" t="s">
        <v>8151</v>
      </c>
      <c r="H11" s="35" t="s">
        <v>8132</v>
      </c>
      <c r="I11" s="22" t="s">
        <v>8152</v>
      </c>
    </row>
    <row r="12" customFormat="false" ht="15" hidden="false" customHeight="true" outlineLevel="0" collapsed="false">
      <c r="A12" s="24" t="s">
        <v>185</v>
      </c>
      <c r="B12" s="32" t="s">
        <v>3850</v>
      </c>
      <c r="C12" s="32" t="s">
        <v>3850</v>
      </c>
      <c r="D12" s="22" t="s">
        <v>3363</v>
      </c>
      <c r="E12" s="22" t="s">
        <v>3394</v>
      </c>
      <c r="F12" s="22" t="s">
        <v>8153</v>
      </c>
      <c r="G12" s="22" t="s">
        <v>8154</v>
      </c>
      <c r="H12" s="35" t="s">
        <v>8132</v>
      </c>
      <c r="I12" s="22"/>
    </row>
    <row r="13" customFormat="false" ht="24.75" hidden="false" customHeight="true" outlineLevel="0" collapsed="false">
      <c r="A13" s="24" t="s">
        <v>186</v>
      </c>
      <c r="B13" s="32" t="s">
        <v>8155</v>
      </c>
      <c r="C13" s="32" t="s">
        <v>3391</v>
      </c>
      <c r="D13" s="22" t="s">
        <v>3363</v>
      </c>
      <c r="E13" s="22" t="s">
        <v>3394</v>
      </c>
      <c r="F13" s="22" t="s">
        <v>8156</v>
      </c>
      <c r="G13" s="22" t="s">
        <v>8157</v>
      </c>
      <c r="H13" s="35" t="s">
        <v>8132</v>
      </c>
      <c r="I13" s="22" t="s">
        <v>8158</v>
      </c>
    </row>
    <row r="14" customFormat="false" ht="24.75" hidden="false" customHeight="true" outlineLevel="0" collapsed="false">
      <c r="A14" s="24" t="s">
        <v>185</v>
      </c>
      <c r="B14" s="32" t="s">
        <v>3857</v>
      </c>
      <c r="C14" s="32" t="s">
        <v>3857</v>
      </c>
      <c r="D14" s="22" t="s">
        <v>3363</v>
      </c>
      <c r="E14" s="22" t="s">
        <v>3394</v>
      </c>
      <c r="F14" s="22" t="s">
        <v>8159</v>
      </c>
      <c r="G14" s="22" t="s">
        <v>8160</v>
      </c>
      <c r="H14" s="35" t="s">
        <v>8132</v>
      </c>
      <c r="I14" s="22"/>
    </row>
    <row r="15" customFormat="false" ht="37.5" hidden="false" customHeight="true" outlineLevel="0" collapsed="false">
      <c r="A15" s="24" t="s">
        <v>186</v>
      </c>
      <c r="B15" s="32" t="s">
        <v>8161</v>
      </c>
      <c r="C15" s="32" t="s">
        <v>3445</v>
      </c>
      <c r="D15" s="22" t="s">
        <v>3363</v>
      </c>
      <c r="E15" s="22" t="s">
        <v>3394</v>
      </c>
      <c r="F15" s="22" t="s">
        <v>8162</v>
      </c>
      <c r="G15" s="22" t="s">
        <v>8163</v>
      </c>
      <c r="H15" s="35" t="s">
        <v>8132</v>
      </c>
      <c r="I15" s="22" t="s">
        <v>8164</v>
      </c>
    </row>
    <row r="16" customFormat="false" ht="37.5" hidden="false" customHeight="true" outlineLevel="0" collapsed="false">
      <c r="A16" s="24" t="s">
        <v>185</v>
      </c>
      <c r="B16" s="32" t="s">
        <v>7188</v>
      </c>
      <c r="C16" s="32" t="s">
        <v>7188</v>
      </c>
      <c r="D16" s="22" t="s">
        <v>3363</v>
      </c>
      <c r="E16" s="22" t="s">
        <v>3394</v>
      </c>
      <c r="F16" s="22" t="s">
        <v>8165</v>
      </c>
      <c r="G16" s="22" t="s">
        <v>8166</v>
      </c>
      <c r="H16" s="35" t="s">
        <v>8132</v>
      </c>
      <c r="I16" s="22"/>
    </row>
    <row r="17" customFormat="false" ht="24.75" hidden="false" customHeight="true" outlineLevel="0" collapsed="false">
      <c r="A17" s="24" t="s">
        <v>186</v>
      </c>
      <c r="B17" s="32" t="s">
        <v>8167</v>
      </c>
      <c r="C17" s="32" t="s">
        <v>3449</v>
      </c>
      <c r="D17" s="22" t="s">
        <v>3363</v>
      </c>
      <c r="E17" s="22" t="s">
        <v>3394</v>
      </c>
      <c r="F17" s="22" t="s">
        <v>8168</v>
      </c>
      <c r="G17" s="22" t="s">
        <v>8169</v>
      </c>
      <c r="H17" s="35" t="s">
        <v>8132</v>
      </c>
      <c r="I17" s="22" t="s">
        <v>8170</v>
      </c>
    </row>
    <row r="18" customFormat="false" ht="15" hidden="false" customHeight="true" outlineLevel="0" collapsed="false">
      <c r="A18" s="24" t="s">
        <v>185</v>
      </c>
      <c r="B18" s="32" t="s">
        <v>7189</v>
      </c>
      <c r="C18" s="32" t="s">
        <v>7189</v>
      </c>
      <c r="D18" s="22" t="s">
        <v>3363</v>
      </c>
      <c r="E18" s="22" t="s">
        <v>3394</v>
      </c>
      <c r="F18" s="22" t="s">
        <v>8171</v>
      </c>
      <c r="G18" s="22" t="s">
        <v>2758</v>
      </c>
      <c r="H18" s="35" t="s">
        <v>8132</v>
      </c>
      <c r="I18" s="22"/>
    </row>
    <row r="19" customFormat="false" ht="24.75" hidden="false" customHeight="true" outlineLevel="0" collapsed="false">
      <c r="A19" s="24" t="s">
        <v>186</v>
      </c>
      <c r="B19" s="32" t="s">
        <v>8172</v>
      </c>
      <c r="C19" s="32" t="s">
        <v>3454</v>
      </c>
      <c r="D19" s="22" t="s">
        <v>3363</v>
      </c>
      <c r="E19" s="22" t="s">
        <v>3394</v>
      </c>
      <c r="F19" s="22" t="s">
        <v>8173</v>
      </c>
      <c r="G19" s="22" t="s">
        <v>8174</v>
      </c>
      <c r="H19" s="35" t="s">
        <v>8132</v>
      </c>
      <c r="I19" s="22" t="s">
        <v>8175</v>
      </c>
    </row>
    <row r="20" customFormat="false" ht="15" hidden="false" customHeight="true" outlineLevel="0" collapsed="false">
      <c r="A20" s="24" t="s">
        <v>185</v>
      </c>
      <c r="B20" s="32" t="s">
        <v>7599</v>
      </c>
      <c r="C20" s="32" t="s">
        <v>7190</v>
      </c>
      <c r="D20" s="22" t="s">
        <v>3363</v>
      </c>
      <c r="E20" s="22" t="s">
        <v>3394</v>
      </c>
      <c r="F20" s="22" t="s">
        <v>8176</v>
      </c>
      <c r="G20" s="22" t="s">
        <v>2758</v>
      </c>
      <c r="H20" s="35" t="s">
        <v>8132</v>
      </c>
      <c r="I20" s="22"/>
    </row>
    <row r="21" customFormat="false" ht="24.75" hidden="false" customHeight="true" outlineLevel="0" collapsed="false">
      <c r="A21" s="24" t="s">
        <v>186</v>
      </c>
      <c r="B21" s="32" t="s">
        <v>8177</v>
      </c>
      <c r="C21" s="32" t="s">
        <v>3459</v>
      </c>
      <c r="D21" s="22" t="s">
        <v>3363</v>
      </c>
      <c r="E21" s="22" t="s">
        <v>3394</v>
      </c>
      <c r="F21" s="22" t="s">
        <v>8178</v>
      </c>
      <c r="G21" s="22" t="s">
        <v>8174</v>
      </c>
      <c r="H21" s="35" t="s">
        <v>8132</v>
      </c>
      <c r="I21" s="22" t="s">
        <v>8179</v>
      </c>
    </row>
    <row r="22" customFormat="false" ht="15" hidden="false" customHeight="true" outlineLevel="0" collapsed="false">
      <c r="A22" s="24" t="s">
        <v>185</v>
      </c>
      <c r="B22" s="32" t="s">
        <v>7191</v>
      </c>
      <c r="C22" s="32" t="s">
        <v>7191</v>
      </c>
      <c r="D22" s="22" t="s">
        <v>3363</v>
      </c>
      <c r="E22" s="22" t="s">
        <v>3394</v>
      </c>
      <c r="F22" s="22" t="s">
        <v>8180</v>
      </c>
      <c r="G22" s="22" t="s">
        <v>180</v>
      </c>
      <c r="H22" s="35" t="s">
        <v>8132</v>
      </c>
      <c r="I22" s="22"/>
    </row>
    <row r="23" customFormat="false" ht="24.75" hidden="false" customHeight="true" outlineLevel="0" collapsed="false">
      <c r="A23" s="24" t="s">
        <v>186</v>
      </c>
      <c r="B23" s="32" t="s">
        <v>8181</v>
      </c>
      <c r="C23" s="32" t="s">
        <v>3463</v>
      </c>
      <c r="D23" s="22" t="s">
        <v>3363</v>
      </c>
      <c r="E23" s="22" t="s">
        <v>3394</v>
      </c>
      <c r="F23" s="22" t="s">
        <v>8182</v>
      </c>
      <c r="G23" s="22" t="s">
        <v>8183</v>
      </c>
      <c r="H23" s="35" t="s">
        <v>8132</v>
      </c>
      <c r="I23" s="22" t="s">
        <v>8184</v>
      </c>
    </row>
    <row r="24" customFormat="false" ht="37.5" hidden="false" customHeight="true" outlineLevel="0" collapsed="false">
      <c r="A24" s="24" t="s">
        <v>185</v>
      </c>
      <c r="B24" s="32" t="s">
        <v>3853</v>
      </c>
      <c r="C24" s="32" t="s">
        <v>7593</v>
      </c>
      <c r="D24" s="22" t="s">
        <v>8185</v>
      </c>
      <c r="E24" s="22" t="s">
        <v>7710</v>
      </c>
      <c r="F24" s="22" t="s">
        <v>7711</v>
      </c>
      <c r="G24" s="22" t="s">
        <v>8186</v>
      </c>
      <c r="H24" s="35" t="s">
        <v>8132</v>
      </c>
      <c r="I24" s="22" t="s">
        <v>8187</v>
      </c>
    </row>
    <row r="25" customFormat="false" ht="24.75" hidden="false" customHeight="true" outlineLevel="0" collapsed="false">
      <c r="A25" s="24" t="s">
        <v>186</v>
      </c>
      <c r="B25" s="32" t="s">
        <v>3853</v>
      </c>
      <c r="C25" s="32" t="s">
        <v>3397</v>
      </c>
      <c r="D25" s="22" t="s">
        <v>3363</v>
      </c>
      <c r="E25" s="22" t="s">
        <v>3359</v>
      </c>
      <c r="F25" s="22" t="s">
        <v>8188</v>
      </c>
      <c r="G25" s="22" t="s">
        <v>8189</v>
      </c>
      <c r="H25" s="35" t="s">
        <v>8132</v>
      </c>
      <c r="I25" s="22" t="s">
        <v>8190</v>
      </c>
    </row>
    <row r="26" customFormat="false" ht="15" hidden="false" customHeight="true" outlineLevel="0" collapsed="false">
      <c r="A26" s="24" t="s">
        <v>185</v>
      </c>
      <c r="B26" s="32" t="s">
        <v>8191</v>
      </c>
      <c r="C26" s="32" t="s">
        <v>4077</v>
      </c>
      <c r="D26" s="22" t="s">
        <v>3363</v>
      </c>
      <c r="E26" s="22" t="s">
        <v>3377</v>
      </c>
      <c r="F26" s="22" t="s">
        <v>8192</v>
      </c>
      <c r="G26" s="22" t="s">
        <v>180</v>
      </c>
      <c r="H26" s="35" t="s">
        <v>8132</v>
      </c>
      <c r="I26" s="22"/>
    </row>
    <row r="27" customFormat="false" ht="15" hidden="false" customHeight="true" outlineLevel="0" collapsed="false">
      <c r="A27" s="24" t="s">
        <v>186</v>
      </c>
      <c r="B27" s="32" t="s">
        <v>8193</v>
      </c>
      <c r="C27" s="32" t="s">
        <v>3402</v>
      </c>
      <c r="D27" s="22" t="s">
        <v>3363</v>
      </c>
      <c r="E27" s="22" t="s">
        <v>3377</v>
      </c>
      <c r="F27" s="22" t="s">
        <v>8194</v>
      </c>
      <c r="G27" s="22" t="s">
        <v>180</v>
      </c>
      <c r="H27" s="35" t="s">
        <v>8132</v>
      </c>
      <c r="I27" s="22"/>
    </row>
    <row r="28" customFormat="false" ht="37.5" hidden="false" customHeight="true" outlineLevel="0" collapsed="false">
      <c r="A28" s="24" t="s">
        <v>185</v>
      </c>
      <c r="B28" s="32" t="s">
        <v>3855</v>
      </c>
      <c r="C28" s="32" t="s">
        <v>7185</v>
      </c>
      <c r="D28" s="22" t="s">
        <v>3363</v>
      </c>
      <c r="E28" s="22" t="s">
        <v>3394</v>
      </c>
      <c r="F28" s="22" t="s">
        <v>8195</v>
      </c>
      <c r="G28" s="22" t="s">
        <v>8196</v>
      </c>
      <c r="H28" s="35" t="s">
        <v>8132</v>
      </c>
      <c r="I28" s="22" t="s">
        <v>8197</v>
      </c>
    </row>
    <row r="29" customFormat="false" ht="37.5" hidden="false" customHeight="true" outlineLevel="0" collapsed="false">
      <c r="A29" s="24" t="s">
        <v>186</v>
      </c>
      <c r="B29" s="32" t="s">
        <v>8198</v>
      </c>
      <c r="C29" s="32" t="s">
        <v>3440</v>
      </c>
      <c r="D29" s="22" t="s">
        <v>3363</v>
      </c>
      <c r="E29" s="22" t="s">
        <v>3394</v>
      </c>
      <c r="F29" s="22" t="s">
        <v>8199</v>
      </c>
      <c r="G29" s="22" t="s">
        <v>180</v>
      </c>
      <c r="H29" s="35" t="s">
        <v>8132</v>
      </c>
      <c r="I29" s="22" t="s">
        <v>8200</v>
      </c>
    </row>
    <row r="30" customFormat="false" ht="15" hidden="false" customHeight="true" outlineLevel="0" collapsed="false">
      <c r="A30" s="24" t="s">
        <v>186</v>
      </c>
      <c r="B30" s="32" t="s">
        <v>8201</v>
      </c>
      <c r="C30" s="32" t="s">
        <v>8202</v>
      </c>
      <c r="D30" s="22" t="s">
        <v>3363</v>
      </c>
      <c r="E30" s="22" t="s">
        <v>7754</v>
      </c>
      <c r="F30" s="22"/>
      <c r="G30" s="22" t="s">
        <v>213</v>
      </c>
      <c r="H30" s="35" t="s">
        <v>8132</v>
      </c>
      <c r="I30" s="22" t="s">
        <v>8203</v>
      </c>
    </row>
    <row r="31" customFormat="false" ht="15" hidden="false" customHeight="true" outlineLevel="0" collapsed="false">
      <c r="A31" s="24" t="s">
        <v>186</v>
      </c>
      <c r="B31" s="32" t="s">
        <v>8204</v>
      </c>
      <c r="C31" s="32" t="s">
        <v>3475</v>
      </c>
      <c r="D31" s="22" t="s">
        <v>3363</v>
      </c>
      <c r="E31" s="22"/>
      <c r="F31" s="22"/>
      <c r="G31" s="22" t="s">
        <v>213</v>
      </c>
      <c r="H31" s="35" t="s">
        <v>8132</v>
      </c>
      <c r="I31" s="22" t="s">
        <v>8205</v>
      </c>
    </row>
    <row r="32" customFormat="false" ht="15" hidden="false" customHeight="true" outlineLevel="0" collapsed="false">
      <c r="A32" s="24" t="s">
        <v>186</v>
      </c>
      <c r="B32" s="32" t="s">
        <v>8206</v>
      </c>
      <c r="C32" s="32" t="s">
        <v>3472</v>
      </c>
      <c r="D32" s="22" t="s">
        <v>3363</v>
      </c>
      <c r="E32" s="22"/>
      <c r="F32" s="22"/>
      <c r="G32" s="22" t="s">
        <v>213</v>
      </c>
      <c r="H32" s="35" t="s">
        <v>8132</v>
      </c>
      <c r="I32" s="22" t="s">
        <v>8205</v>
      </c>
    </row>
    <row r="33" customFormat="false" ht="37.5" hidden="false" customHeight="true" outlineLevel="0" collapsed="false">
      <c r="A33" s="24" t="s">
        <v>186</v>
      </c>
      <c r="B33" s="32" t="s">
        <v>8207</v>
      </c>
      <c r="C33" s="32" t="s">
        <v>8208</v>
      </c>
      <c r="D33" s="22" t="s">
        <v>3363</v>
      </c>
      <c r="E33" s="22" t="s">
        <v>7754</v>
      </c>
      <c r="F33" s="22"/>
      <c r="G33" s="22" t="s">
        <v>241</v>
      </c>
      <c r="H33" s="31" t="s">
        <v>8209</v>
      </c>
      <c r="I33" s="22" t="s">
        <v>8210</v>
      </c>
    </row>
    <row r="34" customFormat="false" ht="15" hidden="false" customHeight="true" outlineLevel="0" collapsed="false">
      <c r="A34" s="24" t="s">
        <v>186</v>
      </c>
      <c r="B34" s="32" t="s">
        <v>8211</v>
      </c>
      <c r="C34" s="32" t="s">
        <v>3501</v>
      </c>
      <c r="D34" s="22" t="s">
        <v>3363</v>
      </c>
      <c r="E34" s="22"/>
      <c r="F34" s="22"/>
      <c r="G34" s="22" t="s">
        <v>241</v>
      </c>
      <c r="H34" s="31" t="s">
        <v>8209</v>
      </c>
      <c r="I34" s="22" t="s">
        <v>8205</v>
      </c>
    </row>
    <row r="35" customFormat="false" ht="15" hidden="false" customHeight="true" outlineLevel="0" collapsed="false">
      <c r="A35" s="24" t="s">
        <v>186</v>
      </c>
      <c r="B35" s="32" t="s">
        <v>8212</v>
      </c>
      <c r="C35" s="32" t="s">
        <v>3509</v>
      </c>
      <c r="D35" s="22" t="s">
        <v>3363</v>
      </c>
      <c r="E35" s="22"/>
      <c r="F35" s="22"/>
      <c r="G35" s="22" t="s">
        <v>241</v>
      </c>
      <c r="H35" s="31" t="s">
        <v>8209</v>
      </c>
      <c r="I35" s="22" t="s">
        <v>8205</v>
      </c>
    </row>
    <row r="36" customFormat="false" ht="15" hidden="false" customHeight="true" outlineLevel="0" collapsed="false">
      <c r="A36" s="24" t="s">
        <v>186</v>
      </c>
      <c r="B36" s="32" t="s">
        <v>8213</v>
      </c>
      <c r="C36" s="32" t="s">
        <v>3504</v>
      </c>
      <c r="D36" s="22" t="s">
        <v>3363</v>
      </c>
      <c r="E36" s="22"/>
      <c r="F36" s="22"/>
      <c r="G36" s="22" t="s">
        <v>241</v>
      </c>
      <c r="H36" s="31" t="s">
        <v>8209</v>
      </c>
      <c r="I36" s="22" t="s">
        <v>8205</v>
      </c>
    </row>
    <row r="37" customFormat="false" ht="37.5" hidden="false" customHeight="true" outlineLevel="0" collapsed="false">
      <c r="A37" s="24" t="s">
        <v>186</v>
      </c>
      <c r="B37" s="32" t="s">
        <v>8214</v>
      </c>
      <c r="C37" s="32" t="s">
        <v>8215</v>
      </c>
      <c r="D37" s="22" t="s">
        <v>8185</v>
      </c>
      <c r="E37" s="22"/>
      <c r="F37" s="22" t="s">
        <v>8216</v>
      </c>
      <c r="G37" s="22" t="s">
        <v>241</v>
      </c>
      <c r="H37" s="31" t="s">
        <v>8209</v>
      </c>
      <c r="I37" s="22" t="s">
        <v>8205</v>
      </c>
    </row>
    <row r="38" customFormat="false" ht="24.75" hidden="false" customHeight="true" outlineLevel="0" collapsed="false">
      <c r="A38" s="24" t="s">
        <v>185</v>
      </c>
      <c r="B38" s="32" t="s">
        <v>4350</v>
      </c>
      <c r="C38" s="32" t="s">
        <v>4350</v>
      </c>
      <c r="D38" s="22" t="s">
        <v>7784</v>
      </c>
      <c r="E38" s="22" t="s">
        <v>7785</v>
      </c>
      <c r="F38" s="22" t="s">
        <v>8217</v>
      </c>
      <c r="G38" s="22" t="s">
        <v>241</v>
      </c>
      <c r="H38" s="35" t="s">
        <v>8132</v>
      </c>
      <c r="I38" s="22"/>
    </row>
    <row r="39" customFormat="false" ht="24.75" hidden="false" customHeight="true" outlineLevel="0" collapsed="false">
      <c r="A39" s="24" t="s">
        <v>185</v>
      </c>
      <c r="B39" s="32" t="s">
        <v>5122</v>
      </c>
      <c r="C39" s="32" t="s">
        <v>5122</v>
      </c>
      <c r="D39" s="22" t="s">
        <v>8185</v>
      </c>
      <c r="E39" s="22" t="s">
        <v>7713</v>
      </c>
      <c r="F39" s="22" t="s">
        <v>7714</v>
      </c>
      <c r="G39" s="22" t="s">
        <v>8218</v>
      </c>
      <c r="H39" s="35" t="s">
        <v>8132</v>
      </c>
      <c r="I39" s="22"/>
    </row>
    <row r="40" customFormat="false" ht="15" hidden="false" customHeight="true" outlineLevel="0" collapsed="false">
      <c r="A40" s="24" t="s">
        <v>185</v>
      </c>
      <c r="B40" s="32" t="s">
        <v>7787</v>
      </c>
      <c r="C40" s="32" t="s">
        <v>7787</v>
      </c>
      <c r="D40" s="22" t="s">
        <v>7784</v>
      </c>
      <c r="E40" s="22" t="s">
        <v>3713</v>
      </c>
      <c r="F40" s="22" t="s">
        <v>8219</v>
      </c>
      <c r="G40" s="22" t="s">
        <v>8220</v>
      </c>
      <c r="H40" s="35" t="s">
        <v>8132</v>
      </c>
      <c r="I40" s="22"/>
    </row>
    <row r="41" customFormat="false" ht="15" hidden="false" customHeight="true" outlineLevel="0" collapsed="false">
      <c r="A41" s="24" t="s">
        <v>185</v>
      </c>
      <c r="B41" s="32" t="s">
        <v>7789</v>
      </c>
      <c r="C41" s="32" t="s">
        <v>7789</v>
      </c>
      <c r="D41" s="22" t="s">
        <v>7784</v>
      </c>
      <c r="E41" s="22" t="s">
        <v>3713</v>
      </c>
      <c r="F41" s="22" t="s">
        <v>8221</v>
      </c>
      <c r="G41" s="22" t="s">
        <v>241</v>
      </c>
      <c r="H41" s="35" t="s">
        <v>8132</v>
      </c>
      <c r="I41" s="22"/>
    </row>
    <row r="42" customFormat="false" ht="15" hidden="false" customHeight="true" outlineLevel="0" collapsed="false">
      <c r="A42" s="24" t="s">
        <v>185</v>
      </c>
      <c r="B42" s="32" t="s">
        <v>7791</v>
      </c>
      <c r="C42" s="32" t="s">
        <v>7791</v>
      </c>
      <c r="D42" s="22" t="s">
        <v>7784</v>
      </c>
      <c r="E42" s="22" t="s">
        <v>3713</v>
      </c>
      <c r="F42" s="22" t="s">
        <v>8222</v>
      </c>
      <c r="G42" s="22" t="s">
        <v>241</v>
      </c>
      <c r="H42" s="35" t="s">
        <v>8132</v>
      </c>
      <c r="I42" s="22"/>
    </row>
    <row r="43" customFormat="false" ht="15" hidden="false" customHeight="true" outlineLevel="0" collapsed="false">
      <c r="A43" s="24" t="s">
        <v>185</v>
      </c>
      <c r="B43" s="32" t="s">
        <v>7793</v>
      </c>
      <c r="C43" s="32" t="s">
        <v>7793</v>
      </c>
      <c r="D43" s="22" t="s">
        <v>7784</v>
      </c>
      <c r="E43" s="22" t="s">
        <v>3713</v>
      </c>
      <c r="F43" s="22" t="s">
        <v>8223</v>
      </c>
      <c r="G43" s="22" t="s">
        <v>241</v>
      </c>
      <c r="H43" s="35" t="s">
        <v>8132</v>
      </c>
      <c r="I43" s="22"/>
    </row>
    <row r="44" customFormat="false" ht="15" hidden="false" customHeight="true" outlineLevel="0" collapsed="false">
      <c r="A44" s="24" t="s">
        <v>185</v>
      </c>
      <c r="B44" s="32" t="s">
        <v>7795</v>
      </c>
      <c r="C44" s="32" t="s">
        <v>7795</v>
      </c>
      <c r="D44" s="22" t="s">
        <v>7784</v>
      </c>
      <c r="E44" s="22" t="s">
        <v>3713</v>
      </c>
      <c r="F44" s="22" t="s">
        <v>8224</v>
      </c>
      <c r="G44" s="22" t="s">
        <v>241</v>
      </c>
      <c r="H44" s="35" t="s">
        <v>8132</v>
      </c>
      <c r="I44" s="22"/>
    </row>
    <row r="45" customFormat="false" ht="15" hidden="false" customHeight="true" outlineLevel="0" collapsed="false">
      <c r="A45" s="24" t="s">
        <v>186</v>
      </c>
      <c r="B45" s="32" t="s">
        <v>8225</v>
      </c>
      <c r="C45" s="32" t="s">
        <v>8226</v>
      </c>
      <c r="D45" s="22" t="s">
        <v>3363</v>
      </c>
      <c r="E45" s="22" t="s">
        <v>7754</v>
      </c>
      <c r="F45" s="22"/>
      <c r="G45" s="22" t="s">
        <v>266</v>
      </c>
      <c r="H45" s="35" t="s">
        <v>8132</v>
      </c>
      <c r="I45" s="22"/>
    </row>
    <row r="46" customFormat="false" ht="15" hidden="false" customHeight="true" outlineLevel="0" collapsed="false">
      <c r="A46" s="24" t="s">
        <v>186</v>
      </c>
      <c r="B46" s="32" t="s">
        <v>8227</v>
      </c>
      <c r="C46" s="32" t="s">
        <v>3530</v>
      </c>
      <c r="D46" s="22" t="s">
        <v>3363</v>
      </c>
      <c r="E46" s="22"/>
      <c r="F46" s="22"/>
      <c r="G46" s="22" t="s">
        <v>266</v>
      </c>
      <c r="H46" s="35" t="s">
        <v>8132</v>
      </c>
      <c r="I46" s="22" t="s">
        <v>8205</v>
      </c>
    </row>
    <row r="47" customFormat="false" ht="15" hidden="false" customHeight="true" outlineLevel="0" collapsed="false">
      <c r="A47" s="24" t="s">
        <v>186</v>
      </c>
      <c r="B47" s="32" t="s">
        <v>8228</v>
      </c>
      <c r="C47" s="32" t="s">
        <v>3533</v>
      </c>
      <c r="D47" s="22" t="s">
        <v>3363</v>
      </c>
      <c r="E47" s="22"/>
      <c r="F47" s="22"/>
      <c r="G47" s="22" t="s">
        <v>266</v>
      </c>
      <c r="H47" s="35" t="s">
        <v>8132</v>
      </c>
      <c r="I47" s="22" t="s">
        <v>8205</v>
      </c>
    </row>
    <row r="48" customFormat="false" ht="37.5" hidden="false" customHeight="true" outlineLevel="0" collapsed="false">
      <c r="A48" s="24" t="s">
        <v>185</v>
      </c>
      <c r="B48" s="32" t="s">
        <v>7797</v>
      </c>
      <c r="C48" s="32" t="s">
        <v>7797</v>
      </c>
      <c r="D48" s="22" t="s">
        <v>7784</v>
      </c>
      <c r="E48" s="22" t="s">
        <v>7798</v>
      </c>
      <c r="F48" s="22" t="s">
        <v>8229</v>
      </c>
      <c r="G48" s="22" t="s">
        <v>266</v>
      </c>
      <c r="H48" s="31" t="s">
        <v>8209</v>
      </c>
      <c r="I48" s="22"/>
    </row>
    <row r="49" customFormat="false" ht="15" hidden="false" customHeight="true" outlineLevel="0" collapsed="false">
      <c r="A49" s="24" t="s">
        <v>186</v>
      </c>
      <c r="B49" s="32" t="s">
        <v>8230</v>
      </c>
      <c r="C49" s="32" t="s">
        <v>3525</v>
      </c>
      <c r="D49" s="22" t="s">
        <v>3363</v>
      </c>
      <c r="E49" s="22" t="s">
        <v>3377</v>
      </c>
      <c r="F49" s="22" t="s">
        <v>8231</v>
      </c>
      <c r="G49" s="22" t="s">
        <v>266</v>
      </c>
      <c r="H49" s="35" t="s">
        <v>8132</v>
      </c>
      <c r="I49" s="22"/>
    </row>
    <row r="50" customFormat="false" ht="15" hidden="false" customHeight="true" outlineLevel="0" collapsed="false">
      <c r="A50" s="24" t="s">
        <v>185</v>
      </c>
      <c r="B50" s="32" t="s">
        <v>8232</v>
      </c>
      <c r="C50" s="32" t="s">
        <v>3857</v>
      </c>
      <c r="D50" s="22" t="s">
        <v>3363</v>
      </c>
      <c r="E50" s="22" t="s">
        <v>3394</v>
      </c>
      <c r="F50" s="22" t="s">
        <v>8159</v>
      </c>
      <c r="G50" s="22" t="s">
        <v>266</v>
      </c>
      <c r="H50" s="35" t="s">
        <v>8132</v>
      </c>
      <c r="I50" s="22" t="s">
        <v>8233</v>
      </c>
    </row>
    <row r="51" customFormat="false" ht="24.75" hidden="false" customHeight="true" outlineLevel="0" collapsed="false">
      <c r="A51" s="24" t="s">
        <v>185</v>
      </c>
      <c r="B51" s="32" t="s">
        <v>8234</v>
      </c>
      <c r="C51" s="32" t="s">
        <v>7715</v>
      </c>
      <c r="D51" s="22" t="s">
        <v>8185</v>
      </c>
      <c r="E51" s="22" t="s">
        <v>3359</v>
      </c>
      <c r="F51" s="22" t="s">
        <v>7716</v>
      </c>
      <c r="G51" s="22" t="s">
        <v>266</v>
      </c>
      <c r="H51" s="35" t="s">
        <v>8132</v>
      </c>
      <c r="I51" s="22"/>
    </row>
    <row r="52" customFormat="false" ht="15" hidden="false" customHeight="true" outlineLevel="0" collapsed="false">
      <c r="A52" s="24" t="s">
        <v>186</v>
      </c>
      <c r="B52" s="32" t="s">
        <v>8235</v>
      </c>
      <c r="C52" s="32" t="s">
        <v>3543</v>
      </c>
      <c r="D52" s="22" t="s">
        <v>3363</v>
      </c>
      <c r="E52" s="22" t="s">
        <v>3359</v>
      </c>
      <c r="F52" s="22" t="s">
        <v>8236</v>
      </c>
      <c r="G52" s="22" t="s">
        <v>266</v>
      </c>
      <c r="H52" s="35" t="s">
        <v>8132</v>
      </c>
      <c r="I52" s="22"/>
    </row>
    <row r="53" customFormat="false" ht="15" hidden="false" customHeight="true" outlineLevel="0" collapsed="false">
      <c r="A53" s="24" t="s">
        <v>185</v>
      </c>
      <c r="B53" s="32" t="s">
        <v>8237</v>
      </c>
      <c r="C53" s="32" t="s">
        <v>7717</v>
      </c>
      <c r="D53" s="22" t="s">
        <v>8185</v>
      </c>
      <c r="E53" s="22" t="s">
        <v>3389</v>
      </c>
      <c r="F53" s="22" t="s">
        <v>7718</v>
      </c>
      <c r="G53" s="22" t="s">
        <v>266</v>
      </c>
      <c r="H53" s="35" t="s">
        <v>8132</v>
      </c>
      <c r="I53" s="22"/>
    </row>
    <row r="54" customFormat="false" ht="15" hidden="false" customHeight="true" outlineLevel="0" collapsed="false">
      <c r="A54" s="24" t="s">
        <v>186</v>
      </c>
      <c r="B54" s="32" t="s">
        <v>8238</v>
      </c>
      <c r="C54" s="32" t="s">
        <v>3548</v>
      </c>
      <c r="D54" s="22" t="s">
        <v>3363</v>
      </c>
      <c r="E54" s="22" t="s">
        <v>3389</v>
      </c>
      <c r="F54" s="22" t="s">
        <v>8239</v>
      </c>
      <c r="G54" s="22" t="s">
        <v>266</v>
      </c>
      <c r="H54" s="35" t="s">
        <v>8132</v>
      </c>
      <c r="I54" s="22"/>
    </row>
    <row r="55" customFormat="false" ht="15" hidden="false" customHeight="true" outlineLevel="0" collapsed="false">
      <c r="A55" s="24" t="s">
        <v>185</v>
      </c>
      <c r="B55" s="32" t="s">
        <v>4151</v>
      </c>
      <c r="C55" s="32" t="s">
        <v>4151</v>
      </c>
      <c r="D55" s="22" t="s">
        <v>8185</v>
      </c>
      <c r="E55" s="22" t="s">
        <v>3359</v>
      </c>
      <c r="F55" s="22" t="s">
        <v>7719</v>
      </c>
      <c r="G55" s="22" t="s">
        <v>266</v>
      </c>
      <c r="H55" s="35" t="s">
        <v>8132</v>
      </c>
      <c r="I55" s="22"/>
    </row>
    <row r="56" customFormat="false" ht="15" hidden="false" customHeight="true" outlineLevel="0" collapsed="false">
      <c r="A56" s="24" t="s">
        <v>186</v>
      </c>
      <c r="B56" s="32" t="s">
        <v>8240</v>
      </c>
      <c r="C56" s="32" t="s">
        <v>3538</v>
      </c>
      <c r="D56" s="22" t="s">
        <v>3363</v>
      </c>
      <c r="E56" s="22" t="s">
        <v>3359</v>
      </c>
      <c r="F56" s="22" t="s">
        <v>8241</v>
      </c>
      <c r="G56" s="22" t="s">
        <v>266</v>
      </c>
      <c r="H56" s="35" t="s">
        <v>8132</v>
      </c>
      <c r="I56" s="22"/>
    </row>
    <row r="57" customFormat="false" ht="15" hidden="false" customHeight="true" outlineLevel="0" collapsed="false">
      <c r="A57" s="24" t="s">
        <v>185</v>
      </c>
      <c r="B57" s="32" t="s">
        <v>7158</v>
      </c>
      <c r="C57" s="32" t="s">
        <v>7158</v>
      </c>
      <c r="D57" s="22" t="s">
        <v>3363</v>
      </c>
      <c r="E57" s="22" t="s">
        <v>3359</v>
      </c>
      <c r="F57" s="22" t="s">
        <v>8130</v>
      </c>
      <c r="G57" s="22" t="s">
        <v>295</v>
      </c>
      <c r="H57" s="35" t="s">
        <v>8132</v>
      </c>
      <c r="I57" s="22"/>
    </row>
    <row r="58" customFormat="false" ht="15" hidden="false" customHeight="true" outlineLevel="0" collapsed="false">
      <c r="A58" s="24" t="s">
        <v>186</v>
      </c>
      <c r="B58" s="32" t="s">
        <v>8242</v>
      </c>
      <c r="C58" s="32" t="s">
        <v>8243</v>
      </c>
      <c r="D58" s="22" t="s">
        <v>3363</v>
      </c>
      <c r="E58" s="22" t="s">
        <v>7754</v>
      </c>
      <c r="F58" s="22"/>
      <c r="G58" s="22" t="s">
        <v>8244</v>
      </c>
      <c r="H58" s="35" t="s">
        <v>8132</v>
      </c>
      <c r="I58" s="22"/>
    </row>
    <row r="59" customFormat="false" ht="15" hidden="false" customHeight="true" outlineLevel="0" collapsed="false">
      <c r="A59" s="24" t="s">
        <v>186</v>
      </c>
      <c r="B59" s="32" t="s">
        <v>8245</v>
      </c>
      <c r="C59" s="32" t="s">
        <v>3577</v>
      </c>
      <c r="D59" s="22" t="s">
        <v>3363</v>
      </c>
      <c r="E59" s="22"/>
      <c r="F59" s="22"/>
      <c r="G59" s="22" t="s">
        <v>8244</v>
      </c>
      <c r="H59" s="35" t="s">
        <v>8132</v>
      </c>
      <c r="I59" s="22" t="s">
        <v>8205</v>
      </c>
    </row>
    <row r="60" customFormat="false" ht="15" hidden="false" customHeight="true" outlineLevel="0" collapsed="false">
      <c r="A60" s="24" t="s">
        <v>186</v>
      </c>
      <c r="B60" s="32" t="s">
        <v>8246</v>
      </c>
      <c r="C60" s="32" t="s">
        <v>3585</v>
      </c>
      <c r="D60" s="22" t="s">
        <v>3363</v>
      </c>
      <c r="E60" s="22"/>
      <c r="F60" s="22"/>
      <c r="G60" s="22" t="s">
        <v>8244</v>
      </c>
      <c r="H60" s="35" t="s">
        <v>8132</v>
      </c>
      <c r="I60" s="22" t="s">
        <v>8205</v>
      </c>
    </row>
    <row r="61" customFormat="false" ht="15" hidden="false" customHeight="true" outlineLevel="0" collapsed="false">
      <c r="A61" s="24" t="s">
        <v>186</v>
      </c>
      <c r="B61" s="32" t="s">
        <v>8247</v>
      </c>
      <c r="C61" s="32" t="s">
        <v>3580</v>
      </c>
      <c r="D61" s="22" t="s">
        <v>3363</v>
      </c>
      <c r="E61" s="22"/>
      <c r="F61" s="22"/>
      <c r="G61" s="22" t="s">
        <v>8244</v>
      </c>
      <c r="H61" s="35" t="s">
        <v>8132</v>
      </c>
      <c r="I61" s="22" t="s">
        <v>8205</v>
      </c>
    </row>
    <row r="62" customFormat="false" ht="24.75" hidden="false" customHeight="true" outlineLevel="0" collapsed="false">
      <c r="A62" s="24" t="s">
        <v>186</v>
      </c>
      <c r="B62" s="32" t="s">
        <v>8248</v>
      </c>
      <c r="C62" s="32" t="s">
        <v>8249</v>
      </c>
      <c r="D62" s="22" t="s">
        <v>7784</v>
      </c>
      <c r="E62" s="22"/>
      <c r="F62" s="22" t="s">
        <v>8250</v>
      </c>
      <c r="G62" s="22" t="s">
        <v>8244</v>
      </c>
      <c r="H62" s="35" t="s">
        <v>8132</v>
      </c>
      <c r="I62" s="22" t="s">
        <v>8205</v>
      </c>
    </row>
    <row r="63" customFormat="false" ht="24.75" hidden="false" customHeight="true" outlineLevel="0" collapsed="false">
      <c r="A63" s="24" t="s">
        <v>185</v>
      </c>
      <c r="B63" s="32" t="s">
        <v>4103</v>
      </c>
      <c r="C63" s="32" t="s">
        <v>6633</v>
      </c>
      <c r="D63" s="22" t="s">
        <v>3363</v>
      </c>
      <c r="E63" s="22" t="s">
        <v>3359</v>
      </c>
      <c r="F63" s="22" t="s">
        <v>8137</v>
      </c>
      <c r="G63" s="22" t="s">
        <v>295</v>
      </c>
      <c r="H63" s="35" t="s">
        <v>8132</v>
      </c>
      <c r="I63" s="22" t="s">
        <v>8251</v>
      </c>
    </row>
    <row r="64" customFormat="false" ht="24.75" hidden="false" customHeight="true" outlineLevel="0" collapsed="false">
      <c r="A64" s="24" t="s">
        <v>185</v>
      </c>
      <c r="B64" s="32" t="s">
        <v>4106</v>
      </c>
      <c r="C64" s="32" t="s">
        <v>4106</v>
      </c>
      <c r="D64" s="22" t="s">
        <v>7784</v>
      </c>
      <c r="E64" s="22" t="s">
        <v>7800</v>
      </c>
      <c r="F64" s="22" t="s">
        <v>8252</v>
      </c>
      <c r="G64" s="22" t="s">
        <v>295</v>
      </c>
      <c r="H64" s="35" t="s">
        <v>8132</v>
      </c>
      <c r="I64" s="22"/>
    </row>
    <row r="65" customFormat="false" ht="24.75" hidden="false" customHeight="true" outlineLevel="0" collapsed="false">
      <c r="A65" s="24" t="s">
        <v>185</v>
      </c>
      <c r="B65" s="32" t="s">
        <v>4109</v>
      </c>
      <c r="C65" s="32" t="s">
        <v>6625</v>
      </c>
      <c r="D65" s="22" t="s">
        <v>3363</v>
      </c>
      <c r="E65" s="22" t="s">
        <v>3389</v>
      </c>
      <c r="F65" s="22" t="s">
        <v>8150</v>
      </c>
      <c r="G65" s="22" t="s">
        <v>295</v>
      </c>
      <c r="H65" s="35" t="s">
        <v>8132</v>
      </c>
      <c r="I65" s="22" t="s">
        <v>8251</v>
      </c>
    </row>
    <row r="66" customFormat="false" ht="15" hidden="false" customHeight="true" outlineLevel="0" collapsed="false">
      <c r="A66" s="24" t="s">
        <v>186</v>
      </c>
      <c r="B66" s="32" t="s">
        <v>8253</v>
      </c>
      <c r="C66" s="32" t="s">
        <v>3589</v>
      </c>
      <c r="D66" s="22" t="s">
        <v>3363</v>
      </c>
      <c r="E66" s="22" t="s">
        <v>3389</v>
      </c>
      <c r="F66" s="22" t="s">
        <v>8254</v>
      </c>
      <c r="G66" s="22" t="s">
        <v>295</v>
      </c>
      <c r="H66" s="35" t="s">
        <v>8132</v>
      </c>
      <c r="I66" s="22"/>
    </row>
    <row r="67" customFormat="false" ht="24.75" hidden="false" customHeight="true" outlineLevel="0" collapsed="false">
      <c r="A67" s="24" t="s">
        <v>185</v>
      </c>
      <c r="B67" s="32" t="s">
        <v>8255</v>
      </c>
      <c r="C67" s="32" t="s">
        <v>3850</v>
      </c>
      <c r="D67" s="22" t="s">
        <v>3363</v>
      </c>
      <c r="E67" s="22" t="s">
        <v>3394</v>
      </c>
      <c r="F67" s="22" t="s">
        <v>8153</v>
      </c>
      <c r="G67" s="22" t="s">
        <v>295</v>
      </c>
      <c r="H67" s="35" t="s">
        <v>8132</v>
      </c>
      <c r="I67" s="22" t="s">
        <v>8251</v>
      </c>
    </row>
    <row r="68" customFormat="false" ht="62.25" hidden="false" customHeight="true" outlineLevel="0" collapsed="false">
      <c r="A68" s="24" t="s">
        <v>186</v>
      </c>
      <c r="B68" s="32" t="s">
        <v>8256</v>
      </c>
      <c r="C68" s="32" t="s">
        <v>8257</v>
      </c>
      <c r="D68" s="22" t="s">
        <v>3363</v>
      </c>
      <c r="E68" s="22" t="s">
        <v>7754</v>
      </c>
      <c r="F68" s="22"/>
      <c r="G68" s="22" t="s">
        <v>323</v>
      </c>
      <c r="H68" s="31" t="s">
        <v>8209</v>
      </c>
      <c r="I68" s="22" t="s">
        <v>8258</v>
      </c>
    </row>
    <row r="69" customFormat="false" ht="15" hidden="false" customHeight="true" outlineLevel="0" collapsed="false">
      <c r="A69" s="24" t="s">
        <v>186</v>
      </c>
      <c r="B69" s="32" t="s">
        <v>8259</v>
      </c>
      <c r="C69" s="32" t="s">
        <v>3644</v>
      </c>
      <c r="D69" s="22" t="s">
        <v>3363</v>
      </c>
      <c r="E69" s="22"/>
      <c r="F69" s="22"/>
      <c r="G69" s="22" t="s">
        <v>323</v>
      </c>
      <c r="H69" s="31" t="s">
        <v>8209</v>
      </c>
      <c r="I69" s="22" t="s">
        <v>8205</v>
      </c>
    </row>
    <row r="70" customFormat="false" ht="24.75" hidden="false" customHeight="true" outlineLevel="0" collapsed="false">
      <c r="A70" s="24" t="s">
        <v>186</v>
      </c>
      <c r="B70" s="32" t="s">
        <v>8260</v>
      </c>
      <c r="C70" s="32" t="s">
        <v>3381</v>
      </c>
      <c r="D70" s="22" t="s">
        <v>3363</v>
      </c>
      <c r="E70" s="22"/>
      <c r="F70" s="22" t="s">
        <v>8261</v>
      </c>
      <c r="G70" s="22" t="s">
        <v>323</v>
      </c>
      <c r="H70" s="31" t="s">
        <v>8209</v>
      </c>
      <c r="I70" s="22" t="s">
        <v>8205</v>
      </c>
    </row>
    <row r="71" customFormat="false" ht="15" hidden="false" customHeight="true" outlineLevel="0" collapsed="false">
      <c r="A71" s="24" t="s">
        <v>186</v>
      </c>
      <c r="B71" s="32" t="s">
        <v>8262</v>
      </c>
      <c r="C71" s="32" t="s">
        <v>3369</v>
      </c>
      <c r="D71" s="22" t="s">
        <v>3363</v>
      </c>
      <c r="E71" s="22"/>
      <c r="F71" s="22" t="s">
        <v>8263</v>
      </c>
      <c r="G71" s="22" t="s">
        <v>323</v>
      </c>
      <c r="H71" s="31" t="s">
        <v>8209</v>
      </c>
      <c r="I71" s="22" t="s">
        <v>8205</v>
      </c>
    </row>
    <row r="72" customFormat="false" ht="15" hidden="false" customHeight="true" outlineLevel="0" collapsed="false">
      <c r="A72" s="24" t="s">
        <v>185</v>
      </c>
      <c r="B72" s="32" t="s">
        <v>4087</v>
      </c>
      <c r="C72" s="32" t="s">
        <v>4087</v>
      </c>
      <c r="D72" s="22" t="s">
        <v>3363</v>
      </c>
      <c r="E72" s="22" t="s">
        <v>3359</v>
      </c>
      <c r="F72" s="22" t="s">
        <v>8264</v>
      </c>
      <c r="G72" s="22" t="s">
        <v>323</v>
      </c>
      <c r="H72" s="35" t="s">
        <v>8132</v>
      </c>
      <c r="I72" s="22"/>
    </row>
    <row r="73" customFormat="false" ht="37.5" hidden="false" customHeight="true" outlineLevel="0" collapsed="false">
      <c r="A73" s="24" t="s">
        <v>186</v>
      </c>
      <c r="B73" s="32" t="s">
        <v>8265</v>
      </c>
      <c r="C73" s="32" t="s">
        <v>7802</v>
      </c>
      <c r="D73" s="22" t="s">
        <v>7784</v>
      </c>
      <c r="E73" s="22" t="s">
        <v>7754</v>
      </c>
      <c r="F73" s="22" t="s">
        <v>8266</v>
      </c>
      <c r="G73" s="22" t="s">
        <v>323</v>
      </c>
      <c r="H73" s="31" t="s">
        <v>8209</v>
      </c>
      <c r="I73" s="22" t="s">
        <v>8267</v>
      </c>
    </row>
    <row r="74" customFormat="false" ht="24.75" hidden="false" customHeight="true" outlineLevel="0" collapsed="false">
      <c r="A74" s="24" t="s">
        <v>186</v>
      </c>
      <c r="B74" s="32" t="s">
        <v>8268</v>
      </c>
      <c r="C74" s="32" t="s">
        <v>3445</v>
      </c>
      <c r="D74" s="22" t="s">
        <v>3363</v>
      </c>
      <c r="E74" s="22"/>
      <c r="F74" s="22" t="s">
        <v>8269</v>
      </c>
      <c r="G74" s="22" t="s">
        <v>323</v>
      </c>
      <c r="H74" s="31" t="s">
        <v>8209</v>
      </c>
      <c r="I74" s="22" t="s">
        <v>8205</v>
      </c>
    </row>
    <row r="75" customFormat="false" ht="15" hidden="false" customHeight="true" outlineLevel="0" collapsed="false">
      <c r="A75" s="24" t="s">
        <v>186</v>
      </c>
      <c r="B75" s="32" t="s">
        <v>8270</v>
      </c>
      <c r="C75" s="32" t="s">
        <v>8271</v>
      </c>
      <c r="D75" s="22" t="s">
        <v>3363</v>
      </c>
      <c r="E75" s="22"/>
      <c r="F75" s="22" t="s">
        <v>8272</v>
      </c>
      <c r="G75" s="22" t="s">
        <v>323</v>
      </c>
      <c r="H75" s="31" t="s">
        <v>8209</v>
      </c>
      <c r="I75" s="22" t="s">
        <v>8205</v>
      </c>
    </row>
    <row r="76" customFormat="false" ht="15" hidden="false" customHeight="true" outlineLevel="0" collapsed="false">
      <c r="A76" s="24" t="s">
        <v>186</v>
      </c>
      <c r="B76" s="32" t="s">
        <v>8273</v>
      </c>
      <c r="C76" s="32" t="s">
        <v>3369</v>
      </c>
      <c r="D76" s="22" t="s">
        <v>3363</v>
      </c>
      <c r="E76" s="22"/>
      <c r="F76" s="22" t="s">
        <v>8274</v>
      </c>
      <c r="G76" s="22" t="s">
        <v>323</v>
      </c>
      <c r="H76" s="31" t="s">
        <v>8209</v>
      </c>
      <c r="I76" s="22" t="s">
        <v>8205</v>
      </c>
    </row>
    <row r="77" customFormat="false" ht="37.5" hidden="false" customHeight="true" outlineLevel="0" collapsed="false">
      <c r="A77" s="24" t="s">
        <v>185</v>
      </c>
      <c r="B77" s="32" t="s">
        <v>8275</v>
      </c>
      <c r="C77" s="32" t="s">
        <v>7804</v>
      </c>
      <c r="D77" s="22" t="s">
        <v>7784</v>
      </c>
      <c r="E77" s="22" t="s">
        <v>7754</v>
      </c>
      <c r="F77" s="22" t="s">
        <v>8276</v>
      </c>
      <c r="G77" s="22" t="s">
        <v>323</v>
      </c>
      <c r="H77" s="31" t="s">
        <v>8209</v>
      </c>
      <c r="I77" s="22"/>
    </row>
    <row r="78" customFormat="false" ht="15" hidden="false" customHeight="true" outlineLevel="0" collapsed="false">
      <c r="A78" s="24" t="s">
        <v>185</v>
      </c>
      <c r="B78" s="32" t="s">
        <v>8277</v>
      </c>
      <c r="C78" s="32" t="s">
        <v>7158</v>
      </c>
      <c r="D78" s="22" t="s">
        <v>3363</v>
      </c>
      <c r="E78" s="22"/>
      <c r="F78" s="22"/>
      <c r="G78" s="22" t="s">
        <v>323</v>
      </c>
      <c r="H78" s="31" t="s">
        <v>8209</v>
      </c>
      <c r="I78" s="22" t="s">
        <v>8205</v>
      </c>
    </row>
    <row r="79" customFormat="false" ht="15" hidden="false" customHeight="true" outlineLevel="0" collapsed="false">
      <c r="A79" s="24" t="s">
        <v>185</v>
      </c>
      <c r="B79" s="32" t="s">
        <v>8278</v>
      </c>
      <c r="C79" s="32" t="s">
        <v>3857</v>
      </c>
      <c r="D79" s="22" t="s">
        <v>3363</v>
      </c>
      <c r="E79" s="22"/>
      <c r="F79" s="22"/>
      <c r="G79" s="22" t="s">
        <v>323</v>
      </c>
      <c r="H79" s="31" t="s">
        <v>8209</v>
      </c>
      <c r="I79" s="22" t="s">
        <v>8205</v>
      </c>
    </row>
    <row r="80" customFormat="false" ht="15" hidden="false" customHeight="true" outlineLevel="0" collapsed="false">
      <c r="A80" s="24" t="s">
        <v>185</v>
      </c>
      <c r="B80" s="32" t="s">
        <v>8279</v>
      </c>
      <c r="C80" s="32" t="s">
        <v>8280</v>
      </c>
      <c r="D80" s="22" t="s">
        <v>3363</v>
      </c>
      <c r="E80" s="22"/>
      <c r="F80" s="22"/>
      <c r="G80" s="22" t="s">
        <v>323</v>
      </c>
      <c r="H80" s="31" t="s">
        <v>8209</v>
      </c>
      <c r="I80" s="22" t="s">
        <v>8205</v>
      </c>
    </row>
    <row r="81" customFormat="false" ht="24.75" hidden="false" customHeight="true" outlineLevel="0" collapsed="false">
      <c r="A81" s="24" t="s">
        <v>186</v>
      </c>
      <c r="B81" s="32" t="s">
        <v>7806</v>
      </c>
      <c r="C81" s="32" t="s">
        <v>7806</v>
      </c>
      <c r="D81" s="22" t="s">
        <v>7784</v>
      </c>
      <c r="E81" s="22" t="s">
        <v>3389</v>
      </c>
      <c r="F81" s="22" t="s">
        <v>8281</v>
      </c>
      <c r="G81" s="22" t="s">
        <v>323</v>
      </c>
      <c r="H81" s="35" t="s">
        <v>8132</v>
      </c>
      <c r="I81" s="22"/>
    </row>
    <row r="82" customFormat="false" ht="15" hidden="false" customHeight="true" outlineLevel="0" collapsed="false">
      <c r="A82" s="24" t="s">
        <v>186</v>
      </c>
      <c r="B82" s="32" t="s">
        <v>3356</v>
      </c>
      <c r="C82" s="32" t="s">
        <v>3356</v>
      </c>
      <c r="D82" s="22" t="s">
        <v>3363</v>
      </c>
      <c r="E82" s="22" t="s">
        <v>3359</v>
      </c>
      <c r="F82" s="22" t="s">
        <v>8282</v>
      </c>
      <c r="G82" s="22" t="s">
        <v>8283</v>
      </c>
      <c r="H82" s="35" t="s">
        <v>8132</v>
      </c>
      <c r="I82" s="22"/>
    </row>
    <row r="83" customFormat="false" ht="24.75" hidden="false" customHeight="true" outlineLevel="0" collapsed="false">
      <c r="A83" s="24" t="s">
        <v>270</v>
      </c>
      <c r="B83" s="32" t="s">
        <v>3356</v>
      </c>
      <c r="C83" s="32" t="s">
        <v>3356</v>
      </c>
      <c r="D83" s="22" t="s">
        <v>3363</v>
      </c>
      <c r="E83" s="22" t="s">
        <v>3359</v>
      </c>
      <c r="F83" s="22" t="s">
        <v>8284</v>
      </c>
      <c r="G83" s="22" t="s">
        <v>8285</v>
      </c>
      <c r="H83" s="35" t="s">
        <v>8132</v>
      </c>
      <c r="I83" s="22"/>
    </row>
    <row r="84" customFormat="false" ht="24.75" hidden="false" customHeight="true" outlineLevel="0" collapsed="false">
      <c r="A84" s="24" t="s">
        <v>186</v>
      </c>
      <c r="B84" s="32" t="s">
        <v>3874</v>
      </c>
      <c r="C84" s="32" t="s">
        <v>3364</v>
      </c>
      <c r="D84" s="22" t="s">
        <v>3363</v>
      </c>
      <c r="E84" s="22" t="s">
        <v>3359</v>
      </c>
      <c r="F84" s="22" t="s">
        <v>8286</v>
      </c>
      <c r="G84" s="22" t="s">
        <v>8287</v>
      </c>
      <c r="H84" s="35" t="s">
        <v>8132</v>
      </c>
      <c r="I84" s="22" t="s">
        <v>8288</v>
      </c>
    </row>
    <row r="85" customFormat="false" ht="62.25" hidden="false" customHeight="true" outlineLevel="0" collapsed="false">
      <c r="A85" s="24" t="s">
        <v>270</v>
      </c>
      <c r="B85" s="32" t="s">
        <v>3874</v>
      </c>
      <c r="C85" s="32" t="s">
        <v>3364</v>
      </c>
      <c r="D85" s="22" t="s">
        <v>3363</v>
      </c>
      <c r="E85" s="22" t="s">
        <v>3359</v>
      </c>
      <c r="F85" s="22" t="s">
        <v>8289</v>
      </c>
      <c r="G85" s="22" t="s">
        <v>8290</v>
      </c>
      <c r="H85" s="35" t="s">
        <v>8132</v>
      </c>
      <c r="I85" s="22"/>
    </row>
    <row r="86" customFormat="false" ht="15" hidden="false" customHeight="true" outlineLevel="0" collapsed="false">
      <c r="A86" s="24" t="s">
        <v>385</v>
      </c>
      <c r="B86" s="32" t="s">
        <v>4046</v>
      </c>
      <c r="C86" s="32" t="s">
        <v>5141</v>
      </c>
      <c r="D86" s="22" t="s">
        <v>3363</v>
      </c>
      <c r="E86" s="22" t="s">
        <v>3359</v>
      </c>
      <c r="F86" s="22" t="s">
        <v>8291</v>
      </c>
      <c r="G86" s="22" t="s">
        <v>381</v>
      </c>
      <c r="H86" s="35" t="s">
        <v>8132</v>
      </c>
      <c r="I86" s="22"/>
    </row>
    <row r="87" customFormat="false" ht="15" hidden="false" customHeight="true" outlineLevel="0" collapsed="false">
      <c r="A87" s="24" t="s">
        <v>385</v>
      </c>
      <c r="B87" s="32" t="s">
        <v>5129</v>
      </c>
      <c r="C87" s="32" t="s">
        <v>5129</v>
      </c>
      <c r="D87" s="22" t="s">
        <v>3363</v>
      </c>
      <c r="E87" s="22" t="s">
        <v>3377</v>
      </c>
      <c r="F87" s="22" t="s">
        <v>8292</v>
      </c>
      <c r="G87" s="22" t="s">
        <v>8293</v>
      </c>
      <c r="H87" s="35" t="s">
        <v>8132</v>
      </c>
      <c r="I87" s="22"/>
    </row>
    <row r="88" customFormat="false" ht="37.5" hidden="false" customHeight="true" outlineLevel="0" collapsed="false">
      <c r="A88" s="24" t="s">
        <v>186</v>
      </c>
      <c r="B88" s="32" t="s">
        <v>7808</v>
      </c>
      <c r="C88" s="32" t="s">
        <v>7808</v>
      </c>
      <c r="D88" s="22" t="s">
        <v>7784</v>
      </c>
      <c r="E88" s="22" t="s">
        <v>7809</v>
      </c>
      <c r="F88" s="22" t="s">
        <v>8294</v>
      </c>
      <c r="G88" s="22" t="s">
        <v>381</v>
      </c>
      <c r="H88" s="35" t="s">
        <v>8132</v>
      </c>
      <c r="I88" s="22"/>
    </row>
    <row r="89" customFormat="false" ht="15" hidden="false" customHeight="true" outlineLevel="0" collapsed="false">
      <c r="A89" s="24" t="s">
        <v>385</v>
      </c>
      <c r="B89" s="32" t="s">
        <v>5134</v>
      </c>
      <c r="C89" s="32" t="s">
        <v>5134</v>
      </c>
      <c r="D89" s="22" t="s">
        <v>3363</v>
      </c>
      <c r="E89" s="22" t="s">
        <v>3359</v>
      </c>
      <c r="F89" s="22" t="s">
        <v>8295</v>
      </c>
      <c r="G89" s="22" t="s">
        <v>8293</v>
      </c>
      <c r="H89" s="35" t="s">
        <v>8132</v>
      </c>
      <c r="I89" s="22"/>
    </row>
    <row r="90" customFormat="false" ht="24.75" hidden="false" customHeight="true" outlineLevel="0" collapsed="false">
      <c r="A90" s="24" t="s">
        <v>385</v>
      </c>
      <c r="B90" s="32" t="s">
        <v>7781</v>
      </c>
      <c r="C90" s="32" t="s">
        <v>7781</v>
      </c>
      <c r="D90" s="22" t="s">
        <v>7784</v>
      </c>
      <c r="E90" s="22" t="s">
        <v>7782</v>
      </c>
      <c r="F90" s="22" t="s">
        <v>8296</v>
      </c>
      <c r="G90" s="22" t="s">
        <v>8293</v>
      </c>
      <c r="H90" s="35" t="s">
        <v>8132</v>
      </c>
      <c r="I90" s="22"/>
    </row>
    <row r="91" customFormat="false" ht="15" hidden="false" customHeight="true" outlineLevel="0" collapsed="false">
      <c r="A91" s="24" t="s">
        <v>385</v>
      </c>
      <c r="B91" s="32" t="s">
        <v>4094</v>
      </c>
      <c r="C91" s="32" t="s">
        <v>4094</v>
      </c>
      <c r="D91" s="22" t="s">
        <v>3363</v>
      </c>
      <c r="E91" s="22" t="s">
        <v>3359</v>
      </c>
      <c r="F91" s="22" t="s">
        <v>8297</v>
      </c>
      <c r="G91" s="22" t="s">
        <v>381</v>
      </c>
      <c r="H91" s="35" t="s">
        <v>8132</v>
      </c>
      <c r="I91" s="22"/>
    </row>
    <row r="92" customFormat="false" ht="37.5" hidden="false" customHeight="true" outlineLevel="0" collapsed="false">
      <c r="A92" s="24" t="s">
        <v>186</v>
      </c>
      <c r="B92" s="32" t="s">
        <v>4094</v>
      </c>
      <c r="C92" s="32" t="s">
        <v>3420</v>
      </c>
      <c r="D92" s="22" t="s">
        <v>3363</v>
      </c>
      <c r="E92" s="22" t="s">
        <v>3359</v>
      </c>
      <c r="F92" s="22" t="s">
        <v>8298</v>
      </c>
      <c r="G92" s="22" t="s">
        <v>381</v>
      </c>
      <c r="H92" s="31" t="s">
        <v>8209</v>
      </c>
      <c r="I92" s="22" t="s">
        <v>8299</v>
      </c>
    </row>
    <row r="93" customFormat="false" ht="15" hidden="false" customHeight="true" outlineLevel="0" collapsed="false">
      <c r="A93" s="24" t="s">
        <v>385</v>
      </c>
      <c r="B93" s="32" t="s">
        <v>5155</v>
      </c>
      <c r="C93" s="32" t="s">
        <v>5155</v>
      </c>
      <c r="D93" s="22" t="s">
        <v>3363</v>
      </c>
      <c r="E93" s="22" t="s">
        <v>3359</v>
      </c>
      <c r="F93" s="22" t="s">
        <v>8300</v>
      </c>
      <c r="G93" s="22" t="s">
        <v>381</v>
      </c>
      <c r="H93" s="35" t="s">
        <v>8132</v>
      </c>
      <c r="I93" s="22"/>
    </row>
    <row r="94" customFormat="false" ht="15" hidden="false" customHeight="true" outlineLevel="0" collapsed="false">
      <c r="A94" s="24" t="s">
        <v>385</v>
      </c>
      <c r="B94" s="32" t="s">
        <v>5138</v>
      </c>
      <c r="C94" s="32" t="s">
        <v>5138</v>
      </c>
      <c r="D94" s="22" t="s">
        <v>3363</v>
      </c>
      <c r="E94" s="22" t="s">
        <v>3389</v>
      </c>
      <c r="F94" s="22" t="s">
        <v>8301</v>
      </c>
      <c r="G94" s="22" t="s">
        <v>8293</v>
      </c>
      <c r="H94" s="35" t="s">
        <v>8132</v>
      </c>
      <c r="I94" s="22"/>
    </row>
    <row r="95" customFormat="false" ht="15" hidden="false" customHeight="true" outlineLevel="0" collapsed="false">
      <c r="A95" s="24" t="s">
        <v>385</v>
      </c>
      <c r="B95" s="32" t="s">
        <v>8302</v>
      </c>
      <c r="C95" s="32" t="s">
        <v>5272</v>
      </c>
      <c r="D95" s="22" t="s">
        <v>3363</v>
      </c>
      <c r="E95" s="22" t="s">
        <v>3394</v>
      </c>
      <c r="F95" s="22" t="s">
        <v>8303</v>
      </c>
      <c r="G95" s="22" t="s">
        <v>381</v>
      </c>
      <c r="H95" s="35" t="s">
        <v>8132</v>
      </c>
      <c r="I95" s="22"/>
    </row>
    <row r="96" customFormat="false" ht="15" hidden="false" customHeight="true" outlineLevel="0" collapsed="false">
      <c r="A96" s="24" t="s">
        <v>385</v>
      </c>
      <c r="B96" s="32" t="s">
        <v>8304</v>
      </c>
      <c r="C96" s="32" t="s">
        <v>5242</v>
      </c>
      <c r="D96" s="22" t="s">
        <v>3363</v>
      </c>
      <c r="E96" s="22" t="s">
        <v>3394</v>
      </c>
      <c r="F96" s="22" t="s">
        <v>8305</v>
      </c>
      <c r="G96" s="22" t="s">
        <v>381</v>
      </c>
      <c r="H96" s="35" t="s">
        <v>8132</v>
      </c>
      <c r="I96" s="22"/>
    </row>
    <row r="97" customFormat="false" ht="24.75" hidden="false" customHeight="true" outlineLevel="0" collapsed="false">
      <c r="A97" s="24" t="s">
        <v>385</v>
      </c>
      <c r="B97" s="32" t="s">
        <v>7188</v>
      </c>
      <c r="C97" s="32" t="s">
        <v>5253</v>
      </c>
      <c r="D97" s="22" t="s">
        <v>3363</v>
      </c>
      <c r="E97" s="22" t="s">
        <v>3394</v>
      </c>
      <c r="F97" s="22" t="s">
        <v>8306</v>
      </c>
      <c r="G97" s="22" t="s">
        <v>381</v>
      </c>
      <c r="H97" s="35" t="s">
        <v>8132</v>
      </c>
      <c r="I97" s="22" t="s">
        <v>8307</v>
      </c>
    </row>
    <row r="98" customFormat="false" ht="15" hidden="false" customHeight="true" outlineLevel="0" collapsed="false">
      <c r="A98" s="24" t="s">
        <v>385</v>
      </c>
      <c r="B98" s="32" t="s">
        <v>5492</v>
      </c>
      <c r="C98" s="32" t="s">
        <v>5103</v>
      </c>
      <c r="D98" s="22" t="s">
        <v>3363</v>
      </c>
      <c r="E98" s="22" t="s">
        <v>3377</v>
      </c>
      <c r="F98" s="22" t="s">
        <v>8308</v>
      </c>
      <c r="G98" s="22" t="s">
        <v>381</v>
      </c>
      <c r="H98" s="35" t="s">
        <v>8132</v>
      </c>
      <c r="I98" s="22"/>
    </row>
    <row r="99" customFormat="false" ht="24.75" hidden="false" customHeight="true" outlineLevel="0" collapsed="false">
      <c r="A99" s="24" t="s">
        <v>185</v>
      </c>
      <c r="B99" s="32" t="s">
        <v>5129</v>
      </c>
      <c r="C99" s="32" t="s">
        <v>5129</v>
      </c>
      <c r="D99" s="22" t="s">
        <v>7784</v>
      </c>
      <c r="E99" s="22" t="s">
        <v>3377</v>
      </c>
      <c r="F99" s="22" t="s">
        <v>8309</v>
      </c>
      <c r="G99" s="22" t="s">
        <v>8310</v>
      </c>
      <c r="H99" s="35" t="s">
        <v>8132</v>
      </c>
      <c r="I99" s="22"/>
    </row>
    <row r="100" customFormat="false" ht="15" hidden="false" customHeight="true" outlineLevel="0" collapsed="false">
      <c r="A100" s="24" t="s">
        <v>385</v>
      </c>
      <c r="B100" s="32" t="s">
        <v>5098</v>
      </c>
      <c r="C100" s="32" t="s">
        <v>5098</v>
      </c>
      <c r="D100" s="22" t="s">
        <v>3363</v>
      </c>
      <c r="E100" s="22" t="s">
        <v>3389</v>
      </c>
      <c r="F100" s="22" t="s">
        <v>8311</v>
      </c>
      <c r="G100" s="22" t="s">
        <v>410</v>
      </c>
      <c r="H100" s="35" t="s">
        <v>8132</v>
      </c>
      <c r="I100" s="22"/>
    </row>
    <row r="101" customFormat="false" ht="15" hidden="false" customHeight="true" outlineLevel="0" collapsed="false">
      <c r="A101" s="24" t="s">
        <v>439</v>
      </c>
      <c r="B101" s="32" t="s">
        <v>5134</v>
      </c>
      <c r="C101" s="32" t="s">
        <v>5134</v>
      </c>
      <c r="D101" s="22" t="s">
        <v>3363</v>
      </c>
      <c r="E101" s="22" t="s">
        <v>3359</v>
      </c>
      <c r="F101" s="22" t="s">
        <v>8312</v>
      </c>
      <c r="G101" s="22" t="s">
        <v>435</v>
      </c>
      <c r="H101" s="35" t="s">
        <v>8132</v>
      </c>
      <c r="I101" s="22"/>
    </row>
    <row r="102" customFormat="false" ht="15" hidden="false" customHeight="true" outlineLevel="0" collapsed="false">
      <c r="A102" s="24" t="s">
        <v>439</v>
      </c>
      <c r="B102" s="32" t="s">
        <v>5129</v>
      </c>
      <c r="C102" s="32" t="s">
        <v>5129</v>
      </c>
      <c r="D102" s="22" t="s">
        <v>3363</v>
      </c>
      <c r="E102" s="22" t="s">
        <v>3377</v>
      </c>
      <c r="F102" s="22" t="s">
        <v>8313</v>
      </c>
      <c r="G102" s="22" t="s">
        <v>435</v>
      </c>
      <c r="H102" s="35" t="s">
        <v>8132</v>
      </c>
      <c r="I102" s="22"/>
    </row>
    <row r="103" customFormat="false" ht="15" hidden="false" customHeight="true" outlineLevel="0" collapsed="false">
      <c r="A103" s="24" t="s">
        <v>439</v>
      </c>
      <c r="B103" s="32" t="s">
        <v>5138</v>
      </c>
      <c r="C103" s="32" t="s">
        <v>5138</v>
      </c>
      <c r="D103" s="22" t="s">
        <v>3363</v>
      </c>
      <c r="E103" s="22" t="s">
        <v>3389</v>
      </c>
      <c r="F103" s="22" t="s">
        <v>8314</v>
      </c>
      <c r="G103" s="22" t="s">
        <v>435</v>
      </c>
      <c r="H103" s="35" t="s">
        <v>8132</v>
      </c>
      <c r="I103" s="22"/>
    </row>
    <row r="104" customFormat="false" ht="24.75" hidden="false" customHeight="true" outlineLevel="0" collapsed="false">
      <c r="A104" s="24" t="s">
        <v>439</v>
      </c>
      <c r="B104" s="32" t="s">
        <v>8302</v>
      </c>
      <c r="C104" s="32" t="s">
        <v>5426</v>
      </c>
      <c r="D104" s="22" t="s">
        <v>3363</v>
      </c>
      <c r="E104" s="22" t="s">
        <v>3394</v>
      </c>
      <c r="F104" s="22" t="s">
        <v>8315</v>
      </c>
      <c r="G104" s="22" t="s">
        <v>435</v>
      </c>
      <c r="H104" s="35" t="s">
        <v>8132</v>
      </c>
      <c r="I104" s="22" t="s">
        <v>8316</v>
      </c>
    </row>
    <row r="105" customFormat="false" ht="15" hidden="false" customHeight="true" outlineLevel="0" collapsed="false">
      <c r="A105" s="24" t="s">
        <v>439</v>
      </c>
      <c r="B105" s="32" t="s">
        <v>3857</v>
      </c>
      <c r="C105" s="32" t="s">
        <v>5407</v>
      </c>
      <c r="D105" s="22" t="s">
        <v>3363</v>
      </c>
      <c r="E105" s="22" t="s">
        <v>3394</v>
      </c>
      <c r="F105" s="22" t="s">
        <v>8317</v>
      </c>
      <c r="G105" s="22" t="s">
        <v>435</v>
      </c>
      <c r="H105" s="35" t="s">
        <v>8132</v>
      </c>
      <c r="I105" s="22" t="s">
        <v>8318</v>
      </c>
    </row>
    <row r="106" customFormat="false" ht="15" hidden="false" customHeight="true" outlineLevel="0" collapsed="false">
      <c r="A106" s="24" t="s">
        <v>439</v>
      </c>
      <c r="B106" s="32" t="s">
        <v>5386</v>
      </c>
      <c r="C106" s="32" t="s">
        <v>5386</v>
      </c>
      <c r="D106" s="22" t="s">
        <v>3363</v>
      </c>
      <c r="E106" s="22" t="s">
        <v>3359</v>
      </c>
      <c r="F106" s="22" t="s">
        <v>8319</v>
      </c>
      <c r="G106" s="22" t="s">
        <v>435</v>
      </c>
      <c r="H106" s="35" t="s">
        <v>8132</v>
      </c>
      <c r="I106" s="22"/>
    </row>
    <row r="107" customFormat="false" ht="24.75" hidden="false" customHeight="true" outlineLevel="0" collapsed="false">
      <c r="A107" s="24" t="s">
        <v>185</v>
      </c>
      <c r="B107" s="32" t="s">
        <v>7720</v>
      </c>
      <c r="C107" s="32" t="s">
        <v>7720</v>
      </c>
      <c r="D107" s="22" t="s">
        <v>8185</v>
      </c>
      <c r="E107" s="22" t="s">
        <v>7710</v>
      </c>
      <c r="F107" s="22" t="s">
        <v>7721</v>
      </c>
      <c r="G107" s="22" t="s">
        <v>8320</v>
      </c>
      <c r="H107" s="35" t="s">
        <v>8132</v>
      </c>
      <c r="I107" s="22"/>
    </row>
    <row r="108" customFormat="false" ht="24.75" hidden="false" customHeight="true" outlineLevel="0" collapsed="false">
      <c r="A108" s="24" t="s">
        <v>439</v>
      </c>
      <c r="B108" s="32" t="s">
        <v>8321</v>
      </c>
      <c r="C108" s="32" t="s">
        <v>5400</v>
      </c>
      <c r="D108" s="22" t="s">
        <v>3363</v>
      </c>
      <c r="E108" s="22" t="s">
        <v>3437</v>
      </c>
      <c r="F108" s="22" t="s">
        <v>8322</v>
      </c>
      <c r="G108" s="22" t="s">
        <v>435</v>
      </c>
      <c r="H108" s="31" t="s">
        <v>8209</v>
      </c>
      <c r="I108" s="22" t="s">
        <v>8323</v>
      </c>
    </row>
    <row r="109" customFormat="false" ht="24.75" hidden="false" customHeight="true" outlineLevel="0" collapsed="false">
      <c r="A109" s="24" t="s">
        <v>185</v>
      </c>
      <c r="B109" s="32" t="s">
        <v>7813</v>
      </c>
      <c r="C109" s="32" t="s">
        <v>7813</v>
      </c>
      <c r="D109" s="22" t="s">
        <v>7784</v>
      </c>
      <c r="E109" s="22" t="s">
        <v>7814</v>
      </c>
      <c r="F109" s="22" t="s">
        <v>8324</v>
      </c>
      <c r="G109" s="22" t="s">
        <v>435</v>
      </c>
      <c r="H109" s="35" t="s">
        <v>8132</v>
      </c>
      <c r="I109" s="22"/>
    </row>
    <row r="110" customFormat="false" ht="15" hidden="false" customHeight="true" outlineLevel="0" collapsed="false">
      <c r="A110" s="24" t="s">
        <v>439</v>
      </c>
      <c r="B110" s="32" t="s">
        <v>7813</v>
      </c>
      <c r="C110" s="32" t="s">
        <v>7813</v>
      </c>
      <c r="D110" s="22" t="s">
        <v>7784</v>
      </c>
      <c r="E110" s="22" t="s">
        <v>7814</v>
      </c>
      <c r="F110" s="22" t="s">
        <v>8325</v>
      </c>
      <c r="G110" s="22" t="s">
        <v>435</v>
      </c>
      <c r="H110" s="35" t="s">
        <v>8132</v>
      </c>
      <c r="I110" s="22"/>
    </row>
    <row r="111" customFormat="false" ht="15" hidden="false" customHeight="true" outlineLevel="0" collapsed="false">
      <c r="A111" s="24" t="s">
        <v>186</v>
      </c>
      <c r="B111" s="32" t="s">
        <v>7381</v>
      </c>
      <c r="C111" s="32" t="s">
        <v>8326</v>
      </c>
      <c r="D111" s="22" t="s">
        <v>3363</v>
      </c>
      <c r="E111" s="22" t="s">
        <v>7754</v>
      </c>
      <c r="F111" s="22"/>
      <c r="G111" s="22" t="s">
        <v>464</v>
      </c>
      <c r="H111" s="35" t="s">
        <v>8132</v>
      </c>
      <c r="I111" s="22"/>
    </row>
    <row r="112" customFormat="false" ht="15" hidden="false" customHeight="true" outlineLevel="0" collapsed="false">
      <c r="A112" s="24" t="s">
        <v>186</v>
      </c>
      <c r="B112" s="32" t="s">
        <v>8327</v>
      </c>
      <c r="C112" s="32" t="s">
        <v>3697</v>
      </c>
      <c r="D112" s="22" t="s">
        <v>3363</v>
      </c>
      <c r="E112" s="22"/>
      <c r="F112" s="22"/>
      <c r="G112" s="22" t="s">
        <v>464</v>
      </c>
      <c r="H112" s="35" t="s">
        <v>8132</v>
      </c>
      <c r="I112" s="22" t="s">
        <v>8205</v>
      </c>
    </row>
    <row r="113" customFormat="false" ht="15" hidden="false" customHeight="true" outlineLevel="0" collapsed="false">
      <c r="A113" s="24" t="s">
        <v>186</v>
      </c>
      <c r="B113" s="32" t="s">
        <v>8328</v>
      </c>
      <c r="C113" s="32" t="s">
        <v>3715</v>
      </c>
      <c r="D113" s="22" t="s">
        <v>3363</v>
      </c>
      <c r="E113" s="22"/>
      <c r="F113" s="22"/>
      <c r="G113" s="22" t="s">
        <v>464</v>
      </c>
      <c r="H113" s="35" t="s">
        <v>8132</v>
      </c>
      <c r="I113" s="22" t="s">
        <v>8205</v>
      </c>
    </row>
    <row r="114" customFormat="false" ht="15" hidden="false" customHeight="true" outlineLevel="0" collapsed="false">
      <c r="A114" s="24" t="s">
        <v>186</v>
      </c>
      <c r="B114" s="32" t="s">
        <v>8329</v>
      </c>
      <c r="C114" s="32" t="s">
        <v>3688</v>
      </c>
      <c r="D114" s="22" t="s">
        <v>3363</v>
      </c>
      <c r="E114" s="22"/>
      <c r="F114" s="22" t="s">
        <v>8330</v>
      </c>
      <c r="G114" s="22" t="s">
        <v>464</v>
      </c>
      <c r="H114" s="35" t="s">
        <v>8132</v>
      </c>
      <c r="I114" s="22" t="s">
        <v>8205</v>
      </c>
    </row>
    <row r="115" customFormat="false" ht="15" hidden="false" customHeight="true" outlineLevel="0" collapsed="false">
      <c r="A115" s="24" t="s">
        <v>186</v>
      </c>
      <c r="B115" s="32" t="s">
        <v>8331</v>
      </c>
      <c r="C115" s="32" t="s">
        <v>3722</v>
      </c>
      <c r="D115" s="22" t="s">
        <v>3363</v>
      </c>
      <c r="E115" s="22"/>
      <c r="F115" s="22"/>
      <c r="G115" s="22" t="s">
        <v>464</v>
      </c>
      <c r="H115" s="35" t="s">
        <v>8132</v>
      </c>
      <c r="I115" s="22" t="s">
        <v>8205</v>
      </c>
    </row>
    <row r="116" customFormat="false" ht="15" hidden="false" customHeight="true" outlineLevel="0" collapsed="false">
      <c r="A116" s="24" t="s">
        <v>186</v>
      </c>
      <c r="B116" s="32" t="s">
        <v>8332</v>
      </c>
      <c r="C116" s="32" t="s">
        <v>3710</v>
      </c>
      <c r="D116" s="22" t="s">
        <v>3363</v>
      </c>
      <c r="E116" s="22"/>
      <c r="F116" s="22"/>
      <c r="G116" s="22" t="s">
        <v>464</v>
      </c>
      <c r="H116" s="35" t="s">
        <v>8132</v>
      </c>
      <c r="I116" s="22" t="s">
        <v>8205</v>
      </c>
    </row>
    <row r="117" customFormat="false" ht="15" hidden="false" customHeight="true" outlineLevel="0" collapsed="false">
      <c r="A117" s="24" t="s">
        <v>186</v>
      </c>
      <c r="B117" s="32" t="s">
        <v>8333</v>
      </c>
      <c r="C117" s="32" t="s">
        <v>8334</v>
      </c>
      <c r="D117" s="22" t="s">
        <v>3363</v>
      </c>
      <c r="E117" s="22"/>
      <c r="F117" s="22"/>
      <c r="G117" s="22" t="s">
        <v>464</v>
      </c>
      <c r="H117" s="35" t="s">
        <v>8132</v>
      </c>
      <c r="I117" s="22" t="s">
        <v>8205</v>
      </c>
    </row>
    <row r="118" customFormat="false" ht="15" hidden="false" customHeight="true" outlineLevel="0" collapsed="false">
      <c r="A118" s="24" t="s">
        <v>185</v>
      </c>
      <c r="B118" s="32" t="s">
        <v>7381</v>
      </c>
      <c r="C118" s="32" t="s">
        <v>7176</v>
      </c>
      <c r="D118" s="22" t="s">
        <v>3363</v>
      </c>
      <c r="E118" s="22" t="s">
        <v>3359</v>
      </c>
      <c r="F118" s="22" t="s">
        <v>8335</v>
      </c>
      <c r="G118" s="22" t="s">
        <v>8336</v>
      </c>
      <c r="H118" s="35" t="s">
        <v>8132</v>
      </c>
      <c r="I118" s="22"/>
    </row>
    <row r="119" customFormat="false" ht="24.75" hidden="false" customHeight="true" outlineLevel="0" collapsed="false">
      <c r="A119" s="24" t="s">
        <v>185</v>
      </c>
      <c r="B119" s="32" t="s">
        <v>7817</v>
      </c>
      <c r="C119" s="32" t="s">
        <v>7817</v>
      </c>
      <c r="D119" s="22" t="s">
        <v>7784</v>
      </c>
      <c r="E119" s="22" t="s">
        <v>7818</v>
      </c>
      <c r="F119" s="22" t="s">
        <v>8337</v>
      </c>
      <c r="G119" s="22" t="s">
        <v>464</v>
      </c>
      <c r="H119" s="35" t="s">
        <v>8132</v>
      </c>
      <c r="I119" s="22"/>
    </row>
    <row r="120" customFormat="false" ht="24.75" hidden="false" customHeight="true" outlineLevel="0" collapsed="false">
      <c r="A120" s="24" t="s">
        <v>185</v>
      </c>
      <c r="B120" s="32" t="s">
        <v>7820</v>
      </c>
      <c r="C120" s="32" t="s">
        <v>7820</v>
      </c>
      <c r="D120" s="22" t="s">
        <v>7784</v>
      </c>
      <c r="E120" s="22" t="s">
        <v>7754</v>
      </c>
      <c r="F120" s="22" t="s">
        <v>8338</v>
      </c>
      <c r="G120" s="22" t="s">
        <v>464</v>
      </c>
      <c r="H120" s="35" t="s">
        <v>8132</v>
      </c>
      <c r="I120" s="22"/>
    </row>
    <row r="121" customFormat="false" ht="24.75" hidden="false" customHeight="true" outlineLevel="0" collapsed="false">
      <c r="A121" s="24" t="s">
        <v>185</v>
      </c>
      <c r="B121" s="32" t="s">
        <v>7822</v>
      </c>
      <c r="C121" s="32" t="s">
        <v>7822</v>
      </c>
      <c r="D121" s="22" t="s">
        <v>7784</v>
      </c>
      <c r="E121" s="22" t="s">
        <v>5196</v>
      </c>
      <c r="F121" s="22" t="s">
        <v>8339</v>
      </c>
      <c r="G121" s="22" t="s">
        <v>464</v>
      </c>
      <c r="H121" s="31" t="s">
        <v>8209</v>
      </c>
      <c r="I121" s="22"/>
    </row>
    <row r="122" customFormat="false" ht="15" hidden="false" customHeight="true" outlineLevel="0" collapsed="false">
      <c r="A122" s="24" t="s">
        <v>186</v>
      </c>
      <c r="B122" s="32" t="s">
        <v>8340</v>
      </c>
      <c r="C122" s="32" t="s">
        <v>7824</v>
      </c>
      <c r="D122" s="22" t="s">
        <v>7784</v>
      </c>
      <c r="E122" s="22" t="s">
        <v>3713</v>
      </c>
      <c r="F122" s="22" t="s">
        <v>8341</v>
      </c>
      <c r="G122" s="22" t="s">
        <v>464</v>
      </c>
      <c r="H122" s="35" t="s">
        <v>8132</v>
      </c>
      <c r="I122" s="22"/>
    </row>
    <row r="123" customFormat="false" ht="49.5" hidden="false" customHeight="true" outlineLevel="0" collapsed="false">
      <c r="A123" s="24" t="s">
        <v>186</v>
      </c>
      <c r="B123" s="32" t="s">
        <v>8342</v>
      </c>
      <c r="C123" s="32" t="s">
        <v>7826</v>
      </c>
      <c r="D123" s="22" t="s">
        <v>7784</v>
      </c>
      <c r="E123" s="22" t="s">
        <v>3713</v>
      </c>
      <c r="F123" s="22" t="s">
        <v>8343</v>
      </c>
      <c r="G123" s="22" t="s">
        <v>464</v>
      </c>
      <c r="H123" s="33" t="s">
        <v>8344</v>
      </c>
      <c r="I123" s="22" t="s">
        <v>8345</v>
      </c>
    </row>
    <row r="124" customFormat="false" ht="15" hidden="false" customHeight="true" outlineLevel="0" collapsed="false">
      <c r="A124" s="24" t="s">
        <v>186</v>
      </c>
      <c r="B124" s="32" t="s">
        <v>8346</v>
      </c>
      <c r="C124" s="32" t="s">
        <v>7828</v>
      </c>
      <c r="D124" s="22" t="s">
        <v>7784</v>
      </c>
      <c r="E124" s="22" t="s">
        <v>3713</v>
      </c>
      <c r="F124" s="22" t="s">
        <v>8347</v>
      </c>
      <c r="G124" s="22" t="s">
        <v>464</v>
      </c>
      <c r="H124" s="35" t="s">
        <v>8132</v>
      </c>
      <c r="I124" s="22"/>
    </row>
    <row r="125" customFormat="false" ht="37.5" hidden="false" customHeight="true" outlineLevel="0" collapsed="false">
      <c r="A125" s="24" t="s">
        <v>186</v>
      </c>
      <c r="B125" s="32" t="s">
        <v>8348</v>
      </c>
      <c r="C125" s="32" t="s">
        <v>7830</v>
      </c>
      <c r="D125" s="22" t="s">
        <v>7784</v>
      </c>
      <c r="E125" s="22" t="s">
        <v>3713</v>
      </c>
      <c r="F125" s="22" t="s">
        <v>8349</v>
      </c>
      <c r="G125" s="22" t="s">
        <v>464</v>
      </c>
      <c r="H125" s="33" t="s">
        <v>8344</v>
      </c>
      <c r="I125" s="22" t="s">
        <v>8350</v>
      </c>
    </row>
    <row r="126" customFormat="false" ht="24.75" hidden="false" customHeight="true" outlineLevel="0" collapsed="false">
      <c r="A126" s="24" t="s">
        <v>185</v>
      </c>
      <c r="B126" s="32" t="s">
        <v>8351</v>
      </c>
      <c r="C126" s="32" t="s">
        <v>3733</v>
      </c>
      <c r="D126" s="22" t="s">
        <v>7784</v>
      </c>
      <c r="E126" s="22" t="s">
        <v>7832</v>
      </c>
      <c r="F126" s="22" t="s">
        <v>8352</v>
      </c>
      <c r="G126" s="22" t="s">
        <v>492</v>
      </c>
      <c r="H126" s="31" t="s">
        <v>8209</v>
      </c>
      <c r="I126" s="22"/>
    </row>
    <row r="127" customFormat="false" ht="15" hidden="false" customHeight="true" outlineLevel="0" collapsed="false">
      <c r="A127" s="24" t="s">
        <v>186</v>
      </c>
      <c r="B127" s="32" t="s">
        <v>8353</v>
      </c>
      <c r="C127" s="32" t="s">
        <v>8354</v>
      </c>
      <c r="D127" s="22" t="s">
        <v>3363</v>
      </c>
      <c r="E127" s="22" t="s">
        <v>7754</v>
      </c>
      <c r="F127" s="22"/>
      <c r="G127" s="22" t="s">
        <v>492</v>
      </c>
      <c r="H127" s="35" t="s">
        <v>8132</v>
      </c>
      <c r="I127" s="22"/>
    </row>
    <row r="128" customFormat="false" ht="15" hidden="false" customHeight="true" outlineLevel="0" collapsed="false">
      <c r="A128" s="24" t="s">
        <v>186</v>
      </c>
      <c r="B128" s="32" t="s">
        <v>8355</v>
      </c>
      <c r="C128" s="32" t="s">
        <v>3733</v>
      </c>
      <c r="D128" s="22" t="s">
        <v>3363</v>
      </c>
      <c r="E128" s="22"/>
      <c r="F128" s="22" t="s">
        <v>8356</v>
      </c>
      <c r="G128" s="22" t="s">
        <v>492</v>
      </c>
      <c r="H128" s="35" t="s">
        <v>8132</v>
      </c>
      <c r="I128" s="22" t="s">
        <v>8205</v>
      </c>
    </row>
    <row r="129" customFormat="false" ht="15" hidden="false" customHeight="true" outlineLevel="0" collapsed="false">
      <c r="A129" s="24" t="s">
        <v>186</v>
      </c>
      <c r="B129" s="32" t="s">
        <v>8357</v>
      </c>
      <c r="C129" s="32" t="s">
        <v>3738</v>
      </c>
      <c r="D129" s="22" t="s">
        <v>3363</v>
      </c>
      <c r="E129" s="22"/>
      <c r="F129" s="22"/>
      <c r="G129" s="22" t="s">
        <v>492</v>
      </c>
      <c r="H129" s="35" t="s">
        <v>8132</v>
      </c>
      <c r="I129" s="22" t="s">
        <v>8205</v>
      </c>
    </row>
    <row r="130" customFormat="false" ht="24.75" hidden="false" customHeight="true" outlineLevel="0" collapsed="false">
      <c r="A130" s="24" t="s">
        <v>185</v>
      </c>
      <c r="B130" s="32" t="s">
        <v>7834</v>
      </c>
      <c r="C130" s="32" t="s">
        <v>7834</v>
      </c>
      <c r="D130" s="22" t="s">
        <v>7784</v>
      </c>
      <c r="E130" s="22" t="s">
        <v>3359</v>
      </c>
      <c r="F130" s="22" t="s">
        <v>8358</v>
      </c>
      <c r="G130" s="22" t="s">
        <v>492</v>
      </c>
      <c r="H130" s="31" t="s">
        <v>8209</v>
      </c>
      <c r="I130" s="22"/>
    </row>
    <row r="131" customFormat="false" ht="24.75" hidden="false" customHeight="true" outlineLevel="0" collapsed="false">
      <c r="A131" s="24" t="s">
        <v>185</v>
      </c>
      <c r="B131" s="32" t="s">
        <v>7836</v>
      </c>
      <c r="C131" s="32" t="s">
        <v>7836</v>
      </c>
      <c r="D131" s="22" t="s">
        <v>7784</v>
      </c>
      <c r="E131" s="22" t="s">
        <v>3359</v>
      </c>
      <c r="F131" s="22" t="s">
        <v>8359</v>
      </c>
      <c r="G131" s="22" t="s">
        <v>492</v>
      </c>
      <c r="H131" s="31" t="s">
        <v>8209</v>
      </c>
      <c r="I131" s="22"/>
    </row>
    <row r="132" customFormat="false" ht="24.75" hidden="false" customHeight="true" outlineLevel="0" collapsed="false">
      <c r="A132" s="24" t="s">
        <v>186</v>
      </c>
      <c r="B132" s="32" t="s">
        <v>8360</v>
      </c>
      <c r="C132" s="32" t="s">
        <v>3738</v>
      </c>
      <c r="D132" s="22" t="s">
        <v>3363</v>
      </c>
      <c r="E132" s="22" t="s">
        <v>3359</v>
      </c>
      <c r="F132" s="22" t="s">
        <v>8361</v>
      </c>
      <c r="G132" s="22" t="s">
        <v>492</v>
      </c>
      <c r="H132" s="35" t="s">
        <v>8132</v>
      </c>
      <c r="I132" s="22"/>
    </row>
    <row r="133" customFormat="false" ht="24.75" hidden="false" customHeight="true" outlineLevel="0" collapsed="false">
      <c r="A133" s="24" t="s">
        <v>185</v>
      </c>
      <c r="B133" s="32" t="s">
        <v>7838</v>
      </c>
      <c r="C133" s="32" t="s">
        <v>7838</v>
      </c>
      <c r="D133" s="22" t="s">
        <v>7784</v>
      </c>
      <c r="E133" s="22" t="s">
        <v>3359</v>
      </c>
      <c r="F133" s="22" t="s">
        <v>8362</v>
      </c>
      <c r="G133" s="22" t="s">
        <v>492</v>
      </c>
      <c r="H133" s="31" t="s">
        <v>8209</v>
      </c>
      <c r="I133" s="22"/>
    </row>
    <row r="134" customFormat="false" ht="15" hidden="false" customHeight="true" outlineLevel="0" collapsed="false">
      <c r="A134" s="24" t="s">
        <v>186</v>
      </c>
      <c r="B134" s="32" t="s">
        <v>8363</v>
      </c>
      <c r="C134" s="32" t="s">
        <v>3742</v>
      </c>
      <c r="D134" s="22" t="s">
        <v>3363</v>
      </c>
      <c r="E134" s="22" t="s">
        <v>3359</v>
      </c>
      <c r="F134" s="22" t="s">
        <v>8364</v>
      </c>
      <c r="G134" s="22" t="s">
        <v>492</v>
      </c>
      <c r="H134" s="35" t="s">
        <v>8132</v>
      </c>
      <c r="I134" s="22"/>
    </row>
    <row r="135" customFormat="false" ht="24.75" hidden="false" customHeight="true" outlineLevel="0" collapsed="false">
      <c r="A135" s="24" t="s">
        <v>185</v>
      </c>
      <c r="B135" s="32" t="s">
        <v>7840</v>
      </c>
      <c r="C135" s="32" t="s">
        <v>7840</v>
      </c>
      <c r="D135" s="22" t="s">
        <v>7784</v>
      </c>
      <c r="E135" s="22" t="s">
        <v>3437</v>
      </c>
      <c r="F135" s="22" t="s">
        <v>8365</v>
      </c>
      <c r="G135" s="22" t="s">
        <v>492</v>
      </c>
      <c r="H135" s="31" t="s">
        <v>8209</v>
      </c>
      <c r="I135" s="22"/>
    </row>
    <row r="136" customFormat="false" ht="24.75" hidden="false" customHeight="true" outlineLevel="0" collapsed="false">
      <c r="A136" s="24" t="s">
        <v>186</v>
      </c>
      <c r="B136" s="32" t="s">
        <v>8366</v>
      </c>
      <c r="C136" s="32" t="s">
        <v>3746</v>
      </c>
      <c r="D136" s="22" t="s">
        <v>3363</v>
      </c>
      <c r="E136" s="22" t="s">
        <v>3437</v>
      </c>
      <c r="F136" s="22" t="s">
        <v>8367</v>
      </c>
      <c r="G136" s="22" t="s">
        <v>492</v>
      </c>
      <c r="H136" s="35" t="s">
        <v>8132</v>
      </c>
      <c r="I136" s="22"/>
    </row>
    <row r="137" customFormat="false" ht="37.5" hidden="false" customHeight="true" outlineLevel="0" collapsed="false">
      <c r="A137" s="24" t="s">
        <v>185</v>
      </c>
      <c r="B137" s="32" t="s">
        <v>7842</v>
      </c>
      <c r="C137" s="32" t="s">
        <v>7842</v>
      </c>
      <c r="D137" s="22" t="s">
        <v>7784</v>
      </c>
      <c r="E137" s="22" t="s">
        <v>3437</v>
      </c>
      <c r="F137" s="22" t="s">
        <v>8368</v>
      </c>
      <c r="G137" s="22" t="s">
        <v>492</v>
      </c>
      <c r="H137" s="31" t="s">
        <v>8209</v>
      </c>
      <c r="I137" s="22" t="s">
        <v>8369</v>
      </c>
    </row>
    <row r="138" customFormat="false" ht="24.75" hidden="false" customHeight="true" outlineLevel="0" collapsed="false">
      <c r="A138" s="24" t="s">
        <v>186</v>
      </c>
      <c r="B138" s="32" t="s">
        <v>8370</v>
      </c>
      <c r="C138" s="32" t="s">
        <v>3751</v>
      </c>
      <c r="D138" s="22" t="s">
        <v>3363</v>
      </c>
      <c r="E138" s="22" t="s">
        <v>3437</v>
      </c>
      <c r="F138" s="22" t="s">
        <v>8371</v>
      </c>
      <c r="G138" s="22" t="s">
        <v>492</v>
      </c>
      <c r="H138" s="35" t="s">
        <v>8132</v>
      </c>
      <c r="I138" s="22"/>
    </row>
    <row r="139" customFormat="false" ht="24.75" hidden="false" customHeight="true" outlineLevel="0" collapsed="false">
      <c r="A139" s="24" t="s">
        <v>186</v>
      </c>
      <c r="B139" s="32" t="s">
        <v>8372</v>
      </c>
      <c r="C139" s="32" t="s">
        <v>3756</v>
      </c>
      <c r="D139" s="22" t="s">
        <v>3363</v>
      </c>
      <c r="E139" s="22" t="s">
        <v>3437</v>
      </c>
      <c r="F139" s="22" t="s">
        <v>8373</v>
      </c>
      <c r="G139" s="22" t="s">
        <v>492</v>
      </c>
      <c r="H139" s="35" t="s">
        <v>8132</v>
      </c>
      <c r="I139" s="22"/>
    </row>
    <row r="140" customFormat="false" ht="24.75" hidden="false" customHeight="true" outlineLevel="0" collapsed="false">
      <c r="A140" s="24" t="s">
        <v>523</v>
      </c>
      <c r="B140" s="32" t="s">
        <v>4046</v>
      </c>
      <c r="C140" s="32" t="s">
        <v>7158</v>
      </c>
      <c r="D140" s="22" t="s">
        <v>3363</v>
      </c>
      <c r="E140" s="22" t="s">
        <v>3359</v>
      </c>
      <c r="F140" s="22" t="s">
        <v>8374</v>
      </c>
      <c r="G140" s="22" t="s">
        <v>8375</v>
      </c>
      <c r="H140" s="35" t="s">
        <v>8132</v>
      </c>
      <c r="I140" s="22"/>
    </row>
    <row r="141" customFormat="false" ht="15" hidden="false" customHeight="true" outlineLevel="0" collapsed="false">
      <c r="A141" s="24" t="s">
        <v>524</v>
      </c>
      <c r="B141" s="32" t="s">
        <v>8133</v>
      </c>
      <c r="C141" s="32" t="s">
        <v>4046</v>
      </c>
      <c r="D141" s="22" t="s">
        <v>3363</v>
      </c>
      <c r="E141" s="22" t="s">
        <v>3359</v>
      </c>
      <c r="F141" s="22" t="s">
        <v>8376</v>
      </c>
      <c r="G141" s="22" t="s">
        <v>8377</v>
      </c>
      <c r="H141" s="35" t="s">
        <v>8132</v>
      </c>
      <c r="I141" s="22" t="s">
        <v>8378</v>
      </c>
    </row>
    <row r="142" customFormat="false" ht="37.5" hidden="false" customHeight="true" outlineLevel="0" collapsed="false">
      <c r="A142" s="24" t="s">
        <v>523</v>
      </c>
      <c r="B142" s="32" t="s">
        <v>5129</v>
      </c>
      <c r="C142" s="32" t="s">
        <v>5129</v>
      </c>
      <c r="D142" s="22" t="s">
        <v>7784</v>
      </c>
      <c r="E142" s="22" t="s">
        <v>7809</v>
      </c>
      <c r="F142" s="22" t="s">
        <v>8379</v>
      </c>
      <c r="G142" s="22" t="s">
        <v>8380</v>
      </c>
      <c r="H142" s="31" t="s">
        <v>8209</v>
      </c>
      <c r="I142" s="22"/>
    </row>
    <row r="143" customFormat="false" ht="37.5" hidden="false" customHeight="true" outlineLevel="0" collapsed="false">
      <c r="A143" s="24" t="s">
        <v>524</v>
      </c>
      <c r="B143" s="32" t="s">
        <v>8381</v>
      </c>
      <c r="C143" s="32" t="s">
        <v>5129</v>
      </c>
      <c r="D143" s="22" t="s">
        <v>7784</v>
      </c>
      <c r="E143" s="22" t="s">
        <v>7809</v>
      </c>
      <c r="F143" s="22" t="s">
        <v>8382</v>
      </c>
      <c r="G143" s="22" t="s">
        <v>8377</v>
      </c>
      <c r="H143" s="31" t="s">
        <v>8209</v>
      </c>
      <c r="I143" s="22" t="s">
        <v>8383</v>
      </c>
    </row>
    <row r="144" customFormat="false" ht="15" hidden="false" customHeight="true" outlineLevel="0" collapsed="false">
      <c r="A144" s="24" t="s">
        <v>523</v>
      </c>
      <c r="B144" s="32" t="s">
        <v>5134</v>
      </c>
      <c r="C144" s="32" t="s">
        <v>7151</v>
      </c>
      <c r="D144" s="22" t="s">
        <v>3363</v>
      </c>
      <c r="E144" s="22" t="s">
        <v>3359</v>
      </c>
      <c r="F144" s="22" t="s">
        <v>8384</v>
      </c>
      <c r="G144" s="22" t="s">
        <v>8380</v>
      </c>
      <c r="H144" s="35" t="s">
        <v>8132</v>
      </c>
      <c r="I144" s="22"/>
    </row>
    <row r="145" customFormat="false" ht="24.75" hidden="false" customHeight="true" outlineLevel="0" collapsed="false">
      <c r="A145" s="24" t="s">
        <v>524</v>
      </c>
      <c r="B145" s="32" t="s">
        <v>8140</v>
      </c>
      <c r="C145" s="32" t="s">
        <v>4071</v>
      </c>
      <c r="D145" s="22" t="s">
        <v>3363</v>
      </c>
      <c r="E145" s="22" t="s">
        <v>3359</v>
      </c>
      <c r="F145" s="22" t="s">
        <v>8385</v>
      </c>
      <c r="G145" s="22" t="s">
        <v>8377</v>
      </c>
      <c r="H145" s="35" t="s">
        <v>8132</v>
      </c>
      <c r="I145" s="22" t="s">
        <v>8386</v>
      </c>
    </row>
    <row r="146" customFormat="false" ht="24.75" hidden="false" customHeight="true" outlineLevel="0" collapsed="false">
      <c r="A146" s="24" t="s">
        <v>523</v>
      </c>
      <c r="B146" s="32" t="s">
        <v>7781</v>
      </c>
      <c r="C146" s="32" t="s">
        <v>7781</v>
      </c>
      <c r="D146" s="22" t="s">
        <v>7784</v>
      </c>
      <c r="E146" s="22" t="s">
        <v>7782</v>
      </c>
      <c r="F146" s="22" t="s">
        <v>8387</v>
      </c>
      <c r="G146" s="22" t="s">
        <v>8380</v>
      </c>
      <c r="H146" s="35" t="s">
        <v>8132</v>
      </c>
      <c r="I146" s="22"/>
    </row>
    <row r="147" customFormat="false" ht="15" hidden="false" customHeight="true" outlineLevel="0" collapsed="false">
      <c r="A147" s="24" t="s">
        <v>524</v>
      </c>
      <c r="B147" s="32" t="s">
        <v>8388</v>
      </c>
      <c r="C147" s="32" t="s">
        <v>4072</v>
      </c>
      <c r="D147" s="22" t="s">
        <v>3363</v>
      </c>
      <c r="E147" s="22" t="s">
        <v>3389</v>
      </c>
      <c r="F147" s="22" t="s">
        <v>8389</v>
      </c>
      <c r="G147" s="22" t="s">
        <v>519</v>
      </c>
      <c r="H147" s="35" t="s">
        <v>8132</v>
      </c>
      <c r="I147" s="22" t="s">
        <v>8390</v>
      </c>
    </row>
    <row r="148" customFormat="false" ht="15" hidden="false" customHeight="true" outlineLevel="0" collapsed="false">
      <c r="A148" s="24" t="s">
        <v>523</v>
      </c>
      <c r="B148" s="32" t="s">
        <v>5138</v>
      </c>
      <c r="C148" s="32" t="s">
        <v>7154</v>
      </c>
      <c r="D148" s="22" t="s">
        <v>3363</v>
      </c>
      <c r="E148" s="22" t="s">
        <v>3389</v>
      </c>
      <c r="F148" s="22" t="s">
        <v>8391</v>
      </c>
      <c r="G148" s="22" t="s">
        <v>519</v>
      </c>
      <c r="H148" s="35" t="s">
        <v>8132</v>
      </c>
      <c r="I148" s="22"/>
    </row>
    <row r="149" customFormat="false" ht="15" hidden="false" customHeight="true" outlineLevel="0" collapsed="false">
      <c r="A149" s="24" t="s">
        <v>523</v>
      </c>
      <c r="B149" s="32" t="s">
        <v>3857</v>
      </c>
      <c r="C149" s="32" t="s">
        <v>3857</v>
      </c>
      <c r="D149" s="22" t="s">
        <v>3363</v>
      </c>
      <c r="E149" s="22" t="s">
        <v>3394</v>
      </c>
      <c r="F149" s="22" t="s">
        <v>8392</v>
      </c>
      <c r="G149" s="22" t="s">
        <v>8380</v>
      </c>
      <c r="H149" s="35" t="s">
        <v>8132</v>
      </c>
      <c r="I149" s="22"/>
    </row>
    <row r="150" customFormat="false" ht="24.75" hidden="false" customHeight="true" outlineLevel="0" collapsed="false">
      <c r="A150" s="24" t="s">
        <v>524</v>
      </c>
      <c r="B150" s="32" t="s">
        <v>8161</v>
      </c>
      <c r="C150" s="32" t="s">
        <v>3857</v>
      </c>
      <c r="D150" s="22" t="s">
        <v>3363</v>
      </c>
      <c r="E150" s="22" t="s">
        <v>3394</v>
      </c>
      <c r="F150" s="22" t="s">
        <v>8393</v>
      </c>
      <c r="G150" s="22" t="s">
        <v>8394</v>
      </c>
      <c r="H150" s="35" t="s">
        <v>8132</v>
      </c>
      <c r="I150" s="22" t="s">
        <v>8395</v>
      </c>
    </row>
    <row r="151" customFormat="false" ht="15" hidden="false" customHeight="true" outlineLevel="0" collapsed="false">
      <c r="A151" s="24" t="s">
        <v>523</v>
      </c>
      <c r="B151" s="32" t="s">
        <v>7188</v>
      </c>
      <c r="C151" s="32" t="s">
        <v>7188</v>
      </c>
      <c r="D151" s="22" t="s">
        <v>3363</v>
      </c>
      <c r="E151" s="22" t="s">
        <v>3394</v>
      </c>
      <c r="F151" s="22" t="s">
        <v>8396</v>
      </c>
      <c r="G151" s="22" t="s">
        <v>8394</v>
      </c>
      <c r="H151" s="35" t="s">
        <v>8132</v>
      </c>
      <c r="I151" s="22"/>
    </row>
    <row r="152" customFormat="false" ht="15" hidden="false" customHeight="true" outlineLevel="0" collapsed="false">
      <c r="A152" s="24" t="s">
        <v>524</v>
      </c>
      <c r="B152" s="32" t="s">
        <v>7188</v>
      </c>
      <c r="C152" s="32" t="s">
        <v>3859</v>
      </c>
      <c r="D152" s="22" t="s">
        <v>3363</v>
      </c>
      <c r="E152" s="22" t="s">
        <v>3394</v>
      </c>
      <c r="F152" s="22" t="s">
        <v>8397</v>
      </c>
      <c r="G152" s="22" t="s">
        <v>8394</v>
      </c>
      <c r="H152" s="35" t="s">
        <v>8132</v>
      </c>
      <c r="I152" s="22" t="s">
        <v>8398</v>
      </c>
    </row>
    <row r="153" customFormat="false" ht="15" hidden="false" customHeight="true" outlineLevel="0" collapsed="false">
      <c r="A153" s="24" t="s">
        <v>523</v>
      </c>
      <c r="B153" s="32" t="s">
        <v>7189</v>
      </c>
      <c r="C153" s="32" t="s">
        <v>7189</v>
      </c>
      <c r="D153" s="22" t="s">
        <v>3363</v>
      </c>
      <c r="E153" s="22" t="s">
        <v>3394</v>
      </c>
      <c r="F153" s="22" t="s">
        <v>8399</v>
      </c>
      <c r="G153" s="22" t="s">
        <v>519</v>
      </c>
      <c r="H153" s="35" t="s">
        <v>8132</v>
      </c>
      <c r="I153" s="22"/>
    </row>
    <row r="154" customFormat="false" ht="15" hidden="false" customHeight="true" outlineLevel="0" collapsed="false">
      <c r="A154" s="24" t="s">
        <v>524</v>
      </c>
      <c r="B154" s="32" t="s">
        <v>7189</v>
      </c>
      <c r="C154" s="32" t="s">
        <v>3861</v>
      </c>
      <c r="D154" s="22" t="s">
        <v>3363</v>
      </c>
      <c r="E154" s="22" t="s">
        <v>3394</v>
      </c>
      <c r="F154" s="22" t="s">
        <v>8400</v>
      </c>
      <c r="G154" s="22" t="s">
        <v>519</v>
      </c>
      <c r="H154" s="35" t="s">
        <v>8132</v>
      </c>
      <c r="I154" s="22"/>
    </row>
    <row r="155" customFormat="false" ht="15" hidden="false" customHeight="true" outlineLevel="0" collapsed="false">
      <c r="A155" s="24" t="s">
        <v>523</v>
      </c>
      <c r="B155" s="32" t="s">
        <v>7599</v>
      </c>
      <c r="C155" s="32" t="s">
        <v>7190</v>
      </c>
      <c r="D155" s="22" t="s">
        <v>3363</v>
      </c>
      <c r="E155" s="22" t="s">
        <v>3394</v>
      </c>
      <c r="F155" s="22" t="s">
        <v>8401</v>
      </c>
      <c r="G155" s="22" t="s">
        <v>519</v>
      </c>
      <c r="H155" s="35" t="s">
        <v>8132</v>
      </c>
      <c r="I155" s="22"/>
    </row>
    <row r="156" customFormat="false" ht="15" hidden="false" customHeight="true" outlineLevel="0" collapsed="false">
      <c r="A156" s="24" t="s">
        <v>524</v>
      </c>
      <c r="B156" s="32" t="s">
        <v>7599</v>
      </c>
      <c r="C156" s="32" t="s">
        <v>3864</v>
      </c>
      <c r="D156" s="22" t="s">
        <v>3363</v>
      </c>
      <c r="E156" s="22" t="s">
        <v>3394</v>
      </c>
      <c r="F156" s="22" t="s">
        <v>8402</v>
      </c>
      <c r="G156" s="22" t="s">
        <v>519</v>
      </c>
      <c r="H156" s="35" t="s">
        <v>8132</v>
      </c>
      <c r="I156" s="22"/>
    </row>
    <row r="157" customFormat="false" ht="15" hidden="false" customHeight="true" outlineLevel="0" collapsed="false">
      <c r="A157" s="24" t="s">
        <v>523</v>
      </c>
      <c r="B157" s="32" t="s">
        <v>7191</v>
      </c>
      <c r="C157" s="32" t="s">
        <v>7191</v>
      </c>
      <c r="D157" s="22" t="s">
        <v>3363</v>
      </c>
      <c r="E157" s="22" t="s">
        <v>3394</v>
      </c>
      <c r="F157" s="22" t="s">
        <v>8403</v>
      </c>
      <c r="G157" s="22" t="s">
        <v>8394</v>
      </c>
      <c r="H157" s="35" t="s">
        <v>8132</v>
      </c>
      <c r="I157" s="22"/>
    </row>
    <row r="158" customFormat="false" ht="15" hidden="false" customHeight="true" outlineLevel="0" collapsed="false">
      <c r="A158" s="24" t="s">
        <v>524</v>
      </c>
      <c r="B158" s="32" t="s">
        <v>7191</v>
      </c>
      <c r="C158" s="32" t="s">
        <v>3867</v>
      </c>
      <c r="D158" s="22" t="s">
        <v>3363</v>
      </c>
      <c r="E158" s="22" t="s">
        <v>3394</v>
      </c>
      <c r="F158" s="22" t="s">
        <v>8404</v>
      </c>
      <c r="G158" s="22" t="s">
        <v>8394</v>
      </c>
      <c r="H158" s="35" t="s">
        <v>8132</v>
      </c>
      <c r="I158" s="22" t="s">
        <v>8405</v>
      </c>
    </row>
    <row r="159" customFormat="false" ht="24.75" hidden="false" customHeight="true" outlineLevel="0" collapsed="false">
      <c r="A159" s="24" t="s">
        <v>523</v>
      </c>
      <c r="B159" s="32" t="s">
        <v>3853</v>
      </c>
      <c r="C159" s="32" t="s">
        <v>7593</v>
      </c>
      <c r="D159" s="22" t="s">
        <v>8185</v>
      </c>
      <c r="E159" s="22" t="s">
        <v>7710</v>
      </c>
      <c r="F159" s="22" t="s">
        <v>7722</v>
      </c>
      <c r="G159" s="22" t="s">
        <v>519</v>
      </c>
      <c r="H159" s="31" t="s">
        <v>8209</v>
      </c>
      <c r="I159" s="22" t="s">
        <v>8406</v>
      </c>
    </row>
    <row r="160" customFormat="false" ht="15" hidden="false" customHeight="true" outlineLevel="0" collapsed="false">
      <c r="A160" s="24" t="s">
        <v>524</v>
      </c>
      <c r="B160" s="32" t="s">
        <v>3853</v>
      </c>
      <c r="C160" s="32" t="s">
        <v>3853</v>
      </c>
      <c r="D160" s="22" t="s">
        <v>3363</v>
      </c>
      <c r="E160" s="22" t="s">
        <v>3359</v>
      </c>
      <c r="F160" s="22" t="s">
        <v>8407</v>
      </c>
      <c r="G160" s="22" t="s">
        <v>519</v>
      </c>
      <c r="H160" s="35" t="s">
        <v>8132</v>
      </c>
      <c r="I160" s="22"/>
    </row>
    <row r="161" customFormat="false" ht="15" hidden="false" customHeight="true" outlineLevel="0" collapsed="false">
      <c r="A161" s="24" t="s">
        <v>523</v>
      </c>
      <c r="B161" s="32" t="s">
        <v>8191</v>
      </c>
      <c r="C161" s="32" t="s">
        <v>4077</v>
      </c>
      <c r="D161" s="22" t="s">
        <v>3363</v>
      </c>
      <c r="E161" s="22" t="s">
        <v>3377</v>
      </c>
      <c r="F161" s="22" t="s">
        <v>8408</v>
      </c>
      <c r="G161" s="22" t="s">
        <v>519</v>
      </c>
      <c r="H161" s="35" t="s">
        <v>8132</v>
      </c>
      <c r="I161" s="22"/>
    </row>
    <row r="162" customFormat="false" ht="15" hidden="false" customHeight="true" outlineLevel="0" collapsed="false">
      <c r="A162" s="24" t="s">
        <v>524</v>
      </c>
      <c r="B162" s="32" t="s">
        <v>8409</v>
      </c>
      <c r="C162" s="32" t="s">
        <v>4077</v>
      </c>
      <c r="D162" s="22" t="s">
        <v>3363</v>
      </c>
      <c r="E162" s="22" t="s">
        <v>3377</v>
      </c>
      <c r="F162" s="22" t="s">
        <v>8410</v>
      </c>
      <c r="G162" s="22" t="s">
        <v>519</v>
      </c>
      <c r="H162" s="35" t="s">
        <v>8132</v>
      </c>
      <c r="I162" s="22"/>
    </row>
    <row r="163" customFormat="false" ht="24.75" hidden="false" customHeight="true" outlineLevel="0" collapsed="false">
      <c r="A163" s="24" t="s">
        <v>523</v>
      </c>
      <c r="B163" s="32" t="s">
        <v>7847</v>
      </c>
      <c r="C163" s="32" t="s">
        <v>7847</v>
      </c>
      <c r="D163" s="22" t="s">
        <v>7784</v>
      </c>
      <c r="E163" s="22" t="s">
        <v>7731</v>
      </c>
      <c r="F163" s="22" t="s">
        <v>8411</v>
      </c>
      <c r="G163" s="22" t="s">
        <v>519</v>
      </c>
      <c r="H163" s="35" t="s">
        <v>8132</v>
      </c>
      <c r="I163" s="22"/>
    </row>
    <row r="164" customFormat="false" ht="15" hidden="false" customHeight="true" outlineLevel="0" collapsed="false">
      <c r="A164" s="24" t="s">
        <v>524</v>
      </c>
      <c r="B164" s="32" t="s">
        <v>3874</v>
      </c>
      <c r="C164" s="32" t="s">
        <v>3364</v>
      </c>
      <c r="D164" s="22" t="s">
        <v>3363</v>
      </c>
      <c r="E164" s="22" t="s">
        <v>3359</v>
      </c>
      <c r="F164" s="22" t="s">
        <v>8412</v>
      </c>
      <c r="G164" s="22" t="s">
        <v>8413</v>
      </c>
      <c r="H164" s="35" t="s">
        <v>8132</v>
      </c>
      <c r="I164" s="22" t="s">
        <v>8414</v>
      </c>
    </row>
    <row r="165" customFormat="false" ht="15" hidden="false" customHeight="true" outlineLevel="0" collapsed="false">
      <c r="A165" s="24" t="s">
        <v>524</v>
      </c>
      <c r="B165" s="32" t="s">
        <v>8415</v>
      </c>
      <c r="C165" s="32" t="s">
        <v>4221</v>
      </c>
      <c r="D165" s="22" t="s">
        <v>3363</v>
      </c>
      <c r="E165" s="22" t="s">
        <v>3377</v>
      </c>
      <c r="F165" s="22" t="s">
        <v>8416</v>
      </c>
      <c r="G165" s="22" t="s">
        <v>519</v>
      </c>
      <c r="H165" s="35" t="s">
        <v>8132</v>
      </c>
      <c r="I165" s="22"/>
    </row>
    <row r="166" customFormat="false" ht="15" hidden="false" customHeight="true" outlineLevel="0" collapsed="false">
      <c r="A166" s="24" t="s">
        <v>524</v>
      </c>
      <c r="B166" s="32" t="s">
        <v>3356</v>
      </c>
      <c r="C166" s="32" t="s">
        <v>3356</v>
      </c>
      <c r="D166" s="22" t="s">
        <v>3363</v>
      </c>
      <c r="E166" s="22" t="s">
        <v>3359</v>
      </c>
      <c r="F166" s="22" t="s">
        <v>8417</v>
      </c>
      <c r="G166" s="22" t="s">
        <v>8418</v>
      </c>
      <c r="H166" s="35" t="s">
        <v>8132</v>
      </c>
      <c r="I166" s="22"/>
    </row>
    <row r="167" customFormat="false" ht="37.5" hidden="false" customHeight="true" outlineLevel="0" collapsed="false">
      <c r="A167" s="24" t="s">
        <v>524</v>
      </c>
      <c r="B167" s="32" t="s">
        <v>7849</v>
      </c>
      <c r="C167" s="32" t="s">
        <v>7849</v>
      </c>
      <c r="D167" s="22" t="s">
        <v>7784</v>
      </c>
      <c r="E167" s="22" t="s">
        <v>7625</v>
      </c>
      <c r="F167" s="22" t="s">
        <v>8419</v>
      </c>
      <c r="G167" s="22" t="s">
        <v>551</v>
      </c>
      <c r="H167" s="31" t="s">
        <v>8209</v>
      </c>
      <c r="I167" s="22" t="s">
        <v>8420</v>
      </c>
    </row>
    <row r="168" customFormat="false" ht="24.75" hidden="false" customHeight="true" outlineLevel="0" collapsed="false">
      <c r="A168" s="24" t="s">
        <v>524</v>
      </c>
      <c r="B168" s="32" t="s">
        <v>7851</v>
      </c>
      <c r="C168" s="32" t="s">
        <v>7851</v>
      </c>
      <c r="D168" s="22" t="s">
        <v>7784</v>
      </c>
      <c r="E168" s="22" t="s">
        <v>7625</v>
      </c>
      <c r="F168" s="22" t="s">
        <v>8421</v>
      </c>
      <c r="G168" s="22" t="s">
        <v>551</v>
      </c>
      <c r="H168" s="31" t="s">
        <v>8209</v>
      </c>
      <c r="I168" s="22"/>
    </row>
    <row r="169" customFormat="false" ht="24.75" hidden="false" customHeight="true" outlineLevel="0" collapsed="false">
      <c r="A169" s="24" t="s">
        <v>524</v>
      </c>
      <c r="B169" s="32" t="s">
        <v>7853</v>
      </c>
      <c r="C169" s="32" t="s">
        <v>7853</v>
      </c>
      <c r="D169" s="22" t="s">
        <v>7784</v>
      </c>
      <c r="E169" s="22" t="s">
        <v>7625</v>
      </c>
      <c r="F169" s="22" t="s">
        <v>8422</v>
      </c>
      <c r="G169" s="22" t="s">
        <v>551</v>
      </c>
      <c r="H169" s="31" t="s">
        <v>8209</v>
      </c>
      <c r="I169" s="22"/>
    </row>
    <row r="170" customFormat="false" ht="15" hidden="false" customHeight="true" outlineLevel="0" collapsed="false">
      <c r="A170" s="24" t="s">
        <v>525</v>
      </c>
      <c r="B170" s="32" t="s">
        <v>4046</v>
      </c>
      <c r="C170" s="32" t="s">
        <v>4046</v>
      </c>
      <c r="D170" s="22" t="s">
        <v>3363</v>
      </c>
      <c r="E170" s="22" t="s">
        <v>3359</v>
      </c>
      <c r="F170" s="22" t="s">
        <v>8423</v>
      </c>
      <c r="G170" s="22" t="s">
        <v>8424</v>
      </c>
      <c r="H170" s="35" t="s">
        <v>8132</v>
      </c>
      <c r="I170" s="22"/>
    </row>
    <row r="171" customFormat="false" ht="24.75" hidden="false" customHeight="true" outlineLevel="0" collapsed="false">
      <c r="A171" s="24" t="s">
        <v>525</v>
      </c>
      <c r="B171" s="32" t="s">
        <v>5129</v>
      </c>
      <c r="C171" s="32" t="s">
        <v>5129</v>
      </c>
      <c r="D171" s="22" t="s">
        <v>7784</v>
      </c>
      <c r="E171" s="22" t="s">
        <v>7809</v>
      </c>
      <c r="F171" s="22" t="s">
        <v>8425</v>
      </c>
      <c r="G171" s="22" t="s">
        <v>581</v>
      </c>
      <c r="H171" s="35" t="s">
        <v>8132</v>
      </c>
      <c r="I171" s="22"/>
    </row>
    <row r="172" customFormat="false" ht="15" hidden="false" customHeight="true" outlineLevel="0" collapsed="false">
      <c r="A172" s="24" t="s">
        <v>525</v>
      </c>
      <c r="B172" s="32" t="s">
        <v>5134</v>
      </c>
      <c r="C172" s="32" t="s">
        <v>3836</v>
      </c>
      <c r="D172" s="22" t="s">
        <v>3363</v>
      </c>
      <c r="E172" s="22" t="s">
        <v>3359</v>
      </c>
      <c r="F172" s="22" t="s">
        <v>8426</v>
      </c>
      <c r="G172" s="22" t="s">
        <v>8424</v>
      </c>
      <c r="H172" s="35" t="s">
        <v>8132</v>
      </c>
      <c r="I172" s="22"/>
    </row>
    <row r="173" customFormat="false" ht="24.75" hidden="false" customHeight="true" outlineLevel="0" collapsed="false">
      <c r="A173" s="24" t="s">
        <v>525</v>
      </c>
      <c r="B173" s="32" t="s">
        <v>7781</v>
      </c>
      <c r="C173" s="32" t="s">
        <v>7781</v>
      </c>
      <c r="D173" s="22" t="s">
        <v>7784</v>
      </c>
      <c r="E173" s="22" t="s">
        <v>7782</v>
      </c>
      <c r="F173" s="22" t="s">
        <v>8427</v>
      </c>
      <c r="G173" s="22" t="s">
        <v>581</v>
      </c>
      <c r="H173" s="35" t="s">
        <v>8132</v>
      </c>
      <c r="I173" s="22"/>
    </row>
    <row r="174" customFormat="false" ht="15" hidden="false" customHeight="true" outlineLevel="0" collapsed="false">
      <c r="A174" s="24" t="s">
        <v>525</v>
      </c>
      <c r="B174" s="32" t="s">
        <v>8428</v>
      </c>
      <c r="C174" s="32" t="s">
        <v>4368</v>
      </c>
      <c r="D174" s="22" t="s">
        <v>3363</v>
      </c>
      <c r="E174" s="22" t="s">
        <v>3377</v>
      </c>
      <c r="F174" s="22" t="s">
        <v>8429</v>
      </c>
      <c r="G174" s="22" t="s">
        <v>581</v>
      </c>
      <c r="H174" s="35" t="s">
        <v>8132</v>
      </c>
      <c r="I174" s="22"/>
    </row>
    <row r="175" customFormat="false" ht="37.5" hidden="false" customHeight="true" outlineLevel="0" collapsed="false">
      <c r="A175" s="24" t="s">
        <v>523</v>
      </c>
      <c r="B175" s="32" t="s">
        <v>7857</v>
      </c>
      <c r="C175" s="32" t="s">
        <v>7857</v>
      </c>
      <c r="D175" s="22" t="s">
        <v>7784</v>
      </c>
      <c r="E175" s="22" t="s">
        <v>7858</v>
      </c>
      <c r="F175" s="22" t="s">
        <v>8430</v>
      </c>
      <c r="G175" s="22" t="s">
        <v>581</v>
      </c>
      <c r="H175" s="31" t="s">
        <v>8209</v>
      </c>
      <c r="I175" s="22"/>
    </row>
    <row r="176" customFormat="false" ht="15" hidden="false" customHeight="true" outlineLevel="0" collapsed="false">
      <c r="A176" s="24" t="s">
        <v>525</v>
      </c>
      <c r="B176" s="32" t="s">
        <v>3857</v>
      </c>
      <c r="C176" s="32" t="s">
        <v>3857</v>
      </c>
      <c r="D176" s="22" t="s">
        <v>3363</v>
      </c>
      <c r="E176" s="22" t="s">
        <v>3394</v>
      </c>
      <c r="F176" s="22" t="s">
        <v>8431</v>
      </c>
      <c r="G176" s="22" t="s">
        <v>581</v>
      </c>
      <c r="H176" s="35" t="s">
        <v>8132</v>
      </c>
      <c r="I176" s="22"/>
    </row>
    <row r="177" customFormat="false" ht="15" hidden="false" customHeight="true" outlineLevel="0" collapsed="false">
      <c r="A177" s="24" t="s">
        <v>525</v>
      </c>
      <c r="B177" s="32" t="s">
        <v>7860</v>
      </c>
      <c r="C177" s="32" t="s">
        <v>7860</v>
      </c>
      <c r="D177" s="22" t="s">
        <v>7784</v>
      </c>
      <c r="E177" s="22" t="s">
        <v>7754</v>
      </c>
      <c r="F177" s="22" t="s">
        <v>8432</v>
      </c>
      <c r="G177" s="22" t="s">
        <v>581</v>
      </c>
      <c r="H177" s="35" t="s">
        <v>8132</v>
      </c>
      <c r="I177" s="22"/>
    </row>
    <row r="178" customFormat="false" ht="15" hidden="false" customHeight="true" outlineLevel="0" collapsed="false">
      <c r="A178" s="24" t="s">
        <v>523</v>
      </c>
      <c r="B178" s="32" t="s">
        <v>7860</v>
      </c>
      <c r="C178" s="32" t="s">
        <v>7860</v>
      </c>
      <c r="D178" s="22" t="s">
        <v>7784</v>
      </c>
      <c r="E178" s="22" t="s">
        <v>7754</v>
      </c>
      <c r="F178" s="22" t="s">
        <v>8433</v>
      </c>
      <c r="G178" s="22" t="s">
        <v>581</v>
      </c>
      <c r="H178" s="35" t="s">
        <v>8132</v>
      </c>
      <c r="I178" s="22"/>
    </row>
    <row r="179" customFormat="false" ht="37.5" hidden="false" customHeight="true" outlineLevel="0" collapsed="false">
      <c r="A179" s="24" t="s">
        <v>525</v>
      </c>
      <c r="B179" s="32" t="s">
        <v>8434</v>
      </c>
      <c r="C179" s="32" t="s">
        <v>4277</v>
      </c>
      <c r="D179" s="22" t="s">
        <v>3363</v>
      </c>
      <c r="E179" s="22" t="s">
        <v>3394</v>
      </c>
      <c r="F179" s="22" t="s">
        <v>8435</v>
      </c>
      <c r="G179" s="22" t="s">
        <v>581</v>
      </c>
      <c r="H179" s="31" t="s">
        <v>8209</v>
      </c>
      <c r="I179" s="22" t="s">
        <v>8436</v>
      </c>
    </row>
    <row r="180" customFormat="false" ht="24.75" hidden="false" customHeight="true" outlineLevel="0" collapsed="false">
      <c r="A180" s="24" t="s">
        <v>523</v>
      </c>
      <c r="B180" s="32" t="s">
        <v>7863</v>
      </c>
      <c r="C180" s="32" t="s">
        <v>7863</v>
      </c>
      <c r="D180" s="22" t="s">
        <v>7784</v>
      </c>
      <c r="E180" s="22" t="s">
        <v>3713</v>
      </c>
      <c r="F180" s="22" t="s">
        <v>8437</v>
      </c>
      <c r="G180" s="22" t="s">
        <v>8424</v>
      </c>
      <c r="H180" s="31" t="s">
        <v>8209</v>
      </c>
      <c r="I180" s="22"/>
    </row>
    <row r="181" customFormat="false" ht="37.5" hidden="false" customHeight="true" outlineLevel="0" collapsed="false">
      <c r="A181" s="24" t="s">
        <v>525</v>
      </c>
      <c r="B181" s="32" t="s">
        <v>7865</v>
      </c>
      <c r="C181" s="32" t="s">
        <v>7865</v>
      </c>
      <c r="D181" s="22" t="s">
        <v>7784</v>
      </c>
      <c r="E181" s="22" t="s">
        <v>3389</v>
      </c>
      <c r="F181" s="22" t="s">
        <v>8438</v>
      </c>
      <c r="G181" s="22" t="s">
        <v>581</v>
      </c>
      <c r="H181" s="31" t="s">
        <v>8209</v>
      </c>
      <c r="I181" s="22"/>
    </row>
    <row r="182" customFormat="false" ht="15" hidden="false" customHeight="true" outlineLevel="0" collapsed="false">
      <c r="A182" s="24" t="s">
        <v>610</v>
      </c>
      <c r="B182" s="32" t="s">
        <v>8133</v>
      </c>
      <c r="C182" s="32" t="s">
        <v>4046</v>
      </c>
      <c r="D182" s="22" t="s">
        <v>3363</v>
      </c>
      <c r="E182" s="22" t="s">
        <v>3359</v>
      </c>
      <c r="F182" s="22" t="s">
        <v>8439</v>
      </c>
      <c r="G182" s="22" t="s">
        <v>607</v>
      </c>
      <c r="H182" s="35" t="s">
        <v>8132</v>
      </c>
      <c r="I182" s="22"/>
    </row>
    <row r="183" customFormat="false" ht="15" hidden="false" customHeight="true" outlineLevel="0" collapsed="false">
      <c r="A183" s="24" t="s">
        <v>610</v>
      </c>
      <c r="B183" s="32" t="s">
        <v>8140</v>
      </c>
      <c r="C183" s="32" t="s">
        <v>4071</v>
      </c>
      <c r="D183" s="22" t="s">
        <v>3363</v>
      </c>
      <c r="E183" s="22" t="s">
        <v>3359</v>
      </c>
      <c r="F183" s="22" t="s">
        <v>8440</v>
      </c>
      <c r="G183" s="22" t="s">
        <v>607</v>
      </c>
      <c r="H183" s="35" t="s">
        <v>8132</v>
      </c>
      <c r="I183" s="22" t="s">
        <v>8441</v>
      </c>
    </row>
    <row r="184" customFormat="false" ht="24.75" hidden="false" customHeight="true" outlineLevel="0" collapsed="false">
      <c r="A184" s="24" t="s">
        <v>610</v>
      </c>
      <c r="B184" s="32" t="s">
        <v>5129</v>
      </c>
      <c r="C184" s="32" t="s">
        <v>5129</v>
      </c>
      <c r="D184" s="22" t="s">
        <v>7784</v>
      </c>
      <c r="E184" s="22" t="s">
        <v>7809</v>
      </c>
      <c r="F184" s="22" t="s">
        <v>8442</v>
      </c>
      <c r="G184" s="22" t="s">
        <v>607</v>
      </c>
      <c r="H184" s="35" t="s">
        <v>8132</v>
      </c>
      <c r="I184" s="22"/>
    </row>
    <row r="185" customFormat="false" ht="15" hidden="false" customHeight="true" outlineLevel="0" collapsed="false">
      <c r="A185" s="24" t="s">
        <v>610</v>
      </c>
      <c r="B185" s="32" t="s">
        <v>4344</v>
      </c>
      <c r="C185" s="32" t="s">
        <v>4063</v>
      </c>
      <c r="D185" s="22" t="s">
        <v>3363</v>
      </c>
      <c r="E185" s="22" t="s">
        <v>3359</v>
      </c>
      <c r="F185" s="22" t="s">
        <v>8443</v>
      </c>
      <c r="G185" s="22" t="s">
        <v>607</v>
      </c>
      <c r="H185" s="35" t="s">
        <v>8132</v>
      </c>
      <c r="I185" s="22" t="s">
        <v>8444</v>
      </c>
    </row>
    <row r="186" customFormat="false" ht="24.75" hidden="false" customHeight="true" outlineLevel="0" collapsed="false">
      <c r="A186" s="24" t="s">
        <v>610</v>
      </c>
      <c r="B186" s="32" t="s">
        <v>7860</v>
      </c>
      <c r="C186" s="32" t="s">
        <v>7860</v>
      </c>
      <c r="D186" s="22" t="s">
        <v>7784</v>
      </c>
      <c r="E186" s="22" t="s">
        <v>7754</v>
      </c>
      <c r="F186" s="22" t="s">
        <v>8445</v>
      </c>
      <c r="G186" s="22" t="s">
        <v>607</v>
      </c>
      <c r="H186" s="35" t="s">
        <v>8132</v>
      </c>
      <c r="I186" s="22"/>
    </row>
    <row r="187" customFormat="false" ht="15" hidden="false" customHeight="true" outlineLevel="0" collapsed="false">
      <c r="A187" s="24" t="s">
        <v>524</v>
      </c>
      <c r="B187" s="32" t="s">
        <v>7860</v>
      </c>
      <c r="C187" s="32" t="s">
        <v>7860</v>
      </c>
      <c r="D187" s="22" t="s">
        <v>7784</v>
      </c>
      <c r="E187" s="22" t="s">
        <v>7754</v>
      </c>
      <c r="F187" s="22" t="s">
        <v>8432</v>
      </c>
      <c r="G187" s="22" t="s">
        <v>607</v>
      </c>
      <c r="H187" s="35" t="s">
        <v>8132</v>
      </c>
      <c r="I187" s="22"/>
    </row>
    <row r="188" customFormat="false" ht="15" hidden="false" customHeight="true" outlineLevel="0" collapsed="false">
      <c r="A188" s="24" t="s">
        <v>610</v>
      </c>
      <c r="B188" s="32" t="s">
        <v>3824</v>
      </c>
      <c r="C188" s="32" t="s">
        <v>4059</v>
      </c>
      <c r="D188" s="22" t="s">
        <v>3363</v>
      </c>
      <c r="E188" s="22" t="s">
        <v>3389</v>
      </c>
      <c r="F188" s="22" t="s">
        <v>8446</v>
      </c>
      <c r="G188" s="22" t="s">
        <v>607</v>
      </c>
      <c r="H188" s="35" t="s">
        <v>8132</v>
      </c>
      <c r="I188" s="22" t="s">
        <v>8447</v>
      </c>
    </row>
    <row r="189" customFormat="false" ht="15" hidden="false" customHeight="true" outlineLevel="0" collapsed="false">
      <c r="A189" s="24" t="s">
        <v>637</v>
      </c>
      <c r="B189" s="32" t="s">
        <v>7158</v>
      </c>
      <c r="C189" s="32" t="s">
        <v>7158</v>
      </c>
      <c r="D189" s="22" t="s">
        <v>7784</v>
      </c>
      <c r="E189" s="22" t="s">
        <v>7713</v>
      </c>
      <c r="F189" s="22" t="s">
        <v>8448</v>
      </c>
      <c r="G189" s="22" t="s">
        <v>633</v>
      </c>
      <c r="H189" s="31" t="s">
        <v>8209</v>
      </c>
      <c r="I189" s="22"/>
    </row>
    <row r="190" customFormat="false" ht="15" hidden="false" customHeight="true" outlineLevel="0" collapsed="false">
      <c r="A190" s="24" t="s">
        <v>523</v>
      </c>
      <c r="B190" s="32" t="s">
        <v>4071</v>
      </c>
      <c r="C190" s="32" t="s">
        <v>7151</v>
      </c>
      <c r="D190" s="22" t="s">
        <v>3363</v>
      </c>
      <c r="E190" s="22" t="s">
        <v>3359</v>
      </c>
      <c r="F190" s="22" t="s">
        <v>8384</v>
      </c>
      <c r="G190" s="22" t="s">
        <v>8449</v>
      </c>
      <c r="H190" s="35" t="s">
        <v>8132</v>
      </c>
      <c r="I190" s="22"/>
    </row>
    <row r="191" customFormat="false" ht="37.5" hidden="false" customHeight="true" outlineLevel="0" collapsed="false">
      <c r="A191" s="24" t="s">
        <v>637</v>
      </c>
      <c r="B191" s="32" t="s">
        <v>8450</v>
      </c>
      <c r="C191" s="32" t="s">
        <v>7243</v>
      </c>
      <c r="D191" s="22" t="s">
        <v>8185</v>
      </c>
      <c r="E191" s="22" t="s">
        <v>3359</v>
      </c>
      <c r="F191" s="22" t="s">
        <v>7723</v>
      </c>
      <c r="G191" s="22" t="s">
        <v>633</v>
      </c>
      <c r="H191" s="35" t="s">
        <v>8132</v>
      </c>
      <c r="I191" s="22"/>
    </row>
    <row r="192" customFormat="false" ht="15" hidden="false" customHeight="true" outlineLevel="0" collapsed="false">
      <c r="A192" s="24" t="s">
        <v>523</v>
      </c>
      <c r="B192" s="32" t="s">
        <v>3850</v>
      </c>
      <c r="C192" s="32" t="s">
        <v>3850</v>
      </c>
      <c r="D192" s="22" t="s">
        <v>3363</v>
      </c>
      <c r="E192" s="22" t="s">
        <v>3394</v>
      </c>
      <c r="F192" s="22" t="s">
        <v>8451</v>
      </c>
      <c r="G192" s="22" t="s">
        <v>633</v>
      </c>
      <c r="H192" s="35" t="s">
        <v>8132</v>
      </c>
      <c r="I192" s="22"/>
    </row>
    <row r="193" customFormat="false" ht="24.75" hidden="false" customHeight="true" outlineLevel="0" collapsed="false">
      <c r="A193" s="24" t="s">
        <v>523</v>
      </c>
      <c r="B193" s="32" t="s">
        <v>7349</v>
      </c>
      <c r="C193" s="32" t="s">
        <v>7349</v>
      </c>
      <c r="D193" s="22" t="s">
        <v>7784</v>
      </c>
      <c r="E193" s="22" t="s">
        <v>3713</v>
      </c>
      <c r="F193" s="22" t="s">
        <v>8452</v>
      </c>
      <c r="G193" s="22" t="s">
        <v>633</v>
      </c>
      <c r="H193" s="31" t="s">
        <v>8209</v>
      </c>
      <c r="I193" s="22"/>
    </row>
    <row r="194" customFormat="false" ht="15" hidden="false" customHeight="true" outlineLevel="0" collapsed="false">
      <c r="A194" s="24" t="s">
        <v>555</v>
      </c>
      <c r="B194" s="32" t="s">
        <v>3874</v>
      </c>
      <c r="C194" s="32" t="s">
        <v>3364</v>
      </c>
      <c r="D194" s="22" t="s">
        <v>3363</v>
      </c>
      <c r="E194" s="22" t="s">
        <v>3359</v>
      </c>
      <c r="F194" s="22" t="s">
        <v>8453</v>
      </c>
      <c r="G194" s="22" t="s">
        <v>662</v>
      </c>
      <c r="H194" s="35" t="s">
        <v>8132</v>
      </c>
      <c r="I194" s="22"/>
    </row>
    <row r="195" customFormat="false" ht="15" hidden="false" customHeight="true" outlineLevel="0" collapsed="false">
      <c r="A195" s="24" t="s">
        <v>555</v>
      </c>
      <c r="B195" s="32" t="s">
        <v>3356</v>
      </c>
      <c r="C195" s="32" t="s">
        <v>3356</v>
      </c>
      <c r="D195" s="22" t="s">
        <v>3363</v>
      </c>
      <c r="E195" s="22" t="s">
        <v>3359</v>
      </c>
      <c r="F195" s="22" t="s">
        <v>8454</v>
      </c>
      <c r="G195" s="22" t="s">
        <v>662</v>
      </c>
      <c r="H195" s="35" t="s">
        <v>8132</v>
      </c>
      <c r="I195" s="22"/>
    </row>
    <row r="196" customFormat="false" ht="15" hidden="false" customHeight="true" outlineLevel="0" collapsed="false">
      <c r="A196" s="24" t="s">
        <v>555</v>
      </c>
      <c r="B196" s="32" t="s">
        <v>8455</v>
      </c>
      <c r="C196" s="32" t="s">
        <v>5652</v>
      </c>
      <c r="D196" s="22" t="s">
        <v>3363</v>
      </c>
      <c r="E196" s="22" t="s">
        <v>3394</v>
      </c>
      <c r="F196" s="22" t="s">
        <v>8456</v>
      </c>
      <c r="G196" s="22" t="s">
        <v>662</v>
      </c>
      <c r="H196" s="35" t="s">
        <v>8132</v>
      </c>
      <c r="I196" s="22" t="s">
        <v>8457</v>
      </c>
    </row>
    <row r="197" customFormat="false" ht="15" hidden="false" customHeight="true" outlineLevel="0" collapsed="false">
      <c r="A197" s="24" t="s">
        <v>555</v>
      </c>
      <c r="B197" s="32" t="s">
        <v>8458</v>
      </c>
      <c r="C197" s="32" t="s">
        <v>5655</v>
      </c>
      <c r="D197" s="22" t="s">
        <v>3363</v>
      </c>
      <c r="E197" s="22" t="s">
        <v>3394</v>
      </c>
      <c r="F197" s="22" t="s">
        <v>8459</v>
      </c>
      <c r="G197" s="22" t="s">
        <v>662</v>
      </c>
      <c r="H197" s="35" t="s">
        <v>8132</v>
      </c>
      <c r="I197" s="22" t="s">
        <v>8457</v>
      </c>
    </row>
    <row r="198" customFormat="false" ht="24.75" hidden="false" customHeight="true" outlineLevel="0" collapsed="false">
      <c r="A198" s="24" t="s">
        <v>555</v>
      </c>
      <c r="B198" s="32" t="s">
        <v>7620</v>
      </c>
      <c r="C198" s="32" t="s">
        <v>5648</v>
      </c>
      <c r="D198" s="22" t="s">
        <v>3363</v>
      </c>
      <c r="E198" s="22" t="s">
        <v>3394</v>
      </c>
      <c r="F198" s="22" t="s">
        <v>8460</v>
      </c>
      <c r="G198" s="22" t="s">
        <v>662</v>
      </c>
      <c r="H198" s="35" t="s">
        <v>8132</v>
      </c>
      <c r="I198" s="22" t="s">
        <v>8461</v>
      </c>
    </row>
    <row r="199" customFormat="false" ht="15" hidden="false" customHeight="true" outlineLevel="0" collapsed="false">
      <c r="A199" s="24" t="s">
        <v>555</v>
      </c>
      <c r="B199" s="32" t="s">
        <v>7630</v>
      </c>
      <c r="C199" s="32" t="s">
        <v>5658</v>
      </c>
      <c r="D199" s="22" t="s">
        <v>3363</v>
      </c>
      <c r="E199" s="22" t="s">
        <v>3394</v>
      </c>
      <c r="F199" s="22" t="s">
        <v>8462</v>
      </c>
      <c r="G199" s="22" t="s">
        <v>662</v>
      </c>
      <c r="H199" s="35" t="s">
        <v>8132</v>
      </c>
      <c r="I199" s="22" t="s">
        <v>8457</v>
      </c>
    </row>
    <row r="200" customFormat="false" ht="15" hidden="false" customHeight="true" outlineLevel="0" collapsed="false">
      <c r="A200" s="24" t="s">
        <v>692</v>
      </c>
      <c r="B200" s="32" t="s">
        <v>7656</v>
      </c>
      <c r="C200" s="32" t="s">
        <v>7171</v>
      </c>
      <c r="D200" s="22" t="s">
        <v>3363</v>
      </c>
      <c r="E200" s="22" t="s">
        <v>3359</v>
      </c>
      <c r="F200" s="22" t="s">
        <v>8463</v>
      </c>
      <c r="G200" s="22" t="s">
        <v>688</v>
      </c>
      <c r="H200" s="35" t="s">
        <v>8132</v>
      </c>
      <c r="I200" s="22"/>
    </row>
    <row r="201" customFormat="false" ht="15" hidden="false" customHeight="true" outlineLevel="0" collapsed="false">
      <c r="A201" s="24" t="s">
        <v>3334</v>
      </c>
      <c r="B201" s="32" t="s">
        <v>7656</v>
      </c>
      <c r="C201" s="32" t="s">
        <v>7656</v>
      </c>
      <c r="D201" s="22" t="s">
        <v>8185</v>
      </c>
      <c r="E201" s="22" t="s">
        <v>3359</v>
      </c>
      <c r="F201" s="22" t="s">
        <v>7658</v>
      </c>
      <c r="G201" s="22" t="s">
        <v>688</v>
      </c>
      <c r="H201" s="35" t="s">
        <v>8132</v>
      </c>
      <c r="I201" s="22" t="s">
        <v>8464</v>
      </c>
    </row>
    <row r="202" customFormat="false" ht="24.75" hidden="false" customHeight="true" outlineLevel="0" collapsed="false">
      <c r="A202" s="24" t="s">
        <v>692</v>
      </c>
      <c r="B202" s="32" t="s">
        <v>7871</v>
      </c>
      <c r="C202" s="32" t="s">
        <v>7871</v>
      </c>
      <c r="D202" s="22" t="s">
        <v>7784</v>
      </c>
      <c r="E202" s="22" t="s">
        <v>7731</v>
      </c>
      <c r="F202" s="22" t="s">
        <v>8465</v>
      </c>
      <c r="G202" s="22" t="s">
        <v>688</v>
      </c>
      <c r="H202" s="33" t="s">
        <v>8344</v>
      </c>
      <c r="I202" s="22" t="s">
        <v>8466</v>
      </c>
    </row>
    <row r="203" customFormat="false" ht="15" hidden="false" customHeight="true" outlineLevel="0" collapsed="false">
      <c r="A203" s="24" t="s">
        <v>720</v>
      </c>
      <c r="B203" s="32" t="s">
        <v>3874</v>
      </c>
      <c r="C203" s="32" t="s">
        <v>3874</v>
      </c>
      <c r="D203" s="22" t="s">
        <v>8185</v>
      </c>
      <c r="E203" s="22" t="s">
        <v>3359</v>
      </c>
      <c r="F203" s="22" t="s">
        <v>7619</v>
      </c>
      <c r="G203" s="22" t="s">
        <v>717</v>
      </c>
      <c r="H203" s="35" t="s">
        <v>8132</v>
      </c>
      <c r="I203" s="22" t="s">
        <v>8467</v>
      </c>
    </row>
    <row r="204" customFormat="false" ht="15" hidden="false" customHeight="true" outlineLevel="0" collapsed="false">
      <c r="A204" s="24" t="s">
        <v>720</v>
      </c>
      <c r="B204" s="32" t="s">
        <v>7623</v>
      </c>
      <c r="C204" s="32" t="s">
        <v>7623</v>
      </c>
      <c r="D204" s="22" t="s">
        <v>8185</v>
      </c>
      <c r="E204" s="22" t="s">
        <v>3394</v>
      </c>
      <c r="F204" s="22" t="s">
        <v>7626</v>
      </c>
      <c r="G204" s="22" t="s">
        <v>717</v>
      </c>
      <c r="H204" s="35" t="s">
        <v>8132</v>
      </c>
      <c r="I204" s="22" t="s">
        <v>8467</v>
      </c>
    </row>
    <row r="205" customFormat="false" ht="15" hidden="false" customHeight="true" outlineLevel="0" collapsed="false">
      <c r="A205" s="24" t="s">
        <v>720</v>
      </c>
      <c r="B205" s="32" t="s">
        <v>7627</v>
      </c>
      <c r="C205" s="32" t="s">
        <v>7627</v>
      </c>
      <c r="D205" s="22" t="s">
        <v>8185</v>
      </c>
      <c r="E205" s="22" t="s">
        <v>3394</v>
      </c>
      <c r="F205" s="22" t="s">
        <v>7629</v>
      </c>
      <c r="G205" s="22" t="s">
        <v>717</v>
      </c>
      <c r="H205" s="35" t="s">
        <v>8132</v>
      </c>
      <c r="I205" s="22" t="s">
        <v>8467</v>
      </c>
    </row>
    <row r="206" customFormat="false" ht="15" hidden="false" customHeight="true" outlineLevel="0" collapsed="false">
      <c r="A206" s="24" t="s">
        <v>720</v>
      </c>
      <c r="B206" s="32" t="s">
        <v>7630</v>
      </c>
      <c r="C206" s="32" t="s">
        <v>7630</v>
      </c>
      <c r="D206" s="22" t="s">
        <v>8185</v>
      </c>
      <c r="E206" s="22" t="s">
        <v>3394</v>
      </c>
      <c r="F206" s="22" t="s">
        <v>7631</v>
      </c>
      <c r="G206" s="22" t="s">
        <v>717</v>
      </c>
      <c r="H206" s="35" t="s">
        <v>8132</v>
      </c>
      <c r="I206" s="22" t="s">
        <v>8467</v>
      </c>
    </row>
    <row r="207" customFormat="false" ht="24.75" hidden="false" customHeight="true" outlineLevel="0" collapsed="false">
      <c r="A207" s="24" t="s">
        <v>749</v>
      </c>
      <c r="B207" s="32" t="s">
        <v>8468</v>
      </c>
      <c r="C207" s="32" t="s">
        <v>5516</v>
      </c>
      <c r="D207" s="22" t="s">
        <v>3363</v>
      </c>
      <c r="E207" s="22" t="s">
        <v>3359</v>
      </c>
      <c r="F207" s="22" t="s">
        <v>8469</v>
      </c>
      <c r="G207" s="22" t="s">
        <v>8470</v>
      </c>
      <c r="H207" s="35" t="s">
        <v>8132</v>
      </c>
      <c r="I207" s="22" t="s">
        <v>8471</v>
      </c>
    </row>
    <row r="208" customFormat="false" ht="15" hidden="false" customHeight="true" outlineLevel="0" collapsed="false">
      <c r="A208" s="24" t="s">
        <v>270</v>
      </c>
      <c r="B208" s="32" t="s">
        <v>3819</v>
      </c>
      <c r="C208" s="32" t="s">
        <v>3819</v>
      </c>
      <c r="D208" s="22" t="s">
        <v>3363</v>
      </c>
      <c r="E208" s="22" t="s">
        <v>3359</v>
      </c>
      <c r="F208" s="22" t="s">
        <v>8472</v>
      </c>
      <c r="G208" s="22" t="s">
        <v>745</v>
      </c>
      <c r="H208" s="35" t="s">
        <v>8132</v>
      </c>
      <c r="I208" s="22"/>
    </row>
    <row r="209" customFormat="false" ht="24.75" hidden="false" customHeight="true" outlineLevel="0" collapsed="false">
      <c r="A209" s="24" t="s">
        <v>749</v>
      </c>
      <c r="B209" s="32" t="s">
        <v>8473</v>
      </c>
      <c r="C209" s="32" t="s">
        <v>5511</v>
      </c>
      <c r="D209" s="22" t="s">
        <v>3363</v>
      </c>
      <c r="E209" s="22" t="s">
        <v>3359</v>
      </c>
      <c r="F209" s="22" t="s">
        <v>8474</v>
      </c>
      <c r="G209" s="22" t="s">
        <v>745</v>
      </c>
      <c r="H209" s="35" t="s">
        <v>8132</v>
      </c>
      <c r="I209" s="22"/>
    </row>
    <row r="210" customFormat="false" ht="24.75" hidden="false" customHeight="true" outlineLevel="0" collapsed="false">
      <c r="A210" s="24" t="s">
        <v>750</v>
      </c>
      <c r="B210" s="32" t="s">
        <v>8473</v>
      </c>
      <c r="C210" s="32" t="s">
        <v>5511</v>
      </c>
      <c r="D210" s="22" t="s">
        <v>3363</v>
      </c>
      <c r="E210" s="22" t="s">
        <v>3359</v>
      </c>
      <c r="F210" s="22" t="s">
        <v>8475</v>
      </c>
      <c r="G210" s="22" t="s">
        <v>745</v>
      </c>
      <c r="H210" s="35" t="s">
        <v>8132</v>
      </c>
      <c r="I210" s="22"/>
    </row>
    <row r="211" customFormat="false" ht="24.75" hidden="false" customHeight="true" outlineLevel="0" collapsed="false">
      <c r="A211" s="24" t="s">
        <v>778</v>
      </c>
      <c r="B211" s="32" t="s">
        <v>8473</v>
      </c>
      <c r="C211" s="32" t="s">
        <v>5511</v>
      </c>
      <c r="D211" s="22" t="s">
        <v>3363</v>
      </c>
      <c r="E211" s="22" t="s">
        <v>3359</v>
      </c>
      <c r="F211" s="22" t="s">
        <v>8476</v>
      </c>
      <c r="G211" s="22" t="s">
        <v>745</v>
      </c>
      <c r="H211" s="35" t="s">
        <v>8132</v>
      </c>
      <c r="I211" s="22"/>
    </row>
    <row r="212" customFormat="false" ht="24.75" hidden="false" customHeight="true" outlineLevel="0" collapsed="false">
      <c r="A212" s="24" t="s">
        <v>749</v>
      </c>
      <c r="B212" s="32" t="s">
        <v>7875</v>
      </c>
      <c r="C212" s="32" t="s">
        <v>7873</v>
      </c>
      <c r="D212" s="22" t="s">
        <v>7784</v>
      </c>
      <c r="E212" s="22" t="s">
        <v>3713</v>
      </c>
      <c r="F212" s="22" t="s">
        <v>8477</v>
      </c>
      <c r="G212" s="22" t="s">
        <v>745</v>
      </c>
      <c r="H212" s="31" t="s">
        <v>8209</v>
      </c>
      <c r="I212" s="22" t="s">
        <v>8478</v>
      </c>
    </row>
    <row r="213" customFormat="false" ht="24.75" hidden="false" customHeight="true" outlineLevel="0" collapsed="false">
      <c r="A213" s="24" t="s">
        <v>750</v>
      </c>
      <c r="B213" s="32" t="s">
        <v>8479</v>
      </c>
      <c r="C213" s="32" t="s">
        <v>7875</v>
      </c>
      <c r="D213" s="22" t="s">
        <v>7784</v>
      </c>
      <c r="E213" s="22" t="s">
        <v>3713</v>
      </c>
      <c r="F213" s="22" t="s">
        <v>8480</v>
      </c>
      <c r="G213" s="22" t="s">
        <v>745</v>
      </c>
      <c r="H213" s="31" t="s">
        <v>8209</v>
      </c>
      <c r="I213" s="22" t="s">
        <v>8481</v>
      </c>
    </row>
    <row r="214" customFormat="false" ht="24.75" hidden="false" customHeight="true" outlineLevel="0" collapsed="false">
      <c r="A214" s="24" t="s">
        <v>749</v>
      </c>
      <c r="B214" s="32" t="s">
        <v>7877</v>
      </c>
      <c r="C214" s="32" t="s">
        <v>7877</v>
      </c>
      <c r="D214" s="22" t="s">
        <v>7784</v>
      </c>
      <c r="E214" s="22" t="s">
        <v>3713</v>
      </c>
      <c r="F214" s="22" t="s">
        <v>8482</v>
      </c>
      <c r="G214" s="22" t="s">
        <v>745</v>
      </c>
      <c r="H214" s="31" t="s">
        <v>8209</v>
      </c>
      <c r="I214" s="22"/>
    </row>
    <row r="215" customFormat="false" ht="15" hidden="false" customHeight="true" outlineLevel="0" collapsed="false">
      <c r="A215" s="24" t="s">
        <v>749</v>
      </c>
      <c r="B215" s="32" t="s">
        <v>7879</v>
      </c>
      <c r="C215" s="32" t="s">
        <v>7879</v>
      </c>
      <c r="D215" s="22" t="s">
        <v>7784</v>
      </c>
      <c r="E215" s="22" t="s">
        <v>3713</v>
      </c>
      <c r="F215" s="22" t="s">
        <v>8483</v>
      </c>
      <c r="G215" s="22" t="s">
        <v>745</v>
      </c>
      <c r="H215" s="31" t="s">
        <v>8209</v>
      </c>
      <c r="I215" s="22"/>
    </row>
    <row r="216" customFormat="false" ht="37.5" hidden="false" customHeight="true" outlineLevel="0" collapsed="false">
      <c r="A216" s="24" t="s">
        <v>778</v>
      </c>
      <c r="B216" s="32" t="s">
        <v>8484</v>
      </c>
      <c r="C216" s="32" t="s">
        <v>7881</v>
      </c>
      <c r="D216" s="22" t="s">
        <v>7784</v>
      </c>
      <c r="E216" s="22" t="s">
        <v>3713</v>
      </c>
      <c r="F216" s="22" t="s">
        <v>8485</v>
      </c>
      <c r="G216" s="22" t="s">
        <v>745</v>
      </c>
      <c r="H216" s="31" t="s">
        <v>8209</v>
      </c>
      <c r="I216" s="22" t="s">
        <v>8486</v>
      </c>
    </row>
    <row r="217" customFormat="false" ht="24.75" hidden="false" customHeight="true" outlineLevel="0" collapsed="false">
      <c r="A217" s="24" t="s">
        <v>778</v>
      </c>
      <c r="B217" s="32" t="s">
        <v>3874</v>
      </c>
      <c r="C217" s="32" t="s">
        <v>5516</v>
      </c>
      <c r="D217" s="22" t="s">
        <v>3363</v>
      </c>
      <c r="E217" s="22" t="s">
        <v>3359</v>
      </c>
      <c r="F217" s="22" t="s">
        <v>8487</v>
      </c>
      <c r="G217" s="22" t="s">
        <v>774</v>
      </c>
      <c r="H217" s="35" t="s">
        <v>8132</v>
      </c>
      <c r="I217" s="22"/>
    </row>
    <row r="218" customFormat="false" ht="15" hidden="false" customHeight="true" outlineLevel="0" collapsed="false">
      <c r="A218" s="24" t="s">
        <v>779</v>
      </c>
      <c r="B218" s="32" t="s">
        <v>5672</v>
      </c>
      <c r="C218" s="32" t="s">
        <v>5672</v>
      </c>
      <c r="D218" s="22" t="s">
        <v>3363</v>
      </c>
      <c r="E218" s="22" t="s">
        <v>3359</v>
      </c>
      <c r="F218" s="22" t="s">
        <v>8488</v>
      </c>
      <c r="G218" s="22" t="s">
        <v>774</v>
      </c>
      <c r="H218" s="35" t="s">
        <v>8132</v>
      </c>
      <c r="I218" s="22"/>
    </row>
    <row r="219" customFormat="false" ht="24.75" hidden="false" customHeight="true" outlineLevel="0" collapsed="false">
      <c r="A219" s="24" t="s">
        <v>779</v>
      </c>
      <c r="B219" s="32" t="s">
        <v>8489</v>
      </c>
      <c r="C219" s="32" t="s">
        <v>5694</v>
      </c>
      <c r="D219" s="22" t="s">
        <v>3363</v>
      </c>
      <c r="E219" s="22" t="s">
        <v>3394</v>
      </c>
      <c r="F219" s="22" t="s">
        <v>8490</v>
      </c>
      <c r="G219" s="22" t="s">
        <v>774</v>
      </c>
      <c r="H219" s="31" t="s">
        <v>8209</v>
      </c>
      <c r="I219" s="22" t="s">
        <v>8491</v>
      </c>
    </row>
    <row r="220" customFormat="false" ht="24.75" hidden="false" customHeight="true" outlineLevel="0" collapsed="false">
      <c r="A220" s="24" t="s">
        <v>808</v>
      </c>
      <c r="B220" s="32" t="s">
        <v>7781</v>
      </c>
      <c r="C220" s="32" t="s">
        <v>4400</v>
      </c>
      <c r="D220" s="22" t="s">
        <v>3363</v>
      </c>
      <c r="E220" s="22" t="s">
        <v>3359</v>
      </c>
      <c r="F220" s="22" t="s">
        <v>8492</v>
      </c>
      <c r="G220" s="22" t="s">
        <v>8493</v>
      </c>
      <c r="H220" s="35" t="s">
        <v>8132</v>
      </c>
      <c r="I220" s="22"/>
    </row>
    <row r="221" customFormat="false" ht="15" hidden="false" customHeight="true" outlineLevel="0" collapsed="false">
      <c r="A221" s="24" t="s">
        <v>892</v>
      </c>
      <c r="B221" s="32" t="s">
        <v>7548</v>
      </c>
      <c r="C221" s="32" t="s">
        <v>7548</v>
      </c>
      <c r="D221" s="22" t="s">
        <v>3363</v>
      </c>
      <c r="E221" s="22" t="s">
        <v>3359</v>
      </c>
      <c r="F221" s="22" t="s">
        <v>8494</v>
      </c>
      <c r="G221" s="22" t="s">
        <v>888</v>
      </c>
      <c r="H221" s="35" t="s">
        <v>8132</v>
      </c>
      <c r="I221" s="22"/>
    </row>
    <row r="222" customFormat="false" ht="15" hidden="false" customHeight="true" outlineLevel="0" collapsed="false">
      <c r="A222" s="24" t="s">
        <v>808</v>
      </c>
      <c r="B222" s="32" t="s">
        <v>3356</v>
      </c>
      <c r="C222" s="32" t="s">
        <v>3356</v>
      </c>
      <c r="D222" s="22" t="s">
        <v>3363</v>
      </c>
      <c r="E222" s="22" t="s">
        <v>3359</v>
      </c>
      <c r="F222" s="22" t="s">
        <v>8495</v>
      </c>
      <c r="G222" s="22" t="s">
        <v>8496</v>
      </c>
      <c r="H222" s="35" t="s">
        <v>8132</v>
      </c>
      <c r="I222" s="22"/>
    </row>
    <row r="223" customFormat="false" ht="24.75" hidden="false" customHeight="true" outlineLevel="0" collapsed="false">
      <c r="A223" s="24" t="s">
        <v>892</v>
      </c>
      <c r="B223" s="32" t="s">
        <v>7781</v>
      </c>
      <c r="C223" s="32" t="s">
        <v>7781</v>
      </c>
      <c r="D223" s="22" t="s">
        <v>7784</v>
      </c>
      <c r="E223" s="22" t="s">
        <v>7782</v>
      </c>
      <c r="F223" s="22" t="s">
        <v>8497</v>
      </c>
      <c r="G223" s="22" t="s">
        <v>888</v>
      </c>
      <c r="H223" s="35" t="s">
        <v>8132</v>
      </c>
      <c r="I223" s="22"/>
    </row>
    <row r="224" customFormat="false" ht="24.75" hidden="false" customHeight="true" outlineLevel="0" collapsed="false">
      <c r="A224" s="24" t="s">
        <v>893</v>
      </c>
      <c r="B224" s="32" t="s">
        <v>7724</v>
      </c>
      <c r="C224" s="32" t="s">
        <v>7724</v>
      </c>
      <c r="D224" s="22" t="s">
        <v>8185</v>
      </c>
      <c r="E224" s="22" t="s">
        <v>7713</v>
      </c>
      <c r="F224" s="22" t="s">
        <v>7725</v>
      </c>
      <c r="G224" s="22" t="s">
        <v>8498</v>
      </c>
      <c r="H224" s="35" t="s">
        <v>8132</v>
      </c>
      <c r="I224" s="22"/>
    </row>
    <row r="225" customFormat="false" ht="37.5" hidden="false" customHeight="true" outlineLevel="0" collapsed="false">
      <c r="A225" s="24" t="s">
        <v>892</v>
      </c>
      <c r="B225" s="32" t="s">
        <v>7884</v>
      </c>
      <c r="C225" s="32" t="s">
        <v>7884</v>
      </c>
      <c r="D225" s="22" t="s">
        <v>7784</v>
      </c>
      <c r="E225" s="22" t="s">
        <v>3713</v>
      </c>
      <c r="F225" s="22" t="s">
        <v>8499</v>
      </c>
      <c r="G225" s="22" t="s">
        <v>888</v>
      </c>
      <c r="H225" s="31" t="s">
        <v>8209</v>
      </c>
      <c r="I225" s="22"/>
    </row>
    <row r="226" customFormat="false" ht="24.75" hidden="false" customHeight="true" outlineLevel="0" collapsed="false">
      <c r="A226" s="24" t="s">
        <v>808</v>
      </c>
      <c r="B226" s="32" t="s">
        <v>7886</v>
      </c>
      <c r="C226" s="32" t="s">
        <v>7886</v>
      </c>
      <c r="D226" s="22" t="s">
        <v>7784</v>
      </c>
      <c r="E226" s="22" t="s">
        <v>3713</v>
      </c>
      <c r="F226" s="22" t="s">
        <v>8500</v>
      </c>
      <c r="G226" s="22" t="s">
        <v>888</v>
      </c>
      <c r="H226" s="31" t="s">
        <v>8209</v>
      </c>
      <c r="I226" s="22" t="s">
        <v>8501</v>
      </c>
    </row>
    <row r="227" customFormat="false" ht="24.75" hidden="false" customHeight="true" outlineLevel="0" collapsed="false">
      <c r="A227" s="24" t="s">
        <v>893</v>
      </c>
      <c r="B227" s="32" t="s">
        <v>7888</v>
      </c>
      <c r="C227" s="32" t="s">
        <v>7888</v>
      </c>
      <c r="D227" s="22" t="s">
        <v>7784</v>
      </c>
      <c r="E227" s="22" t="s">
        <v>3713</v>
      </c>
      <c r="F227" s="22" t="s">
        <v>8502</v>
      </c>
      <c r="G227" s="22" t="s">
        <v>888</v>
      </c>
      <c r="H227" s="31" t="s">
        <v>8209</v>
      </c>
      <c r="I227" s="22"/>
    </row>
    <row r="228" customFormat="false" ht="24.75" hidden="false" customHeight="true" outlineLevel="0" collapsed="false">
      <c r="A228" s="24" t="s">
        <v>893</v>
      </c>
      <c r="B228" s="32" t="s">
        <v>7781</v>
      </c>
      <c r="C228" s="32" t="s">
        <v>7781</v>
      </c>
      <c r="D228" s="22" t="s">
        <v>7784</v>
      </c>
      <c r="E228" s="22" t="s">
        <v>7782</v>
      </c>
      <c r="F228" s="22" t="s">
        <v>8503</v>
      </c>
      <c r="G228" s="22" t="s">
        <v>8504</v>
      </c>
      <c r="H228" s="35" t="s">
        <v>8132</v>
      </c>
      <c r="I228" s="22"/>
    </row>
    <row r="229" customFormat="false" ht="24.75" hidden="false" customHeight="true" outlineLevel="0" collapsed="false">
      <c r="A229" s="24" t="s">
        <v>893</v>
      </c>
      <c r="B229" s="32" t="s">
        <v>7891</v>
      </c>
      <c r="C229" s="32" t="s">
        <v>7891</v>
      </c>
      <c r="D229" s="22" t="s">
        <v>7784</v>
      </c>
      <c r="E229" s="22" t="s">
        <v>3713</v>
      </c>
      <c r="F229" s="22" t="s">
        <v>8505</v>
      </c>
      <c r="G229" s="22" t="s">
        <v>918</v>
      </c>
      <c r="H229" s="31" t="s">
        <v>8209</v>
      </c>
      <c r="I229" s="22"/>
    </row>
    <row r="230" customFormat="false" ht="15" hidden="false" customHeight="true" outlineLevel="0" collapsed="false">
      <c r="A230" s="24" t="s">
        <v>893</v>
      </c>
      <c r="B230" s="32" t="s">
        <v>2129</v>
      </c>
      <c r="C230" s="32" t="s">
        <v>2129</v>
      </c>
      <c r="D230" s="22" t="s">
        <v>7784</v>
      </c>
      <c r="E230" s="22" t="s">
        <v>7731</v>
      </c>
      <c r="F230" s="22" t="s">
        <v>8506</v>
      </c>
      <c r="G230" s="22" t="s">
        <v>943</v>
      </c>
      <c r="H230" s="35" t="s">
        <v>8132</v>
      </c>
      <c r="I230" s="22"/>
    </row>
    <row r="231" customFormat="false" ht="24.75" hidden="false" customHeight="true" outlineLevel="0" collapsed="false">
      <c r="A231" s="24" t="s">
        <v>893</v>
      </c>
      <c r="B231" s="32" t="s">
        <v>7894</v>
      </c>
      <c r="C231" s="32" t="s">
        <v>7894</v>
      </c>
      <c r="D231" s="22" t="s">
        <v>7784</v>
      </c>
      <c r="E231" s="22" t="s">
        <v>3713</v>
      </c>
      <c r="F231" s="22" t="s">
        <v>8507</v>
      </c>
      <c r="G231" s="22" t="s">
        <v>943</v>
      </c>
      <c r="H231" s="31" t="s">
        <v>8209</v>
      </c>
      <c r="I231" s="22"/>
    </row>
    <row r="232" customFormat="false" ht="24.75" hidden="false" customHeight="true" outlineLevel="0" collapsed="false">
      <c r="A232" s="24" t="s">
        <v>893</v>
      </c>
      <c r="B232" s="32" t="s">
        <v>7896</v>
      </c>
      <c r="C232" s="32" t="s">
        <v>7896</v>
      </c>
      <c r="D232" s="22" t="s">
        <v>7784</v>
      </c>
      <c r="E232" s="22" t="s">
        <v>3713</v>
      </c>
      <c r="F232" s="22" t="s">
        <v>8508</v>
      </c>
      <c r="G232" s="22" t="s">
        <v>943</v>
      </c>
      <c r="H232" s="31" t="s">
        <v>8209</v>
      </c>
      <c r="I232" s="22"/>
    </row>
    <row r="233" customFormat="false" ht="24.75" hidden="false" customHeight="true" outlineLevel="0" collapsed="false">
      <c r="A233" s="24" t="s">
        <v>893</v>
      </c>
      <c r="B233" s="32" t="s">
        <v>7898</v>
      </c>
      <c r="C233" s="32" t="s">
        <v>7898</v>
      </c>
      <c r="D233" s="22" t="s">
        <v>7784</v>
      </c>
      <c r="E233" s="22" t="s">
        <v>3713</v>
      </c>
      <c r="F233" s="22" t="s">
        <v>8509</v>
      </c>
      <c r="G233" s="22" t="s">
        <v>943</v>
      </c>
      <c r="H233" s="31" t="s">
        <v>8209</v>
      </c>
      <c r="I233" s="22"/>
    </row>
    <row r="234" customFormat="false" ht="24.75" hidden="false" customHeight="true" outlineLevel="0" collapsed="false">
      <c r="A234" s="24" t="s">
        <v>893</v>
      </c>
      <c r="B234" s="32" t="s">
        <v>7900</v>
      </c>
      <c r="C234" s="32" t="s">
        <v>7900</v>
      </c>
      <c r="D234" s="22" t="s">
        <v>7784</v>
      </c>
      <c r="E234" s="22" t="s">
        <v>3713</v>
      </c>
      <c r="F234" s="22" t="s">
        <v>8510</v>
      </c>
      <c r="G234" s="22" t="s">
        <v>943</v>
      </c>
      <c r="H234" s="31" t="s">
        <v>8209</v>
      </c>
      <c r="I234" s="22"/>
    </row>
    <row r="235" customFormat="false" ht="24.75" hidden="false" customHeight="true" outlineLevel="0" collapsed="false">
      <c r="A235" s="24" t="s">
        <v>893</v>
      </c>
      <c r="B235" s="32" t="s">
        <v>7902</v>
      </c>
      <c r="C235" s="32" t="s">
        <v>7902</v>
      </c>
      <c r="D235" s="22" t="s">
        <v>7784</v>
      </c>
      <c r="E235" s="22" t="s">
        <v>3713</v>
      </c>
      <c r="F235" s="22" t="s">
        <v>8511</v>
      </c>
      <c r="G235" s="22" t="s">
        <v>943</v>
      </c>
      <c r="H235" s="31" t="s">
        <v>8209</v>
      </c>
      <c r="I235" s="22"/>
    </row>
    <row r="236" customFormat="false" ht="24.75" hidden="false" customHeight="true" outlineLevel="0" collapsed="false">
      <c r="A236" s="24" t="s">
        <v>893</v>
      </c>
      <c r="B236" s="32" t="s">
        <v>7904</v>
      </c>
      <c r="C236" s="32" t="s">
        <v>7904</v>
      </c>
      <c r="D236" s="22" t="s">
        <v>7784</v>
      </c>
      <c r="E236" s="22" t="s">
        <v>3713</v>
      </c>
      <c r="F236" s="22" t="s">
        <v>8512</v>
      </c>
      <c r="G236" s="22" t="s">
        <v>943</v>
      </c>
      <c r="H236" s="31" t="s">
        <v>8209</v>
      </c>
      <c r="I236" s="22"/>
    </row>
    <row r="237" customFormat="false" ht="24.75" hidden="false" customHeight="true" outlineLevel="0" collapsed="false">
      <c r="A237" s="24" t="s">
        <v>893</v>
      </c>
      <c r="B237" s="32" t="s">
        <v>7906</v>
      </c>
      <c r="C237" s="32" t="s">
        <v>7906</v>
      </c>
      <c r="D237" s="22" t="s">
        <v>7784</v>
      </c>
      <c r="E237" s="22" t="s">
        <v>3713</v>
      </c>
      <c r="F237" s="22" t="s">
        <v>8513</v>
      </c>
      <c r="G237" s="22" t="s">
        <v>943</v>
      </c>
      <c r="H237" s="31" t="s">
        <v>8209</v>
      </c>
      <c r="I237" s="22"/>
    </row>
    <row r="238" customFormat="false" ht="49.5" hidden="false" customHeight="true" outlineLevel="0" collapsed="false">
      <c r="A238" s="24" t="s">
        <v>185</v>
      </c>
      <c r="B238" s="32" t="s">
        <v>7726</v>
      </c>
      <c r="C238" s="32" t="s">
        <v>7726</v>
      </c>
      <c r="D238" s="22" t="s">
        <v>8185</v>
      </c>
      <c r="E238" s="22" t="s">
        <v>7727</v>
      </c>
      <c r="F238" s="22" t="s">
        <v>7728</v>
      </c>
      <c r="G238" s="22" t="s">
        <v>969</v>
      </c>
      <c r="H238" s="35" t="s">
        <v>8132</v>
      </c>
      <c r="I238" s="22"/>
    </row>
    <row r="239" customFormat="false" ht="24.75" hidden="false" customHeight="true" outlineLevel="0" collapsed="false">
      <c r="A239" s="24" t="s">
        <v>186</v>
      </c>
      <c r="B239" s="32" t="s">
        <v>8514</v>
      </c>
      <c r="C239" s="32" t="s">
        <v>8515</v>
      </c>
      <c r="D239" s="22" t="s">
        <v>3363</v>
      </c>
      <c r="E239" s="22" t="s">
        <v>7754</v>
      </c>
      <c r="F239" s="22"/>
      <c r="G239" s="22" t="s">
        <v>969</v>
      </c>
      <c r="H239" s="35" t="s">
        <v>8132</v>
      </c>
      <c r="I239" s="22" t="s">
        <v>8516</v>
      </c>
    </row>
    <row r="240" customFormat="false" ht="15" hidden="false" customHeight="true" outlineLevel="0" collapsed="false">
      <c r="A240" s="24" t="s">
        <v>186</v>
      </c>
      <c r="B240" s="32" t="s">
        <v>8517</v>
      </c>
      <c r="C240" s="32" t="s">
        <v>3561</v>
      </c>
      <c r="D240" s="22" t="s">
        <v>3363</v>
      </c>
      <c r="E240" s="22"/>
      <c r="F240" s="22"/>
      <c r="G240" s="22" t="s">
        <v>969</v>
      </c>
      <c r="H240" s="35" t="s">
        <v>8132</v>
      </c>
      <c r="I240" s="22" t="s">
        <v>8205</v>
      </c>
    </row>
    <row r="241" customFormat="false" ht="15" hidden="false" customHeight="true" outlineLevel="0" collapsed="false">
      <c r="A241" s="24" t="s">
        <v>186</v>
      </c>
      <c r="B241" s="32" t="s">
        <v>8518</v>
      </c>
      <c r="C241" s="32" t="s">
        <v>3565</v>
      </c>
      <c r="D241" s="22" t="s">
        <v>3363</v>
      </c>
      <c r="E241" s="22"/>
      <c r="F241" s="22"/>
      <c r="G241" s="22" t="s">
        <v>969</v>
      </c>
      <c r="H241" s="35" t="s">
        <v>8132</v>
      </c>
      <c r="I241" s="22" t="s">
        <v>8205</v>
      </c>
    </row>
    <row r="242" customFormat="false" ht="15" hidden="false" customHeight="true" outlineLevel="0" collapsed="false">
      <c r="A242" s="24" t="s">
        <v>186</v>
      </c>
      <c r="B242" s="32" t="s">
        <v>8519</v>
      </c>
      <c r="C242" s="32" t="s">
        <v>3569</v>
      </c>
      <c r="D242" s="22" t="s">
        <v>3363</v>
      </c>
      <c r="E242" s="22"/>
      <c r="F242" s="22"/>
      <c r="G242" s="22" t="s">
        <v>969</v>
      </c>
      <c r="H242" s="35" t="s">
        <v>8132</v>
      </c>
      <c r="I242" s="22" t="s">
        <v>8205</v>
      </c>
    </row>
    <row r="243" customFormat="false" ht="15" hidden="false" customHeight="true" outlineLevel="0" collapsed="false">
      <c r="A243" s="24" t="s">
        <v>186</v>
      </c>
      <c r="B243" s="32" t="s">
        <v>8520</v>
      </c>
      <c r="C243" s="32" t="s">
        <v>3573</v>
      </c>
      <c r="D243" s="22" t="s">
        <v>3363</v>
      </c>
      <c r="E243" s="22"/>
      <c r="F243" s="22"/>
      <c r="G243" s="22" t="s">
        <v>969</v>
      </c>
      <c r="H243" s="35" t="s">
        <v>8132</v>
      </c>
      <c r="I243" s="22" t="s">
        <v>8205</v>
      </c>
    </row>
    <row r="244" customFormat="false" ht="24.75" hidden="false" customHeight="true" outlineLevel="0" collapsed="false">
      <c r="A244" s="24" t="s">
        <v>186</v>
      </c>
      <c r="B244" s="32" t="s">
        <v>8521</v>
      </c>
      <c r="C244" s="32" t="s">
        <v>8522</v>
      </c>
      <c r="D244" s="22" t="s">
        <v>7784</v>
      </c>
      <c r="E244" s="22"/>
      <c r="F244" s="22" t="s">
        <v>8523</v>
      </c>
      <c r="G244" s="22" t="s">
        <v>969</v>
      </c>
      <c r="H244" s="35" t="s">
        <v>8132</v>
      </c>
      <c r="I244" s="22" t="s">
        <v>8205</v>
      </c>
    </row>
    <row r="245" customFormat="false" ht="37.5" hidden="false" customHeight="true" outlineLevel="0" collapsed="false">
      <c r="A245" s="24" t="s">
        <v>185</v>
      </c>
      <c r="B245" s="32" t="s">
        <v>8524</v>
      </c>
      <c r="C245" s="32" t="s">
        <v>3561</v>
      </c>
      <c r="D245" s="22" t="s">
        <v>7784</v>
      </c>
      <c r="E245" s="22" t="s">
        <v>7908</v>
      </c>
      <c r="F245" s="22" t="s">
        <v>8525</v>
      </c>
      <c r="G245" s="22" t="s">
        <v>969</v>
      </c>
      <c r="H245" s="35" t="s">
        <v>8132</v>
      </c>
      <c r="I245" s="22"/>
    </row>
    <row r="246" customFormat="false" ht="15" hidden="false" customHeight="true" outlineLevel="0" collapsed="false">
      <c r="A246" s="24" t="s">
        <v>185</v>
      </c>
      <c r="B246" s="32" t="s">
        <v>7910</v>
      </c>
      <c r="C246" s="32" t="s">
        <v>7910</v>
      </c>
      <c r="D246" s="22" t="s">
        <v>7784</v>
      </c>
      <c r="E246" s="22" t="s">
        <v>3713</v>
      </c>
      <c r="F246" s="22" t="s">
        <v>8526</v>
      </c>
      <c r="G246" s="22" t="s">
        <v>969</v>
      </c>
      <c r="H246" s="35" t="s">
        <v>8132</v>
      </c>
      <c r="I246" s="22"/>
    </row>
    <row r="247" customFormat="false" ht="15" hidden="false" customHeight="true" outlineLevel="0" collapsed="false">
      <c r="A247" s="24" t="s">
        <v>185</v>
      </c>
      <c r="B247" s="32" t="s">
        <v>7912</v>
      </c>
      <c r="C247" s="32" t="s">
        <v>7912</v>
      </c>
      <c r="D247" s="22" t="s">
        <v>7784</v>
      </c>
      <c r="E247" s="22" t="s">
        <v>3713</v>
      </c>
      <c r="F247" s="22" t="s">
        <v>8527</v>
      </c>
      <c r="G247" s="22" t="s">
        <v>969</v>
      </c>
      <c r="H247" s="35" t="s">
        <v>8132</v>
      </c>
      <c r="I247" s="22"/>
    </row>
    <row r="248" customFormat="false" ht="15" hidden="false" customHeight="true" outlineLevel="0" collapsed="false">
      <c r="A248" s="24" t="s">
        <v>185</v>
      </c>
      <c r="B248" s="32" t="s">
        <v>7914</v>
      </c>
      <c r="C248" s="32" t="s">
        <v>7914</v>
      </c>
      <c r="D248" s="22" t="s">
        <v>7784</v>
      </c>
      <c r="E248" s="22" t="s">
        <v>3713</v>
      </c>
      <c r="F248" s="22" t="s">
        <v>8528</v>
      </c>
      <c r="G248" s="22" t="s">
        <v>969</v>
      </c>
      <c r="H248" s="35" t="s">
        <v>8132</v>
      </c>
      <c r="I248" s="22"/>
    </row>
    <row r="249" customFormat="false" ht="37.5" hidden="false" customHeight="true" outlineLevel="0" collapsed="false">
      <c r="A249" s="24" t="s">
        <v>525</v>
      </c>
      <c r="B249" s="32" t="s">
        <v>3847</v>
      </c>
      <c r="C249" s="32" t="s">
        <v>3847</v>
      </c>
      <c r="D249" s="22" t="s">
        <v>8185</v>
      </c>
      <c r="E249" s="22" t="s">
        <v>7713</v>
      </c>
      <c r="F249" s="22" t="s">
        <v>7729</v>
      </c>
      <c r="G249" s="22" t="s">
        <v>997</v>
      </c>
      <c r="H249" s="31" t="s">
        <v>8209</v>
      </c>
      <c r="I249" s="22" t="s">
        <v>8529</v>
      </c>
    </row>
    <row r="250" customFormat="false" ht="24.75" hidden="false" customHeight="true" outlineLevel="0" collapsed="false">
      <c r="A250" s="24" t="s">
        <v>523</v>
      </c>
      <c r="B250" s="32" t="s">
        <v>4103</v>
      </c>
      <c r="C250" s="32" t="s">
        <v>7151</v>
      </c>
      <c r="D250" s="22" t="s">
        <v>3363</v>
      </c>
      <c r="E250" s="22" t="s">
        <v>3359</v>
      </c>
      <c r="F250" s="22" t="s">
        <v>8384</v>
      </c>
      <c r="G250" s="22" t="s">
        <v>997</v>
      </c>
      <c r="H250" s="35" t="s">
        <v>8132</v>
      </c>
      <c r="I250" s="22" t="s">
        <v>8530</v>
      </c>
    </row>
    <row r="251" customFormat="false" ht="24.75" hidden="false" customHeight="true" outlineLevel="0" collapsed="false">
      <c r="A251" s="24" t="s">
        <v>525</v>
      </c>
      <c r="B251" s="32" t="s">
        <v>7916</v>
      </c>
      <c r="C251" s="32" t="s">
        <v>7916</v>
      </c>
      <c r="D251" s="22" t="s">
        <v>7784</v>
      </c>
      <c r="E251" s="22" t="s">
        <v>3713</v>
      </c>
      <c r="F251" s="22" t="s">
        <v>8531</v>
      </c>
      <c r="G251" s="22" t="s">
        <v>997</v>
      </c>
      <c r="H251" s="35" t="s">
        <v>8132</v>
      </c>
      <c r="I251" s="22"/>
    </row>
    <row r="252" customFormat="false" ht="24.75" hidden="false" customHeight="true" outlineLevel="0" collapsed="false">
      <c r="A252" s="24" t="s">
        <v>525</v>
      </c>
      <c r="B252" s="32" t="s">
        <v>8532</v>
      </c>
      <c r="C252" s="32" t="s">
        <v>4277</v>
      </c>
      <c r="D252" s="22" t="s">
        <v>3363</v>
      </c>
      <c r="E252" s="22" t="s">
        <v>3394</v>
      </c>
      <c r="F252" s="22" t="s">
        <v>8435</v>
      </c>
      <c r="G252" s="22" t="s">
        <v>997</v>
      </c>
      <c r="H252" s="31" t="s">
        <v>8209</v>
      </c>
      <c r="I252" s="22" t="s">
        <v>8533</v>
      </c>
    </row>
    <row r="253" customFormat="false" ht="24.75" hidden="false" customHeight="true" outlineLevel="0" collapsed="false">
      <c r="A253" s="24" t="s">
        <v>523</v>
      </c>
      <c r="B253" s="32" t="s">
        <v>7918</v>
      </c>
      <c r="C253" s="32" t="s">
        <v>7918</v>
      </c>
      <c r="D253" s="22" t="s">
        <v>7784</v>
      </c>
      <c r="E253" s="22" t="s">
        <v>3713</v>
      </c>
      <c r="F253" s="22" t="s">
        <v>8534</v>
      </c>
      <c r="G253" s="22" t="s">
        <v>997</v>
      </c>
      <c r="H253" s="31" t="s">
        <v>8209</v>
      </c>
      <c r="I253" s="22"/>
    </row>
    <row r="254" customFormat="false" ht="24.75" hidden="false" customHeight="true" outlineLevel="0" collapsed="false">
      <c r="A254" s="24" t="s">
        <v>523</v>
      </c>
      <c r="B254" s="32" t="s">
        <v>7730</v>
      </c>
      <c r="C254" s="32" t="s">
        <v>7730</v>
      </c>
      <c r="D254" s="22" t="s">
        <v>8185</v>
      </c>
      <c r="E254" s="22" t="s">
        <v>7731</v>
      </c>
      <c r="F254" s="22" t="s">
        <v>7732</v>
      </c>
      <c r="G254" s="22" t="s">
        <v>1023</v>
      </c>
      <c r="H254" s="35" t="s">
        <v>8132</v>
      </c>
      <c r="I254" s="22"/>
    </row>
    <row r="255" customFormat="false" ht="15" hidden="false" customHeight="true" outlineLevel="0" collapsed="false">
      <c r="A255" s="24" t="s">
        <v>270</v>
      </c>
      <c r="B255" s="32" t="s">
        <v>3824</v>
      </c>
      <c r="C255" s="32" t="s">
        <v>3824</v>
      </c>
      <c r="D255" s="22" t="s">
        <v>3363</v>
      </c>
      <c r="E255" s="22" t="s">
        <v>3389</v>
      </c>
      <c r="F255" s="22" t="s">
        <v>8535</v>
      </c>
      <c r="G255" s="22" t="s">
        <v>1023</v>
      </c>
      <c r="H255" s="35" t="s">
        <v>8132</v>
      </c>
      <c r="I255" s="22"/>
    </row>
    <row r="256" customFormat="false" ht="24.75" hidden="false" customHeight="true" outlineLevel="0" collapsed="false">
      <c r="A256" s="24" t="s">
        <v>523</v>
      </c>
      <c r="B256" s="32" t="s">
        <v>7920</v>
      </c>
      <c r="C256" s="32" t="s">
        <v>7920</v>
      </c>
      <c r="D256" s="22" t="s">
        <v>7784</v>
      </c>
      <c r="E256" s="22" t="s">
        <v>7782</v>
      </c>
      <c r="F256" s="22" t="s">
        <v>8387</v>
      </c>
      <c r="G256" s="22" t="s">
        <v>1023</v>
      </c>
      <c r="H256" s="35" t="s">
        <v>8132</v>
      </c>
      <c r="I256" s="22"/>
    </row>
    <row r="257" customFormat="false" ht="15" hidden="false" customHeight="true" outlineLevel="0" collapsed="false">
      <c r="A257" s="24" t="s">
        <v>3330</v>
      </c>
      <c r="B257" s="32" t="s">
        <v>7634</v>
      </c>
      <c r="C257" s="32" t="s">
        <v>7634</v>
      </c>
      <c r="D257" s="22" t="s">
        <v>8185</v>
      </c>
      <c r="E257" s="22" t="s">
        <v>3359</v>
      </c>
      <c r="F257" s="22" t="s">
        <v>7637</v>
      </c>
      <c r="G257" s="22" t="s">
        <v>1077</v>
      </c>
      <c r="H257" s="35" t="s">
        <v>8132</v>
      </c>
      <c r="I257" s="22" t="s">
        <v>8536</v>
      </c>
    </row>
    <row r="258" customFormat="false" ht="24.75" hidden="false" customHeight="true" outlineLevel="0" collapsed="false">
      <c r="A258" s="24" t="s">
        <v>185</v>
      </c>
      <c r="B258" s="32" t="s">
        <v>7921</v>
      </c>
      <c r="C258" s="32" t="s">
        <v>7921</v>
      </c>
      <c r="D258" s="22" t="s">
        <v>7784</v>
      </c>
      <c r="E258" s="22" t="s">
        <v>3389</v>
      </c>
      <c r="F258" s="22" t="s">
        <v>8537</v>
      </c>
      <c r="G258" s="22" t="s">
        <v>1077</v>
      </c>
      <c r="H258" s="33" t="s">
        <v>8344</v>
      </c>
      <c r="I258" s="22" t="s">
        <v>8538</v>
      </c>
    </row>
    <row r="259" customFormat="false" ht="24.75" hidden="false" customHeight="true" outlineLevel="0" collapsed="false">
      <c r="A259" s="24" t="s">
        <v>3330</v>
      </c>
      <c r="B259" s="32" t="s">
        <v>8539</v>
      </c>
      <c r="C259" s="32" t="s">
        <v>7733</v>
      </c>
      <c r="D259" s="22" t="s">
        <v>8185</v>
      </c>
      <c r="E259" s="22" t="s">
        <v>7734</v>
      </c>
      <c r="F259" s="22" t="s">
        <v>7735</v>
      </c>
      <c r="G259" s="22" t="s">
        <v>1077</v>
      </c>
      <c r="H259" s="35" t="s">
        <v>8132</v>
      </c>
      <c r="I259" s="22" t="s">
        <v>8540</v>
      </c>
    </row>
    <row r="260" customFormat="false" ht="15" hidden="false" customHeight="true" outlineLevel="0" collapsed="false">
      <c r="A260" s="24" t="s">
        <v>3330</v>
      </c>
      <c r="B260" s="32" t="s">
        <v>3855</v>
      </c>
      <c r="C260" s="32" t="s">
        <v>3855</v>
      </c>
      <c r="D260" s="22" t="s">
        <v>8185</v>
      </c>
      <c r="E260" s="22" t="s">
        <v>3394</v>
      </c>
      <c r="F260" s="22" t="s">
        <v>7643</v>
      </c>
      <c r="G260" s="22" t="s">
        <v>1077</v>
      </c>
      <c r="H260" s="35" t="s">
        <v>8132</v>
      </c>
      <c r="I260" s="22" t="s">
        <v>8536</v>
      </c>
    </row>
    <row r="261" customFormat="false" ht="24.75" hidden="false" customHeight="true" outlineLevel="0" collapsed="false">
      <c r="A261" s="24" t="s">
        <v>185</v>
      </c>
      <c r="B261" s="32" t="s">
        <v>7644</v>
      </c>
      <c r="C261" s="32" t="s">
        <v>7644</v>
      </c>
      <c r="D261" s="22" t="s">
        <v>7784</v>
      </c>
      <c r="E261" s="22" t="s">
        <v>7646</v>
      </c>
      <c r="F261" s="22" t="s">
        <v>8541</v>
      </c>
      <c r="G261" s="22" t="s">
        <v>1077</v>
      </c>
      <c r="H261" s="33" t="s">
        <v>8344</v>
      </c>
      <c r="I261" s="22" t="s">
        <v>8542</v>
      </c>
    </row>
    <row r="262" customFormat="false" ht="15" hidden="false" customHeight="true" outlineLevel="0" collapsed="false">
      <c r="A262" s="24" t="s">
        <v>3330</v>
      </c>
      <c r="B262" s="32" t="s">
        <v>7644</v>
      </c>
      <c r="C262" s="32" t="s">
        <v>7644</v>
      </c>
      <c r="D262" s="22" t="s">
        <v>8185</v>
      </c>
      <c r="E262" s="22" t="s">
        <v>3394</v>
      </c>
      <c r="F262" s="22" t="s">
        <v>7647</v>
      </c>
      <c r="G262" s="22" t="s">
        <v>1077</v>
      </c>
      <c r="H262" s="35" t="s">
        <v>8132</v>
      </c>
      <c r="I262" s="22" t="s">
        <v>8536</v>
      </c>
    </row>
    <row r="263" customFormat="false" ht="15" hidden="false" customHeight="true" outlineLevel="0" collapsed="false">
      <c r="A263" s="24" t="s">
        <v>1138</v>
      </c>
      <c r="B263" s="32" t="s">
        <v>5010</v>
      </c>
      <c r="C263" s="32" t="s">
        <v>5010</v>
      </c>
      <c r="D263" s="22" t="s">
        <v>3363</v>
      </c>
      <c r="E263" s="22" t="s">
        <v>3359</v>
      </c>
      <c r="F263" s="22" t="s">
        <v>8543</v>
      </c>
      <c r="G263" s="22" t="s">
        <v>1134</v>
      </c>
      <c r="H263" s="35" t="s">
        <v>8132</v>
      </c>
      <c r="I263" s="22"/>
    </row>
    <row r="264" customFormat="false" ht="15" hidden="false" customHeight="true" outlineLevel="0" collapsed="false">
      <c r="A264" s="24" t="s">
        <v>692</v>
      </c>
      <c r="B264" s="32" t="s">
        <v>7158</v>
      </c>
      <c r="C264" s="32" t="s">
        <v>7158</v>
      </c>
      <c r="D264" s="22" t="s">
        <v>3363</v>
      </c>
      <c r="E264" s="22" t="s">
        <v>3359</v>
      </c>
      <c r="F264" s="22" t="s">
        <v>8544</v>
      </c>
      <c r="G264" s="22" t="s">
        <v>1134</v>
      </c>
      <c r="H264" s="35" t="s">
        <v>8132</v>
      </c>
      <c r="I264" s="22"/>
    </row>
    <row r="265" customFormat="false" ht="24.75" hidden="false" customHeight="true" outlineLevel="0" collapsed="false">
      <c r="A265" s="24" t="s">
        <v>1138</v>
      </c>
      <c r="B265" s="32" t="s">
        <v>4071</v>
      </c>
      <c r="C265" s="32" t="s">
        <v>5032</v>
      </c>
      <c r="D265" s="22" t="s">
        <v>3363</v>
      </c>
      <c r="E265" s="22" t="s">
        <v>3359</v>
      </c>
      <c r="F265" s="22" t="s">
        <v>8545</v>
      </c>
      <c r="G265" s="22" t="s">
        <v>1134</v>
      </c>
      <c r="H265" s="31" t="s">
        <v>8209</v>
      </c>
      <c r="I265" s="22" t="s">
        <v>8546</v>
      </c>
    </row>
    <row r="266" customFormat="false" ht="15" hidden="false" customHeight="true" outlineLevel="0" collapsed="false">
      <c r="A266" s="24" t="s">
        <v>692</v>
      </c>
      <c r="B266" s="32" t="s">
        <v>8547</v>
      </c>
      <c r="C266" s="32" t="s">
        <v>7243</v>
      </c>
      <c r="D266" s="22" t="s">
        <v>3363</v>
      </c>
      <c r="E266" s="22" t="s">
        <v>3359</v>
      </c>
      <c r="F266" s="22" t="s">
        <v>8548</v>
      </c>
      <c r="G266" s="22" t="s">
        <v>1134</v>
      </c>
      <c r="H266" s="35" t="s">
        <v>8132</v>
      </c>
      <c r="I266" s="22"/>
    </row>
    <row r="267" customFormat="false" ht="24.75" hidden="false" customHeight="true" outlineLevel="0" collapsed="false">
      <c r="A267" s="24" t="s">
        <v>1138</v>
      </c>
      <c r="B267" s="32" t="s">
        <v>3857</v>
      </c>
      <c r="C267" s="32" t="s">
        <v>5017</v>
      </c>
      <c r="D267" s="22" t="s">
        <v>3363</v>
      </c>
      <c r="E267" s="22" t="s">
        <v>3394</v>
      </c>
      <c r="F267" s="22" t="s">
        <v>8549</v>
      </c>
      <c r="G267" s="22" t="s">
        <v>1134</v>
      </c>
      <c r="H267" s="35" t="s">
        <v>8132</v>
      </c>
      <c r="I267" s="22" t="s">
        <v>8550</v>
      </c>
    </row>
    <row r="268" customFormat="false" ht="24.75" hidden="false" customHeight="true" outlineLevel="0" collapsed="false">
      <c r="A268" s="24" t="s">
        <v>692</v>
      </c>
      <c r="B268" s="32" t="s">
        <v>7924</v>
      </c>
      <c r="C268" s="32" t="s">
        <v>7924</v>
      </c>
      <c r="D268" s="22" t="s">
        <v>7784</v>
      </c>
      <c r="E268" s="22" t="s">
        <v>3713</v>
      </c>
      <c r="F268" s="22" t="s">
        <v>8551</v>
      </c>
      <c r="G268" s="22" t="s">
        <v>1134</v>
      </c>
      <c r="H268" s="31" t="s">
        <v>8209</v>
      </c>
      <c r="I268" s="22"/>
    </row>
    <row r="269" customFormat="false" ht="15" hidden="false" customHeight="true" outlineLevel="0" collapsed="false">
      <c r="A269" s="24" t="s">
        <v>1138</v>
      </c>
      <c r="B269" s="32" t="s">
        <v>7926</v>
      </c>
      <c r="C269" s="32" t="s">
        <v>7926</v>
      </c>
      <c r="D269" s="22" t="s">
        <v>7784</v>
      </c>
      <c r="E269" s="22" t="s">
        <v>3713</v>
      </c>
      <c r="F269" s="22" t="s">
        <v>8552</v>
      </c>
      <c r="G269" s="22" t="s">
        <v>1134</v>
      </c>
      <c r="H269" s="35" t="s">
        <v>8132</v>
      </c>
      <c r="I269" s="22"/>
    </row>
    <row r="270" customFormat="false" ht="24.75" hidden="false" customHeight="true" outlineLevel="0" collapsed="false">
      <c r="A270" s="24" t="s">
        <v>692</v>
      </c>
      <c r="B270" s="32" t="s">
        <v>7928</v>
      </c>
      <c r="C270" s="32" t="s">
        <v>7928</v>
      </c>
      <c r="D270" s="22" t="s">
        <v>7784</v>
      </c>
      <c r="E270" s="22" t="s">
        <v>3713</v>
      </c>
      <c r="F270" s="22" t="s">
        <v>8553</v>
      </c>
      <c r="G270" s="22" t="s">
        <v>1134</v>
      </c>
      <c r="H270" s="31" t="s">
        <v>8209</v>
      </c>
      <c r="I270" s="22"/>
    </row>
    <row r="271" customFormat="false" ht="49.5" hidden="false" customHeight="true" outlineLevel="0" collapsed="false">
      <c r="A271" s="24" t="s">
        <v>1138</v>
      </c>
      <c r="B271" s="32" t="s">
        <v>8428</v>
      </c>
      <c r="C271" s="32" t="s">
        <v>7736</v>
      </c>
      <c r="D271" s="22" t="s">
        <v>8185</v>
      </c>
      <c r="E271" s="22" t="s">
        <v>7737</v>
      </c>
      <c r="F271" s="22" t="s">
        <v>7738</v>
      </c>
      <c r="G271" s="22" t="s">
        <v>1134</v>
      </c>
      <c r="H271" s="31" t="s">
        <v>8209</v>
      </c>
      <c r="I271" s="22" t="s">
        <v>8554</v>
      </c>
    </row>
    <row r="272" customFormat="false" ht="24.75" hidden="false" customHeight="true" outlineLevel="0" collapsed="false">
      <c r="A272" s="24" t="s">
        <v>749</v>
      </c>
      <c r="B272" s="32" t="s">
        <v>7930</v>
      </c>
      <c r="C272" s="32" t="s">
        <v>7930</v>
      </c>
      <c r="D272" s="22" t="s">
        <v>7784</v>
      </c>
      <c r="E272" s="22" t="s">
        <v>3713</v>
      </c>
      <c r="F272" s="22" t="s">
        <v>8555</v>
      </c>
      <c r="G272" s="22" t="s">
        <v>1134</v>
      </c>
      <c r="H272" s="33" t="s">
        <v>8344</v>
      </c>
      <c r="I272" s="22" t="s">
        <v>8556</v>
      </c>
    </row>
    <row r="273" customFormat="false" ht="15" hidden="false" customHeight="true" outlineLevel="0" collapsed="false">
      <c r="A273" s="24" t="s">
        <v>1165</v>
      </c>
      <c r="B273" s="32" t="s">
        <v>3766</v>
      </c>
      <c r="C273" s="32" t="s">
        <v>3766</v>
      </c>
      <c r="D273" s="22" t="s">
        <v>3363</v>
      </c>
      <c r="E273" s="22" t="s">
        <v>3359</v>
      </c>
      <c r="F273" s="22" t="s">
        <v>8557</v>
      </c>
      <c r="G273" s="22" t="s">
        <v>1162</v>
      </c>
      <c r="H273" s="35" t="s">
        <v>8132</v>
      </c>
      <c r="I273" s="22"/>
    </row>
    <row r="274" customFormat="false" ht="15" hidden="false" customHeight="true" outlineLevel="0" collapsed="false">
      <c r="A274" s="24" t="s">
        <v>1165</v>
      </c>
      <c r="B274" s="32" t="s">
        <v>7932</v>
      </c>
      <c r="C274" s="32" t="s">
        <v>3364</v>
      </c>
      <c r="D274" s="22" t="s">
        <v>3363</v>
      </c>
      <c r="E274" s="22" t="s">
        <v>3359</v>
      </c>
      <c r="F274" s="22" t="s">
        <v>8558</v>
      </c>
      <c r="G274" s="22" t="s">
        <v>1162</v>
      </c>
      <c r="H274" s="35" t="s">
        <v>8132</v>
      </c>
      <c r="I274" s="22"/>
    </row>
    <row r="275" customFormat="false" ht="15" hidden="false" customHeight="true" outlineLevel="0" collapsed="false">
      <c r="A275" s="24" t="s">
        <v>185</v>
      </c>
      <c r="B275" s="32" t="s">
        <v>7932</v>
      </c>
      <c r="C275" s="32" t="s">
        <v>7932</v>
      </c>
      <c r="D275" s="22" t="s">
        <v>7784</v>
      </c>
      <c r="E275" s="22" t="s">
        <v>7731</v>
      </c>
      <c r="F275" s="22" t="s">
        <v>8559</v>
      </c>
      <c r="G275" s="22" t="s">
        <v>1162</v>
      </c>
      <c r="H275" s="35" t="s">
        <v>8132</v>
      </c>
      <c r="I275" s="22"/>
    </row>
    <row r="276" customFormat="false" ht="24.75" hidden="false" customHeight="true" outlineLevel="0" collapsed="false">
      <c r="A276" s="24" t="s">
        <v>1165</v>
      </c>
      <c r="B276" s="32" t="s">
        <v>8560</v>
      </c>
      <c r="C276" s="32" t="s">
        <v>7934</v>
      </c>
      <c r="D276" s="22" t="s">
        <v>7784</v>
      </c>
      <c r="E276" s="22" t="s">
        <v>7935</v>
      </c>
      <c r="F276" s="22" t="s">
        <v>8561</v>
      </c>
      <c r="G276" s="22" t="s">
        <v>1162</v>
      </c>
      <c r="H276" s="35" t="s">
        <v>8132</v>
      </c>
      <c r="I276" s="22"/>
    </row>
    <row r="277" customFormat="false" ht="15" hidden="false" customHeight="true" outlineLevel="0" collapsed="false">
      <c r="A277" s="24" t="s">
        <v>1165</v>
      </c>
      <c r="B277" s="32" t="s">
        <v>8562</v>
      </c>
      <c r="C277" s="32" t="s">
        <v>5067</v>
      </c>
      <c r="D277" s="22" t="s">
        <v>3363</v>
      </c>
      <c r="E277" s="22" t="s">
        <v>3394</v>
      </c>
      <c r="F277" s="22" t="s">
        <v>8563</v>
      </c>
      <c r="G277" s="22" t="s">
        <v>1162</v>
      </c>
      <c r="H277" s="35" t="s">
        <v>8132</v>
      </c>
      <c r="I277" s="22"/>
    </row>
    <row r="278" customFormat="false" ht="24.75" hidden="false" customHeight="true" outlineLevel="0" collapsed="false">
      <c r="A278" s="24" t="s">
        <v>185</v>
      </c>
      <c r="B278" s="32" t="s">
        <v>7937</v>
      </c>
      <c r="C278" s="32" t="s">
        <v>7937</v>
      </c>
      <c r="D278" s="22" t="s">
        <v>7784</v>
      </c>
      <c r="E278" s="22" t="s">
        <v>3713</v>
      </c>
      <c r="F278" s="22" t="s">
        <v>8564</v>
      </c>
      <c r="G278" s="22" t="s">
        <v>1162</v>
      </c>
      <c r="H278" s="31" t="s">
        <v>8209</v>
      </c>
      <c r="I278" s="22"/>
    </row>
    <row r="279" customFormat="false" ht="15" hidden="false" customHeight="true" outlineLevel="0" collapsed="false">
      <c r="A279" s="24" t="s">
        <v>1165</v>
      </c>
      <c r="B279" s="32" t="s">
        <v>7939</v>
      </c>
      <c r="C279" s="32" t="s">
        <v>7939</v>
      </c>
      <c r="D279" s="22" t="s">
        <v>7784</v>
      </c>
      <c r="E279" s="22" t="s">
        <v>3713</v>
      </c>
      <c r="F279" s="22" t="s">
        <v>8565</v>
      </c>
      <c r="G279" s="22" t="s">
        <v>1162</v>
      </c>
      <c r="H279" s="35" t="s">
        <v>8132</v>
      </c>
      <c r="I279" s="22"/>
    </row>
    <row r="280" customFormat="false" ht="37.5" hidden="false" customHeight="true" outlineLevel="0" collapsed="false">
      <c r="A280" s="24" t="s">
        <v>1165</v>
      </c>
      <c r="B280" s="32" t="s">
        <v>8428</v>
      </c>
      <c r="C280" s="32" t="s">
        <v>7739</v>
      </c>
      <c r="D280" s="22" t="s">
        <v>8185</v>
      </c>
      <c r="E280" s="22" t="s">
        <v>7737</v>
      </c>
      <c r="F280" s="22" t="s">
        <v>7740</v>
      </c>
      <c r="G280" s="22" t="s">
        <v>1162</v>
      </c>
      <c r="H280" s="31" t="s">
        <v>8209</v>
      </c>
      <c r="I280" s="22"/>
    </row>
    <row r="281" customFormat="false" ht="15" hidden="false" customHeight="true" outlineLevel="0" collapsed="false">
      <c r="A281" s="24" t="s">
        <v>3338</v>
      </c>
      <c r="B281" s="32" t="s">
        <v>7671</v>
      </c>
      <c r="C281" s="32" t="s">
        <v>7671</v>
      </c>
      <c r="D281" s="22" t="s">
        <v>8185</v>
      </c>
      <c r="E281" s="22" t="s">
        <v>3359</v>
      </c>
      <c r="F281" s="22" t="s">
        <v>7672</v>
      </c>
      <c r="G281" s="22" t="s">
        <v>1189</v>
      </c>
      <c r="H281" s="35" t="s">
        <v>8132</v>
      </c>
      <c r="I281" s="22" t="s">
        <v>8566</v>
      </c>
    </row>
    <row r="282" customFormat="false" ht="24.75" hidden="false" customHeight="true" outlineLevel="0" collapsed="false">
      <c r="A282" s="24" t="s">
        <v>524</v>
      </c>
      <c r="B282" s="32" t="s">
        <v>8567</v>
      </c>
      <c r="C282" s="32" t="s">
        <v>8568</v>
      </c>
      <c r="D282" s="22" t="s">
        <v>3363</v>
      </c>
      <c r="E282" s="22" t="s">
        <v>7754</v>
      </c>
      <c r="F282" s="22"/>
      <c r="G282" s="22" t="s">
        <v>1189</v>
      </c>
      <c r="H282" s="31" t="s">
        <v>8209</v>
      </c>
      <c r="I282" s="22" t="s">
        <v>8569</v>
      </c>
    </row>
    <row r="283" customFormat="false" ht="15" hidden="false" customHeight="true" outlineLevel="0" collapsed="false">
      <c r="A283" s="24" t="s">
        <v>524</v>
      </c>
      <c r="B283" s="32" t="s">
        <v>8570</v>
      </c>
      <c r="C283" s="32" t="s">
        <v>4126</v>
      </c>
      <c r="D283" s="22" t="s">
        <v>3363</v>
      </c>
      <c r="E283" s="22"/>
      <c r="F283" s="22"/>
      <c r="G283" s="22" t="s">
        <v>1189</v>
      </c>
      <c r="H283" s="31" t="s">
        <v>8209</v>
      </c>
      <c r="I283" s="22" t="s">
        <v>8205</v>
      </c>
    </row>
    <row r="284" customFormat="false" ht="24.75" hidden="false" customHeight="true" outlineLevel="0" collapsed="false">
      <c r="A284" s="24" t="s">
        <v>524</v>
      </c>
      <c r="B284" s="32" t="s">
        <v>8571</v>
      </c>
      <c r="C284" s="32" t="s">
        <v>8572</v>
      </c>
      <c r="D284" s="22" t="s">
        <v>8185</v>
      </c>
      <c r="E284" s="22"/>
      <c r="F284" s="22" t="s">
        <v>8573</v>
      </c>
      <c r="G284" s="22" t="s">
        <v>1189</v>
      </c>
      <c r="H284" s="31" t="s">
        <v>8209</v>
      </c>
      <c r="I284" s="22" t="s">
        <v>8205</v>
      </c>
    </row>
    <row r="285" customFormat="false" ht="24.75" hidden="false" customHeight="true" outlineLevel="0" collapsed="false">
      <c r="A285" s="24" t="s">
        <v>524</v>
      </c>
      <c r="B285" s="32" t="s">
        <v>8574</v>
      </c>
      <c r="C285" s="32" t="s">
        <v>8575</v>
      </c>
      <c r="D285" s="22" t="s">
        <v>3363</v>
      </c>
      <c r="E285" s="22"/>
      <c r="F285" s="22" t="s">
        <v>8576</v>
      </c>
      <c r="G285" s="22" t="s">
        <v>1189</v>
      </c>
      <c r="H285" s="31" t="s">
        <v>8209</v>
      </c>
      <c r="I285" s="22" t="s">
        <v>8205</v>
      </c>
    </row>
    <row r="286" customFormat="false" ht="15" hidden="false" customHeight="true" outlineLevel="0" collapsed="false">
      <c r="A286" s="24" t="s">
        <v>3338</v>
      </c>
      <c r="B286" s="32" t="s">
        <v>7675</v>
      </c>
      <c r="C286" s="32" t="s">
        <v>7675</v>
      </c>
      <c r="D286" s="22" t="s">
        <v>8185</v>
      </c>
      <c r="E286" s="22" t="s">
        <v>3359</v>
      </c>
      <c r="F286" s="22" t="s">
        <v>7677</v>
      </c>
      <c r="G286" s="22" t="s">
        <v>1189</v>
      </c>
      <c r="H286" s="35" t="s">
        <v>8132</v>
      </c>
      <c r="I286" s="22" t="s">
        <v>8566</v>
      </c>
    </row>
    <row r="287" customFormat="false" ht="15" hidden="false" customHeight="true" outlineLevel="0" collapsed="false">
      <c r="A287" s="24" t="s">
        <v>3338</v>
      </c>
      <c r="B287" s="32" t="s">
        <v>3847</v>
      </c>
      <c r="C287" s="32" t="s">
        <v>3847</v>
      </c>
      <c r="D287" s="22" t="s">
        <v>8185</v>
      </c>
      <c r="E287" s="22" t="s">
        <v>3359</v>
      </c>
      <c r="F287" s="22" t="s">
        <v>4190</v>
      </c>
      <c r="G287" s="22" t="s">
        <v>1189</v>
      </c>
      <c r="H287" s="35" t="s">
        <v>8132</v>
      </c>
      <c r="I287" s="22" t="s">
        <v>8566</v>
      </c>
    </row>
    <row r="288" customFormat="false" ht="15" hidden="false" customHeight="true" outlineLevel="0" collapsed="false">
      <c r="A288" s="24" t="s">
        <v>3338</v>
      </c>
      <c r="B288" s="32" t="s">
        <v>7627</v>
      </c>
      <c r="C288" s="32" t="s">
        <v>7627</v>
      </c>
      <c r="D288" s="22" t="s">
        <v>8185</v>
      </c>
      <c r="E288" s="22" t="s">
        <v>3394</v>
      </c>
      <c r="F288" s="22" t="s">
        <v>7680</v>
      </c>
      <c r="G288" s="22" t="s">
        <v>1189</v>
      </c>
      <c r="H288" s="35" t="s">
        <v>8132</v>
      </c>
      <c r="I288" s="22" t="s">
        <v>8566</v>
      </c>
    </row>
    <row r="289" customFormat="false" ht="15" hidden="false" customHeight="true" outlineLevel="0" collapsed="false">
      <c r="A289" s="24" t="s">
        <v>3338</v>
      </c>
      <c r="B289" s="32" t="s">
        <v>7682</v>
      </c>
      <c r="C289" s="32" t="s">
        <v>7682</v>
      </c>
      <c r="D289" s="22" t="s">
        <v>8185</v>
      </c>
      <c r="E289" s="22" t="s">
        <v>3394</v>
      </c>
      <c r="F289" s="22" t="s">
        <v>7685</v>
      </c>
      <c r="G289" s="22" t="s">
        <v>1189</v>
      </c>
      <c r="H289" s="35" t="s">
        <v>8132</v>
      </c>
      <c r="I289" s="22" t="s">
        <v>8566</v>
      </c>
    </row>
    <row r="290" customFormat="false" ht="15" hidden="false" customHeight="true" outlineLevel="0" collapsed="false">
      <c r="A290" s="24" t="s">
        <v>523</v>
      </c>
      <c r="B290" s="32" t="s">
        <v>4143</v>
      </c>
      <c r="C290" s="32" t="s">
        <v>4143</v>
      </c>
      <c r="D290" s="22" t="s">
        <v>8185</v>
      </c>
      <c r="E290" s="22" t="s">
        <v>3359</v>
      </c>
      <c r="F290" s="22" t="s">
        <v>7741</v>
      </c>
      <c r="G290" s="22" t="s">
        <v>1215</v>
      </c>
      <c r="H290" s="35" t="s">
        <v>8132</v>
      </c>
      <c r="I290" s="22"/>
    </row>
    <row r="291" customFormat="false" ht="37.5" hidden="false" customHeight="true" outlineLevel="0" collapsed="false">
      <c r="A291" s="24" t="s">
        <v>524</v>
      </c>
      <c r="B291" s="32" t="s">
        <v>8577</v>
      </c>
      <c r="C291" s="32" t="s">
        <v>8578</v>
      </c>
      <c r="D291" s="22" t="s">
        <v>3363</v>
      </c>
      <c r="E291" s="22" t="s">
        <v>7754</v>
      </c>
      <c r="F291" s="22"/>
      <c r="G291" s="22" t="s">
        <v>1215</v>
      </c>
      <c r="H291" s="35" t="s">
        <v>8132</v>
      </c>
      <c r="I291" s="22" t="s">
        <v>8579</v>
      </c>
    </row>
    <row r="292" customFormat="false" ht="15" hidden="false" customHeight="true" outlineLevel="0" collapsed="false">
      <c r="A292" s="24" t="s">
        <v>524</v>
      </c>
      <c r="B292" s="32" t="s">
        <v>8580</v>
      </c>
      <c r="C292" s="32" t="s">
        <v>4143</v>
      </c>
      <c r="D292" s="22" t="s">
        <v>3363</v>
      </c>
      <c r="E292" s="22"/>
      <c r="F292" s="22" t="s">
        <v>8581</v>
      </c>
      <c r="G292" s="22" t="s">
        <v>1215</v>
      </c>
      <c r="H292" s="35" t="s">
        <v>8132</v>
      </c>
      <c r="I292" s="22" t="s">
        <v>8205</v>
      </c>
    </row>
    <row r="293" customFormat="false" ht="15" hidden="false" customHeight="true" outlineLevel="0" collapsed="false">
      <c r="A293" s="24" t="s">
        <v>524</v>
      </c>
      <c r="B293" s="32" t="s">
        <v>8582</v>
      </c>
      <c r="C293" s="32" t="s">
        <v>4148</v>
      </c>
      <c r="D293" s="22" t="s">
        <v>3363</v>
      </c>
      <c r="E293" s="22"/>
      <c r="F293" s="22"/>
      <c r="G293" s="22" t="s">
        <v>1215</v>
      </c>
      <c r="H293" s="35" t="s">
        <v>8132</v>
      </c>
      <c r="I293" s="22" t="s">
        <v>8205</v>
      </c>
    </row>
    <row r="294" customFormat="false" ht="15" hidden="false" customHeight="true" outlineLevel="0" collapsed="false">
      <c r="A294" s="24" t="s">
        <v>524</v>
      </c>
      <c r="B294" s="32" t="s">
        <v>8583</v>
      </c>
      <c r="C294" s="32" t="s">
        <v>4151</v>
      </c>
      <c r="D294" s="22" t="s">
        <v>3363</v>
      </c>
      <c r="E294" s="22"/>
      <c r="F294" s="22"/>
      <c r="G294" s="22" t="s">
        <v>1215</v>
      </c>
      <c r="H294" s="35" t="s">
        <v>8132</v>
      </c>
      <c r="I294" s="22" t="s">
        <v>8205</v>
      </c>
    </row>
    <row r="295" customFormat="false" ht="15" hidden="false" customHeight="true" outlineLevel="0" collapsed="false">
      <c r="A295" s="24" t="s">
        <v>524</v>
      </c>
      <c r="B295" s="32" t="s">
        <v>8584</v>
      </c>
      <c r="C295" s="32" t="s">
        <v>4310</v>
      </c>
      <c r="D295" s="22" t="s">
        <v>3363</v>
      </c>
      <c r="E295" s="22"/>
      <c r="F295" s="22"/>
      <c r="G295" s="22" t="s">
        <v>1215</v>
      </c>
      <c r="H295" s="35" t="s">
        <v>8132</v>
      </c>
      <c r="I295" s="22" t="s">
        <v>8205</v>
      </c>
    </row>
    <row r="296" customFormat="false" ht="15" hidden="false" customHeight="true" outlineLevel="0" collapsed="false">
      <c r="A296" s="24" t="s">
        <v>523</v>
      </c>
      <c r="B296" s="32" t="s">
        <v>4148</v>
      </c>
      <c r="C296" s="32" t="s">
        <v>4148</v>
      </c>
      <c r="D296" s="22" t="s">
        <v>8185</v>
      </c>
      <c r="E296" s="22" t="s">
        <v>3389</v>
      </c>
      <c r="F296" s="22" t="s">
        <v>7742</v>
      </c>
      <c r="G296" s="22" t="s">
        <v>1215</v>
      </c>
      <c r="H296" s="35" t="s">
        <v>8132</v>
      </c>
      <c r="I296" s="22"/>
    </row>
    <row r="297" customFormat="false" ht="24.75" hidden="false" customHeight="true" outlineLevel="0" collapsed="false">
      <c r="A297" s="24" t="s">
        <v>523</v>
      </c>
      <c r="B297" s="32" t="s">
        <v>4151</v>
      </c>
      <c r="C297" s="32" t="s">
        <v>4151</v>
      </c>
      <c r="D297" s="22" t="s">
        <v>8185</v>
      </c>
      <c r="E297" s="22" t="s">
        <v>3359</v>
      </c>
      <c r="F297" s="22" t="s">
        <v>7743</v>
      </c>
      <c r="G297" s="22" t="s">
        <v>1215</v>
      </c>
      <c r="H297" s="35" t="s">
        <v>8132</v>
      </c>
      <c r="I297" s="22"/>
    </row>
    <row r="298" customFormat="false" ht="37.5" hidden="false" customHeight="true" outlineLevel="0" collapsed="false">
      <c r="A298" s="24" t="s">
        <v>523</v>
      </c>
      <c r="B298" s="32" t="s">
        <v>6652</v>
      </c>
      <c r="C298" s="32" t="s">
        <v>3857</v>
      </c>
      <c r="D298" s="22" t="s">
        <v>3363</v>
      </c>
      <c r="E298" s="22" t="s">
        <v>3394</v>
      </c>
      <c r="F298" s="22" t="s">
        <v>8392</v>
      </c>
      <c r="G298" s="22" t="s">
        <v>1215</v>
      </c>
      <c r="H298" s="31" t="s">
        <v>8209</v>
      </c>
      <c r="I298" s="22" t="s">
        <v>8585</v>
      </c>
    </row>
    <row r="299" customFormat="false" ht="24.75" hidden="false" customHeight="true" outlineLevel="0" collapsed="false">
      <c r="A299" s="24" t="s">
        <v>523</v>
      </c>
      <c r="B299" s="32" t="s">
        <v>8586</v>
      </c>
      <c r="C299" s="32" t="s">
        <v>7730</v>
      </c>
      <c r="D299" s="22" t="s">
        <v>8185</v>
      </c>
      <c r="E299" s="22" t="s">
        <v>7731</v>
      </c>
      <c r="F299" s="22" t="s">
        <v>8587</v>
      </c>
      <c r="G299" s="22" t="s">
        <v>1215</v>
      </c>
      <c r="H299" s="35" t="s">
        <v>8132</v>
      </c>
      <c r="I299" s="22"/>
    </row>
    <row r="300" customFormat="false" ht="15" hidden="false" customHeight="true" outlineLevel="0" collapsed="false">
      <c r="A300" s="24" t="s">
        <v>524</v>
      </c>
      <c r="B300" s="32" t="s">
        <v>8588</v>
      </c>
      <c r="C300" s="32" t="s">
        <v>4295</v>
      </c>
      <c r="D300" s="22" t="s">
        <v>3363</v>
      </c>
      <c r="E300" s="22" t="s">
        <v>3389</v>
      </c>
      <c r="F300" s="22" t="s">
        <v>8589</v>
      </c>
      <c r="G300" s="22" t="s">
        <v>1215</v>
      </c>
      <c r="H300" s="35" t="s">
        <v>8132</v>
      </c>
      <c r="I300" s="22"/>
    </row>
    <row r="301" customFormat="false" ht="24.75" hidden="false" customHeight="true" outlineLevel="0" collapsed="false">
      <c r="A301" s="24" t="s">
        <v>692</v>
      </c>
      <c r="B301" s="32" t="s">
        <v>3853</v>
      </c>
      <c r="C301" s="32" t="s">
        <v>3853</v>
      </c>
      <c r="D301" s="22" t="s">
        <v>7784</v>
      </c>
      <c r="E301" s="22" t="s">
        <v>7935</v>
      </c>
      <c r="F301" s="22" t="s">
        <v>8590</v>
      </c>
      <c r="G301" s="22" t="s">
        <v>1244</v>
      </c>
      <c r="H301" s="33" t="s">
        <v>8344</v>
      </c>
      <c r="I301" s="22" t="s">
        <v>8591</v>
      </c>
    </row>
    <row r="302" customFormat="false" ht="24.75" hidden="false" customHeight="true" outlineLevel="0" collapsed="false">
      <c r="A302" s="24" t="s">
        <v>186</v>
      </c>
      <c r="B302" s="32" t="s">
        <v>8592</v>
      </c>
      <c r="C302" s="32" t="s">
        <v>8593</v>
      </c>
      <c r="D302" s="22" t="s">
        <v>3363</v>
      </c>
      <c r="E302" s="22" t="s">
        <v>7754</v>
      </c>
      <c r="F302" s="22"/>
      <c r="G302" s="22" t="s">
        <v>1244</v>
      </c>
      <c r="H302" s="31" t="s">
        <v>8209</v>
      </c>
      <c r="I302" s="22" t="s">
        <v>8594</v>
      </c>
    </row>
    <row r="303" customFormat="false" ht="15" hidden="false" customHeight="true" outlineLevel="0" collapsed="false">
      <c r="A303" s="24" t="s">
        <v>186</v>
      </c>
      <c r="B303" s="32" t="s">
        <v>8595</v>
      </c>
      <c r="C303" s="32" t="s">
        <v>3665</v>
      </c>
      <c r="D303" s="22" t="s">
        <v>3363</v>
      </c>
      <c r="E303" s="22"/>
      <c r="F303" s="22"/>
      <c r="G303" s="22" t="s">
        <v>1244</v>
      </c>
      <c r="H303" s="31" t="s">
        <v>8209</v>
      </c>
      <c r="I303" s="22" t="s">
        <v>8205</v>
      </c>
    </row>
    <row r="304" customFormat="false" ht="15" hidden="false" customHeight="true" outlineLevel="0" collapsed="false">
      <c r="A304" s="24" t="s">
        <v>186</v>
      </c>
      <c r="B304" s="32" t="s">
        <v>8596</v>
      </c>
      <c r="C304" s="32" t="s">
        <v>3671</v>
      </c>
      <c r="D304" s="22" t="s">
        <v>3363</v>
      </c>
      <c r="E304" s="22"/>
      <c r="F304" s="22"/>
      <c r="G304" s="22" t="s">
        <v>1244</v>
      </c>
      <c r="H304" s="31" t="s">
        <v>8209</v>
      </c>
      <c r="I304" s="22" t="s">
        <v>8205</v>
      </c>
    </row>
    <row r="305" customFormat="false" ht="15" hidden="false" customHeight="true" outlineLevel="0" collapsed="false">
      <c r="A305" s="24" t="s">
        <v>186</v>
      </c>
      <c r="B305" s="32" t="s">
        <v>8597</v>
      </c>
      <c r="C305" s="32" t="s">
        <v>3673</v>
      </c>
      <c r="D305" s="22" t="s">
        <v>3363</v>
      </c>
      <c r="E305" s="22"/>
      <c r="F305" s="22"/>
      <c r="G305" s="22" t="s">
        <v>1244</v>
      </c>
      <c r="H305" s="31" t="s">
        <v>8209</v>
      </c>
      <c r="I305" s="22" t="s">
        <v>8205</v>
      </c>
    </row>
    <row r="306" customFormat="false" ht="24.75" hidden="false" customHeight="true" outlineLevel="0" collapsed="false">
      <c r="A306" s="24" t="s">
        <v>186</v>
      </c>
      <c r="B306" s="32" t="s">
        <v>8598</v>
      </c>
      <c r="C306" s="32" t="s">
        <v>3677</v>
      </c>
      <c r="D306" s="22" t="s">
        <v>3363</v>
      </c>
      <c r="E306" s="22"/>
      <c r="F306" s="22" t="s">
        <v>8599</v>
      </c>
      <c r="G306" s="22" t="s">
        <v>1244</v>
      </c>
      <c r="H306" s="31" t="s">
        <v>8209</v>
      </c>
      <c r="I306" s="22" t="s">
        <v>8205</v>
      </c>
    </row>
    <row r="307" customFormat="false" ht="24.75" hidden="false" customHeight="true" outlineLevel="0" collapsed="false">
      <c r="A307" s="24" t="s">
        <v>692</v>
      </c>
      <c r="B307" s="32" t="s">
        <v>3855</v>
      </c>
      <c r="C307" s="32" t="s">
        <v>7185</v>
      </c>
      <c r="D307" s="22" t="s">
        <v>7784</v>
      </c>
      <c r="E307" s="22" t="s">
        <v>7942</v>
      </c>
      <c r="F307" s="22" t="s">
        <v>8600</v>
      </c>
      <c r="G307" s="22" t="s">
        <v>1244</v>
      </c>
      <c r="H307" s="33" t="s">
        <v>8344</v>
      </c>
      <c r="I307" s="22"/>
    </row>
    <row r="308" customFormat="false" ht="24.75" hidden="false" customHeight="true" outlineLevel="0" collapsed="false">
      <c r="A308" s="24" t="s">
        <v>692</v>
      </c>
      <c r="B308" s="32" t="s">
        <v>7932</v>
      </c>
      <c r="C308" s="32" t="s">
        <v>7932</v>
      </c>
      <c r="D308" s="22" t="s">
        <v>7784</v>
      </c>
      <c r="E308" s="22" t="s">
        <v>3359</v>
      </c>
      <c r="F308" s="22" t="s">
        <v>8601</v>
      </c>
      <c r="G308" s="22" t="s">
        <v>8602</v>
      </c>
      <c r="H308" s="35" t="s">
        <v>8132</v>
      </c>
      <c r="I308" s="22"/>
    </row>
    <row r="309" customFormat="false" ht="24.75" hidden="false" customHeight="true" outlineLevel="0" collapsed="false">
      <c r="A309" s="24" t="s">
        <v>692</v>
      </c>
      <c r="B309" s="32" t="s">
        <v>7945</v>
      </c>
      <c r="C309" s="32" t="s">
        <v>7945</v>
      </c>
      <c r="D309" s="22" t="s">
        <v>7784</v>
      </c>
      <c r="E309" s="22" t="s">
        <v>3713</v>
      </c>
      <c r="F309" s="22" t="s">
        <v>8603</v>
      </c>
      <c r="G309" s="22" t="s">
        <v>1244</v>
      </c>
      <c r="H309" s="31" t="s">
        <v>8209</v>
      </c>
      <c r="I309" s="22"/>
    </row>
    <row r="310" customFormat="false" ht="24.75" hidden="false" customHeight="true" outlineLevel="0" collapsed="false">
      <c r="A310" s="24" t="s">
        <v>692</v>
      </c>
      <c r="B310" s="32" t="s">
        <v>7947</v>
      </c>
      <c r="C310" s="32" t="s">
        <v>7947</v>
      </c>
      <c r="D310" s="22" t="s">
        <v>7784</v>
      </c>
      <c r="E310" s="22" t="s">
        <v>3713</v>
      </c>
      <c r="F310" s="22" t="s">
        <v>8604</v>
      </c>
      <c r="G310" s="22" t="s">
        <v>1244</v>
      </c>
      <c r="H310" s="31" t="s">
        <v>8209</v>
      </c>
      <c r="I310" s="22"/>
    </row>
    <row r="311" customFormat="false" ht="24.75" hidden="false" customHeight="true" outlineLevel="0" collapsed="false">
      <c r="A311" s="24" t="s">
        <v>692</v>
      </c>
      <c r="B311" s="32" t="s">
        <v>7949</v>
      </c>
      <c r="C311" s="32" t="s">
        <v>7949</v>
      </c>
      <c r="D311" s="22" t="s">
        <v>7784</v>
      </c>
      <c r="E311" s="22" t="s">
        <v>3713</v>
      </c>
      <c r="F311" s="22" t="s">
        <v>8605</v>
      </c>
      <c r="G311" s="22" t="s">
        <v>1244</v>
      </c>
      <c r="H311" s="31" t="s">
        <v>8209</v>
      </c>
      <c r="I311" s="22"/>
    </row>
    <row r="312" customFormat="false" ht="15" hidden="false" customHeight="true" outlineLevel="0" collapsed="false">
      <c r="A312" s="24" t="s">
        <v>186</v>
      </c>
      <c r="B312" s="32" t="s">
        <v>8606</v>
      </c>
      <c r="C312" s="32" t="s">
        <v>8607</v>
      </c>
      <c r="D312" s="22" t="s">
        <v>3363</v>
      </c>
      <c r="E312" s="22" t="s">
        <v>7754</v>
      </c>
      <c r="F312" s="22"/>
      <c r="G312" s="22" t="s">
        <v>1244</v>
      </c>
      <c r="H312" s="35" t="s">
        <v>8132</v>
      </c>
      <c r="I312" s="22"/>
    </row>
    <row r="313" customFormat="false" ht="15" hidden="false" customHeight="true" outlineLevel="0" collapsed="false">
      <c r="A313" s="24" t="s">
        <v>186</v>
      </c>
      <c r="B313" s="32" t="s">
        <v>8608</v>
      </c>
      <c r="C313" s="32" t="s">
        <v>3684</v>
      </c>
      <c r="D313" s="22" t="s">
        <v>3363</v>
      </c>
      <c r="E313" s="22"/>
      <c r="F313" s="22"/>
      <c r="G313" s="22" t="s">
        <v>1244</v>
      </c>
      <c r="H313" s="35" t="s">
        <v>8132</v>
      </c>
      <c r="I313" s="22" t="s">
        <v>8205</v>
      </c>
    </row>
    <row r="314" customFormat="false" ht="15" hidden="false" customHeight="true" outlineLevel="0" collapsed="false">
      <c r="A314" s="24" t="s">
        <v>1274</v>
      </c>
      <c r="B314" s="32" t="s">
        <v>1535</v>
      </c>
      <c r="C314" s="32" t="s">
        <v>1535</v>
      </c>
      <c r="D314" s="22" t="s">
        <v>3363</v>
      </c>
      <c r="E314" s="22" t="s">
        <v>3377</v>
      </c>
      <c r="F314" s="22" t="s">
        <v>8609</v>
      </c>
      <c r="G314" s="22" t="s">
        <v>1270</v>
      </c>
      <c r="H314" s="35" t="s">
        <v>8132</v>
      </c>
      <c r="I314" s="22"/>
    </row>
    <row r="315" customFormat="false" ht="24.75" hidden="false" customHeight="true" outlineLevel="0" collapsed="false">
      <c r="A315" s="24" t="s">
        <v>185</v>
      </c>
      <c r="B315" s="32" t="s">
        <v>1535</v>
      </c>
      <c r="C315" s="32" t="s">
        <v>1535</v>
      </c>
      <c r="D315" s="22" t="s">
        <v>7784</v>
      </c>
      <c r="E315" s="22" t="s">
        <v>7779</v>
      </c>
      <c r="F315" s="22" t="s">
        <v>8610</v>
      </c>
      <c r="G315" s="22" t="s">
        <v>1270</v>
      </c>
      <c r="H315" s="35" t="s">
        <v>8132</v>
      </c>
      <c r="I315" s="22"/>
    </row>
    <row r="316" customFormat="false" ht="15" hidden="false" customHeight="true" outlineLevel="0" collapsed="false">
      <c r="A316" s="24" t="s">
        <v>1275</v>
      </c>
      <c r="B316" s="32" t="s">
        <v>7781</v>
      </c>
      <c r="C316" s="32" t="s">
        <v>4400</v>
      </c>
      <c r="D316" s="22" t="s">
        <v>3363</v>
      </c>
      <c r="E316" s="22" t="s">
        <v>3359</v>
      </c>
      <c r="F316" s="22" t="s">
        <v>8611</v>
      </c>
      <c r="G316" s="22" t="s">
        <v>1270</v>
      </c>
      <c r="H316" s="35" t="s">
        <v>8132</v>
      </c>
      <c r="I316" s="22"/>
    </row>
    <row r="317" customFormat="false" ht="15" hidden="false" customHeight="true" outlineLevel="0" collapsed="false">
      <c r="A317" s="24" t="s">
        <v>1274</v>
      </c>
      <c r="B317" s="32" t="s">
        <v>8612</v>
      </c>
      <c r="C317" s="32" t="s">
        <v>4980</v>
      </c>
      <c r="D317" s="22" t="s">
        <v>3363</v>
      </c>
      <c r="E317" s="22" t="s">
        <v>3394</v>
      </c>
      <c r="F317" s="22" t="s">
        <v>8613</v>
      </c>
      <c r="G317" s="22" t="s">
        <v>1270</v>
      </c>
      <c r="H317" s="35" t="s">
        <v>8132</v>
      </c>
      <c r="I317" s="22"/>
    </row>
    <row r="318" customFormat="false" ht="24.75" hidden="false" customHeight="true" outlineLevel="0" collapsed="false">
      <c r="A318" s="24" t="s">
        <v>185</v>
      </c>
      <c r="B318" s="32" t="s">
        <v>7952</v>
      </c>
      <c r="C318" s="32" t="s">
        <v>7952</v>
      </c>
      <c r="D318" s="22" t="s">
        <v>7784</v>
      </c>
      <c r="E318" s="22" t="s">
        <v>3713</v>
      </c>
      <c r="F318" s="22" t="s">
        <v>8614</v>
      </c>
      <c r="G318" s="22" t="s">
        <v>1270</v>
      </c>
      <c r="H318" s="31" t="s">
        <v>8209</v>
      </c>
      <c r="I318" s="22"/>
    </row>
    <row r="319" customFormat="false" ht="15" hidden="false" customHeight="true" outlineLevel="0" collapsed="false">
      <c r="A319" s="24" t="s">
        <v>1274</v>
      </c>
      <c r="B319" s="32" t="s">
        <v>8615</v>
      </c>
      <c r="C319" s="32" t="s">
        <v>7954</v>
      </c>
      <c r="D319" s="22" t="s">
        <v>7784</v>
      </c>
      <c r="E319" s="22" t="s">
        <v>3713</v>
      </c>
      <c r="F319" s="22" t="s">
        <v>8616</v>
      </c>
      <c r="G319" s="22" t="s">
        <v>1270</v>
      </c>
      <c r="H319" s="35" t="s">
        <v>8132</v>
      </c>
      <c r="I319" s="22"/>
    </row>
    <row r="320" customFormat="false" ht="15" hidden="false" customHeight="true" outlineLevel="0" collapsed="false">
      <c r="A320" s="24" t="s">
        <v>1274</v>
      </c>
      <c r="B320" s="32" t="s">
        <v>4995</v>
      </c>
      <c r="C320" s="32" t="s">
        <v>4995</v>
      </c>
      <c r="D320" s="22" t="s">
        <v>3363</v>
      </c>
      <c r="E320" s="22" t="s">
        <v>3394</v>
      </c>
      <c r="F320" s="22" t="s">
        <v>8617</v>
      </c>
      <c r="G320" s="22" t="s">
        <v>1270</v>
      </c>
      <c r="H320" s="35" t="s">
        <v>8132</v>
      </c>
      <c r="I320" s="22"/>
    </row>
    <row r="321" customFormat="false" ht="24.75" hidden="false" customHeight="true" outlineLevel="0" collapsed="false">
      <c r="A321" s="24" t="s">
        <v>523</v>
      </c>
      <c r="B321" s="32" t="s">
        <v>7956</v>
      </c>
      <c r="C321" s="32" t="s">
        <v>7956</v>
      </c>
      <c r="D321" s="22" t="s">
        <v>7784</v>
      </c>
      <c r="E321" s="22" t="s">
        <v>3713</v>
      </c>
      <c r="F321" s="22" t="s">
        <v>8618</v>
      </c>
      <c r="G321" s="22" t="s">
        <v>1270</v>
      </c>
      <c r="H321" s="35" t="s">
        <v>8132</v>
      </c>
      <c r="I321" s="22"/>
    </row>
    <row r="322" customFormat="false" ht="24.75" hidden="false" customHeight="true" outlineLevel="0" collapsed="false">
      <c r="A322" s="24" t="s">
        <v>1275</v>
      </c>
      <c r="B322" s="32" t="s">
        <v>8619</v>
      </c>
      <c r="C322" s="32" t="s">
        <v>8620</v>
      </c>
      <c r="D322" s="22" t="s">
        <v>3363</v>
      </c>
      <c r="E322" s="22" t="s">
        <v>7754</v>
      </c>
      <c r="F322" s="22"/>
      <c r="G322" s="22" t="s">
        <v>1270</v>
      </c>
      <c r="H322" s="35" t="s">
        <v>8132</v>
      </c>
      <c r="I322" s="22" t="s">
        <v>8621</v>
      </c>
    </row>
    <row r="323" customFormat="false" ht="15" hidden="false" customHeight="true" outlineLevel="0" collapsed="false">
      <c r="A323" s="24" t="s">
        <v>1275</v>
      </c>
      <c r="B323" s="32" t="s">
        <v>8622</v>
      </c>
      <c r="C323" s="32" t="s">
        <v>4911</v>
      </c>
      <c r="D323" s="22" t="s">
        <v>3363</v>
      </c>
      <c r="E323" s="22"/>
      <c r="F323" s="22"/>
      <c r="G323" s="22" t="s">
        <v>1270</v>
      </c>
      <c r="H323" s="35" t="s">
        <v>8132</v>
      </c>
      <c r="I323" s="22" t="s">
        <v>8205</v>
      </c>
    </row>
    <row r="324" customFormat="false" ht="15" hidden="false" customHeight="true" outlineLevel="0" collapsed="false">
      <c r="A324" s="24" t="s">
        <v>1275</v>
      </c>
      <c r="B324" s="32" t="s">
        <v>8623</v>
      </c>
      <c r="C324" s="32" t="s">
        <v>4915</v>
      </c>
      <c r="D324" s="22" t="s">
        <v>3363</v>
      </c>
      <c r="E324" s="22"/>
      <c r="F324" s="22"/>
      <c r="G324" s="22" t="s">
        <v>1270</v>
      </c>
      <c r="H324" s="35" t="s">
        <v>8132</v>
      </c>
      <c r="I324" s="22" t="s">
        <v>8205</v>
      </c>
    </row>
    <row r="325" customFormat="false" ht="15" hidden="false" customHeight="true" outlineLevel="0" collapsed="false">
      <c r="A325" s="24" t="s">
        <v>1275</v>
      </c>
      <c r="B325" s="32" t="s">
        <v>8624</v>
      </c>
      <c r="C325" s="32" t="s">
        <v>4917</v>
      </c>
      <c r="D325" s="22" t="s">
        <v>3363</v>
      </c>
      <c r="E325" s="22"/>
      <c r="F325" s="22"/>
      <c r="G325" s="22" t="s">
        <v>1270</v>
      </c>
      <c r="H325" s="35" t="s">
        <v>8132</v>
      </c>
      <c r="I325" s="22" t="s">
        <v>8205</v>
      </c>
    </row>
    <row r="326" customFormat="false" ht="15" hidden="false" customHeight="true" outlineLevel="0" collapsed="false">
      <c r="A326" s="24" t="s">
        <v>1275</v>
      </c>
      <c r="B326" s="32" t="s">
        <v>8625</v>
      </c>
      <c r="C326" s="32" t="s">
        <v>4920</v>
      </c>
      <c r="D326" s="22" t="s">
        <v>3363</v>
      </c>
      <c r="E326" s="22"/>
      <c r="F326" s="22"/>
      <c r="G326" s="22" t="s">
        <v>1270</v>
      </c>
      <c r="H326" s="35" t="s">
        <v>8132</v>
      </c>
      <c r="I326" s="22" t="s">
        <v>8205</v>
      </c>
    </row>
    <row r="327" customFormat="false" ht="15" hidden="false" customHeight="true" outlineLevel="0" collapsed="false">
      <c r="A327" s="24" t="s">
        <v>1275</v>
      </c>
      <c r="B327" s="32" t="s">
        <v>8626</v>
      </c>
      <c r="C327" s="32" t="s">
        <v>4922</v>
      </c>
      <c r="D327" s="22" t="s">
        <v>3363</v>
      </c>
      <c r="E327" s="22"/>
      <c r="F327" s="22"/>
      <c r="G327" s="22" t="s">
        <v>1270</v>
      </c>
      <c r="H327" s="35" t="s">
        <v>8132</v>
      </c>
      <c r="I327" s="22" t="s">
        <v>8205</v>
      </c>
    </row>
    <row r="328" customFormat="false" ht="15" hidden="false" customHeight="true" outlineLevel="0" collapsed="false">
      <c r="A328" s="24" t="s">
        <v>1275</v>
      </c>
      <c r="B328" s="32" t="s">
        <v>8627</v>
      </c>
      <c r="C328" s="32" t="s">
        <v>4925</v>
      </c>
      <c r="D328" s="22" t="s">
        <v>3363</v>
      </c>
      <c r="E328" s="22"/>
      <c r="F328" s="22"/>
      <c r="G328" s="22" t="s">
        <v>1270</v>
      </c>
      <c r="H328" s="35" t="s">
        <v>8132</v>
      </c>
      <c r="I328" s="22" t="s">
        <v>8205</v>
      </c>
    </row>
    <row r="329" customFormat="false" ht="24.75" hidden="false" customHeight="true" outlineLevel="0" collapsed="false">
      <c r="A329" s="24" t="s">
        <v>1275</v>
      </c>
      <c r="B329" s="32" t="s">
        <v>8628</v>
      </c>
      <c r="C329" s="32" t="s">
        <v>7958</v>
      </c>
      <c r="D329" s="22" t="s">
        <v>7784</v>
      </c>
      <c r="E329" s="22" t="s">
        <v>7625</v>
      </c>
      <c r="F329" s="22" t="s">
        <v>8629</v>
      </c>
      <c r="G329" s="22" t="s">
        <v>1270</v>
      </c>
      <c r="H329" s="31" t="s">
        <v>8209</v>
      </c>
      <c r="I329" s="22"/>
    </row>
    <row r="330" customFormat="false" ht="24.75" hidden="false" customHeight="true" outlineLevel="0" collapsed="false">
      <c r="A330" s="24" t="s">
        <v>185</v>
      </c>
      <c r="B330" s="32" t="s">
        <v>7960</v>
      </c>
      <c r="C330" s="32" t="s">
        <v>7960</v>
      </c>
      <c r="D330" s="22" t="s">
        <v>7784</v>
      </c>
      <c r="E330" s="22" t="s">
        <v>3713</v>
      </c>
      <c r="F330" s="22" t="s">
        <v>8630</v>
      </c>
      <c r="G330" s="22" t="s">
        <v>1270</v>
      </c>
      <c r="H330" s="31" t="s">
        <v>8209</v>
      </c>
      <c r="I330" s="22" t="s">
        <v>8631</v>
      </c>
    </row>
    <row r="331" customFormat="false" ht="15" hidden="false" customHeight="true" outlineLevel="0" collapsed="false">
      <c r="A331" s="24" t="s">
        <v>1306</v>
      </c>
      <c r="B331" s="32" t="s">
        <v>6104</v>
      </c>
      <c r="C331" s="32" t="s">
        <v>6637</v>
      </c>
      <c r="D331" s="22" t="s">
        <v>3363</v>
      </c>
      <c r="E331" s="22" t="s">
        <v>3359</v>
      </c>
      <c r="F331" s="22" t="s">
        <v>8632</v>
      </c>
      <c r="G331" s="22" t="s">
        <v>8633</v>
      </c>
      <c r="H331" s="35" t="s">
        <v>8132</v>
      </c>
      <c r="I331" s="22"/>
    </row>
    <row r="332" customFormat="false" ht="24.75" hidden="false" customHeight="true" outlineLevel="0" collapsed="false">
      <c r="A332" s="24" t="s">
        <v>1307</v>
      </c>
      <c r="B332" s="32" t="s">
        <v>6104</v>
      </c>
      <c r="C332" s="32" t="s">
        <v>6104</v>
      </c>
      <c r="D332" s="22" t="s">
        <v>3363</v>
      </c>
      <c r="E332" s="22" t="s">
        <v>3359</v>
      </c>
      <c r="F332" s="22" t="s">
        <v>8634</v>
      </c>
      <c r="G332" s="22" t="s">
        <v>8635</v>
      </c>
      <c r="H332" s="35" t="s">
        <v>8132</v>
      </c>
      <c r="I332" s="22"/>
    </row>
    <row r="333" customFormat="false" ht="15" hidden="false" customHeight="true" outlineLevel="0" collapsed="false">
      <c r="A333" s="24" t="s">
        <v>1306</v>
      </c>
      <c r="B333" s="32" t="s">
        <v>5764</v>
      </c>
      <c r="C333" s="32" t="s">
        <v>6650</v>
      </c>
      <c r="D333" s="22" t="s">
        <v>3363</v>
      </c>
      <c r="E333" s="22" t="s">
        <v>3359</v>
      </c>
      <c r="F333" s="22" t="s">
        <v>8636</v>
      </c>
      <c r="G333" s="22" t="s">
        <v>8637</v>
      </c>
      <c r="H333" s="35" t="s">
        <v>8132</v>
      </c>
      <c r="I333" s="22"/>
    </row>
    <row r="334" customFormat="false" ht="24.75" hidden="false" customHeight="true" outlineLevel="0" collapsed="false">
      <c r="A334" s="24" t="s">
        <v>1307</v>
      </c>
      <c r="B334" s="32" t="s">
        <v>5764</v>
      </c>
      <c r="C334" s="32" t="s">
        <v>5764</v>
      </c>
      <c r="D334" s="22" t="s">
        <v>3363</v>
      </c>
      <c r="E334" s="22" t="s">
        <v>3359</v>
      </c>
      <c r="F334" s="22" t="s">
        <v>8638</v>
      </c>
      <c r="G334" s="22" t="s">
        <v>8639</v>
      </c>
      <c r="H334" s="35" t="s">
        <v>8132</v>
      </c>
      <c r="I334" s="22"/>
    </row>
    <row r="335" customFormat="false" ht="24.75" hidden="false" customHeight="true" outlineLevel="0" collapsed="false">
      <c r="A335" s="24" t="s">
        <v>1306</v>
      </c>
      <c r="B335" s="32" t="s">
        <v>8640</v>
      </c>
      <c r="C335" s="32" t="s">
        <v>6625</v>
      </c>
      <c r="D335" s="22" t="s">
        <v>3363</v>
      </c>
      <c r="E335" s="22" t="s">
        <v>3389</v>
      </c>
      <c r="F335" s="22" t="s">
        <v>8641</v>
      </c>
      <c r="G335" s="22" t="s">
        <v>1302</v>
      </c>
      <c r="H335" s="35" t="s">
        <v>8132</v>
      </c>
      <c r="I335" s="22" t="s">
        <v>8642</v>
      </c>
    </row>
    <row r="336" customFormat="false" ht="24.75" hidden="false" customHeight="true" outlineLevel="0" collapsed="false">
      <c r="A336" s="24" t="s">
        <v>1307</v>
      </c>
      <c r="B336" s="32" t="s">
        <v>8643</v>
      </c>
      <c r="C336" s="32" t="s">
        <v>6113</v>
      </c>
      <c r="D336" s="22" t="s">
        <v>3363</v>
      </c>
      <c r="E336" s="22" t="s">
        <v>3389</v>
      </c>
      <c r="F336" s="22" t="s">
        <v>8644</v>
      </c>
      <c r="G336" s="22" t="s">
        <v>8645</v>
      </c>
      <c r="H336" s="35" t="s">
        <v>8132</v>
      </c>
      <c r="I336" s="22"/>
    </row>
    <row r="337" customFormat="false" ht="15" hidden="false" customHeight="true" outlineLevel="0" collapsed="false">
      <c r="A337" s="24" t="s">
        <v>1306</v>
      </c>
      <c r="B337" s="32" t="s">
        <v>6659</v>
      </c>
      <c r="C337" s="32" t="s">
        <v>6659</v>
      </c>
      <c r="D337" s="22" t="s">
        <v>3363</v>
      </c>
      <c r="E337" s="22" t="s">
        <v>3394</v>
      </c>
      <c r="F337" s="22" t="s">
        <v>8646</v>
      </c>
      <c r="G337" s="22" t="s">
        <v>8633</v>
      </c>
      <c r="H337" s="35" t="s">
        <v>8132</v>
      </c>
      <c r="I337" s="22"/>
    </row>
    <row r="338" customFormat="false" ht="15" hidden="false" customHeight="true" outlineLevel="0" collapsed="false">
      <c r="A338" s="24" t="s">
        <v>1307</v>
      </c>
      <c r="B338" s="32" t="s">
        <v>5755</v>
      </c>
      <c r="C338" s="32" t="s">
        <v>5787</v>
      </c>
      <c r="D338" s="22" t="s">
        <v>3363</v>
      </c>
      <c r="E338" s="22" t="s">
        <v>3394</v>
      </c>
      <c r="F338" s="22" t="s">
        <v>8647</v>
      </c>
      <c r="G338" s="22" t="s">
        <v>8648</v>
      </c>
      <c r="H338" s="35" t="s">
        <v>8132</v>
      </c>
      <c r="I338" s="22"/>
    </row>
    <row r="339" customFormat="false" ht="15" hidden="false" customHeight="true" outlineLevel="0" collapsed="false">
      <c r="A339" s="24" t="s">
        <v>1306</v>
      </c>
      <c r="B339" s="32" t="s">
        <v>7966</v>
      </c>
      <c r="C339" s="32" t="s">
        <v>6652</v>
      </c>
      <c r="D339" s="22" t="s">
        <v>3363</v>
      </c>
      <c r="E339" s="22" t="s">
        <v>3394</v>
      </c>
      <c r="F339" s="22" t="s">
        <v>8649</v>
      </c>
      <c r="G339" s="22" t="s">
        <v>8633</v>
      </c>
      <c r="H339" s="35" t="s">
        <v>8132</v>
      </c>
      <c r="I339" s="22"/>
    </row>
    <row r="340" customFormat="false" ht="24.75" hidden="false" customHeight="true" outlineLevel="0" collapsed="false">
      <c r="A340" s="24" t="s">
        <v>1307</v>
      </c>
      <c r="B340" s="32" t="s">
        <v>5784</v>
      </c>
      <c r="C340" s="32" t="s">
        <v>5784</v>
      </c>
      <c r="D340" s="22" t="s">
        <v>3363</v>
      </c>
      <c r="E340" s="22" t="s">
        <v>3394</v>
      </c>
      <c r="F340" s="22" t="s">
        <v>8650</v>
      </c>
      <c r="G340" s="22" t="s">
        <v>8651</v>
      </c>
      <c r="H340" s="35" t="s">
        <v>8132</v>
      </c>
      <c r="I340" s="22"/>
    </row>
    <row r="341" customFormat="false" ht="24.75" hidden="false" customHeight="true" outlineLevel="0" collapsed="false">
      <c r="A341" s="24" t="s">
        <v>1306</v>
      </c>
      <c r="B341" s="32" t="s">
        <v>7962</v>
      </c>
      <c r="C341" s="32" t="s">
        <v>7962</v>
      </c>
      <c r="D341" s="22" t="s">
        <v>7784</v>
      </c>
      <c r="E341" s="22" t="s">
        <v>3389</v>
      </c>
      <c r="F341" s="22" t="s">
        <v>8652</v>
      </c>
      <c r="G341" s="22" t="s">
        <v>1302</v>
      </c>
      <c r="H341" s="31" t="s">
        <v>8209</v>
      </c>
      <c r="I341" s="22"/>
    </row>
    <row r="342" customFormat="false" ht="24.75" hidden="false" customHeight="true" outlineLevel="0" collapsed="false">
      <c r="A342" s="24" t="s">
        <v>1307</v>
      </c>
      <c r="B342" s="32" t="s">
        <v>8653</v>
      </c>
      <c r="C342" s="32" t="s">
        <v>6283</v>
      </c>
      <c r="D342" s="22" t="s">
        <v>3363</v>
      </c>
      <c r="E342" s="22" t="s">
        <v>3389</v>
      </c>
      <c r="F342" s="22" t="s">
        <v>8654</v>
      </c>
      <c r="G342" s="22" t="s">
        <v>8655</v>
      </c>
      <c r="H342" s="35" t="s">
        <v>8132</v>
      </c>
      <c r="I342" s="22"/>
    </row>
    <row r="343" customFormat="false" ht="15" hidden="false" customHeight="true" outlineLevel="0" collapsed="false">
      <c r="A343" s="24" t="s">
        <v>1306</v>
      </c>
      <c r="B343" s="32" t="s">
        <v>3855</v>
      </c>
      <c r="C343" s="32" t="s">
        <v>6657</v>
      </c>
      <c r="D343" s="22" t="s">
        <v>3363</v>
      </c>
      <c r="E343" s="22" t="s">
        <v>3394</v>
      </c>
      <c r="F343" s="22" t="s">
        <v>8656</v>
      </c>
      <c r="G343" s="22" t="s">
        <v>1302</v>
      </c>
      <c r="H343" s="35" t="s">
        <v>8132</v>
      </c>
      <c r="I343" s="22"/>
    </row>
    <row r="344" customFormat="false" ht="24.75" hidden="false" customHeight="true" outlineLevel="0" collapsed="false">
      <c r="A344" s="24" t="s">
        <v>1307</v>
      </c>
      <c r="B344" s="32" t="s">
        <v>8657</v>
      </c>
      <c r="C344" s="32" t="s">
        <v>6288</v>
      </c>
      <c r="D344" s="22" t="s">
        <v>3363</v>
      </c>
      <c r="E344" s="22" t="s">
        <v>3394</v>
      </c>
      <c r="F344" s="22" t="s">
        <v>8658</v>
      </c>
      <c r="G344" s="22" t="s">
        <v>8648</v>
      </c>
      <c r="H344" s="35" t="s">
        <v>8132</v>
      </c>
      <c r="I344" s="22"/>
    </row>
    <row r="345" customFormat="false" ht="37.5" hidden="false" customHeight="true" outlineLevel="0" collapsed="false">
      <c r="A345" s="24" t="s">
        <v>692</v>
      </c>
      <c r="B345" s="32" t="s">
        <v>7964</v>
      </c>
      <c r="C345" s="32" t="s">
        <v>7964</v>
      </c>
      <c r="D345" s="22" t="s">
        <v>7784</v>
      </c>
      <c r="E345" s="22" t="s">
        <v>3359</v>
      </c>
      <c r="F345" s="22" t="s">
        <v>8659</v>
      </c>
      <c r="G345" s="22" t="s">
        <v>8660</v>
      </c>
      <c r="H345" s="31" t="s">
        <v>8209</v>
      </c>
      <c r="I345" s="22"/>
    </row>
    <row r="346" customFormat="false" ht="15" hidden="false" customHeight="true" outlineLevel="0" collapsed="false">
      <c r="A346" s="24" t="s">
        <v>1306</v>
      </c>
      <c r="B346" s="32" t="s">
        <v>7964</v>
      </c>
      <c r="C346" s="32" t="s">
        <v>6635</v>
      </c>
      <c r="D346" s="22" t="s">
        <v>3363</v>
      </c>
      <c r="E346" s="22" t="s">
        <v>3359</v>
      </c>
      <c r="F346" s="22" t="s">
        <v>8661</v>
      </c>
      <c r="G346" s="22" t="s">
        <v>1332</v>
      </c>
      <c r="H346" s="35" t="s">
        <v>8132</v>
      </c>
      <c r="I346" s="22"/>
    </row>
    <row r="347" customFormat="false" ht="15" hidden="false" customHeight="true" outlineLevel="0" collapsed="false">
      <c r="A347" s="24" t="s">
        <v>692</v>
      </c>
      <c r="B347" s="32" t="s">
        <v>6633</v>
      </c>
      <c r="C347" s="32" t="s">
        <v>6633</v>
      </c>
      <c r="D347" s="22" t="s">
        <v>3363</v>
      </c>
      <c r="E347" s="22" t="s">
        <v>3359</v>
      </c>
      <c r="F347" s="22" t="s">
        <v>8662</v>
      </c>
      <c r="G347" s="22" t="s">
        <v>8663</v>
      </c>
      <c r="H347" s="35" t="s">
        <v>8132</v>
      </c>
      <c r="I347" s="22"/>
    </row>
    <row r="348" customFormat="false" ht="15" hidden="false" customHeight="true" outlineLevel="0" collapsed="false">
      <c r="A348" s="24" t="s">
        <v>1306</v>
      </c>
      <c r="B348" s="32" t="s">
        <v>8664</v>
      </c>
      <c r="C348" s="32" t="s">
        <v>6633</v>
      </c>
      <c r="D348" s="22" t="s">
        <v>3363</v>
      </c>
      <c r="E348" s="22" t="s">
        <v>3359</v>
      </c>
      <c r="F348" s="22" t="s">
        <v>8665</v>
      </c>
      <c r="G348" s="22" t="s">
        <v>1332</v>
      </c>
      <c r="H348" s="35" t="s">
        <v>8132</v>
      </c>
      <c r="I348" s="22"/>
    </row>
    <row r="349" customFormat="false" ht="15" hidden="false" customHeight="true" outlineLevel="0" collapsed="false">
      <c r="A349" s="24" t="s">
        <v>692</v>
      </c>
      <c r="B349" s="32" t="s">
        <v>6637</v>
      </c>
      <c r="C349" s="32" t="s">
        <v>6637</v>
      </c>
      <c r="D349" s="22" t="s">
        <v>3363</v>
      </c>
      <c r="E349" s="22" t="s">
        <v>3359</v>
      </c>
      <c r="F349" s="22" t="s">
        <v>8666</v>
      </c>
      <c r="G349" s="22" t="s">
        <v>8667</v>
      </c>
      <c r="H349" s="35" t="s">
        <v>8132</v>
      </c>
      <c r="I349" s="22"/>
    </row>
    <row r="350" customFormat="false" ht="24.75" hidden="false" customHeight="true" outlineLevel="0" collapsed="false">
      <c r="A350" s="24" t="s">
        <v>692</v>
      </c>
      <c r="B350" s="32" t="s">
        <v>7966</v>
      </c>
      <c r="C350" s="32" t="s">
        <v>7966</v>
      </c>
      <c r="D350" s="22" t="s">
        <v>7784</v>
      </c>
      <c r="E350" s="22" t="s">
        <v>3713</v>
      </c>
      <c r="F350" s="22" t="s">
        <v>8668</v>
      </c>
      <c r="G350" s="22" t="s">
        <v>8667</v>
      </c>
      <c r="H350" s="31" t="s">
        <v>8209</v>
      </c>
      <c r="I350" s="22"/>
    </row>
    <row r="351" customFormat="false" ht="15" hidden="false" customHeight="true" outlineLevel="0" collapsed="false">
      <c r="A351" s="24" t="s">
        <v>1307</v>
      </c>
      <c r="B351" s="32" t="s">
        <v>6169</v>
      </c>
      <c r="C351" s="32" t="s">
        <v>6169</v>
      </c>
      <c r="D351" s="22" t="s">
        <v>3363</v>
      </c>
      <c r="E351" s="22" t="s">
        <v>3359</v>
      </c>
      <c r="F351" s="22" t="s">
        <v>8669</v>
      </c>
      <c r="G351" s="22" t="s">
        <v>1361</v>
      </c>
      <c r="H351" s="35" t="s">
        <v>8132</v>
      </c>
      <c r="I351" s="22"/>
    </row>
    <row r="352" customFormat="false" ht="15" hidden="false" customHeight="true" outlineLevel="0" collapsed="false">
      <c r="A352" s="24" t="s">
        <v>1365</v>
      </c>
      <c r="B352" s="32" t="s">
        <v>6169</v>
      </c>
      <c r="C352" s="32" t="s">
        <v>6169</v>
      </c>
      <c r="D352" s="22" t="s">
        <v>3363</v>
      </c>
      <c r="E352" s="22" t="s">
        <v>3359</v>
      </c>
      <c r="F352" s="22" t="s">
        <v>8670</v>
      </c>
      <c r="G352" s="22" t="s">
        <v>1361</v>
      </c>
      <c r="H352" s="35" t="s">
        <v>8132</v>
      </c>
      <c r="I352" s="22"/>
    </row>
    <row r="353" customFormat="false" ht="24.75" hidden="false" customHeight="true" outlineLevel="0" collapsed="false">
      <c r="A353" s="24" t="s">
        <v>1307</v>
      </c>
      <c r="B353" s="32" t="s">
        <v>6174</v>
      </c>
      <c r="C353" s="32" t="s">
        <v>6174</v>
      </c>
      <c r="D353" s="22" t="s">
        <v>3363</v>
      </c>
      <c r="E353" s="22" t="s">
        <v>3359</v>
      </c>
      <c r="F353" s="22" t="s">
        <v>8671</v>
      </c>
      <c r="G353" s="22" t="s">
        <v>1361</v>
      </c>
      <c r="H353" s="35" t="s">
        <v>8132</v>
      </c>
      <c r="I353" s="22"/>
    </row>
    <row r="354" customFormat="false" ht="15" hidden="false" customHeight="true" outlineLevel="0" collapsed="false">
      <c r="A354" s="24" t="s">
        <v>1365</v>
      </c>
      <c r="B354" s="32" t="s">
        <v>6174</v>
      </c>
      <c r="C354" s="32" t="s">
        <v>6174</v>
      </c>
      <c r="D354" s="22" t="s">
        <v>3363</v>
      </c>
      <c r="E354" s="22" t="s">
        <v>3359</v>
      </c>
      <c r="F354" s="22" t="s">
        <v>8672</v>
      </c>
      <c r="G354" s="22" t="s">
        <v>1361</v>
      </c>
      <c r="H354" s="35" t="s">
        <v>8132</v>
      </c>
      <c r="I354" s="22"/>
    </row>
    <row r="355" customFormat="false" ht="15" hidden="false" customHeight="true" outlineLevel="0" collapsed="false">
      <c r="A355" s="24" t="s">
        <v>1307</v>
      </c>
      <c r="B355" s="32" t="s">
        <v>6566</v>
      </c>
      <c r="C355" s="32" t="s">
        <v>6090</v>
      </c>
      <c r="D355" s="22" t="s">
        <v>3363</v>
      </c>
      <c r="E355" s="22" t="s">
        <v>3389</v>
      </c>
      <c r="F355" s="22" t="s">
        <v>8673</v>
      </c>
      <c r="G355" s="22" t="s">
        <v>1361</v>
      </c>
      <c r="H355" s="35" t="s">
        <v>8132</v>
      </c>
      <c r="I355" s="22"/>
    </row>
    <row r="356" customFormat="false" ht="15" hidden="false" customHeight="true" outlineLevel="0" collapsed="false">
      <c r="A356" s="24" t="s">
        <v>1365</v>
      </c>
      <c r="B356" s="32" t="s">
        <v>6566</v>
      </c>
      <c r="C356" s="32" t="s">
        <v>6566</v>
      </c>
      <c r="D356" s="22" t="s">
        <v>3363</v>
      </c>
      <c r="E356" s="22" t="s">
        <v>3389</v>
      </c>
      <c r="F356" s="22" t="s">
        <v>8674</v>
      </c>
      <c r="G356" s="22" t="s">
        <v>2778</v>
      </c>
      <c r="H356" s="35" t="s">
        <v>8132</v>
      </c>
      <c r="I356" s="22"/>
    </row>
    <row r="357" customFormat="false" ht="24.75" hidden="false" customHeight="true" outlineLevel="0" collapsed="false">
      <c r="A357" s="24" t="s">
        <v>1307</v>
      </c>
      <c r="B357" s="32" t="s">
        <v>8675</v>
      </c>
      <c r="C357" s="32" t="s">
        <v>6213</v>
      </c>
      <c r="D357" s="22" t="s">
        <v>3363</v>
      </c>
      <c r="E357" s="22" t="s">
        <v>3394</v>
      </c>
      <c r="F357" s="22" t="s">
        <v>8676</v>
      </c>
      <c r="G357" s="22" t="s">
        <v>1361</v>
      </c>
      <c r="H357" s="35" t="s">
        <v>8132</v>
      </c>
      <c r="I357" s="22"/>
    </row>
    <row r="358" customFormat="false" ht="15" hidden="false" customHeight="true" outlineLevel="0" collapsed="false">
      <c r="A358" s="24" t="s">
        <v>1365</v>
      </c>
      <c r="B358" s="32" t="s">
        <v>7140</v>
      </c>
      <c r="C358" s="32" t="s">
        <v>6561</v>
      </c>
      <c r="D358" s="22" t="s">
        <v>3363</v>
      </c>
      <c r="E358" s="22" t="s">
        <v>3394</v>
      </c>
      <c r="F358" s="22" t="s">
        <v>8677</v>
      </c>
      <c r="G358" s="22" t="s">
        <v>1361</v>
      </c>
      <c r="H358" s="35" t="s">
        <v>8132</v>
      </c>
      <c r="I358" s="22"/>
    </row>
    <row r="359" customFormat="false" ht="15" hidden="false" customHeight="true" outlineLevel="0" collapsed="false">
      <c r="A359" s="24" t="s">
        <v>1307</v>
      </c>
      <c r="B359" s="32" t="s">
        <v>8678</v>
      </c>
      <c r="C359" s="32" t="s">
        <v>8679</v>
      </c>
      <c r="D359" s="22" t="s">
        <v>3363</v>
      </c>
      <c r="E359" s="22" t="s">
        <v>7754</v>
      </c>
      <c r="F359" s="22"/>
      <c r="G359" s="22" t="s">
        <v>1361</v>
      </c>
      <c r="H359" s="35" t="s">
        <v>8132</v>
      </c>
      <c r="I359" s="22"/>
    </row>
    <row r="360" customFormat="false" ht="15" hidden="false" customHeight="true" outlineLevel="0" collapsed="false">
      <c r="A360" s="24" t="s">
        <v>1307</v>
      </c>
      <c r="B360" s="32" t="s">
        <v>8680</v>
      </c>
      <c r="C360" s="32" t="s">
        <v>6085</v>
      </c>
      <c r="D360" s="22" t="s">
        <v>3363</v>
      </c>
      <c r="E360" s="22"/>
      <c r="F360" s="22"/>
      <c r="G360" s="22" t="s">
        <v>1361</v>
      </c>
      <c r="H360" s="35" t="s">
        <v>8132</v>
      </c>
      <c r="I360" s="22" t="s">
        <v>8205</v>
      </c>
    </row>
    <row r="361" customFormat="false" ht="15" hidden="false" customHeight="true" outlineLevel="0" collapsed="false">
      <c r="A361" s="24" t="s">
        <v>1365</v>
      </c>
      <c r="B361" s="32" t="s">
        <v>7122</v>
      </c>
      <c r="C361" s="32" t="s">
        <v>6549</v>
      </c>
      <c r="D361" s="22" t="s">
        <v>3363</v>
      </c>
      <c r="E361" s="22" t="s">
        <v>3394</v>
      </c>
      <c r="F361" s="22" t="s">
        <v>8681</v>
      </c>
      <c r="G361" s="22" t="s">
        <v>1361</v>
      </c>
      <c r="H361" s="35" t="s">
        <v>8132</v>
      </c>
      <c r="I361" s="22"/>
    </row>
    <row r="362" customFormat="false" ht="24.75" hidden="false" customHeight="true" outlineLevel="0" collapsed="false">
      <c r="A362" s="24" t="s">
        <v>1307</v>
      </c>
      <c r="B362" s="32" t="s">
        <v>6200</v>
      </c>
      <c r="C362" s="32" t="s">
        <v>6200</v>
      </c>
      <c r="D362" s="22" t="s">
        <v>3363</v>
      </c>
      <c r="E362" s="22" t="s">
        <v>3394</v>
      </c>
      <c r="F362" s="22" t="s">
        <v>8682</v>
      </c>
      <c r="G362" s="22" t="s">
        <v>1361</v>
      </c>
      <c r="H362" s="35" t="s">
        <v>8132</v>
      </c>
      <c r="I362" s="22"/>
    </row>
    <row r="363" customFormat="false" ht="15" hidden="false" customHeight="true" outlineLevel="0" collapsed="false">
      <c r="A363" s="24" t="s">
        <v>1365</v>
      </c>
      <c r="B363" s="32" t="s">
        <v>7137</v>
      </c>
      <c r="C363" s="32" t="s">
        <v>6553</v>
      </c>
      <c r="D363" s="22" t="s">
        <v>3363</v>
      </c>
      <c r="E363" s="22" t="s">
        <v>3394</v>
      </c>
      <c r="F363" s="22" t="s">
        <v>8683</v>
      </c>
      <c r="G363" s="22" t="s">
        <v>2778</v>
      </c>
      <c r="H363" s="35" t="s">
        <v>8132</v>
      </c>
      <c r="I363" s="22"/>
    </row>
    <row r="364" customFormat="false" ht="15" hidden="false" customHeight="true" outlineLevel="0" collapsed="false">
      <c r="A364" s="24" t="s">
        <v>1307</v>
      </c>
      <c r="B364" s="32" t="s">
        <v>6205</v>
      </c>
      <c r="C364" s="32" t="s">
        <v>6205</v>
      </c>
      <c r="D364" s="22" t="s">
        <v>3363</v>
      </c>
      <c r="E364" s="22" t="s">
        <v>3394</v>
      </c>
      <c r="F364" s="22" t="s">
        <v>8684</v>
      </c>
      <c r="G364" s="22" t="s">
        <v>1361</v>
      </c>
      <c r="H364" s="35" t="s">
        <v>8132</v>
      </c>
      <c r="I364" s="22"/>
    </row>
    <row r="365" customFormat="false" ht="15" hidden="false" customHeight="true" outlineLevel="0" collapsed="false">
      <c r="A365" s="24" t="s">
        <v>1365</v>
      </c>
      <c r="B365" s="32" t="s">
        <v>8685</v>
      </c>
      <c r="C365" s="32" t="s">
        <v>6557</v>
      </c>
      <c r="D365" s="22" t="s">
        <v>3363</v>
      </c>
      <c r="E365" s="22" t="s">
        <v>3394</v>
      </c>
      <c r="F365" s="22" t="s">
        <v>8686</v>
      </c>
      <c r="G365" s="22" t="s">
        <v>1361</v>
      </c>
      <c r="H365" s="35" t="s">
        <v>8132</v>
      </c>
      <c r="I365" s="22"/>
    </row>
    <row r="366" customFormat="false" ht="24.75" hidden="false" customHeight="true" outlineLevel="0" collapsed="false">
      <c r="A366" s="24" t="s">
        <v>1307</v>
      </c>
      <c r="B366" s="32" t="s">
        <v>6665</v>
      </c>
      <c r="C366" s="32" t="s">
        <v>6665</v>
      </c>
      <c r="D366" s="22" t="s">
        <v>7784</v>
      </c>
      <c r="E366" s="22" t="s">
        <v>7968</v>
      </c>
      <c r="F366" s="22" t="s">
        <v>8687</v>
      </c>
      <c r="G366" s="22" t="s">
        <v>8688</v>
      </c>
      <c r="H366" s="35" t="s">
        <v>8132</v>
      </c>
      <c r="I366" s="22"/>
    </row>
    <row r="367" customFormat="false" ht="15" hidden="false" customHeight="true" outlineLevel="0" collapsed="false">
      <c r="A367" s="24" t="s">
        <v>1365</v>
      </c>
      <c r="B367" s="32" t="s">
        <v>5537</v>
      </c>
      <c r="C367" s="32" t="s">
        <v>5537</v>
      </c>
      <c r="D367" s="22" t="s">
        <v>3363</v>
      </c>
      <c r="E367" s="22" t="s">
        <v>3359</v>
      </c>
      <c r="F367" s="22" t="s">
        <v>8689</v>
      </c>
      <c r="G367" s="22" t="s">
        <v>8688</v>
      </c>
      <c r="H367" s="35" t="s">
        <v>8132</v>
      </c>
      <c r="I367" s="22"/>
    </row>
    <row r="368" customFormat="false" ht="15" hidden="false" customHeight="true" outlineLevel="0" collapsed="false">
      <c r="A368" s="24" t="s">
        <v>692</v>
      </c>
      <c r="B368" s="32" t="s">
        <v>8690</v>
      </c>
      <c r="C368" s="32" t="s">
        <v>7171</v>
      </c>
      <c r="D368" s="22" t="s">
        <v>3363</v>
      </c>
      <c r="E368" s="22" t="s">
        <v>3359</v>
      </c>
      <c r="F368" s="22" t="s">
        <v>8463</v>
      </c>
      <c r="G368" s="22" t="s">
        <v>8691</v>
      </c>
      <c r="H368" s="35" t="s">
        <v>8132</v>
      </c>
      <c r="I368" s="22"/>
    </row>
    <row r="369" customFormat="false" ht="24.75" hidden="false" customHeight="true" outlineLevel="0" collapsed="false">
      <c r="A369" s="24" t="s">
        <v>692</v>
      </c>
      <c r="B369" s="32" t="s">
        <v>7970</v>
      </c>
      <c r="C369" s="32" t="s">
        <v>7970</v>
      </c>
      <c r="D369" s="22" t="s">
        <v>7784</v>
      </c>
      <c r="E369" s="22" t="s">
        <v>3389</v>
      </c>
      <c r="F369" s="22" t="s">
        <v>8692</v>
      </c>
      <c r="G369" s="22" t="s">
        <v>1418</v>
      </c>
      <c r="H369" s="31" t="s">
        <v>8209</v>
      </c>
      <c r="I369" s="22"/>
    </row>
    <row r="370" customFormat="false" ht="15" hidden="false" customHeight="true" outlineLevel="0" collapsed="false">
      <c r="A370" s="24" t="s">
        <v>1336</v>
      </c>
      <c r="B370" s="32" t="s">
        <v>5718</v>
      </c>
      <c r="C370" s="32" t="s">
        <v>5718</v>
      </c>
      <c r="D370" s="22" t="s">
        <v>3363</v>
      </c>
      <c r="E370" s="22" t="s">
        <v>3359</v>
      </c>
      <c r="F370" s="22" t="s">
        <v>8693</v>
      </c>
      <c r="G370" s="22" t="s">
        <v>8694</v>
      </c>
      <c r="H370" s="35" t="s">
        <v>8132</v>
      </c>
      <c r="I370" s="22"/>
    </row>
    <row r="371" customFormat="false" ht="24.75" hidden="false" customHeight="true" outlineLevel="0" collapsed="false">
      <c r="A371" s="24" t="s">
        <v>1307</v>
      </c>
      <c r="B371" s="32" t="s">
        <v>6060</v>
      </c>
      <c r="C371" s="32" t="s">
        <v>6302</v>
      </c>
      <c r="D371" s="22" t="s">
        <v>3363</v>
      </c>
      <c r="E371" s="22" t="s">
        <v>3359</v>
      </c>
      <c r="F371" s="22" t="s">
        <v>8695</v>
      </c>
      <c r="G371" s="22" t="s">
        <v>1445</v>
      </c>
      <c r="H371" s="35" t="s">
        <v>8132</v>
      </c>
      <c r="I371" s="22"/>
    </row>
    <row r="372" customFormat="false" ht="15" hidden="false" customHeight="true" outlineLevel="0" collapsed="false">
      <c r="A372" s="24" t="s">
        <v>1336</v>
      </c>
      <c r="B372" s="32" t="s">
        <v>8696</v>
      </c>
      <c r="C372" s="32" t="s">
        <v>7529</v>
      </c>
      <c r="D372" s="22" t="s">
        <v>3363</v>
      </c>
      <c r="E372" s="22" t="s">
        <v>3359</v>
      </c>
      <c r="F372" s="22" t="s">
        <v>8697</v>
      </c>
      <c r="G372" s="22" t="s">
        <v>1445</v>
      </c>
      <c r="H372" s="35" t="s">
        <v>8132</v>
      </c>
      <c r="I372" s="22"/>
    </row>
    <row r="373" customFormat="false" ht="24.75" hidden="false" customHeight="true" outlineLevel="0" collapsed="false">
      <c r="A373" s="24" t="s">
        <v>1307</v>
      </c>
      <c r="B373" s="32" t="s">
        <v>8698</v>
      </c>
      <c r="C373" s="32" t="s">
        <v>6293</v>
      </c>
      <c r="D373" s="22" t="s">
        <v>3363</v>
      </c>
      <c r="E373" s="22" t="s">
        <v>3377</v>
      </c>
      <c r="F373" s="22" t="s">
        <v>8699</v>
      </c>
      <c r="G373" s="22" t="s">
        <v>1445</v>
      </c>
      <c r="H373" s="35" t="s">
        <v>8132</v>
      </c>
      <c r="I373" s="22"/>
    </row>
    <row r="374" customFormat="false" ht="15" hidden="false" customHeight="true" outlineLevel="0" collapsed="false">
      <c r="A374" s="24" t="s">
        <v>1307</v>
      </c>
      <c r="B374" s="32" t="s">
        <v>6117</v>
      </c>
      <c r="C374" s="32" t="s">
        <v>6117</v>
      </c>
      <c r="D374" s="22" t="s">
        <v>3363</v>
      </c>
      <c r="E374" s="22" t="s">
        <v>3359</v>
      </c>
      <c r="F374" s="22" t="s">
        <v>8700</v>
      </c>
      <c r="G374" s="22" t="s">
        <v>8701</v>
      </c>
      <c r="H374" s="35" t="s">
        <v>8132</v>
      </c>
      <c r="I374" s="22"/>
    </row>
    <row r="375" customFormat="false" ht="15" hidden="false" customHeight="true" outlineLevel="0" collapsed="false">
      <c r="A375" s="24" t="s">
        <v>1365</v>
      </c>
      <c r="B375" s="32" t="s">
        <v>6117</v>
      </c>
      <c r="C375" s="32" t="s">
        <v>6117</v>
      </c>
      <c r="D375" s="22" t="s">
        <v>3363</v>
      </c>
      <c r="E375" s="22" t="s">
        <v>3359</v>
      </c>
      <c r="F375" s="22" t="s">
        <v>8702</v>
      </c>
      <c r="G375" s="22" t="s">
        <v>1473</v>
      </c>
      <c r="H375" s="35" t="s">
        <v>8132</v>
      </c>
      <c r="I375" s="22"/>
    </row>
    <row r="376" customFormat="false" ht="24.75" hidden="false" customHeight="true" outlineLevel="0" collapsed="false">
      <c r="A376" s="24" t="s">
        <v>1307</v>
      </c>
      <c r="B376" s="32" t="s">
        <v>3824</v>
      </c>
      <c r="C376" s="32" t="s">
        <v>7744</v>
      </c>
      <c r="D376" s="22" t="s">
        <v>8185</v>
      </c>
      <c r="E376" s="22" t="s">
        <v>3389</v>
      </c>
      <c r="F376" s="22" t="s">
        <v>7745</v>
      </c>
      <c r="G376" s="22" t="s">
        <v>1473</v>
      </c>
      <c r="H376" s="35" t="s">
        <v>8132</v>
      </c>
      <c r="I376" s="22"/>
    </row>
    <row r="377" customFormat="false" ht="15" hidden="false" customHeight="true" outlineLevel="0" collapsed="false">
      <c r="A377" s="24" t="s">
        <v>1477</v>
      </c>
      <c r="B377" s="32" t="s">
        <v>8703</v>
      </c>
      <c r="C377" s="32" t="s">
        <v>6140</v>
      </c>
      <c r="D377" s="22" t="s">
        <v>3363</v>
      </c>
      <c r="E377" s="22" t="s">
        <v>3359</v>
      </c>
      <c r="F377" s="22" t="s">
        <v>8704</v>
      </c>
      <c r="G377" s="22" t="s">
        <v>1502</v>
      </c>
      <c r="H377" s="35" t="s">
        <v>8132</v>
      </c>
      <c r="I377" s="22"/>
    </row>
    <row r="378" customFormat="false" ht="15" hidden="false" customHeight="true" outlineLevel="0" collapsed="false">
      <c r="A378" s="24" t="s">
        <v>1307</v>
      </c>
      <c r="B378" s="32" t="s">
        <v>6140</v>
      </c>
      <c r="C378" s="32" t="s">
        <v>6140</v>
      </c>
      <c r="D378" s="22" t="s">
        <v>3363</v>
      </c>
      <c r="E378" s="22" t="s">
        <v>3359</v>
      </c>
      <c r="F378" s="22" t="s">
        <v>8705</v>
      </c>
      <c r="G378" s="22" t="s">
        <v>1502</v>
      </c>
      <c r="H378" s="35" t="s">
        <v>8132</v>
      </c>
      <c r="I378" s="22"/>
    </row>
    <row r="379" customFormat="false" ht="15" hidden="false" customHeight="true" outlineLevel="0" collapsed="false">
      <c r="A379" s="24" t="s">
        <v>1477</v>
      </c>
      <c r="B379" s="32" t="s">
        <v>8706</v>
      </c>
      <c r="C379" s="32" t="s">
        <v>6234</v>
      </c>
      <c r="D379" s="22" t="s">
        <v>3363</v>
      </c>
      <c r="E379" s="22" t="s">
        <v>3437</v>
      </c>
      <c r="F379" s="22" t="s">
        <v>8707</v>
      </c>
      <c r="G379" s="22" t="s">
        <v>1502</v>
      </c>
      <c r="H379" s="35" t="s">
        <v>8132</v>
      </c>
      <c r="I379" s="22"/>
    </row>
    <row r="380" customFormat="false" ht="24.75" hidden="false" customHeight="true" outlineLevel="0" collapsed="false">
      <c r="A380" s="24" t="s">
        <v>1307</v>
      </c>
      <c r="B380" s="32" t="s">
        <v>8706</v>
      </c>
      <c r="C380" s="32" t="s">
        <v>6234</v>
      </c>
      <c r="D380" s="22" t="s">
        <v>3363</v>
      </c>
      <c r="E380" s="22" t="s">
        <v>3437</v>
      </c>
      <c r="F380" s="22" t="s">
        <v>8708</v>
      </c>
      <c r="G380" s="22" t="s">
        <v>1502</v>
      </c>
      <c r="H380" s="35" t="s">
        <v>8132</v>
      </c>
      <c r="I380" s="22"/>
    </row>
    <row r="381" customFormat="false" ht="15" hidden="false" customHeight="true" outlineLevel="0" collapsed="false">
      <c r="A381" s="24" t="s">
        <v>1477</v>
      </c>
      <c r="B381" s="32" t="s">
        <v>6588</v>
      </c>
      <c r="C381" s="32" t="s">
        <v>6588</v>
      </c>
      <c r="D381" s="22" t="s">
        <v>3363</v>
      </c>
      <c r="E381" s="22" t="s">
        <v>3377</v>
      </c>
      <c r="F381" s="22" t="s">
        <v>8709</v>
      </c>
      <c r="G381" s="22" t="s">
        <v>1502</v>
      </c>
      <c r="H381" s="35" t="s">
        <v>8132</v>
      </c>
      <c r="I381" s="22"/>
    </row>
    <row r="382" customFormat="false" ht="15" hidden="false" customHeight="true" outlineLevel="0" collapsed="false">
      <c r="A382" s="24" t="s">
        <v>1477</v>
      </c>
      <c r="B382" s="32" t="s">
        <v>6615</v>
      </c>
      <c r="C382" s="32" t="s">
        <v>6615</v>
      </c>
      <c r="D382" s="22" t="s">
        <v>3363</v>
      </c>
      <c r="E382" s="22" t="s">
        <v>3394</v>
      </c>
      <c r="F382" s="22" t="s">
        <v>8710</v>
      </c>
      <c r="G382" s="22" t="s">
        <v>1502</v>
      </c>
      <c r="H382" s="35" t="s">
        <v>8132</v>
      </c>
      <c r="I382" s="22"/>
    </row>
    <row r="383" customFormat="false" ht="24.75" hidden="false" customHeight="true" outlineLevel="0" collapsed="false">
      <c r="A383" s="24" t="s">
        <v>1477</v>
      </c>
      <c r="B383" s="32" t="s">
        <v>7972</v>
      </c>
      <c r="C383" s="32" t="s">
        <v>7972</v>
      </c>
      <c r="D383" s="22" t="s">
        <v>7784</v>
      </c>
      <c r="E383" s="22" t="s">
        <v>3713</v>
      </c>
      <c r="F383" s="22" t="s">
        <v>8711</v>
      </c>
      <c r="G383" s="22" t="s">
        <v>1502</v>
      </c>
      <c r="H383" s="31" t="s">
        <v>8209</v>
      </c>
      <c r="I383" s="22"/>
    </row>
    <row r="384" customFormat="false" ht="15" hidden="false" customHeight="true" outlineLevel="0" collapsed="false">
      <c r="A384" s="24" t="s">
        <v>1534</v>
      </c>
      <c r="B384" s="32" t="s">
        <v>6117</v>
      </c>
      <c r="C384" s="32" t="s">
        <v>5747</v>
      </c>
      <c r="D384" s="22" t="s">
        <v>3363</v>
      </c>
      <c r="E384" s="22" t="s">
        <v>3359</v>
      </c>
      <c r="F384" s="22" t="s">
        <v>8712</v>
      </c>
      <c r="G384" s="22" t="s">
        <v>1530</v>
      </c>
      <c r="H384" s="35" t="s">
        <v>8132</v>
      </c>
      <c r="I384" s="22"/>
    </row>
    <row r="385" customFormat="false" ht="15" hidden="false" customHeight="true" outlineLevel="0" collapsed="false">
      <c r="A385" s="24" t="s">
        <v>1534</v>
      </c>
      <c r="B385" s="32" t="s">
        <v>6104</v>
      </c>
      <c r="C385" s="32" t="s">
        <v>6104</v>
      </c>
      <c r="D385" s="22" t="s">
        <v>3363</v>
      </c>
      <c r="E385" s="22" t="s">
        <v>3359</v>
      </c>
      <c r="F385" s="22" t="s">
        <v>8713</v>
      </c>
      <c r="G385" s="22" t="s">
        <v>1530</v>
      </c>
      <c r="H385" s="35" t="s">
        <v>8132</v>
      </c>
      <c r="I385" s="22"/>
    </row>
    <row r="386" customFormat="false" ht="15" hidden="false" customHeight="true" outlineLevel="0" collapsed="false">
      <c r="A386" s="24" t="s">
        <v>1534</v>
      </c>
      <c r="B386" s="32" t="s">
        <v>1535</v>
      </c>
      <c r="C386" s="32" t="s">
        <v>1535</v>
      </c>
      <c r="D386" s="22" t="s">
        <v>3363</v>
      </c>
      <c r="E386" s="22" t="s">
        <v>3377</v>
      </c>
      <c r="F386" s="22" t="s">
        <v>8714</v>
      </c>
      <c r="G386" s="22" t="s">
        <v>1530</v>
      </c>
      <c r="H386" s="35" t="s">
        <v>8132</v>
      </c>
      <c r="I386" s="22"/>
    </row>
    <row r="387" customFormat="false" ht="15" hidden="false" customHeight="true" outlineLevel="0" collapsed="false">
      <c r="A387" s="24" t="s">
        <v>1307</v>
      </c>
      <c r="B387" s="32" t="s">
        <v>1535</v>
      </c>
      <c r="C387" s="32" t="s">
        <v>1535</v>
      </c>
      <c r="D387" s="22" t="s">
        <v>3363</v>
      </c>
      <c r="E387" s="22" t="s">
        <v>3377</v>
      </c>
      <c r="F387" s="22" t="s">
        <v>8715</v>
      </c>
      <c r="G387" s="22" t="s">
        <v>1530</v>
      </c>
      <c r="H387" s="35" t="s">
        <v>8132</v>
      </c>
      <c r="I387" s="22"/>
    </row>
    <row r="388" customFormat="false" ht="15" hidden="false" customHeight="true" outlineLevel="0" collapsed="false">
      <c r="A388" s="24" t="s">
        <v>1534</v>
      </c>
      <c r="B388" s="32" t="s">
        <v>5764</v>
      </c>
      <c r="C388" s="32" t="s">
        <v>6110</v>
      </c>
      <c r="D388" s="22" t="s">
        <v>3363</v>
      </c>
      <c r="E388" s="22" t="s">
        <v>3359</v>
      </c>
      <c r="F388" s="22" t="s">
        <v>8716</v>
      </c>
      <c r="G388" s="22" t="s">
        <v>1530</v>
      </c>
      <c r="H388" s="35" t="s">
        <v>8132</v>
      </c>
      <c r="I388" s="22" t="s">
        <v>8717</v>
      </c>
    </row>
    <row r="389" customFormat="false" ht="15" hidden="false" customHeight="true" outlineLevel="0" collapsed="false">
      <c r="A389" s="24" t="s">
        <v>1534</v>
      </c>
      <c r="B389" s="32" t="s">
        <v>5017</v>
      </c>
      <c r="C389" s="32" t="s">
        <v>5784</v>
      </c>
      <c r="D389" s="22" t="s">
        <v>3363</v>
      </c>
      <c r="E389" s="22" t="s">
        <v>3394</v>
      </c>
      <c r="F389" s="22" t="s">
        <v>8718</v>
      </c>
      <c r="G389" s="22" t="s">
        <v>1530</v>
      </c>
      <c r="H389" s="35" t="s">
        <v>8132</v>
      </c>
      <c r="I389" s="22"/>
    </row>
    <row r="390" customFormat="false" ht="15" hidden="false" customHeight="true" outlineLevel="0" collapsed="false">
      <c r="A390" s="24" t="s">
        <v>1534</v>
      </c>
      <c r="B390" s="32" t="s">
        <v>5790</v>
      </c>
      <c r="C390" s="32" t="s">
        <v>6085</v>
      </c>
      <c r="D390" s="22" t="s">
        <v>3363</v>
      </c>
      <c r="E390" s="22" t="s">
        <v>3394</v>
      </c>
      <c r="F390" s="22" t="s">
        <v>8719</v>
      </c>
      <c r="G390" s="22" t="s">
        <v>1530</v>
      </c>
      <c r="H390" s="35" t="s">
        <v>8132</v>
      </c>
      <c r="I390" s="22"/>
    </row>
    <row r="391" customFormat="false" ht="24.75" hidden="false" customHeight="true" outlineLevel="0" collapsed="false">
      <c r="A391" s="24" t="s">
        <v>1307</v>
      </c>
      <c r="B391" s="32" t="s">
        <v>8720</v>
      </c>
      <c r="C391" s="32" t="s">
        <v>6085</v>
      </c>
      <c r="D391" s="22" t="s">
        <v>3363</v>
      </c>
      <c r="E391" s="22" t="s">
        <v>3394</v>
      </c>
      <c r="F391" s="22" t="s">
        <v>8721</v>
      </c>
      <c r="G391" s="22" t="s">
        <v>1530</v>
      </c>
      <c r="H391" s="35" t="s">
        <v>8132</v>
      </c>
      <c r="I391" s="22"/>
    </row>
    <row r="392" customFormat="false" ht="37.5" hidden="false" customHeight="true" outlineLevel="0" collapsed="false">
      <c r="A392" s="24" t="s">
        <v>1534</v>
      </c>
      <c r="B392" s="32" t="s">
        <v>7746</v>
      </c>
      <c r="C392" s="32" t="s">
        <v>7746</v>
      </c>
      <c r="D392" s="22" t="s">
        <v>8185</v>
      </c>
      <c r="E392" s="22" t="s">
        <v>3389</v>
      </c>
      <c r="F392" s="22" t="s">
        <v>7747</v>
      </c>
      <c r="G392" s="22" t="s">
        <v>1530</v>
      </c>
      <c r="H392" s="31" t="s">
        <v>8209</v>
      </c>
      <c r="I392" s="22"/>
    </row>
    <row r="393" customFormat="false" ht="15" hidden="false" customHeight="true" outlineLevel="0" collapsed="false">
      <c r="A393" s="24" t="s">
        <v>1563</v>
      </c>
      <c r="B393" s="32" t="s">
        <v>6069</v>
      </c>
      <c r="C393" s="32" t="s">
        <v>5718</v>
      </c>
      <c r="D393" s="22" t="s">
        <v>3363</v>
      </c>
      <c r="E393" s="22" t="s">
        <v>3359</v>
      </c>
      <c r="F393" s="22" t="s">
        <v>8722</v>
      </c>
      <c r="G393" s="22" t="s">
        <v>3071</v>
      </c>
      <c r="H393" s="35" t="s">
        <v>8132</v>
      </c>
      <c r="I393" s="22"/>
    </row>
    <row r="394" customFormat="false" ht="15" hidden="false" customHeight="true" outlineLevel="0" collapsed="false">
      <c r="A394" s="24" t="s">
        <v>1564</v>
      </c>
      <c r="B394" s="32" t="s">
        <v>6104</v>
      </c>
      <c r="C394" s="32" t="s">
        <v>6104</v>
      </c>
      <c r="D394" s="22" t="s">
        <v>3363</v>
      </c>
      <c r="E394" s="22" t="s">
        <v>3359</v>
      </c>
      <c r="F394" s="22" t="s">
        <v>8723</v>
      </c>
      <c r="G394" s="22" t="s">
        <v>1559</v>
      </c>
      <c r="H394" s="35" t="s">
        <v>8132</v>
      </c>
      <c r="I394" s="22"/>
    </row>
    <row r="395" customFormat="false" ht="24.75" hidden="false" customHeight="true" outlineLevel="0" collapsed="false">
      <c r="A395" s="24" t="s">
        <v>1563</v>
      </c>
      <c r="B395" s="32" t="s">
        <v>7974</v>
      </c>
      <c r="C395" s="32" t="s">
        <v>7974</v>
      </c>
      <c r="D395" s="22" t="s">
        <v>7784</v>
      </c>
      <c r="E395" s="22" t="s">
        <v>7975</v>
      </c>
      <c r="F395" s="22" t="s">
        <v>8724</v>
      </c>
      <c r="G395" s="22" t="s">
        <v>1559</v>
      </c>
      <c r="H395" s="31" t="s">
        <v>8209</v>
      </c>
      <c r="I395" s="22"/>
    </row>
    <row r="396" customFormat="false" ht="24.75" hidden="false" customHeight="true" outlineLevel="0" collapsed="false">
      <c r="A396" s="24" t="s">
        <v>1564</v>
      </c>
      <c r="B396" s="32" t="s">
        <v>8643</v>
      </c>
      <c r="C396" s="32" t="s">
        <v>6113</v>
      </c>
      <c r="D396" s="22" t="s">
        <v>3363</v>
      </c>
      <c r="E396" s="22" t="s">
        <v>3389</v>
      </c>
      <c r="F396" s="22" t="s">
        <v>8725</v>
      </c>
      <c r="G396" s="22" t="s">
        <v>1559</v>
      </c>
      <c r="H396" s="35" t="s">
        <v>8132</v>
      </c>
      <c r="I396" s="22"/>
    </row>
    <row r="397" customFormat="false" ht="15" hidden="false" customHeight="true" outlineLevel="0" collapsed="false">
      <c r="A397" s="24" t="s">
        <v>1563</v>
      </c>
      <c r="B397" s="32" t="s">
        <v>8726</v>
      </c>
      <c r="C397" s="32" t="s">
        <v>6866</v>
      </c>
      <c r="D397" s="22" t="s">
        <v>3363</v>
      </c>
      <c r="E397" s="22" t="s">
        <v>3394</v>
      </c>
      <c r="F397" s="22" t="s">
        <v>8727</v>
      </c>
      <c r="G397" s="22" t="s">
        <v>1559</v>
      </c>
      <c r="H397" s="35" t="s">
        <v>8132</v>
      </c>
      <c r="I397" s="22"/>
    </row>
    <row r="398" customFormat="false" ht="15" hidden="false" customHeight="true" outlineLevel="0" collapsed="false">
      <c r="A398" s="24" t="s">
        <v>1564</v>
      </c>
      <c r="B398" s="32" t="s">
        <v>5755</v>
      </c>
      <c r="C398" s="32" t="s">
        <v>5787</v>
      </c>
      <c r="D398" s="22" t="s">
        <v>3363</v>
      </c>
      <c r="E398" s="22" t="s">
        <v>3394</v>
      </c>
      <c r="F398" s="22" t="s">
        <v>8728</v>
      </c>
      <c r="G398" s="22" t="s">
        <v>1559</v>
      </c>
      <c r="H398" s="35" t="s">
        <v>8132</v>
      </c>
      <c r="I398" s="22"/>
    </row>
    <row r="399" customFormat="false" ht="24.75" hidden="false" customHeight="true" outlineLevel="0" collapsed="false">
      <c r="A399" s="24" t="s">
        <v>1563</v>
      </c>
      <c r="B399" s="32" t="s">
        <v>8729</v>
      </c>
      <c r="C399" s="32" t="s">
        <v>6840</v>
      </c>
      <c r="D399" s="22" t="s">
        <v>3363</v>
      </c>
      <c r="E399" s="22" t="s">
        <v>3394</v>
      </c>
      <c r="F399" s="22" t="s">
        <v>8730</v>
      </c>
      <c r="G399" s="22" t="s">
        <v>1559</v>
      </c>
      <c r="H399" s="31" t="s">
        <v>8209</v>
      </c>
      <c r="I399" s="22" t="s">
        <v>8731</v>
      </c>
    </row>
    <row r="400" customFormat="false" ht="24.75" hidden="false" customHeight="true" outlineLevel="0" collapsed="false">
      <c r="A400" s="24" t="s">
        <v>1564</v>
      </c>
      <c r="B400" s="32" t="s">
        <v>5784</v>
      </c>
      <c r="C400" s="32" t="s">
        <v>5784</v>
      </c>
      <c r="D400" s="22" t="s">
        <v>3363</v>
      </c>
      <c r="E400" s="22" t="s">
        <v>3394</v>
      </c>
      <c r="F400" s="22" t="s">
        <v>8732</v>
      </c>
      <c r="G400" s="22" t="s">
        <v>1559</v>
      </c>
      <c r="H400" s="35" t="s">
        <v>8132</v>
      </c>
      <c r="I400" s="22"/>
    </row>
    <row r="401" customFormat="false" ht="15" hidden="false" customHeight="true" outlineLevel="0" collapsed="false">
      <c r="A401" s="24" t="s">
        <v>1564</v>
      </c>
      <c r="B401" s="32" t="s">
        <v>8733</v>
      </c>
      <c r="C401" s="32" t="s">
        <v>8734</v>
      </c>
      <c r="D401" s="22" t="s">
        <v>3363</v>
      </c>
      <c r="E401" s="22" t="s">
        <v>7754</v>
      </c>
      <c r="F401" s="22"/>
      <c r="G401" s="22" t="s">
        <v>1589</v>
      </c>
      <c r="H401" s="35" t="s">
        <v>8132</v>
      </c>
      <c r="I401" s="22"/>
    </row>
    <row r="402" customFormat="false" ht="15" hidden="false" customHeight="true" outlineLevel="0" collapsed="false">
      <c r="A402" s="24" t="s">
        <v>1564</v>
      </c>
      <c r="B402" s="32" t="s">
        <v>8735</v>
      </c>
      <c r="C402" s="32" t="s">
        <v>6311</v>
      </c>
      <c r="D402" s="22" t="s">
        <v>3363</v>
      </c>
      <c r="E402" s="22"/>
      <c r="F402" s="22"/>
      <c r="G402" s="22" t="s">
        <v>1589</v>
      </c>
      <c r="H402" s="35" t="s">
        <v>8132</v>
      </c>
      <c r="I402" s="22" t="s">
        <v>8205</v>
      </c>
    </row>
    <row r="403" customFormat="false" ht="15" hidden="false" customHeight="true" outlineLevel="0" collapsed="false">
      <c r="A403" s="24" t="s">
        <v>1564</v>
      </c>
      <c r="B403" s="32" t="s">
        <v>8736</v>
      </c>
      <c r="C403" s="32" t="s">
        <v>6334</v>
      </c>
      <c r="D403" s="22" t="s">
        <v>3363</v>
      </c>
      <c r="E403" s="22"/>
      <c r="F403" s="22"/>
      <c r="G403" s="22" t="s">
        <v>1589</v>
      </c>
      <c r="H403" s="35" t="s">
        <v>8132</v>
      </c>
      <c r="I403" s="22" t="s">
        <v>8205</v>
      </c>
    </row>
    <row r="404" customFormat="false" ht="15" hidden="false" customHeight="true" outlineLevel="0" collapsed="false">
      <c r="A404" s="24" t="s">
        <v>1564</v>
      </c>
      <c r="B404" s="32" t="s">
        <v>8737</v>
      </c>
      <c r="C404" s="32" t="s">
        <v>6336</v>
      </c>
      <c r="D404" s="22" t="s">
        <v>3363</v>
      </c>
      <c r="E404" s="22"/>
      <c r="F404" s="22"/>
      <c r="G404" s="22" t="s">
        <v>1589</v>
      </c>
      <c r="H404" s="35" t="s">
        <v>8132</v>
      </c>
      <c r="I404" s="22" t="s">
        <v>8205</v>
      </c>
    </row>
    <row r="405" customFormat="false" ht="15" hidden="false" customHeight="true" outlineLevel="0" collapsed="false">
      <c r="A405" s="24" t="s">
        <v>1564</v>
      </c>
      <c r="B405" s="32" t="s">
        <v>8738</v>
      </c>
      <c r="C405" s="32" t="s">
        <v>6338</v>
      </c>
      <c r="D405" s="22" t="s">
        <v>3363</v>
      </c>
      <c r="E405" s="22"/>
      <c r="F405" s="22"/>
      <c r="G405" s="22" t="s">
        <v>1589</v>
      </c>
      <c r="H405" s="35" t="s">
        <v>8132</v>
      </c>
      <c r="I405" s="22" t="s">
        <v>8205</v>
      </c>
    </row>
    <row r="406" customFormat="false" ht="15" hidden="false" customHeight="true" outlineLevel="0" collapsed="false">
      <c r="A406" s="24" t="s">
        <v>1564</v>
      </c>
      <c r="B406" s="32" t="s">
        <v>8739</v>
      </c>
      <c r="C406" s="32" t="s">
        <v>6350</v>
      </c>
      <c r="D406" s="22" t="s">
        <v>3363</v>
      </c>
      <c r="E406" s="22"/>
      <c r="F406" s="22"/>
      <c r="G406" s="22" t="s">
        <v>1589</v>
      </c>
      <c r="H406" s="35" t="s">
        <v>8132</v>
      </c>
      <c r="I406" s="22" t="s">
        <v>8205</v>
      </c>
    </row>
    <row r="407" customFormat="false" ht="15" hidden="false" customHeight="true" outlineLevel="0" collapsed="false">
      <c r="A407" s="24" t="s">
        <v>1564</v>
      </c>
      <c r="B407" s="32" t="s">
        <v>8740</v>
      </c>
      <c r="C407" s="32" t="s">
        <v>6353</v>
      </c>
      <c r="D407" s="22" t="s">
        <v>3363</v>
      </c>
      <c r="E407" s="22"/>
      <c r="F407" s="22"/>
      <c r="G407" s="22" t="s">
        <v>1589</v>
      </c>
      <c r="H407" s="35" t="s">
        <v>8132</v>
      </c>
      <c r="I407" s="22" t="s">
        <v>8205</v>
      </c>
    </row>
    <row r="408" customFormat="false" ht="15" hidden="false" customHeight="true" outlineLevel="0" collapsed="false">
      <c r="A408" s="24" t="s">
        <v>1564</v>
      </c>
      <c r="B408" s="32" t="s">
        <v>8741</v>
      </c>
      <c r="C408" s="32" t="s">
        <v>6364</v>
      </c>
      <c r="D408" s="22" t="s">
        <v>3363</v>
      </c>
      <c r="E408" s="22"/>
      <c r="F408" s="22"/>
      <c r="G408" s="22" t="s">
        <v>1589</v>
      </c>
      <c r="H408" s="35" t="s">
        <v>8132</v>
      </c>
      <c r="I408" s="22" t="s">
        <v>8205</v>
      </c>
    </row>
    <row r="409" customFormat="false" ht="15" hidden="false" customHeight="true" outlineLevel="0" collapsed="false">
      <c r="A409" s="24" t="s">
        <v>1564</v>
      </c>
      <c r="B409" s="32" t="s">
        <v>8742</v>
      </c>
      <c r="C409" s="32" t="s">
        <v>6366</v>
      </c>
      <c r="D409" s="22" t="s">
        <v>3363</v>
      </c>
      <c r="E409" s="22"/>
      <c r="F409" s="22"/>
      <c r="G409" s="22" t="s">
        <v>1589</v>
      </c>
      <c r="H409" s="35" t="s">
        <v>8132</v>
      </c>
      <c r="I409" s="22" t="s">
        <v>8205</v>
      </c>
    </row>
    <row r="410" customFormat="false" ht="15" hidden="false" customHeight="true" outlineLevel="0" collapsed="false">
      <c r="A410" s="24" t="s">
        <v>1564</v>
      </c>
      <c r="B410" s="32" t="s">
        <v>8743</v>
      </c>
      <c r="C410" s="32" t="s">
        <v>6325</v>
      </c>
      <c r="D410" s="22" t="s">
        <v>3363</v>
      </c>
      <c r="E410" s="22"/>
      <c r="F410" s="22" t="s">
        <v>8744</v>
      </c>
      <c r="G410" s="22" t="s">
        <v>1589</v>
      </c>
      <c r="H410" s="35" t="s">
        <v>8132</v>
      </c>
      <c r="I410" s="22" t="s">
        <v>8205</v>
      </c>
    </row>
    <row r="411" customFormat="false" ht="24.75" hidden="false" customHeight="true" outlineLevel="0" collapsed="false">
      <c r="A411" s="24" t="s">
        <v>1593</v>
      </c>
      <c r="B411" s="32" t="s">
        <v>6069</v>
      </c>
      <c r="C411" s="32" t="s">
        <v>6311</v>
      </c>
      <c r="D411" s="22" t="s">
        <v>3363</v>
      </c>
      <c r="E411" s="22" t="s">
        <v>3359</v>
      </c>
      <c r="F411" s="22" t="s">
        <v>8745</v>
      </c>
      <c r="G411" s="22" t="s">
        <v>1589</v>
      </c>
      <c r="H411" s="35" t="s">
        <v>8132</v>
      </c>
      <c r="I411" s="22"/>
    </row>
    <row r="412" customFormat="false" ht="24.75" hidden="false" customHeight="true" outlineLevel="0" collapsed="false">
      <c r="A412" s="24" t="s">
        <v>1593</v>
      </c>
      <c r="B412" s="32" t="s">
        <v>8729</v>
      </c>
      <c r="C412" s="32" t="s">
        <v>6334</v>
      </c>
      <c r="D412" s="22" t="s">
        <v>3363</v>
      </c>
      <c r="E412" s="22" t="s">
        <v>3394</v>
      </c>
      <c r="F412" s="22" t="s">
        <v>8746</v>
      </c>
      <c r="G412" s="22" t="s">
        <v>1589</v>
      </c>
      <c r="H412" s="35" t="s">
        <v>8132</v>
      </c>
      <c r="I412" s="22"/>
    </row>
    <row r="413" customFormat="false" ht="15" hidden="false" customHeight="true" outlineLevel="0" collapsed="false">
      <c r="A413" s="24" t="s">
        <v>1563</v>
      </c>
      <c r="B413" s="32" t="s">
        <v>7977</v>
      </c>
      <c r="C413" s="32" t="s">
        <v>7977</v>
      </c>
      <c r="D413" s="22" t="s">
        <v>7784</v>
      </c>
      <c r="E413" s="22" t="s">
        <v>3713</v>
      </c>
      <c r="F413" s="22" t="s">
        <v>8747</v>
      </c>
      <c r="G413" s="22" t="s">
        <v>1589</v>
      </c>
      <c r="H413" s="35" t="s">
        <v>8132</v>
      </c>
      <c r="I413" s="22"/>
    </row>
    <row r="414" customFormat="false" ht="24.75" hidden="false" customHeight="true" outlineLevel="0" collapsed="false">
      <c r="A414" s="24" t="s">
        <v>1593</v>
      </c>
      <c r="B414" s="32" t="s">
        <v>8748</v>
      </c>
      <c r="C414" s="32" t="s">
        <v>6336</v>
      </c>
      <c r="D414" s="22" t="s">
        <v>3363</v>
      </c>
      <c r="E414" s="22" t="s">
        <v>3394</v>
      </c>
      <c r="F414" s="22" t="s">
        <v>8749</v>
      </c>
      <c r="G414" s="22" t="s">
        <v>1589</v>
      </c>
      <c r="H414" s="35" t="s">
        <v>8132</v>
      </c>
      <c r="I414" s="22"/>
    </row>
    <row r="415" customFormat="false" ht="24.75" hidden="false" customHeight="true" outlineLevel="0" collapsed="false">
      <c r="A415" s="24" t="s">
        <v>1593</v>
      </c>
      <c r="B415" s="32" t="s">
        <v>8750</v>
      </c>
      <c r="C415" s="32" t="s">
        <v>6338</v>
      </c>
      <c r="D415" s="22" t="s">
        <v>3363</v>
      </c>
      <c r="E415" s="22" t="s">
        <v>3394</v>
      </c>
      <c r="F415" s="22" t="s">
        <v>8751</v>
      </c>
      <c r="G415" s="22" t="s">
        <v>1589</v>
      </c>
      <c r="H415" s="35" t="s">
        <v>8132</v>
      </c>
      <c r="I415" s="22"/>
    </row>
    <row r="416" customFormat="false" ht="24.75" hidden="false" customHeight="true" outlineLevel="0" collapsed="false">
      <c r="A416" s="24" t="s">
        <v>1593</v>
      </c>
      <c r="B416" s="32" t="s">
        <v>8752</v>
      </c>
      <c r="C416" s="32" t="s">
        <v>6350</v>
      </c>
      <c r="D416" s="22" t="s">
        <v>3363</v>
      </c>
      <c r="E416" s="22" t="s">
        <v>3394</v>
      </c>
      <c r="F416" s="22" t="s">
        <v>8753</v>
      </c>
      <c r="G416" s="22" t="s">
        <v>1589</v>
      </c>
      <c r="H416" s="35" t="s">
        <v>8132</v>
      </c>
      <c r="I416" s="22"/>
    </row>
    <row r="417" customFormat="false" ht="24.75" hidden="false" customHeight="true" outlineLevel="0" collapsed="false">
      <c r="A417" s="24" t="s">
        <v>1593</v>
      </c>
      <c r="B417" s="32" t="s">
        <v>8754</v>
      </c>
      <c r="C417" s="32" t="s">
        <v>6353</v>
      </c>
      <c r="D417" s="22" t="s">
        <v>3363</v>
      </c>
      <c r="E417" s="22" t="s">
        <v>3394</v>
      </c>
      <c r="F417" s="22" t="s">
        <v>8755</v>
      </c>
      <c r="G417" s="22" t="s">
        <v>1589</v>
      </c>
      <c r="H417" s="35" t="s">
        <v>8132</v>
      </c>
      <c r="I417" s="22"/>
    </row>
    <row r="418" customFormat="false" ht="24.75" hidden="false" customHeight="true" outlineLevel="0" collapsed="false">
      <c r="A418" s="24" t="s">
        <v>1593</v>
      </c>
      <c r="B418" s="32" t="s">
        <v>8756</v>
      </c>
      <c r="C418" s="32" t="s">
        <v>6364</v>
      </c>
      <c r="D418" s="22" t="s">
        <v>3363</v>
      </c>
      <c r="E418" s="22" t="s">
        <v>3394</v>
      </c>
      <c r="F418" s="22" t="s">
        <v>8757</v>
      </c>
      <c r="G418" s="22" t="s">
        <v>1589</v>
      </c>
      <c r="H418" s="35" t="s">
        <v>8132</v>
      </c>
      <c r="I418" s="22"/>
    </row>
    <row r="419" customFormat="false" ht="37.5" hidden="false" customHeight="true" outlineLevel="0" collapsed="false">
      <c r="A419" s="24" t="s">
        <v>1593</v>
      </c>
      <c r="B419" s="32" t="s">
        <v>8758</v>
      </c>
      <c r="C419" s="32" t="s">
        <v>6366</v>
      </c>
      <c r="D419" s="22" t="s">
        <v>3363</v>
      </c>
      <c r="E419" s="22" t="s">
        <v>3394</v>
      </c>
      <c r="F419" s="22" t="s">
        <v>8759</v>
      </c>
      <c r="G419" s="22" t="s">
        <v>1589</v>
      </c>
      <c r="H419" s="31" t="s">
        <v>8209</v>
      </c>
      <c r="I419" s="22" t="s">
        <v>8760</v>
      </c>
    </row>
    <row r="420" customFormat="false" ht="24.75" hidden="false" customHeight="true" outlineLevel="0" collapsed="false">
      <c r="A420" s="24" t="s">
        <v>1563</v>
      </c>
      <c r="B420" s="32" t="s">
        <v>8761</v>
      </c>
      <c r="C420" s="32" t="s">
        <v>7748</v>
      </c>
      <c r="D420" s="22" t="s">
        <v>8185</v>
      </c>
      <c r="E420" s="22" t="s">
        <v>7749</v>
      </c>
      <c r="F420" s="22" t="s">
        <v>7750</v>
      </c>
      <c r="G420" s="22" t="s">
        <v>1589</v>
      </c>
      <c r="H420" s="31" t="s">
        <v>8209</v>
      </c>
      <c r="I420" s="22"/>
    </row>
    <row r="421" customFormat="false" ht="15" hidden="false" customHeight="true" outlineLevel="0" collapsed="false">
      <c r="A421" s="24" t="s">
        <v>185</v>
      </c>
      <c r="B421" s="32" t="s">
        <v>8762</v>
      </c>
      <c r="C421" s="32" t="s">
        <v>6637</v>
      </c>
      <c r="D421" s="22" t="s">
        <v>3363</v>
      </c>
      <c r="E421" s="22" t="s">
        <v>3359</v>
      </c>
      <c r="F421" s="22" t="s">
        <v>8763</v>
      </c>
      <c r="G421" s="22" t="s">
        <v>1618</v>
      </c>
      <c r="H421" s="35" t="s">
        <v>8132</v>
      </c>
      <c r="I421" s="22"/>
    </row>
    <row r="422" customFormat="false" ht="24.75" hidden="false" customHeight="true" outlineLevel="0" collapsed="false">
      <c r="A422" s="24" t="s">
        <v>1622</v>
      </c>
      <c r="B422" s="32" t="s">
        <v>6512</v>
      </c>
      <c r="C422" s="32" t="s">
        <v>6512</v>
      </c>
      <c r="D422" s="22" t="s">
        <v>3363</v>
      </c>
      <c r="E422" s="22" t="s">
        <v>3359</v>
      </c>
      <c r="F422" s="22" t="s">
        <v>8764</v>
      </c>
      <c r="G422" s="22" t="s">
        <v>1618</v>
      </c>
      <c r="H422" s="35" t="s">
        <v>8132</v>
      </c>
      <c r="I422" s="22"/>
    </row>
    <row r="423" customFormat="false" ht="24.75" hidden="false" customHeight="true" outlineLevel="0" collapsed="false">
      <c r="A423" s="24" t="s">
        <v>185</v>
      </c>
      <c r="B423" s="32" t="s">
        <v>7751</v>
      </c>
      <c r="C423" s="32" t="s">
        <v>7751</v>
      </c>
      <c r="D423" s="22" t="s">
        <v>8185</v>
      </c>
      <c r="E423" s="22" t="s">
        <v>3359</v>
      </c>
      <c r="F423" s="22" t="s">
        <v>7752</v>
      </c>
      <c r="G423" s="22" t="s">
        <v>1618</v>
      </c>
      <c r="H423" s="35" t="s">
        <v>8132</v>
      </c>
      <c r="I423" s="22"/>
    </row>
    <row r="424" customFormat="false" ht="15" hidden="false" customHeight="true" outlineLevel="0" collapsed="false">
      <c r="A424" s="24" t="s">
        <v>1622</v>
      </c>
      <c r="B424" s="32" t="s">
        <v>8765</v>
      </c>
      <c r="C424" s="32" t="s">
        <v>6525</v>
      </c>
      <c r="D424" s="22" t="s">
        <v>3363</v>
      </c>
      <c r="E424" s="22" t="s">
        <v>3359</v>
      </c>
      <c r="F424" s="22" t="s">
        <v>8766</v>
      </c>
      <c r="G424" s="22" t="s">
        <v>1618</v>
      </c>
      <c r="H424" s="35" t="s">
        <v>8132</v>
      </c>
      <c r="I424" s="22"/>
    </row>
    <row r="425" customFormat="false" ht="24.75" hidden="false" customHeight="true" outlineLevel="0" collapsed="false">
      <c r="A425" s="24" t="s">
        <v>1622</v>
      </c>
      <c r="B425" s="32" t="s">
        <v>8767</v>
      </c>
      <c r="C425" s="32" t="s">
        <v>6283</v>
      </c>
      <c r="D425" s="22" t="s">
        <v>3363</v>
      </c>
      <c r="E425" s="22" t="s">
        <v>3389</v>
      </c>
      <c r="F425" s="22" t="s">
        <v>8768</v>
      </c>
      <c r="G425" s="22" t="s">
        <v>1618</v>
      </c>
      <c r="H425" s="35" t="s">
        <v>8132</v>
      </c>
      <c r="I425" s="22" t="s">
        <v>8769</v>
      </c>
    </row>
    <row r="426" customFormat="false" ht="15" hidden="false" customHeight="true" outlineLevel="0" collapsed="false">
      <c r="A426" s="24" t="s">
        <v>185</v>
      </c>
      <c r="B426" s="32" t="s">
        <v>7192</v>
      </c>
      <c r="C426" s="32" t="s">
        <v>7192</v>
      </c>
      <c r="D426" s="22" t="s">
        <v>3363</v>
      </c>
      <c r="E426" s="22" t="s">
        <v>3394</v>
      </c>
      <c r="F426" s="22" t="s">
        <v>8770</v>
      </c>
      <c r="G426" s="22" t="s">
        <v>1618</v>
      </c>
      <c r="H426" s="35" t="s">
        <v>8132</v>
      </c>
      <c r="I426" s="22"/>
    </row>
    <row r="427" customFormat="false" ht="24.75" hidden="false" customHeight="true" outlineLevel="0" collapsed="false">
      <c r="A427" s="24" t="s">
        <v>1622</v>
      </c>
      <c r="B427" s="32" t="s">
        <v>8771</v>
      </c>
      <c r="C427" s="32" t="s">
        <v>5787</v>
      </c>
      <c r="D427" s="22" t="s">
        <v>3363</v>
      </c>
      <c r="E427" s="22" t="s">
        <v>3394</v>
      </c>
      <c r="F427" s="22" t="s">
        <v>8772</v>
      </c>
      <c r="G427" s="22" t="s">
        <v>1618</v>
      </c>
      <c r="H427" s="35" t="s">
        <v>8132</v>
      </c>
      <c r="I427" s="22"/>
    </row>
    <row r="428" customFormat="false" ht="24.75" hidden="false" customHeight="true" outlineLevel="0" collapsed="false">
      <c r="A428" s="24" t="s">
        <v>1622</v>
      </c>
      <c r="B428" s="32" t="s">
        <v>6085</v>
      </c>
      <c r="C428" s="32" t="s">
        <v>6085</v>
      </c>
      <c r="D428" s="22" t="s">
        <v>3363</v>
      </c>
      <c r="E428" s="22" t="s">
        <v>3394</v>
      </c>
      <c r="F428" s="22" t="s">
        <v>8773</v>
      </c>
      <c r="G428" s="22" t="s">
        <v>1618</v>
      </c>
      <c r="H428" s="35" t="s">
        <v>8132</v>
      </c>
      <c r="I428" s="22"/>
    </row>
    <row r="429" customFormat="false" ht="15" hidden="false" customHeight="true" outlineLevel="0" collapsed="false">
      <c r="A429" s="24" t="s">
        <v>1365</v>
      </c>
      <c r="B429" s="32" t="s">
        <v>7098</v>
      </c>
      <c r="C429" s="32" t="s">
        <v>6561</v>
      </c>
      <c r="D429" s="22" t="s">
        <v>3363</v>
      </c>
      <c r="E429" s="22" t="s">
        <v>3394</v>
      </c>
      <c r="F429" s="22" t="s">
        <v>8677</v>
      </c>
      <c r="G429" s="22" t="s">
        <v>1618</v>
      </c>
      <c r="H429" s="35" t="s">
        <v>8132</v>
      </c>
      <c r="I429" s="22"/>
    </row>
    <row r="430" customFormat="false" ht="24.75" hidden="false" customHeight="true" outlineLevel="0" collapsed="false">
      <c r="A430" s="24" t="s">
        <v>1650</v>
      </c>
      <c r="B430" s="32" t="s">
        <v>5747</v>
      </c>
      <c r="C430" s="32" t="s">
        <v>5747</v>
      </c>
      <c r="D430" s="22" t="s">
        <v>3363</v>
      </c>
      <c r="E430" s="22" t="s">
        <v>3359</v>
      </c>
      <c r="F430" s="22" t="s">
        <v>8774</v>
      </c>
      <c r="G430" s="22" t="s">
        <v>8775</v>
      </c>
      <c r="H430" s="35" t="s">
        <v>8132</v>
      </c>
      <c r="I430" s="22"/>
    </row>
    <row r="431" customFormat="false" ht="15" hidden="false" customHeight="true" outlineLevel="0" collapsed="false">
      <c r="A431" s="24" t="s">
        <v>1336</v>
      </c>
      <c r="B431" s="32" t="s">
        <v>8776</v>
      </c>
      <c r="C431" s="32" t="s">
        <v>6117</v>
      </c>
      <c r="D431" s="22" t="s">
        <v>3363</v>
      </c>
      <c r="E431" s="22" t="s">
        <v>3359</v>
      </c>
      <c r="F431" s="22" t="s">
        <v>8777</v>
      </c>
      <c r="G431" s="22" t="s">
        <v>1646</v>
      </c>
      <c r="H431" s="35" t="s">
        <v>8132</v>
      </c>
      <c r="I431" s="22"/>
    </row>
    <row r="432" customFormat="false" ht="15" hidden="false" customHeight="true" outlineLevel="0" collapsed="false">
      <c r="A432" s="24" t="s">
        <v>1650</v>
      </c>
      <c r="B432" s="32" t="s">
        <v>5764</v>
      </c>
      <c r="C432" s="32" t="s">
        <v>5764</v>
      </c>
      <c r="D432" s="22" t="s">
        <v>3363</v>
      </c>
      <c r="E432" s="22" t="s">
        <v>3359</v>
      </c>
      <c r="F432" s="22" t="s">
        <v>8778</v>
      </c>
      <c r="G432" s="22" t="s">
        <v>8779</v>
      </c>
      <c r="H432" s="35" t="s">
        <v>8132</v>
      </c>
      <c r="I432" s="22"/>
    </row>
    <row r="433" customFormat="false" ht="15" hidden="false" customHeight="true" outlineLevel="0" collapsed="false">
      <c r="A433" s="24" t="s">
        <v>692</v>
      </c>
      <c r="B433" s="32" t="s">
        <v>8780</v>
      </c>
      <c r="C433" s="32" t="s">
        <v>7171</v>
      </c>
      <c r="D433" s="22" t="s">
        <v>3363</v>
      </c>
      <c r="E433" s="22" t="s">
        <v>3359</v>
      </c>
      <c r="F433" s="22" t="s">
        <v>8463</v>
      </c>
      <c r="G433" s="22" t="s">
        <v>1646</v>
      </c>
      <c r="H433" s="35" t="s">
        <v>8132</v>
      </c>
      <c r="I433" s="22"/>
    </row>
    <row r="434" customFormat="false" ht="24.75" hidden="false" customHeight="true" outlineLevel="0" collapsed="false">
      <c r="A434" s="24" t="s">
        <v>1650</v>
      </c>
      <c r="B434" s="32" t="s">
        <v>5784</v>
      </c>
      <c r="C434" s="32" t="s">
        <v>5784</v>
      </c>
      <c r="D434" s="22" t="s">
        <v>3363</v>
      </c>
      <c r="E434" s="22" t="s">
        <v>3394</v>
      </c>
      <c r="F434" s="22" t="s">
        <v>8781</v>
      </c>
      <c r="G434" s="22" t="s">
        <v>8782</v>
      </c>
      <c r="H434" s="35" t="s">
        <v>8132</v>
      </c>
      <c r="I434" s="22"/>
    </row>
    <row r="435" customFormat="false" ht="24.75" hidden="false" customHeight="true" outlineLevel="0" collapsed="false">
      <c r="A435" s="24" t="s">
        <v>692</v>
      </c>
      <c r="B435" s="32" t="s">
        <v>7979</v>
      </c>
      <c r="C435" s="32" t="s">
        <v>7979</v>
      </c>
      <c r="D435" s="22" t="s">
        <v>7784</v>
      </c>
      <c r="E435" s="22" t="s">
        <v>3713</v>
      </c>
      <c r="F435" s="22" t="s">
        <v>8783</v>
      </c>
      <c r="G435" s="22" t="s">
        <v>1646</v>
      </c>
      <c r="H435" s="31" t="s">
        <v>8209</v>
      </c>
      <c r="I435" s="22"/>
    </row>
    <row r="436" customFormat="false" ht="15" hidden="false" customHeight="true" outlineLevel="0" collapsed="false">
      <c r="A436" s="24" t="s">
        <v>692</v>
      </c>
      <c r="B436" s="32" t="s">
        <v>7981</v>
      </c>
      <c r="C436" s="32" t="s">
        <v>7981</v>
      </c>
      <c r="D436" s="22" t="s">
        <v>7784</v>
      </c>
      <c r="E436" s="22" t="s">
        <v>3713</v>
      </c>
      <c r="F436" s="22" t="s">
        <v>8784</v>
      </c>
      <c r="G436" s="22" t="s">
        <v>1646</v>
      </c>
      <c r="H436" s="31" t="s">
        <v>8209</v>
      </c>
      <c r="I436" s="22"/>
    </row>
    <row r="437" customFormat="false" ht="24.75" hidden="false" customHeight="true" outlineLevel="0" collapsed="false">
      <c r="A437" s="24" t="s">
        <v>1306</v>
      </c>
      <c r="B437" s="32" t="s">
        <v>5747</v>
      </c>
      <c r="C437" s="32" t="s">
        <v>6677</v>
      </c>
      <c r="D437" s="22" t="s">
        <v>3363</v>
      </c>
      <c r="E437" s="22" t="s">
        <v>3359</v>
      </c>
      <c r="F437" s="22" t="s">
        <v>8785</v>
      </c>
      <c r="G437" s="22" t="s">
        <v>1676</v>
      </c>
      <c r="H437" s="35" t="s">
        <v>8132</v>
      </c>
      <c r="I437" s="22"/>
    </row>
    <row r="438" customFormat="false" ht="15" hidden="false" customHeight="true" outlineLevel="0" collapsed="false">
      <c r="A438" s="24" t="s">
        <v>1680</v>
      </c>
      <c r="B438" s="32" t="s">
        <v>8786</v>
      </c>
      <c r="C438" s="32" t="s">
        <v>8787</v>
      </c>
      <c r="D438" s="22" t="s">
        <v>3363</v>
      </c>
      <c r="E438" s="22" t="s">
        <v>7754</v>
      </c>
      <c r="F438" s="22"/>
      <c r="G438" s="22" t="s">
        <v>1676</v>
      </c>
      <c r="H438" s="35" t="s">
        <v>8132</v>
      </c>
      <c r="I438" s="22"/>
    </row>
    <row r="439" customFormat="false" ht="15" hidden="false" customHeight="true" outlineLevel="0" collapsed="false">
      <c r="A439" s="24" t="s">
        <v>1680</v>
      </c>
      <c r="B439" s="32" t="s">
        <v>8788</v>
      </c>
      <c r="C439" s="32" t="s">
        <v>6029</v>
      </c>
      <c r="D439" s="22" t="s">
        <v>3363</v>
      </c>
      <c r="E439" s="22"/>
      <c r="F439" s="22"/>
      <c r="G439" s="22" t="s">
        <v>1676</v>
      </c>
      <c r="H439" s="35" t="s">
        <v>8132</v>
      </c>
      <c r="I439" s="22" t="s">
        <v>8205</v>
      </c>
    </row>
    <row r="440" customFormat="false" ht="24.75" hidden="false" customHeight="true" outlineLevel="0" collapsed="false">
      <c r="A440" s="24" t="s">
        <v>1680</v>
      </c>
      <c r="B440" s="32" t="s">
        <v>8789</v>
      </c>
      <c r="C440" s="32" t="s">
        <v>6044</v>
      </c>
      <c r="D440" s="22" t="s">
        <v>3363</v>
      </c>
      <c r="E440" s="22"/>
      <c r="F440" s="22"/>
      <c r="G440" s="22" t="s">
        <v>1676</v>
      </c>
      <c r="H440" s="35" t="s">
        <v>8132</v>
      </c>
      <c r="I440" s="22" t="s">
        <v>8205</v>
      </c>
    </row>
    <row r="441" customFormat="false" ht="15" hidden="false" customHeight="true" outlineLevel="0" collapsed="false">
      <c r="A441" s="24" t="s">
        <v>1680</v>
      </c>
      <c r="B441" s="32" t="s">
        <v>8790</v>
      </c>
      <c r="C441" s="32" t="s">
        <v>6047</v>
      </c>
      <c r="D441" s="22" t="s">
        <v>3363</v>
      </c>
      <c r="E441" s="22"/>
      <c r="F441" s="22"/>
      <c r="G441" s="22" t="s">
        <v>1676</v>
      </c>
      <c r="H441" s="35" t="s">
        <v>8132</v>
      </c>
      <c r="I441" s="22" t="s">
        <v>8205</v>
      </c>
    </row>
    <row r="442" customFormat="false" ht="15" hidden="false" customHeight="true" outlineLevel="0" collapsed="false">
      <c r="A442" s="24" t="s">
        <v>1650</v>
      </c>
      <c r="B442" s="32" t="s">
        <v>5790</v>
      </c>
      <c r="C442" s="32" t="s">
        <v>5790</v>
      </c>
      <c r="D442" s="22" t="s">
        <v>3363</v>
      </c>
      <c r="E442" s="22" t="s">
        <v>3394</v>
      </c>
      <c r="F442" s="22" t="s">
        <v>8791</v>
      </c>
      <c r="G442" s="22" t="s">
        <v>1676</v>
      </c>
      <c r="H442" s="35" t="s">
        <v>8132</v>
      </c>
      <c r="I442" s="22"/>
    </row>
    <row r="443" customFormat="false" ht="24.75" hidden="false" customHeight="true" outlineLevel="0" collapsed="false">
      <c r="A443" s="24" t="s">
        <v>1306</v>
      </c>
      <c r="B443" s="32" t="s">
        <v>7983</v>
      </c>
      <c r="C443" s="32" t="s">
        <v>7983</v>
      </c>
      <c r="D443" s="22" t="s">
        <v>7784</v>
      </c>
      <c r="E443" s="22" t="s">
        <v>3713</v>
      </c>
      <c r="F443" s="22" t="s">
        <v>8792</v>
      </c>
      <c r="G443" s="22" t="s">
        <v>1676</v>
      </c>
      <c r="H443" s="31" t="s">
        <v>8209</v>
      </c>
      <c r="I443" s="22"/>
    </row>
    <row r="444" customFormat="false" ht="15" hidden="false" customHeight="true" outlineLevel="0" collapsed="false">
      <c r="A444" s="24" t="s">
        <v>1651</v>
      </c>
      <c r="B444" s="32" t="s">
        <v>8793</v>
      </c>
      <c r="C444" s="32" t="s">
        <v>5846</v>
      </c>
      <c r="D444" s="22" t="s">
        <v>3363</v>
      </c>
      <c r="E444" s="22" t="s">
        <v>3359</v>
      </c>
      <c r="F444" s="22" t="s">
        <v>8794</v>
      </c>
      <c r="G444" s="22" t="s">
        <v>1705</v>
      </c>
      <c r="H444" s="35" t="s">
        <v>8132</v>
      </c>
      <c r="I444" s="22"/>
    </row>
    <row r="445" customFormat="false" ht="15" hidden="false" customHeight="true" outlineLevel="0" collapsed="false">
      <c r="A445" s="24" t="s">
        <v>692</v>
      </c>
      <c r="B445" s="32" t="s">
        <v>7234</v>
      </c>
      <c r="C445" s="32" t="s">
        <v>7234</v>
      </c>
      <c r="D445" s="22" t="s">
        <v>3363</v>
      </c>
      <c r="E445" s="22" t="s">
        <v>3359</v>
      </c>
      <c r="F445" s="22" t="s">
        <v>8795</v>
      </c>
      <c r="G445" s="22" t="s">
        <v>1705</v>
      </c>
      <c r="H445" s="35" t="s">
        <v>8132</v>
      </c>
      <c r="I445" s="22"/>
    </row>
    <row r="446" customFormat="false" ht="15" hidden="false" customHeight="true" outlineLevel="0" collapsed="false">
      <c r="A446" s="24" t="s">
        <v>1651</v>
      </c>
      <c r="B446" s="32" t="s">
        <v>8796</v>
      </c>
      <c r="C446" s="32" t="s">
        <v>5884</v>
      </c>
      <c r="D446" s="22" t="s">
        <v>3363</v>
      </c>
      <c r="E446" s="22" t="s">
        <v>3359</v>
      </c>
      <c r="F446" s="22" t="s">
        <v>8797</v>
      </c>
      <c r="G446" s="22" t="s">
        <v>8798</v>
      </c>
      <c r="H446" s="35" t="s">
        <v>8132</v>
      </c>
      <c r="I446" s="22"/>
    </row>
    <row r="447" customFormat="false" ht="15" hidden="false" customHeight="true" outlineLevel="0" collapsed="false">
      <c r="A447" s="24" t="s">
        <v>692</v>
      </c>
      <c r="B447" s="32" t="s">
        <v>7542</v>
      </c>
      <c r="C447" s="32" t="s">
        <v>7542</v>
      </c>
      <c r="D447" s="22" t="s">
        <v>7784</v>
      </c>
      <c r="E447" s="22" t="s">
        <v>3359</v>
      </c>
      <c r="F447" s="22" t="s">
        <v>8799</v>
      </c>
      <c r="G447" s="22" t="s">
        <v>1705</v>
      </c>
      <c r="H447" s="31" t="s">
        <v>8209</v>
      </c>
      <c r="I447" s="22"/>
    </row>
    <row r="448" customFormat="false" ht="15" hidden="false" customHeight="true" outlineLevel="0" collapsed="false">
      <c r="A448" s="24" t="s">
        <v>1651</v>
      </c>
      <c r="B448" s="32" t="s">
        <v>5768</v>
      </c>
      <c r="C448" s="32" t="s">
        <v>5508</v>
      </c>
      <c r="D448" s="22" t="s">
        <v>3363</v>
      </c>
      <c r="E448" s="22" t="s">
        <v>3389</v>
      </c>
      <c r="F448" s="22" t="s">
        <v>8800</v>
      </c>
      <c r="G448" s="22" t="s">
        <v>1705</v>
      </c>
      <c r="H448" s="35" t="s">
        <v>8132</v>
      </c>
      <c r="I448" s="22"/>
    </row>
    <row r="449" customFormat="false" ht="15" hidden="false" customHeight="true" outlineLevel="0" collapsed="false">
      <c r="A449" s="24" t="s">
        <v>692</v>
      </c>
      <c r="B449" s="32" t="s">
        <v>6625</v>
      </c>
      <c r="C449" s="32" t="s">
        <v>6625</v>
      </c>
      <c r="D449" s="22" t="s">
        <v>3363</v>
      </c>
      <c r="E449" s="22" t="s">
        <v>3389</v>
      </c>
      <c r="F449" s="22" t="s">
        <v>8801</v>
      </c>
      <c r="G449" s="22" t="s">
        <v>8802</v>
      </c>
      <c r="H449" s="35" t="s">
        <v>8132</v>
      </c>
      <c r="I449" s="22"/>
    </row>
    <row r="450" customFormat="false" ht="24.75" hidden="false" customHeight="true" outlineLevel="0" collapsed="false">
      <c r="A450" s="24" t="s">
        <v>1651</v>
      </c>
      <c r="B450" s="32" t="s">
        <v>7098</v>
      </c>
      <c r="C450" s="32" t="s">
        <v>5860</v>
      </c>
      <c r="D450" s="22" t="s">
        <v>3363</v>
      </c>
      <c r="E450" s="22" t="s">
        <v>3394</v>
      </c>
      <c r="F450" s="22" t="s">
        <v>8803</v>
      </c>
      <c r="G450" s="22" t="s">
        <v>1705</v>
      </c>
      <c r="H450" s="31" t="s">
        <v>8209</v>
      </c>
      <c r="I450" s="22" t="s">
        <v>8804</v>
      </c>
    </row>
    <row r="451" customFormat="false" ht="24.75" hidden="false" customHeight="true" outlineLevel="0" collapsed="false">
      <c r="A451" s="24" t="s">
        <v>692</v>
      </c>
      <c r="B451" s="32" t="s">
        <v>7098</v>
      </c>
      <c r="C451" s="32" t="s">
        <v>7098</v>
      </c>
      <c r="D451" s="22" t="s">
        <v>7784</v>
      </c>
      <c r="E451" s="22" t="s">
        <v>3713</v>
      </c>
      <c r="F451" s="22" t="s">
        <v>8805</v>
      </c>
      <c r="G451" s="22" t="s">
        <v>8802</v>
      </c>
      <c r="H451" s="35" t="s">
        <v>8132</v>
      </c>
      <c r="I451" s="22"/>
    </row>
    <row r="452" customFormat="false" ht="24.75" hidden="false" customHeight="true" outlineLevel="0" collapsed="false">
      <c r="A452" s="24" t="s">
        <v>1651</v>
      </c>
      <c r="B452" s="32" t="s">
        <v>5694</v>
      </c>
      <c r="C452" s="32" t="s">
        <v>7987</v>
      </c>
      <c r="D452" s="22" t="s">
        <v>7784</v>
      </c>
      <c r="E452" s="22" t="s">
        <v>3713</v>
      </c>
      <c r="F452" s="22" t="s">
        <v>8806</v>
      </c>
      <c r="G452" s="22" t="s">
        <v>1705</v>
      </c>
      <c r="H452" s="31" t="s">
        <v>8209</v>
      </c>
      <c r="I452" s="22"/>
    </row>
    <row r="453" customFormat="false" ht="49.5" hidden="false" customHeight="true" outlineLevel="0" collapsed="false">
      <c r="A453" s="24" t="s">
        <v>1680</v>
      </c>
      <c r="B453" s="32" t="s">
        <v>8807</v>
      </c>
      <c r="C453" s="32" t="s">
        <v>7753</v>
      </c>
      <c r="D453" s="22" t="s">
        <v>8185</v>
      </c>
      <c r="E453" s="22" t="s">
        <v>7754</v>
      </c>
      <c r="F453" s="22" t="s">
        <v>7755</v>
      </c>
      <c r="G453" s="22" t="s">
        <v>1705</v>
      </c>
      <c r="H453" s="31" t="s">
        <v>8209</v>
      </c>
      <c r="I453" s="22"/>
    </row>
    <row r="454" customFormat="false" ht="24.75" hidden="false" customHeight="true" outlineLevel="0" collapsed="false">
      <c r="A454" s="24" t="s">
        <v>1651</v>
      </c>
      <c r="B454" s="32" t="s">
        <v>8808</v>
      </c>
      <c r="C454" s="32" t="s">
        <v>7989</v>
      </c>
      <c r="D454" s="22" t="s">
        <v>7784</v>
      </c>
      <c r="E454" s="22" t="s">
        <v>3713</v>
      </c>
      <c r="F454" s="22" t="s">
        <v>8809</v>
      </c>
      <c r="G454" s="22" t="s">
        <v>1705</v>
      </c>
      <c r="H454" s="31" t="s">
        <v>8209</v>
      </c>
      <c r="I454" s="22"/>
    </row>
    <row r="455" customFormat="false" ht="15" hidden="false" customHeight="true" outlineLevel="0" collapsed="false">
      <c r="A455" s="24" t="s">
        <v>692</v>
      </c>
      <c r="B455" s="32" t="s">
        <v>7991</v>
      </c>
      <c r="C455" s="32" t="s">
        <v>7991</v>
      </c>
      <c r="D455" s="22" t="s">
        <v>7784</v>
      </c>
      <c r="E455" s="22" t="s">
        <v>3713</v>
      </c>
      <c r="F455" s="22" t="s">
        <v>8810</v>
      </c>
      <c r="G455" s="22" t="s">
        <v>1705</v>
      </c>
      <c r="H455" s="31" t="s">
        <v>8209</v>
      </c>
      <c r="I455" s="22"/>
    </row>
    <row r="456" customFormat="false" ht="24.75" hidden="false" customHeight="true" outlineLevel="0" collapsed="false">
      <c r="A456" s="24" t="s">
        <v>1680</v>
      </c>
      <c r="B456" s="32" t="s">
        <v>8811</v>
      </c>
      <c r="C456" s="32" t="s">
        <v>7756</v>
      </c>
      <c r="D456" s="22" t="s">
        <v>8185</v>
      </c>
      <c r="E456" s="22" t="s">
        <v>3713</v>
      </c>
      <c r="F456" s="22" t="s">
        <v>7757</v>
      </c>
      <c r="G456" s="22" t="s">
        <v>1705</v>
      </c>
      <c r="H456" s="31" t="s">
        <v>8209</v>
      </c>
      <c r="I456" s="22"/>
    </row>
    <row r="457" customFormat="false" ht="15" hidden="false" customHeight="true" outlineLevel="0" collapsed="false">
      <c r="A457" s="24" t="s">
        <v>1737</v>
      </c>
      <c r="B457" s="32" t="s">
        <v>147</v>
      </c>
      <c r="C457" s="32" t="s">
        <v>5916</v>
      </c>
      <c r="D457" s="22" t="s">
        <v>3363</v>
      </c>
      <c r="E457" s="22" t="s">
        <v>3359</v>
      </c>
      <c r="F457" s="22" t="s">
        <v>8812</v>
      </c>
      <c r="G457" s="22" t="s">
        <v>1733</v>
      </c>
      <c r="H457" s="35" t="s">
        <v>8132</v>
      </c>
      <c r="I457" s="22"/>
    </row>
    <row r="458" customFormat="false" ht="24.75" hidden="false" customHeight="true" outlineLevel="0" collapsed="false">
      <c r="A458" s="24" t="s">
        <v>1680</v>
      </c>
      <c r="B458" s="32" t="s">
        <v>8813</v>
      </c>
      <c r="C458" s="32" t="s">
        <v>7993</v>
      </c>
      <c r="D458" s="22" t="s">
        <v>7784</v>
      </c>
      <c r="E458" s="22" t="s">
        <v>3359</v>
      </c>
      <c r="F458" s="22" t="s">
        <v>8814</v>
      </c>
      <c r="G458" s="22" t="s">
        <v>1733</v>
      </c>
      <c r="H458" s="31" t="s">
        <v>8209</v>
      </c>
      <c r="I458" s="22"/>
    </row>
    <row r="459" customFormat="false" ht="15" hidden="false" customHeight="true" outlineLevel="0" collapsed="false">
      <c r="A459" s="24" t="s">
        <v>1737</v>
      </c>
      <c r="B459" s="32" t="s">
        <v>5924</v>
      </c>
      <c r="C459" s="32" t="s">
        <v>5924</v>
      </c>
      <c r="D459" s="22" t="s">
        <v>3363</v>
      </c>
      <c r="E459" s="22" t="s">
        <v>3394</v>
      </c>
      <c r="F459" s="22" t="s">
        <v>8815</v>
      </c>
      <c r="G459" s="22" t="s">
        <v>1733</v>
      </c>
      <c r="H459" s="35" t="s">
        <v>8132</v>
      </c>
      <c r="I459" s="22"/>
    </row>
    <row r="460" customFormat="false" ht="15" hidden="false" customHeight="true" outlineLevel="0" collapsed="false">
      <c r="A460" s="24" t="s">
        <v>1680</v>
      </c>
      <c r="B460" s="32" t="s">
        <v>8816</v>
      </c>
      <c r="C460" s="32" t="s">
        <v>7995</v>
      </c>
      <c r="D460" s="22" t="s">
        <v>7784</v>
      </c>
      <c r="E460" s="22" t="s">
        <v>3713</v>
      </c>
      <c r="F460" s="22" t="s">
        <v>8817</v>
      </c>
      <c r="G460" s="22" t="s">
        <v>1733</v>
      </c>
      <c r="H460" s="31" t="s">
        <v>8209</v>
      </c>
      <c r="I460" s="22"/>
    </row>
    <row r="461" customFormat="false" ht="15" hidden="false" customHeight="true" outlineLevel="0" collapsed="false">
      <c r="A461" s="24" t="s">
        <v>1765</v>
      </c>
      <c r="B461" s="32" t="s">
        <v>6169</v>
      </c>
      <c r="C461" s="32" t="s">
        <v>6169</v>
      </c>
      <c r="D461" s="22" t="s">
        <v>3363</v>
      </c>
      <c r="E461" s="22" t="s">
        <v>3359</v>
      </c>
      <c r="F461" s="22" t="s">
        <v>8818</v>
      </c>
      <c r="G461" s="22" t="s">
        <v>1761</v>
      </c>
      <c r="H461" s="35" t="s">
        <v>8132</v>
      </c>
      <c r="I461" s="22"/>
    </row>
    <row r="462" customFormat="false" ht="15" hidden="false" customHeight="true" outlineLevel="0" collapsed="false">
      <c r="A462" s="24" t="s">
        <v>1680</v>
      </c>
      <c r="B462" s="32" t="s">
        <v>8819</v>
      </c>
      <c r="C462" s="32" t="s">
        <v>8820</v>
      </c>
      <c r="D462" s="22" t="s">
        <v>3363</v>
      </c>
      <c r="E462" s="22" t="s">
        <v>7754</v>
      </c>
      <c r="F462" s="22"/>
      <c r="G462" s="22" t="s">
        <v>1761</v>
      </c>
      <c r="H462" s="35" t="s">
        <v>8132</v>
      </c>
      <c r="I462" s="22"/>
    </row>
    <row r="463" customFormat="false" ht="15" hidden="false" customHeight="true" outlineLevel="0" collapsed="false">
      <c r="A463" s="24" t="s">
        <v>1680</v>
      </c>
      <c r="B463" s="32" t="s">
        <v>8821</v>
      </c>
      <c r="C463" s="32" t="s">
        <v>6019</v>
      </c>
      <c r="D463" s="22" t="s">
        <v>3363</v>
      </c>
      <c r="E463" s="22"/>
      <c r="F463" s="22"/>
      <c r="G463" s="22" t="s">
        <v>1761</v>
      </c>
      <c r="H463" s="35" t="s">
        <v>8132</v>
      </c>
      <c r="I463" s="22" t="s">
        <v>8205</v>
      </c>
    </row>
    <row r="464" customFormat="false" ht="15" hidden="false" customHeight="true" outlineLevel="0" collapsed="false">
      <c r="A464" s="24" t="s">
        <v>1680</v>
      </c>
      <c r="B464" s="32" t="s">
        <v>8822</v>
      </c>
      <c r="C464" s="32" t="s">
        <v>6011</v>
      </c>
      <c r="D464" s="22" t="s">
        <v>3363</v>
      </c>
      <c r="E464" s="22"/>
      <c r="F464" s="22"/>
      <c r="G464" s="22" t="s">
        <v>1761</v>
      </c>
      <c r="H464" s="35" t="s">
        <v>8132</v>
      </c>
      <c r="I464" s="22" t="s">
        <v>8205</v>
      </c>
    </row>
    <row r="465" customFormat="false" ht="15" hidden="false" customHeight="true" outlineLevel="0" collapsed="false">
      <c r="A465" s="24" t="s">
        <v>1680</v>
      </c>
      <c r="B465" s="32" t="s">
        <v>8823</v>
      </c>
      <c r="C465" s="32" t="s">
        <v>6017</v>
      </c>
      <c r="D465" s="22" t="s">
        <v>3363</v>
      </c>
      <c r="E465" s="22"/>
      <c r="F465" s="22"/>
      <c r="G465" s="22" t="s">
        <v>1761</v>
      </c>
      <c r="H465" s="35" t="s">
        <v>8132</v>
      </c>
      <c r="I465" s="22" t="s">
        <v>8205</v>
      </c>
    </row>
    <row r="466" customFormat="false" ht="15" hidden="false" customHeight="true" outlineLevel="0" collapsed="false">
      <c r="A466" s="24" t="s">
        <v>1680</v>
      </c>
      <c r="B466" s="32" t="s">
        <v>8824</v>
      </c>
      <c r="C466" s="32" t="s">
        <v>6015</v>
      </c>
      <c r="D466" s="22" t="s">
        <v>3363</v>
      </c>
      <c r="E466" s="22"/>
      <c r="F466" s="22"/>
      <c r="G466" s="22" t="s">
        <v>1761</v>
      </c>
      <c r="H466" s="35" t="s">
        <v>8132</v>
      </c>
      <c r="I466" s="22" t="s">
        <v>8205</v>
      </c>
    </row>
    <row r="467" customFormat="false" ht="15" hidden="false" customHeight="true" outlineLevel="0" collapsed="false">
      <c r="A467" s="24" t="s">
        <v>1765</v>
      </c>
      <c r="B467" s="32" t="s">
        <v>6174</v>
      </c>
      <c r="C467" s="32" t="s">
        <v>6174</v>
      </c>
      <c r="D467" s="22" t="s">
        <v>3363</v>
      </c>
      <c r="E467" s="22" t="s">
        <v>3359</v>
      </c>
      <c r="F467" s="22" t="s">
        <v>8825</v>
      </c>
      <c r="G467" s="22" t="s">
        <v>1761</v>
      </c>
      <c r="H467" s="35" t="s">
        <v>8132</v>
      </c>
      <c r="I467" s="22"/>
    </row>
    <row r="468" customFormat="false" ht="15" hidden="false" customHeight="true" outlineLevel="0" collapsed="false">
      <c r="A468" s="24" t="s">
        <v>1765</v>
      </c>
      <c r="B468" s="32" t="s">
        <v>6566</v>
      </c>
      <c r="C468" s="32" t="s">
        <v>6566</v>
      </c>
      <c r="D468" s="22" t="s">
        <v>3363</v>
      </c>
      <c r="E468" s="22" t="s">
        <v>3389</v>
      </c>
      <c r="F468" s="22" t="s">
        <v>8826</v>
      </c>
      <c r="G468" s="22" t="s">
        <v>1761</v>
      </c>
      <c r="H468" s="35" t="s">
        <v>8132</v>
      </c>
      <c r="I468" s="22"/>
    </row>
    <row r="469" customFormat="false" ht="15" hidden="false" customHeight="true" outlineLevel="0" collapsed="false">
      <c r="A469" s="24" t="s">
        <v>1765</v>
      </c>
      <c r="B469" s="32" t="s">
        <v>5537</v>
      </c>
      <c r="C469" s="32" t="s">
        <v>5537</v>
      </c>
      <c r="D469" s="22" t="s">
        <v>3363</v>
      </c>
      <c r="E469" s="22" t="s">
        <v>3359</v>
      </c>
      <c r="F469" s="22" t="s">
        <v>8827</v>
      </c>
      <c r="G469" s="22" t="s">
        <v>1761</v>
      </c>
      <c r="H469" s="35" t="s">
        <v>8132</v>
      </c>
      <c r="I469" s="22"/>
    </row>
    <row r="470" customFormat="false" ht="37.5" hidden="false" customHeight="true" outlineLevel="0" collapsed="false">
      <c r="A470" s="24" t="s">
        <v>1650</v>
      </c>
      <c r="B470" s="32" t="s">
        <v>8828</v>
      </c>
      <c r="C470" s="32" t="s">
        <v>7758</v>
      </c>
      <c r="D470" s="22" t="s">
        <v>8185</v>
      </c>
      <c r="E470" s="22" t="s">
        <v>7754</v>
      </c>
      <c r="F470" s="22" t="s">
        <v>7759</v>
      </c>
      <c r="G470" s="22" t="s">
        <v>1761</v>
      </c>
      <c r="H470" s="31" t="s">
        <v>8209</v>
      </c>
      <c r="I470" s="22" t="s">
        <v>8829</v>
      </c>
    </row>
    <row r="471" customFormat="false" ht="24.75" hidden="false" customHeight="true" outlineLevel="0" collapsed="false">
      <c r="A471" s="24" t="s">
        <v>1650</v>
      </c>
      <c r="B471" s="32" t="s">
        <v>8830</v>
      </c>
      <c r="C471" s="32" t="s">
        <v>8831</v>
      </c>
      <c r="D471" s="22" t="s">
        <v>8185</v>
      </c>
      <c r="E471" s="22"/>
      <c r="F471" s="22" t="s">
        <v>8832</v>
      </c>
      <c r="G471" s="22" t="s">
        <v>1761</v>
      </c>
      <c r="H471" s="31" t="s">
        <v>8209</v>
      </c>
      <c r="I471" s="22" t="s">
        <v>8205</v>
      </c>
    </row>
    <row r="472" customFormat="false" ht="15" hidden="false" customHeight="true" outlineLevel="0" collapsed="false">
      <c r="A472" s="24" t="s">
        <v>1650</v>
      </c>
      <c r="B472" s="32" t="s">
        <v>8833</v>
      </c>
      <c r="C472" s="32" t="s">
        <v>8834</v>
      </c>
      <c r="D472" s="22" t="s">
        <v>8185</v>
      </c>
      <c r="E472" s="22"/>
      <c r="F472" s="22" t="s">
        <v>8835</v>
      </c>
      <c r="G472" s="22" t="s">
        <v>1761</v>
      </c>
      <c r="H472" s="31" t="s">
        <v>8209</v>
      </c>
      <c r="I472" s="22" t="s">
        <v>8205</v>
      </c>
    </row>
    <row r="473" customFormat="false" ht="15" hidden="false" customHeight="true" outlineLevel="0" collapsed="false">
      <c r="A473" s="24" t="s">
        <v>1765</v>
      </c>
      <c r="B473" s="32" t="s">
        <v>7098</v>
      </c>
      <c r="C473" s="32" t="s">
        <v>6561</v>
      </c>
      <c r="D473" s="22" t="s">
        <v>3363</v>
      </c>
      <c r="E473" s="22" t="s">
        <v>3394</v>
      </c>
      <c r="F473" s="22" t="s">
        <v>8836</v>
      </c>
      <c r="G473" s="22" t="s">
        <v>1761</v>
      </c>
      <c r="H473" s="35" t="s">
        <v>8132</v>
      </c>
      <c r="I473" s="22"/>
    </row>
    <row r="474" customFormat="false" ht="15" hidden="false" customHeight="true" outlineLevel="0" collapsed="false">
      <c r="A474" s="24" t="s">
        <v>1765</v>
      </c>
      <c r="B474" s="32" t="s">
        <v>6182</v>
      </c>
      <c r="C474" s="32" t="s">
        <v>6182</v>
      </c>
      <c r="D474" s="22" t="s">
        <v>3363</v>
      </c>
      <c r="E474" s="22" t="s">
        <v>3377</v>
      </c>
      <c r="F474" s="22" t="s">
        <v>8837</v>
      </c>
      <c r="G474" s="22" t="s">
        <v>1761</v>
      </c>
      <c r="H474" s="35" t="s">
        <v>8132</v>
      </c>
      <c r="I474" s="22"/>
    </row>
    <row r="475" customFormat="false" ht="15" hidden="false" customHeight="true" outlineLevel="0" collapsed="false">
      <c r="A475" s="24" t="s">
        <v>1765</v>
      </c>
      <c r="B475" s="32" t="s">
        <v>5729</v>
      </c>
      <c r="C475" s="32" t="s">
        <v>5729</v>
      </c>
      <c r="D475" s="22" t="s">
        <v>3363</v>
      </c>
      <c r="E475" s="22" t="s">
        <v>3359</v>
      </c>
      <c r="F475" s="22" t="s">
        <v>8838</v>
      </c>
      <c r="G475" s="22" t="s">
        <v>1761</v>
      </c>
      <c r="H475" s="35" t="s">
        <v>8132</v>
      </c>
      <c r="I475" s="22"/>
    </row>
    <row r="476" customFormat="false" ht="24.75" hidden="false" customHeight="true" outlineLevel="0" collapsed="false">
      <c r="A476" s="24" t="s">
        <v>1650</v>
      </c>
      <c r="B476" s="32" t="s">
        <v>8839</v>
      </c>
      <c r="C476" s="32" t="s">
        <v>5747</v>
      </c>
      <c r="D476" s="22" t="s">
        <v>3363</v>
      </c>
      <c r="E476" s="22" t="s">
        <v>3359</v>
      </c>
      <c r="F476" s="22" t="s">
        <v>8774</v>
      </c>
      <c r="G476" s="22" t="s">
        <v>1790</v>
      </c>
      <c r="H476" s="35" t="s">
        <v>8132</v>
      </c>
      <c r="I476" s="22" t="s">
        <v>8840</v>
      </c>
    </row>
    <row r="477" customFormat="false" ht="15" hidden="false" customHeight="true" outlineLevel="0" collapsed="false">
      <c r="A477" s="24" t="s">
        <v>1336</v>
      </c>
      <c r="B477" s="32" t="s">
        <v>8841</v>
      </c>
      <c r="C477" s="32" t="s">
        <v>6117</v>
      </c>
      <c r="D477" s="22" t="s">
        <v>3363</v>
      </c>
      <c r="E477" s="22" t="s">
        <v>3359</v>
      </c>
      <c r="F477" s="22" t="s">
        <v>8777</v>
      </c>
      <c r="G477" s="22" t="s">
        <v>1790</v>
      </c>
      <c r="H477" s="35" t="s">
        <v>8132</v>
      </c>
      <c r="I477" s="22"/>
    </row>
    <row r="478" customFormat="false" ht="15" hidden="false" customHeight="true" outlineLevel="0" collapsed="false">
      <c r="A478" s="24" t="s">
        <v>1680</v>
      </c>
      <c r="B478" s="32" t="s">
        <v>8842</v>
      </c>
      <c r="C478" s="32" t="s">
        <v>8843</v>
      </c>
      <c r="D478" s="22" t="s">
        <v>3363</v>
      </c>
      <c r="E478" s="22" t="s">
        <v>7754</v>
      </c>
      <c r="F478" s="22"/>
      <c r="G478" s="22" t="s">
        <v>1790</v>
      </c>
      <c r="H478" s="35" t="s">
        <v>8132</v>
      </c>
      <c r="I478" s="22"/>
    </row>
    <row r="479" customFormat="false" ht="15" hidden="false" customHeight="true" outlineLevel="0" collapsed="false">
      <c r="A479" s="24" t="s">
        <v>1680</v>
      </c>
      <c r="B479" s="32" t="s">
        <v>8844</v>
      </c>
      <c r="C479" s="32" t="s">
        <v>6055</v>
      </c>
      <c r="D479" s="22" t="s">
        <v>3363</v>
      </c>
      <c r="E479" s="22"/>
      <c r="F479" s="22"/>
      <c r="G479" s="22" t="s">
        <v>1790</v>
      </c>
      <c r="H479" s="35" t="s">
        <v>8132</v>
      </c>
      <c r="I479" s="22" t="s">
        <v>8205</v>
      </c>
    </row>
    <row r="480" customFormat="false" ht="15" hidden="false" customHeight="true" outlineLevel="0" collapsed="false">
      <c r="A480" s="24" t="s">
        <v>1680</v>
      </c>
      <c r="B480" s="32" t="s">
        <v>8845</v>
      </c>
      <c r="C480" s="32" t="s">
        <v>6058</v>
      </c>
      <c r="D480" s="22" t="s">
        <v>3363</v>
      </c>
      <c r="E480" s="22"/>
      <c r="F480" s="22"/>
      <c r="G480" s="22" t="s">
        <v>1790</v>
      </c>
      <c r="H480" s="35" t="s">
        <v>8132</v>
      </c>
      <c r="I480" s="22" t="s">
        <v>8205</v>
      </c>
    </row>
    <row r="481" customFormat="false" ht="24.75" hidden="false" customHeight="true" outlineLevel="0" collapsed="false">
      <c r="A481" s="24" t="s">
        <v>1650</v>
      </c>
      <c r="B481" s="32" t="s">
        <v>8846</v>
      </c>
      <c r="C481" s="32" t="s">
        <v>5790</v>
      </c>
      <c r="D481" s="22" t="s">
        <v>3363</v>
      </c>
      <c r="E481" s="22" t="s">
        <v>3394</v>
      </c>
      <c r="F481" s="22" t="s">
        <v>8791</v>
      </c>
      <c r="G481" s="22" t="s">
        <v>1790</v>
      </c>
      <c r="H481" s="31" t="s">
        <v>8209</v>
      </c>
      <c r="I481" s="22" t="s">
        <v>8847</v>
      </c>
    </row>
    <row r="482" customFormat="false" ht="15" hidden="false" customHeight="true" outlineLevel="0" collapsed="false">
      <c r="A482" s="24" t="s">
        <v>692</v>
      </c>
      <c r="B482" s="32" t="s">
        <v>7997</v>
      </c>
      <c r="C482" s="32" t="s">
        <v>7997</v>
      </c>
      <c r="D482" s="22" t="s">
        <v>7784</v>
      </c>
      <c r="E482" s="22" t="s">
        <v>3713</v>
      </c>
      <c r="F482" s="22" t="s">
        <v>8848</v>
      </c>
      <c r="G482" s="22" t="s">
        <v>1790</v>
      </c>
      <c r="H482" s="31" t="s">
        <v>8209</v>
      </c>
      <c r="I482" s="22"/>
    </row>
    <row r="483" customFormat="false" ht="15" hidden="false" customHeight="true" outlineLevel="0" collapsed="false">
      <c r="A483" s="24" t="s">
        <v>893</v>
      </c>
      <c r="B483" s="32" t="s">
        <v>5718</v>
      </c>
      <c r="C483" s="32" t="s">
        <v>5718</v>
      </c>
      <c r="D483" s="22" t="s">
        <v>7784</v>
      </c>
      <c r="E483" s="22" t="s">
        <v>3359</v>
      </c>
      <c r="F483" s="22" t="s">
        <v>8849</v>
      </c>
      <c r="G483" s="22" t="s">
        <v>1816</v>
      </c>
      <c r="H483" s="35" t="s">
        <v>8132</v>
      </c>
      <c r="I483" s="22"/>
    </row>
    <row r="484" customFormat="false" ht="24.75" hidden="false" customHeight="true" outlineLevel="0" collapsed="false">
      <c r="A484" s="24" t="s">
        <v>270</v>
      </c>
      <c r="B484" s="32" t="s">
        <v>5718</v>
      </c>
      <c r="C484" s="32" t="s">
        <v>5718</v>
      </c>
      <c r="D484" s="22" t="s">
        <v>7784</v>
      </c>
      <c r="E484" s="22" t="s">
        <v>3359</v>
      </c>
      <c r="F484" s="22" t="s">
        <v>8850</v>
      </c>
      <c r="G484" s="22" t="s">
        <v>1816</v>
      </c>
      <c r="H484" s="35" t="s">
        <v>8132</v>
      </c>
      <c r="I484" s="22"/>
    </row>
    <row r="485" customFormat="false" ht="24.75" hidden="false" customHeight="true" outlineLevel="0" collapsed="false">
      <c r="A485" s="24" t="s">
        <v>270</v>
      </c>
      <c r="B485" s="32" t="s">
        <v>7781</v>
      </c>
      <c r="C485" s="32" t="s">
        <v>7781</v>
      </c>
      <c r="D485" s="22" t="s">
        <v>7784</v>
      </c>
      <c r="E485" s="22" t="s">
        <v>7782</v>
      </c>
      <c r="F485" s="22" t="s">
        <v>8851</v>
      </c>
      <c r="G485" s="22" t="s">
        <v>1816</v>
      </c>
      <c r="H485" s="35" t="s">
        <v>8132</v>
      </c>
      <c r="I485" s="22"/>
    </row>
    <row r="486" customFormat="false" ht="15" hidden="false" customHeight="true" outlineLevel="0" collapsed="false">
      <c r="A486" s="24" t="s">
        <v>1680</v>
      </c>
      <c r="B486" s="32" t="s">
        <v>8852</v>
      </c>
      <c r="C486" s="32" t="s">
        <v>5729</v>
      </c>
      <c r="D486" s="22" t="s">
        <v>3363</v>
      </c>
      <c r="E486" s="22" t="s">
        <v>3359</v>
      </c>
      <c r="F486" s="22" t="s">
        <v>8853</v>
      </c>
      <c r="G486" s="22" t="s">
        <v>1816</v>
      </c>
      <c r="H486" s="35" t="s">
        <v>8132</v>
      </c>
      <c r="I486" s="22"/>
    </row>
    <row r="487" customFormat="false" ht="24.75" hidden="false" customHeight="true" outlineLevel="0" collapsed="false">
      <c r="A487" s="24" t="s">
        <v>893</v>
      </c>
      <c r="B487" s="32" t="s">
        <v>7569</v>
      </c>
      <c r="C487" s="32" t="s">
        <v>7569</v>
      </c>
      <c r="D487" s="22" t="s">
        <v>7784</v>
      </c>
      <c r="E487" s="22" t="s">
        <v>3713</v>
      </c>
      <c r="F487" s="22" t="s">
        <v>8854</v>
      </c>
      <c r="G487" s="22" t="s">
        <v>1816</v>
      </c>
      <c r="H487" s="31" t="s">
        <v>8209</v>
      </c>
      <c r="I487" s="22"/>
    </row>
    <row r="488" customFormat="false" ht="24.75" hidden="false" customHeight="true" outlineLevel="0" collapsed="false">
      <c r="A488" s="24" t="s">
        <v>270</v>
      </c>
      <c r="B488" s="32" t="s">
        <v>8003</v>
      </c>
      <c r="C488" s="32" t="s">
        <v>8003</v>
      </c>
      <c r="D488" s="22" t="s">
        <v>7784</v>
      </c>
      <c r="E488" s="22" t="s">
        <v>3713</v>
      </c>
      <c r="F488" s="22" t="s">
        <v>8855</v>
      </c>
      <c r="G488" s="22" t="s">
        <v>1816</v>
      </c>
      <c r="H488" s="35" t="s">
        <v>8132</v>
      </c>
      <c r="I488" s="22"/>
    </row>
    <row r="489" customFormat="false" ht="24.75" hidden="false" customHeight="true" outlineLevel="0" collapsed="false">
      <c r="A489" s="24" t="s">
        <v>1680</v>
      </c>
      <c r="B489" s="32" t="s">
        <v>8856</v>
      </c>
      <c r="C489" s="32" t="s">
        <v>5959</v>
      </c>
      <c r="D489" s="22" t="s">
        <v>3363</v>
      </c>
      <c r="E489" s="22" t="s">
        <v>3394</v>
      </c>
      <c r="F489" s="22" t="s">
        <v>8857</v>
      </c>
      <c r="G489" s="22" t="s">
        <v>1816</v>
      </c>
      <c r="H489" s="35" t="s">
        <v>8132</v>
      </c>
      <c r="I489" s="22"/>
    </row>
    <row r="490" customFormat="false" ht="24.75" hidden="false" customHeight="true" outlineLevel="0" collapsed="false">
      <c r="A490" s="24" t="s">
        <v>1848</v>
      </c>
      <c r="B490" s="32" t="s">
        <v>8858</v>
      </c>
      <c r="C490" s="32" t="s">
        <v>7760</v>
      </c>
      <c r="D490" s="22" t="s">
        <v>8185</v>
      </c>
      <c r="E490" s="22" t="s">
        <v>3713</v>
      </c>
      <c r="F490" s="22" t="s">
        <v>7761</v>
      </c>
      <c r="G490" s="22" t="s">
        <v>1816</v>
      </c>
      <c r="H490" s="31" t="s">
        <v>8209</v>
      </c>
      <c r="I490" s="22" t="s">
        <v>8859</v>
      </c>
    </row>
    <row r="491" customFormat="false" ht="15" hidden="false" customHeight="true" outlineLevel="0" collapsed="false">
      <c r="A491" s="24" t="s">
        <v>1848</v>
      </c>
      <c r="B491" s="32" t="s">
        <v>8860</v>
      </c>
      <c r="C491" s="32" t="s">
        <v>8861</v>
      </c>
      <c r="D491" s="22" t="s">
        <v>3363</v>
      </c>
      <c r="E491" s="22" t="s">
        <v>7754</v>
      </c>
      <c r="F491" s="22"/>
      <c r="G491" s="22" t="s">
        <v>1844</v>
      </c>
      <c r="H491" s="31" t="s">
        <v>8209</v>
      </c>
      <c r="I491" s="22" t="s">
        <v>8862</v>
      </c>
    </row>
    <row r="492" customFormat="false" ht="15" hidden="false" customHeight="true" outlineLevel="0" collapsed="false">
      <c r="A492" s="24" t="s">
        <v>1848</v>
      </c>
      <c r="B492" s="32" t="s">
        <v>8863</v>
      </c>
      <c r="C492" s="32" t="s">
        <v>6711</v>
      </c>
      <c r="D492" s="22" t="s">
        <v>3363</v>
      </c>
      <c r="E492" s="22"/>
      <c r="F492" s="22"/>
      <c r="G492" s="22" t="s">
        <v>1844</v>
      </c>
      <c r="H492" s="31" t="s">
        <v>8209</v>
      </c>
      <c r="I492" s="22" t="s">
        <v>8205</v>
      </c>
    </row>
    <row r="493" customFormat="false" ht="24.75" hidden="false" customHeight="true" outlineLevel="0" collapsed="false">
      <c r="A493" s="24" t="s">
        <v>1848</v>
      </c>
      <c r="B493" s="32" t="s">
        <v>8864</v>
      </c>
      <c r="C493" s="32" t="s">
        <v>8865</v>
      </c>
      <c r="D493" s="22" t="s">
        <v>8185</v>
      </c>
      <c r="E493" s="22"/>
      <c r="F493" s="22" t="s">
        <v>8866</v>
      </c>
      <c r="G493" s="22" t="s">
        <v>1844</v>
      </c>
      <c r="H493" s="31" t="s">
        <v>8209</v>
      </c>
      <c r="I493" s="22" t="s">
        <v>8205</v>
      </c>
    </row>
    <row r="494" customFormat="false" ht="24.75" hidden="false" customHeight="true" outlineLevel="0" collapsed="false">
      <c r="A494" s="24" t="s">
        <v>1848</v>
      </c>
      <c r="B494" s="32" t="s">
        <v>8867</v>
      </c>
      <c r="C494" s="32" t="s">
        <v>8868</v>
      </c>
      <c r="D494" s="22" t="s">
        <v>8185</v>
      </c>
      <c r="E494" s="22"/>
      <c r="F494" s="22" t="s">
        <v>8869</v>
      </c>
      <c r="G494" s="22" t="s">
        <v>1844</v>
      </c>
      <c r="H494" s="31" t="s">
        <v>8209</v>
      </c>
      <c r="I494" s="22" t="s">
        <v>8205</v>
      </c>
    </row>
    <row r="495" customFormat="false" ht="24.75" hidden="false" customHeight="true" outlineLevel="0" collapsed="false">
      <c r="A495" s="24" t="s">
        <v>1848</v>
      </c>
      <c r="B495" s="32" t="s">
        <v>8870</v>
      </c>
      <c r="C495" s="32" t="s">
        <v>8871</v>
      </c>
      <c r="D495" s="22" t="s">
        <v>8185</v>
      </c>
      <c r="E495" s="22"/>
      <c r="F495" s="22" t="s">
        <v>8872</v>
      </c>
      <c r="G495" s="22" t="s">
        <v>1844</v>
      </c>
      <c r="H495" s="31" t="s">
        <v>8209</v>
      </c>
      <c r="I495" s="22" t="s">
        <v>8205</v>
      </c>
    </row>
    <row r="496" customFormat="false" ht="24.75" hidden="false" customHeight="true" outlineLevel="0" collapsed="false">
      <c r="A496" s="24" t="s">
        <v>893</v>
      </c>
      <c r="B496" s="32" t="s">
        <v>8690</v>
      </c>
      <c r="C496" s="32" t="s">
        <v>7171</v>
      </c>
      <c r="D496" s="22" t="s">
        <v>3363</v>
      </c>
      <c r="E496" s="22" t="s">
        <v>3359</v>
      </c>
      <c r="F496" s="22" t="s">
        <v>8873</v>
      </c>
      <c r="G496" s="22" t="s">
        <v>8874</v>
      </c>
      <c r="H496" s="35" t="s">
        <v>8132</v>
      </c>
      <c r="I496" s="22"/>
    </row>
    <row r="497" customFormat="false" ht="15" hidden="false" customHeight="true" outlineLevel="0" collapsed="false">
      <c r="A497" s="24" t="s">
        <v>1848</v>
      </c>
      <c r="B497" s="32" t="s">
        <v>8875</v>
      </c>
      <c r="C497" s="32" t="s">
        <v>8876</v>
      </c>
      <c r="D497" s="22" t="s">
        <v>3363</v>
      </c>
      <c r="E497" s="22" t="s">
        <v>7754</v>
      </c>
      <c r="F497" s="22"/>
      <c r="G497" s="22" t="s">
        <v>1872</v>
      </c>
      <c r="H497" s="35" t="s">
        <v>8132</v>
      </c>
      <c r="I497" s="22"/>
    </row>
    <row r="498" customFormat="false" ht="15" hidden="false" customHeight="true" outlineLevel="0" collapsed="false">
      <c r="A498" s="24" t="s">
        <v>1848</v>
      </c>
      <c r="B498" s="32" t="s">
        <v>8877</v>
      </c>
      <c r="C498" s="32" t="s">
        <v>6723</v>
      </c>
      <c r="D498" s="22" t="s">
        <v>3363</v>
      </c>
      <c r="E498" s="22"/>
      <c r="F498" s="22"/>
      <c r="G498" s="22" t="s">
        <v>1872</v>
      </c>
      <c r="H498" s="35" t="s">
        <v>8132</v>
      </c>
      <c r="I498" s="22" t="s">
        <v>8205</v>
      </c>
    </row>
    <row r="499" customFormat="false" ht="15" hidden="false" customHeight="true" outlineLevel="0" collapsed="false">
      <c r="A499" s="24" t="s">
        <v>1848</v>
      </c>
      <c r="B499" s="32" t="s">
        <v>8878</v>
      </c>
      <c r="C499" s="32" t="s">
        <v>6726</v>
      </c>
      <c r="D499" s="22" t="s">
        <v>3363</v>
      </c>
      <c r="E499" s="22"/>
      <c r="F499" s="22"/>
      <c r="G499" s="22" t="s">
        <v>1872</v>
      </c>
      <c r="H499" s="35" t="s">
        <v>8132</v>
      </c>
      <c r="I499" s="22" t="s">
        <v>8205</v>
      </c>
    </row>
    <row r="500" customFormat="false" ht="15" hidden="false" customHeight="true" outlineLevel="0" collapsed="false">
      <c r="A500" s="24" t="s">
        <v>1848</v>
      </c>
      <c r="B500" s="32" t="s">
        <v>8879</v>
      </c>
      <c r="C500" s="32" t="s">
        <v>6729</v>
      </c>
      <c r="D500" s="22" t="s">
        <v>3363</v>
      </c>
      <c r="E500" s="22"/>
      <c r="F500" s="22"/>
      <c r="G500" s="22" t="s">
        <v>1872</v>
      </c>
      <c r="H500" s="35" t="s">
        <v>8132</v>
      </c>
      <c r="I500" s="22" t="s">
        <v>8205</v>
      </c>
    </row>
    <row r="501" customFormat="false" ht="15" hidden="false" customHeight="true" outlineLevel="0" collapsed="false">
      <c r="A501" s="24" t="s">
        <v>1848</v>
      </c>
      <c r="B501" s="32" t="s">
        <v>8880</v>
      </c>
      <c r="C501" s="32" t="s">
        <v>6732</v>
      </c>
      <c r="D501" s="22" t="s">
        <v>3363</v>
      </c>
      <c r="E501" s="22"/>
      <c r="F501" s="22"/>
      <c r="G501" s="22" t="s">
        <v>1872</v>
      </c>
      <c r="H501" s="35" t="s">
        <v>8132</v>
      </c>
      <c r="I501" s="22" t="s">
        <v>8205</v>
      </c>
    </row>
    <row r="502" customFormat="false" ht="15" hidden="false" customHeight="true" outlineLevel="0" collapsed="false">
      <c r="A502" s="24" t="s">
        <v>1848</v>
      </c>
      <c r="B502" s="32" t="s">
        <v>8881</v>
      </c>
      <c r="C502" s="32" t="s">
        <v>8882</v>
      </c>
      <c r="D502" s="22" t="s">
        <v>7784</v>
      </c>
      <c r="E502" s="22"/>
      <c r="F502" s="22" t="s">
        <v>8883</v>
      </c>
      <c r="G502" s="22" t="s">
        <v>1872</v>
      </c>
      <c r="H502" s="35" t="s">
        <v>8132</v>
      </c>
      <c r="I502" s="22" t="s">
        <v>8205</v>
      </c>
    </row>
    <row r="503" customFormat="false" ht="24.75" hidden="false" customHeight="true" outlineLevel="0" collapsed="false">
      <c r="A503" s="24" t="s">
        <v>1848</v>
      </c>
      <c r="B503" s="32" t="s">
        <v>8884</v>
      </c>
      <c r="C503" s="32" t="s">
        <v>8885</v>
      </c>
      <c r="D503" s="22" t="s">
        <v>7784</v>
      </c>
      <c r="E503" s="22"/>
      <c r="F503" s="22" t="s">
        <v>8886</v>
      </c>
      <c r="G503" s="22" t="s">
        <v>1872</v>
      </c>
      <c r="H503" s="35" t="s">
        <v>8132</v>
      </c>
      <c r="I503" s="22" t="s">
        <v>8205</v>
      </c>
    </row>
    <row r="504" customFormat="false" ht="24.75" hidden="false" customHeight="true" outlineLevel="0" collapsed="false">
      <c r="A504" s="24" t="s">
        <v>1848</v>
      </c>
      <c r="B504" s="32" t="s">
        <v>8887</v>
      </c>
      <c r="C504" s="32" t="s">
        <v>8888</v>
      </c>
      <c r="D504" s="22" t="s">
        <v>3363</v>
      </c>
      <c r="E504" s="22" t="s">
        <v>7754</v>
      </c>
      <c r="F504" s="22"/>
      <c r="G504" s="22" t="s">
        <v>1872</v>
      </c>
      <c r="H504" s="31" t="s">
        <v>8209</v>
      </c>
      <c r="I504" s="22" t="s">
        <v>8889</v>
      </c>
    </row>
    <row r="505" customFormat="false" ht="15" hidden="false" customHeight="true" outlineLevel="0" collapsed="false">
      <c r="A505" s="24" t="s">
        <v>1848</v>
      </c>
      <c r="B505" s="32" t="s">
        <v>8890</v>
      </c>
      <c r="C505" s="32" t="s">
        <v>6750</v>
      </c>
      <c r="D505" s="22" t="s">
        <v>3363</v>
      </c>
      <c r="E505" s="22"/>
      <c r="F505" s="22"/>
      <c r="G505" s="22" t="s">
        <v>1872</v>
      </c>
      <c r="H505" s="31" t="s">
        <v>8209</v>
      </c>
      <c r="I505" s="22" t="s">
        <v>8205</v>
      </c>
    </row>
    <row r="506" customFormat="false" ht="24.75" hidden="false" customHeight="true" outlineLevel="0" collapsed="false">
      <c r="A506" s="24" t="s">
        <v>1848</v>
      </c>
      <c r="B506" s="32" t="s">
        <v>8891</v>
      </c>
      <c r="C506" s="32" t="s">
        <v>8892</v>
      </c>
      <c r="D506" s="22" t="s">
        <v>7784</v>
      </c>
      <c r="E506" s="22"/>
      <c r="F506" s="22" t="s">
        <v>8893</v>
      </c>
      <c r="G506" s="22" t="s">
        <v>1872</v>
      </c>
      <c r="H506" s="31" t="s">
        <v>8209</v>
      </c>
      <c r="I506" s="22" t="s">
        <v>8205</v>
      </c>
    </row>
    <row r="507" customFormat="false" ht="15" hidden="false" customHeight="true" outlineLevel="0" collapsed="false">
      <c r="A507" s="24" t="s">
        <v>1307</v>
      </c>
      <c r="B507" s="32" t="s">
        <v>8005</v>
      </c>
      <c r="C507" s="32" t="s">
        <v>8005</v>
      </c>
      <c r="D507" s="22" t="s">
        <v>7784</v>
      </c>
      <c r="E507" s="22" t="s">
        <v>3359</v>
      </c>
      <c r="F507" s="22" t="s">
        <v>8894</v>
      </c>
      <c r="G507" s="22" t="s">
        <v>1872</v>
      </c>
      <c r="H507" s="35" t="s">
        <v>8132</v>
      </c>
      <c r="I507" s="22"/>
    </row>
    <row r="508" customFormat="false" ht="15" hidden="false" customHeight="true" outlineLevel="0" collapsed="false">
      <c r="A508" s="24" t="s">
        <v>1848</v>
      </c>
      <c r="B508" s="32" t="s">
        <v>8895</v>
      </c>
      <c r="C508" s="32" t="s">
        <v>8896</v>
      </c>
      <c r="D508" s="22" t="s">
        <v>3363</v>
      </c>
      <c r="E508" s="22" t="s">
        <v>7754</v>
      </c>
      <c r="F508" s="22"/>
      <c r="G508" s="22" t="s">
        <v>1872</v>
      </c>
      <c r="H508" s="35" t="s">
        <v>8132</v>
      </c>
      <c r="I508" s="22"/>
    </row>
    <row r="509" customFormat="false" ht="15" hidden="false" customHeight="true" outlineLevel="0" collapsed="false">
      <c r="A509" s="24" t="s">
        <v>1848</v>
      </c>
      <c r="B509" s="32" t="s">
        <v>8897</v>
      </c>
      <c r="C509" s="32" t="s">
        <v>6754</v>
      </c>
      <c r="D509" s="22" t="s">
        <v>3363</v>
      </c>
      <c r="E509" s="22"/>
      <c r="F509" s="22"/>
      <c r="G509" s="22" t="s">
        <v>1872</v>
      </c>
      <c r="H509" s="35" t="s">
        <v>8132</v>
      </c>
      <c r="I509" s="22" t="s">
        <v>8205</v>
      </c>
    </row>
    <row r="510" customFormat="false" ht="37.5" hidden="false" customHeight="true" outlineLevel="0" collapsed="false">
      <c r="A510" s="24" t="s">
        <v>1336</v>
      </c>
      <c r="B510" s="32" t="s">
        <v>7964</v>
      </c>
      <c r="C510" s="32" t="s">
        <v>7156</v>
      </c>
      <c r="D510" s="22" t="s">
        <v>3363</v>
      </c>
      <c r="E510" s="22" t="s">
        <v>3359</v>
      </c>
      <c r="F510" s="22" t="s">
        <v>8898</v>
      </c>
      <c r="G510" s="22" t="s">
        <v>8899</v>
      </c>
      <c r="H510" s="31" t="s">
        <v>8209</v>
      </c>
      <c r="I510" s="22" t="s">
        <v>8900</v>
      </c>
    </row>
    <row r="511" customFormat="false" ht="15" hidden="false" customHeight="true" outlineLevel="0" collapsed="false">
      <c r="A511" s="24" t="s">
        <v>523</v>
      </c>
      <c r="B511" s="32" t="s">
        <v>6633</v>
      </c>
      <c r="C511" s="32" t="s">
        <v>6633</v>
      </c>
      <c r="D511" s="22" t="s">
        <v>3363</v>
      </c>
      <c r="E511" s="22" t="s">
        <v>3359</v>
      </c>
      <c r="F511" s="22" t="s">
        <v>8901</v>
      </c>
      <c r="G511" s="22" t="s">
        <v>1898</v>
      </c>
      <c r="H511" s="35" t="s">
        <v>8132</v>
      </c>
      <c r="I511" s="22"/>
    </row>
    <row r="512" customFormat="false" ht="15" hidden="false" customHeight="true" outlineLevel="0" collapsed="false">
      <c r="A512" s="24" t="s">
        <v>1848</v>
      </c>
      <c r="B512" s="32" t="s">
        <v>8902</v>
      </c>
      <c r="C512" s="32" t="s">
        <v>8903</v>
      </c>
      <c r="D512" s="22" t="s">
        <v>3363</v>
      </c>
      <c r="E512" s="22" t="s">
        <v>7754</v>
      </c>
      <c r="F512" s="22"/>
      <c r="G512" s="22" t="s">
        <v>1898</v>
      </c>
      <c r="H512" s="35" t="s">
        <v>8132</v>
      </c>
      <c r="I512" s="22"/>
    </row>
    <row r="513" customFormat="false" ht="15" hidden="false" customHeight="true" outlineLevel="0" collapsed="false">
      <c r="A513" s="24" t="s">
        <v>1848</v>
      </c>
      <c r="B513" s="32" t="s">
        <v>8904</v>
      </c>
      <c r="C513" s="32" t="s">
        <v>6760</v>
      </c>
      <c r="D513" s="22" t="s">
        <v>3363</v>
      </c>
      <c r="E513" s="22"/>
      <c r="F513" s="22"/>
      <c r="G513" s="22" t="s">
        <v>1898</v>
      </c>
      <c r="H513" s="35" t="s">
        <v>8132</v>
      </c>
      <c r="I513" s="22" t="s">
        <v>8205</v>
      </c>
    </row>
    <row r="514" customFormat="false" ht="37.5" hidden="false" customHeight="true" outlineLevel="0" collapsed="false">
      <c r="A514" s="24" t="s">
        <v>1848</v>
      </c>
      <c r="B514" s="32" t="s">
        <v>8905</v>
      </c>
      <c r="C514" s="32" t="s">
        <v>8906</v>
      </c>
      <c r="D514" s="22" t="s">
        <v>3363</v>
      </c>
      <c r="E514" s="22" t="s">
        <v>7754</v>
      </c>
      <c r="F514" s="22"/>
      <c r="G514" s="22" t="s">
        <v>1925</v>
      </c>
      <c r="H514" s="31" t="s">
        <v>8209</v>
      </c>
      <c r="I514" s="22" t="s">
        <v>8907</v>
      </c>
    </row>
    <row r="515" customFormat="false" ht="24.75" hidden="false" customHeight="true" outlineLevel="0" collapsed="false">
      <c r="A515" s="24" t="s">
        <v>1848</v>
      </c>
      <c r="B515" s="32" t="s">
        <v>8908</v>
      </c>
      <c r="C515" s="32" t="s">
        <v>8909</v>
      </c>
      <c r="D515" s="22" t="s">
        <v>7784</v>
      </c>
      <c r="E515" s="22"/>
      <c r="F515" s="22" t="s">
        <v>8910</v>
      </c>
      <c r="G515" s="22" t="s">
        <v>1925</v>
      </c>
      <c r="H515" s="31" t="s">
        <v>8209</v>
      </c>
      <c r="I515" s="22" t="s">
        <v>8205</v>
      </c>
    </row>
    <row r="516" customFormat="false" ht="15" hidden="false" customHeight="true" outlineLevel="0" collapsed="false">
      <c r="A516" s="24" t="s">
        <v>1848</v>
      </c>
      <c r="B516" s="32" t="s">
        <v>8911</v>
      </c>
      <c r="C516" s="32" t="s">
        <v>6707</v>
      </c>
      <c r="D516" s="22" t="s">
        <v>3363</v>
      </c>
      <c r="E516" s="22"/>
      <c r="F516" s="22" t="s">
        <v>8912</v>
      </c>
      <c r="G516" s="22" t="s">
        <v>1925</v>
      </c>
      <c r="H516" s="31" t="s">
        <v>8209</v>
      </c>
      <c r="I516" s="22" t="s">
        <v>8205</v>
      </c>
    </row>
    <row r="517" customFormat="false" ht="24.75" hidden="false" customHeight="true" outlineLevel="0" collapsed="false">
      <c r="A517" s="24" t="s">
        <v>1848</v>
      </c>
      <c r="B517" s="32" t="s">
        <v>8913</v>
      </c>
      <c r="C517" s="32" t="s">
        <v>8914</v>
      </c>
      <c r="D517" s="22" t="s">
        <v>8185</v>
      </c>
      <c r="E517" s="22"/>
      <c r="F517" s="22" t="s">
        <v>8915</v>
      </c>
      <c r="G517" s="22" t="s">
        <v>1925</v>
      </c>
      <c r="H517" s="31" t="s">
        <v>8209</v>
      </c>
      <c r="I517" s="22" t="s">
        <v>8205</v>
      </c>
    </row>
    <row r="518" customFormat="false" ht="15" hidden="false" customHeight="true" outlineLevel="0" collapsed="false">
      <c r="A518" s="24" t="s">
        <v>1848</v>
      </c>
      <c r="B518" s="32" t="s">
        <v>8916</v>
      </c>
      <c r="C518" s="32" t="s">
        <v>8917</v>
      </c>
      <c r="D518" s="22" t="s">
        <v>8185</v>
      </c>
      <c r="E518" s="22"/>
      <c r="F518" s="22" t="s">
        <v>8918</v>
      </c>
      <c r="G518" s="22" t="s">
        <v>1925</v>
      </c>
      <c r="H518" s="31" t="s">
        <v>8209</v>
      </c>
      <c r="I518" s="22" t="s">
        <v>8205</v>
      </c>
    </row>
    <row r="519" customFormat="false" ht="24.75" hidden="false" customHeight="true" outlineLevel="0" collapsed="false">
      <c r="A519" s="24" t="s">
        <v>1848</v>
      </c>
      <c r="B519" s="32" t="s">
        <v>8919</v>
      </c>
      <c r="C519" s="32" t="s">
        <v>8920</v>
      </c>
      <c r="D519" s="22" t="s">
        <v>8185</v>
      </c>
      <c r="E519" s="22"/>
      <c r="F519" s="22" t="s">
        <v>8921</v>
      </c>
      <c r="G519" s="22" t="s">
        <v>1925</v>
      </c>
      <c r="H519" s="31" t="s">
        <v>8209</v>
      </c>
      <c r="I519" s="22" t="s">
        <v>8205</v>
      </c>
    </row>
    <row r="520" customFormat="false" ht="15" hidden="false" customHeight="true" outlineLevel="0" collapsed="false">
      <c r="A520" s="24" t="s">
        <v>1848</v>
      </c>
      <c r="B520" s="32" t="s">
        <v>8922</v>
      </c>
      <c r="C520" s="32" t="s">
        <v>8007</v>
      </c>
      <c r="D520" s="22" t="s">
        <v>7784</v>
      </c>
      <c r="E520" s="22" t="s">
        <v>7754</v>
      </c>
      <c r="F520" s="22" t="s">
        <v>8923</v>
      </c>
      <c r="G520" s="22" t="s">
        <v>1952</v>
      </c>
      <c r="H520" s="31" t="s">
        <v>8209</v>
      </c>
      <c r="I520" s="22"/>
    </row>
    <row r="521" customFormat="false" ht="24.75" hidden="false" customHeight="true" outlineLevel="0" collapsed="false">
      <c r="A521" s="24" t="s">
        <v>1848</v>
      </c>
      <c r="B521" s="32" t="s">
        <v>8924</v>
      </c>
      <c r="C521" s="32" t="s">
        <v>8925</v>
      </c>
      <c r="D521" s="22" t="s">
        <v>7784</v>
      </c>
      <c r="E521" s="22"/>
      <c r="F521" s="22" t="s">
        <v>8926</v>
      </c>
      <c r="G521" s="22" t="s">
        <v>1952</v>
      </c>
      <c r="H521" s="31" t="s">
        <v>8209</v>
      </c>
      <c r="I521" s="22" t="s">
        <v>8205</v>
      </c>
    </row>
    <row r="522" customFormat="false" ht="15" hidden="false" customHeight="true" outlineLevel="0" collapsed="false">
      <c r="A522" s="24" t="s">
        <v>1848</v>
      </c>
      <c r="B522" s="32" t="s">
        <v>8927</v>
      </c>
      <c r="C522" s="32" t="s">
        <v>8928</v>
      </c>
      <c r="D522" s="22" t="s">
        <v>3363</v>
      </c>
      <c r="E522" s="22" t="s">
        <v>7754</v>
      </c>
      <c r="F522" s="22"/>
      <c r="G522" s="22" t="s">
        <v>1952</v>
      </c>
      <c r="H522" s="35" t="s">
        <v>8132</v>
      </c>
      <c r="I522" s="22"/>
    </row>
    <row r="523" customFormat="false" ht="15" hidden="false" customHeight="true" outlineLevel="0" collapsed="false">
      <c r="A523" s="24" t="s">
        <v>1848</v>
      </c>
      <c r="B523" s="32" t="s">
        <v>8929</v>
      </c>
      <c r="C523" s="32" t="s">
        <v>6700</v>
      </c>
      <c r="D523" s="22" t="s">
        <v>3363</v>
      </c>
      <c r="E523" s="22"/>
      <c r="F523" s="22"/>
      <c r="G523" s="22" t="s">
        <v>1952</v>
      </c>
      <c r="H523" s="35" t="s">
        <v>8132</v>
      </c>
      <c r="I523" s="22" t="s">
        <v>8205</v>
      </c>
    </row>
    <row r="524" customFormat="false" ht="15" hidden="false" customHeight="true" outlineLevel="0" collapsed="false">
      <c r="A524" s="24" t="s">
        <v>1848</v>
      </c>
      <c r="B524" s="32" t="s">
        <v>8930</v>
      </c>
      <c r="C524" s="32" t="s">
        <v>8931</v>
      </c>
      <c r="D524" s="22" t="s">
        <v>3363</v>
      </c>
      <c r="E524" s="22" t="s">
        <v>7754</v>
      </c>
      <c r="F524" s="22"/>
      <c r="G524" s="22" t="s">
        <v>1952</v>
      </c>
      <c r="H524" s="35" t="s">
        <v>8132</v>
      </c>
      <c r="I524" s="22"/>
    </row>
    <row r="525" customFormat="false" ht="15" hidden="false" customHeight="true" outlineLevel="0" collapsed="false">
      <c r="A525" s="24" t="s">
        <v>1848</v>
      </c>
      <c r="B525" s="32" t="s">
        <v>8932</v>
      </c>
      <c r="C525" s="32" t="s">
        <v>6703</v>
      </c>
      <c r="D525" s="22" t="s">
        <v>3363</v>
      </c>
      <c r="E525" s="22"/>
      <c r="F525" s="22"/>
      <c r="G525" s="22" t="s">
        <v>1952</v>
      </c>
      <c r="H525" s="35" t="s">
        <v>8132</v>
      </c>
      <c r="I525" s="22" t="s">
        <v>8205</v>
      </c>
    </row>
    <row r="526" customFormat="false" ht="15" hidden="false" customHeight="true" outlineLevel="0" collapsed="false">
      <c r="A526" s="24" t="s">
        <v>1848</v>
      </c>
      <c r="B526" s="32" t="s">
        <v>8933</v>
      </c>
      <c r="C526" s="32" t="s">
        <v>7762</v>
      </c>
      <c r="D526" s="22" t="s">
        <v>8185</v>
      </c>
      <c r="E526" s="22" t="s">
        <v>7754</v>
      </c>
      <c r="F526" s="22" t="s">
        <v>7763</v>
      </c>
      <c r="G526" s="22" t="s">
        <v>1952</v>
      </c>
      <c r="H526" s="31" t="s">
        <v>8209</v>
      </c>
      <c r="I526" s="22"/>
    </row>
    <row r="527" customFormat="false" ht="24.75" hidden="false" customHeight="true" outlineLevel="0" collapsed="false">
      <c r="A527" s="24" t="s">
        <v>1848</v>
      </c>
      <c r="B527" s="32" t="s">
        <v>8934</v>
      </c>
      <c r="C527" s="32" t="s">
        <v>8935</v>
      </c>
      <c r="D527" s="22" t="s">
        <v>8185</v>
      </c>
      <c r="E527" s="22"/>
      <c r="F527" s="22" t="s">
        <v>8936</v>
      </c>
      <c r="G527" s="22" t="s">
        <v>1952</v>
      </c>
      <c r="H527" s="31" t="s">
        <v>8209</v>
      </c>
      <c r="I527" s="22" t="s">
        <v>8205</v>
      </c>
    </row>
    <row r="528" customFormat="false" ht="24.75" hidden="false" customHeight="true" outlineLevel="0" collapsed="false">
      <c r="A528" s="24" t="s">
        <v>1929</v>
      </c>
      <c r="B528" s="32" t="s">
        <v>8937</v>
      </c>
      <c r="C528" s="32" t="s">
        <v>6637</v>
      </c>
      <c r="D528" s="22" t="s">
        <v>3363</v>
      </c>
      <c r="E528" s="22" t="s">
        <v>3359</v>
      </c>
      <c r="F528" s="22" t="s">
        <v>8938</v>
      </c>
      <c r="G528" s="22" t="s">
        <v>8939</v>
      </c>
      <c r="H528" s="31" t="s">
        <v>8209</v>
      </c>
      <c r="I528" s="22" t="s">
        <v>8940</v>
      </c>
    </row>
    <row r="529" customFormat="false" ht="24.75" hidden="false" customHeight="true" outlineLevel="0" collapsed="false">
      <c r="A529" s="24" t="s">
        <v>1930</v>
      </c>
      <c r="B529" s="32" t="s">
        <v>8937</v>
      </c>
      <c r="C529" s="32" t="s">
        <v>7489</v>
      </c>
      <c r="D529" s="22" t="s">
        <v>3363</v>
      </c>
      <c r="E529" s="22" t="s">
        <v>3359</v>
      </c>
      <c r="F529" s="22" t="s">
        <v>8941</v>
      </c>
      <c r="G529" s="22" t="s">
        <v>8939</v>
      </c>
      <c r="H529" s="31" t="s">
        <v>8209</v>
      </c>
      <c r="I529" s="22" t="s">
        <v>8942</v>
      </c>
    </row>
    <row r="530" customFormat="false" ht="15" hidden="false" customHeight="true" outlineLevel="0" collapsed="false">
      <c r="A530" s="24" t="s">
        <v>1929</v>
      </c>
      <c r="B530" s="32" t="s">
        <v>4071</v>
      </c>
      <c r="C530" s="32" t="s">
        <v>7243</v>
      </c>
      <c r="D530" s="22" t="s">
        <v>3363</v>
      </c>
      <c r="E530" s="22" t="s">
        <v>3359</v>
      </c>
      <c r="F530" s="22" t="s">
        <v>8943</v>
      </c>
      <c r="G530" s="22" t="s">
        <v>8939</v>
      </c>
      <c r="H530" s="35" t="s">
        <v>8132</v>
      </c>
      <c r="I530" s="22"/>
    </row>
    <row r="531" customFormat="false" ht="24.75" hidden="false" customHeight="true" outlineLevel="0" collapsed="false">
      <c r="A531" s="24" t="s">
        <v>637</v>
      </c>
      <c r="B531" s="32" t="s">
        <v>8944</v>
      </c>
      <c r="C531" s="32" t="s">
        <v>7764</v>
      </c>
      <c r="D531" s="22" t="s">
        <v>8185</v>
      </c>
      <c r="E531" s="22" t="s">
        <v>7754</v>
      </c>
      <c r="F531" s="22" t="s">
        <v>7765</v>
      </c>
      <c r="G531" s="22" t="s">
        <v>1977</v>
      </c>
      <c r="H531" s="35" t="s">
        <v>8132</v>
      </c>
      <c r="I531" s="22"/>
    </row>
    <row r="532" customFormat="false" ht="15" hidden="false" customHeight="true" outlineLevel="0" collapsed="false">
      <c r="A532" s="24" t="s">
        <v>637</v>
      </c>
      <c r="B532" s="32" t="s">
        <v>8945</v>
      </c>
      <c r="C532" s="32" t="s">
        <v>7243</v>
      </c>
      <c r="D532" s="22" t="s">
        <v>8185</v>
      </c>
      <c r="E532" s="22"/>
      <c r="F532" s="22" t="s">
        <v>8946</v>
      </c>
      <c r="G532" s="22" t="s">
        <v>1977</v>
      </c>
      <c r="H532" s="35" t="s">
        <v>8132</v>
      </c>
      <c r="I532" s="22" t="s">
        <v>8205</v>
      </c>
    </row>
    <row r="533" customFormat="false" ht="15" hidden="false" customHeight="true" outlineLevel="0" collapsed="false">
      <c r="A533" s="24" t="s">
        <v>1929</v>
      </c>
      <c r="B533" s="32" t="s">
        <v>8947</v>
      </c>
      <c r="C533" s="32" t="s">
        <v>7454</v>
      </c>
      <c r="D533" s="22" t="s">
        <v>3363</v>
      </c>
      <c r="E533" s="22" t="s">
        <v>3394</v>
      </c>
      <c r="F533" s="22" t="s">
        <v>8948</v>
      </c>
      <c r="G533" s="22" t="s">
        <v>1977</v>
      </c>
      <c r="H533" s="35" t="s">
        <v>8132</v>
      </c>
      <c r="I533" s="22"/>
    </row>
    <row r="534" customFormat="false" ht="37.5" hidden="false" customHeight="true" outlineLevel="0" collapsed="false">
      <c r="A534" s="24" t="s">
        <v>637</v>
      </c>
      <c r="B534" s="32" t="s">
        <v>8009</v>
      </c>
      <c r="C534" s="32" t="s">
        <v>8009</v>
      </c>
      <c r="D534" s="22" t="s">
        <v>7784</v>
      </c>
      <c r="E534" s="22" t="s">
        <v>3713</v>
      </c>
      <c r="F534" s="22" t="s">
        <v>8949</v>
      </c>
      <c r="G534" s="22" t="s">
        <v>1977</v>
      </c>
      <c r="H534" s="31" t="s">
        <v>8209</v>
      </c>
      <c r="I534" s="22"/>
    </row>
    <row r="535" customFormat="false" ht="15" hidden="false" customHeight="true" outlineLevel="0" collapsed="false">
      <c r="A535" s="24" t="s">
        <v>1563</v>
      </c>
      <c r="B535" s="32" t="s">
        <v>6796</v>
      </c>
      <c r="C535" s="32" t="s">
        <v>6796</v>
      </c>
      <c r="D535" s="22" t="s">
        <v>3363</v>
      </c>
      <c r="E535" s="22" t="s">
        <v>3359</v>
      </c>
      <c r="F535" s="22" t="s">
        <v>8950</v>
      </c>
      <c r="G535" s="22" t="s">
        <v>2743</v>
      </c>
      <c r="H535" s="35" t="s">
        <v>8132</v>
      </c>
      <c r="I535" s="22"/>
    </row>
    <row r="536" customFormat="false" ht="15" hidden="false" customHeight="true" outlineLevel="0" collapsed="false">
      <c r="A536" s="24" t="s">
        <v>2011</v>
      </c>
      <c r="B536" s="32" t="s">
        <v>6796</v>
      </c>
      <c r="C536" s="32" t="s">
        <v>6796</v>
      </c>
      <c r="D536" s="22" t="s">
        <v>3363</v>
      </c>
      <c r="E536" s="22" t="s">
        <v>3359</v>
      </c>
      <c r="F536" s="22" t="s">
        <v>8951</v>
      </c>
      <c r="G536" s="22" t="s">
        <v>2743</v>
      </c>
      <c r="H536" s="35" t="s">
        <v>8132</v>
      </c>
      <c r="I536" s="22"/>
    </row>
    <row r="537" customFormat="false" ht="24.75" hidden="false" customHeight="true" outlineLevel="0" collapsed="false">
      <c r="A537" s="24" t="s">
        <v>1563</v>
      </c>
      <c r="B537" s="32" t="s">
        <v>6788</v>
      </c>
      <c r="C537" s="32" t="s">
        <v>6788</v>
      </c>
      <c r="D537" s="22" t="s">
        <v>3363</v>
      </c>
      <c r="E537" s="22" t="s">
        <v>3359</v>
      </c>
      <c r="F537" s="22" t="s">
        <v>8952</v>
      </c>
      <c r="G537" s="22" t="s">
        <v>8953</v>
      </c>
      <c r="H537" s="35" t="s">
        <v>8132</v>
      </c>
      <c r="I537" s="22"/>
    </row>
    <row r="538" customFormat="false" ht="15" hidden="false" customHeight="true" outlineLevel="0" collapsed="false">
      <c r="A538" s="24" t="s">
        <v>2011</v>
      </c>
      <c r="B538" s="32" t="s">
        <v>6788</v>
      </c>
      <c r="C538" s="32" t="s">
        <v>6788</v>
      </c>
      <c r="D538" s="22" t="s">
        <v>3363</v>
      </c>
      <c r="E538" s="22" t="s">
        <v>3359</v>
      </c>
      <c r="F538" s="22" t="s">
        <v>8954</v>
      </c>
      <c r="G538" s="22" t="s">
        <v>3166</v>
      </c>
      <c r="H538" s="35" t="s">
        <v>8132</v>
      </c>
      <c r="I538" s="22"/>
    </row>
    <row r="539" customFormat="false" ht="15" hidden="false" customHeight="true" outlineLevel="0" collapsed="false">
      <c r="A539" s="24" t="s">
        <v>1563</v>
      </c>
      <c r="B539" s="32" t="s">
        <v>8955</v>
      </c>
      <c r="C539" s="32" t="s">
        <v>6840</v>
      </c>
      <c r="D539" s="22" t="s">
        <v>3363</v>
      </c>
      <c r="E539" s="22" t="s">
        <v>3394</v>
      </c>
      <c r="F539" s="22" t="s">
        <v>8730</v>
      </c>
      <c r="G539" s="22" t="s">
        <v>8956</v>
      </c>
      <c r="H539" s="35" t="s">
        <v>8132</v>
      </c>
      <c r="I539" s="22"/>
    </row>
    <row r="540" customFormat="false" ht="15" hidden="false" customHeight="true" outlineLevel="0" collapsed="false">
      <c r="A540" s="24" t="s">
        <v>2011</v>
      </c>
      <c r="B540" s="32" t="s">
        <v>6899</v>
      </c>
      <c r="C540" s="32" t="s">
        <v>6899</v>
      </c>
      <c r="D540" s="22" t="s">
        <v>3363</v>
      </c>
      <c r="E540" s="22" t="s">
        <v>3437</v>
      </c>
      <c r="F540" s="22" t="s">
        <v>8957</v>
      </c>
      <c r="G540" s="22" t="s">
        <v>2007</v>
      </c>
      <c r="H540" s="35" t="s">
        <v>8132</v>
      </c>
      <c r="I540" s="22"/>
    </row>
    <row r="541" customFormat="false" ht="15" hidden="false" customHeight="true" outlineLevel="0" collapsed="false">
      <c r="A541" s="24" t="s">
        <v>1563</v>
      </c>
      <c r="B541" s="32" t="s">
        <v>6847</v>
      </c>
      <c r="C541" s="32" t="s">
        <v>6847</v>
      </c>
      <c r="D541" s="22" t="s">
        <v>3363</v>
      </c>
      <c r="E541" s="22" t="s">
        <v>3394</v>
      </c>
      <c r="F541" s="22" t="s">
        <v>8958</v>
      </c>
      <c r="G541" s="22" t="s">
        <v>2743</v>
      </c>
      <c r="H541" s="35" t="s">
        <v>8132</v>
      </c>
      <c r="I541" s="22"/>
    </row>
    <row r="542" customFormat="false" ht="15" hidden="false" customHeight="true" outlineLevel="0" collapsed="false">
      <c r="A542" s="24" t="s">
        <v>2011</v>
      </c>
      <c r="B542" s="32" t="s">
        <v>6904</v>
      </c>
      <c r="C542" s="32" t="s">
        <v>6904</v>
      </c>
      <c r="D542" s="22" t="s">
        <v>3363</v>
      </c>
      <c r="E542" s="22" t="s">
        <v>3437</v>
      </c>
      <c r="F542" s="22" t="s">
        <v>8959</v>
      </c>
      <c r="G542" s="22" t="s">
        <v>3166</v>
      </c>
      <c r="H542" s="35" t="s">
        <v>8132</v>
      </c>
      <c r="I542" s="22"/>
    </row>
    <row r="543" customFormat="false" ht="15" hidden="false" customHeight="true" outlineLevel="0" collapsed="false">
      <c r="A543" s="24" t="s">
        <v>1563</v>
      </c>
      <c r="B543" s="32" t="s">
        <v>6849</v>
      </c>
      <c r="C543" s="32" t="s">
        <v>6849</v>
      </c>
      <c r="D543" s="22" t="s">
        <v>3363</v>
      </c>
      <c r="E543" s="22" t="s">
        <v>3394</v>
      </c>
      <c r="F543" s="22" t="s">
        <v>8960</v>
      </c>
      <c r="G543" s="22" t="s">
        <v>2007</v>
      </c>
      <c r="H543" s="35" t="s">
        <v>8132</v>
      </c>
      <c r="I543" s="22"/>
    </row>
    <row r="544" customFormat="false" ht="15" hidden="false" customHeight="true" outlineLevel="0" collapsed="false">
      <c r="A544" s="24" t="s">
        <v>2011</v>
      </c>
      <c r="B544" s="32" t="s">
        <v>6849</v>
      </c>
      <c r="C544" s="32" t="s">
        <v>6849</v>
      </c>
      <c r="D544" s="22" t="s">
        <v>3363</v>
      </c>
      <c r="E544" s="22" t="s">
        <v>3437</v>
      </c>
      <c r="F544" s="22" t="s">
        <v>8961</v>
      </c>
      <c r="G544" s="22" t="s">
        <v>2007</v>
      </c>
      <c r="H544" s="35" t="s">
        <v>8132</v>
      </c>
      <c r="I544" s="22"/>
    </row>
    <row r="545" customFormat="false" ht="15" hidden="false" customHeight="true" outlineLevel="0" collapsed="false">
      <c r="A545" s="24" t="s">
        <v>1563</v>
      </c>
      <c r="B545" s="32" t="s">
        <v>6851</v>
      </c>
      <c r="C545" s="32" t="s">
        <v>6851</v>
      </c>
      <c r="D545" s="22" t="s">
        <v>3363</v>
      </c>
      <c r="E545" s="22" t="s">
        <v>3394</v>
      </c>
      <c r="F545" s="22" t="s">
        <v>8962</v>
      </c>
      <c r="G545" s="22" t="s">
        <v>2007</v>
      </c>
      <c r="H545" s="35" t="s">
        <v>8132</v>
      </c>
      <c r="I545" s="22"/>
    </row>
    <row r="546" customFormat="false" ht="15" hidden="false" customHeight="true" outlineLevel="0" collapsed="false">
      <c r="A546" s="24" t="s">
        <v>2011</v>
      </c>
      <c r="B546" s="32" t="s">
        <v>6851</v>
      </c>
      <c r="C546" s="32" t="s">
        <v>6851</v>
      </c>
      <c r="D546" s="22" t="s">
        <v>3363</v>
      </c>
      <c r="E546" s="22" t="s">
        <v>3437</v>
      </c>
      <c r="F546" s="22" t="s">
        <v>8963</v>
      </c>
      <c r="G546" s="22" t="s">
        <v>8964</v>
      </c>
      <c r="H546" s="35" t="s">
        <v>8132</v>
      </c>
      <c r="I546" s="22"/>
    </row>
    <row r="547" customFormat="false" ht="15" hidden="false" customHeight="true" outlineLevel="0" collapsed="false">
      <c r="A547" s="24" t="s">
        <v>1563</v>
      </c>
      <c r="B547" s="32" t="s">
        <v>6855</v>
      </c>
      <c r="C547" s="32" t="s">
        <v>6855</v>
      </c>
      <c r="D547" s="22" t="s">
        <v>3363</v>
      </c>
      <c r="E547" s="22" t="s">
        <v>3394</v>
      </c>
      <c r="F547" s="22" t="s">
        <v>8965</v>
      </c>
      <c r="G547" s="22" t="s">
        <v>2007</v>
      </c>
      <c r="H547" s="35" t="s">
        <v>8132</v>
      </c>
      <c r="I547" s="22"/>
    </row>
    <row r="548" customFormat="false" ht="15" hidden="false" customHeight="true" outlineLevel="0" collapsed="false">
      <c r="A548" s="24" t="s">
        <v>2011</v>
      </c>
      <c r="B548" s="32" t="s">
        <v>8966</v>
      </c>
      <c r="C548" s="32" t="s">
        <v>6914</v>
      </c>
      <c r="D548" s="22" t="s">
        <v>3363</v>
      </c>
      <c r="E548" s="22" t="s">
        <v>3437</v>
      </c>
      <c r="F548" s="22" t="s">
        <v>8967</v>
      </c>
      <c r="G548" s="22" t="s">
        <v>8964</v>
      </c>
      <c r="H548" s="35" t="s">
        <v>8132</v>
      </c>
      <c r="I548" s="22"/>
    </row>
    <row r="549" customFormat="false" ht="15" hidden="false" customHeight="true" outlineLevel="0" collapsed="false">
      <c r="A549" s="24" t="s">
        <v>1563</v>
      </c>
      <c r="B549" s="32" t="s">
        <v>8968</v>
      </c>
      <c r="C549" s="32" t="s">
        <v>6876</v>
      </c>
      <c r="D549" s="22" t="s">
        <v>3363</v>
      </c>
      <c r="E549" s="22" t="s">
        <v>3394</v>
      </c>
      <c r="F549" s="22" t="s">
        <v>8969</v>
      </c>
      <c r="G549" s="22" t="s">
        <v>2007</v>
      </c>
      <c r="H549" s="35" t="s">
        <v>8132</v>
      </c>
      <c r="I549" s="22"/>
    </row>
    <row r="550" customFormat="false" ht="15" hidden="false" customHeight="true" outlineLevel="0" collapsed="false">
      <c r="A550" s="24" t="s">
        <v>2011</v>
      </c>
      <c r="B550" s="32" t="s">
        <v>8970</v>
      </c>
      <c r="C550" s="32" t="s">
        <v>6919</v>
      </c>
      <c r="D550" s="22" t="s">
        <v>3363</v>
      </c>
      <c r="E550" s="22" t="s">
        <v>3437</v>
      </c>
      <c r="F550" s="22" t="s">
        <v>8971</v>
      </c>
      <c r="G550" s="22" t="s">
        <v>8964</v>
      </c>
      <c r="H550" s="35" t="s">
        <v>8132</v>
      </c>
      <c r="I550" s="22"/>
    </row>
    <row r="551" customFormat="false" ht="15" hidden="false" customHeight="true" outlineLevel="0" collapsed="false">
      <c r="A551" s="24" t="s">
        <v>1563</v>
      </c>
      <c r="B551" s="32" t="s">
        <v>8972</v>
      </c>
      <c r="C551" s="32" t="s">
        <v>6879</v>
      </c>
      <c r="D551" s="22" t="s">
        <v>3363</v>
      </c>
      <c r="E551" s="22" t="s">
        <v>3394</v>
      </c>
      <c r="F551" s="22" t="s">
        <v>8973</v>
      </c>
      <c r="G551" s="22" t="s">
        <v>2007</v>
      </c>
      <c r="H551" s="35" t="s">
        <v>8132</v>
      </c>
      <c r="I551" s="22"/>
    </row>
    <row r="552" customFormat="false" ht="15" hidden="false" customHeight="true" outlineLevel="0" collapsed="false">
      <c r="A552" s="24" t="s">
        <v>2011</v>
      </c>
      <c r="B552" s="32" t="s">
        <v>8974</v>
      </c>
      <c r="C552" s="32" t="s">
        <v>6924</v>
      </c>
      <c r="D552" s="22" t="s">
        <v>3363</v>
      </c>
      <c r="E552" s="22" t="s">
        <v>3437</v>
      </c>
      <c r="F552" s="22" t="s">
        <v>8975</v>
      </c>
      <c r="G552" s="22" t="s">
        <v>8964</v>
      </c>
      <c r="H552" s="35" t="s">
        <v>8132</v>
      </c>
      <c r="I552" s="22"/>
    </row>
    <row r="553" customFormat="false" ht="15" hidden="false" customHeight="true" outlineLevel="0" collapsed="false">
      <c r="A553" s="24" t="s">
        <v>1563</v>
      </c>
      <c r="B553" s="32" t="s">
        <v>6928</v>
      </c>
      <c r="C553" s="32" t="s">
        <v>6819</v>
      </c>
      <c r="D553" s="22" t="s">
        <v>3363</v>
      </c>
      <c r="E553" s="22" t="s">
        <v>3394</v>
      </c>
      <c r="F553" s="22" t="s">
        <v>8976</v>
      </c>
      <c r="G553" s="22" t="s">
        <v>2007</v>
      </c>
      <c r="H553" s="35" t="s">
        <v>8132</v>
      </c>
      <c r="I553" s="22" t="s">
        <v>8977</v>
      </c>
    </row>
    <row r="554" customFormat="false" ht="15" hidden="false" customHeight="true" outlineLevel="0" collapsed="false">
      <c r="A554" s="24" t="s">
        <v>2011</v>
      </c>
      <c r="B554" s="32" t="s">
        <v>6928</v>
      </c>
      <c r="C554" s="32" t="s">
        <v>6928</v>
      </c>
      <c r="D554" s="22" t="s">
        <v>3363</v>
      </c>
      <c r="E554" s="22" t="s">
        <v>3437</v>
      </c>
      <c r="F554" s="22" t="s">
        <v>8978</v>
      </c>
      <c r="G554" s="22" t="s">
        <v>2007</v>
      </c>
      <c r="H554" s="35" t="s">
        <v>8132</v>
      </c>
      <c r="I554" s="22"/>
    </row>
    <row r="555" customFormat="false" ht="15" hidden="false" customHeight="true" outlineLevel="0" collapsed="false">
      <c r="A555" s="24" t="s">
        <v>2011</v>
      </c>
      <c r="B555" s="32" t="s">
        <v>6982</v>
      </c>
      <c r="C555" s="32" t="s">
        <v>6982</v>
      </c>
      <c r="D555" s="22" t="s">
        <v>3363</v>
      </c>
      <c r="E555" s="22" t="s">
        <v>3359</v>
      </c>
      <c r="F555" s="22" t="s">
        <v>8979</v>
      </c>
      <c r="G555" s="22" t="s">
        <v>2036</v>
      </c>
      <c r="H555" s="35" t="s">
        <v>8132</v>
      </c>
      <c r="I555" s="22"/>
    </row>
    <row r="556" customFormat="false" ht="15" hidden="false" customHeight="true" outlineLevel="0" collapsed="false">
      <c r="A556" s="24" t="s">
        <v>2040</v>
      </c>
      <c r="B556" s="32" t="s">
        <v>6982</v>
      </c>
      <c r="C556" s="32" t="s">
        <v>6982</v>
      </c>
      <c r="D556" s="22" t="s">
        <v>3363</v>
      </c>
      <c r="E556" s="22" t="s">
        <v>3359</v>
      </c>
      <c r="F556" s="22" t="s">
        <v>8980</v>
      </c>
      <c r="G556" s="22" t="s">
        <v>2036</v>
      </c>
      <c r="H556" s="35" t="s">
        <v>8132</v>
      </c>
      <c r="I556" s="22"/>
    </row>
    <row r="557" customFormat="false" ht="15" hidden="false" customHeight="true" outlineLevel="0" collapsed="false">
      <c r="A557" s="24" t="s">
        <v>2040</v>
      </c>
      <c r="B557" s="32" t="s">
        <v>6788</v>
      </c>
      <c r="C557" s="32" t="s">
        <v>6788</v>
      </c>
      <c r="D557" s="22" t="s">
        <v>3363</v>
      </c>
      <c r="E557" s="22" t="s">
        <v>3359</v>
      </c>
      <c r="F557" s="22" t="s">
        <v>8981</v>
      </c>
      <c r="G557" s="22" t="s">
        <v>3176</v>
      </c>
      <c r="H557" s="35" t="s">
        <v>8132</v>
      </c>
      <c r="I557" s="22"/>
    </row>
    <row r="558" customFormat="false" ht="24.75" hidden="false" customHeight="true" outlineLevel="0" collapsed="false">
      <c r="A558" s="24" t="s">
        <v>2040</v>
      </c>
      <c r="B558" s="32" t="s">
        <v>8982</v>
      </c>
      <c r="C558" s="32" t="s">
        <v>7038</v>
      </c>
      <c r="D558" s="22" t="s">
        <v>3363</v>
      </c>
      <c r="E558" s="22" t="s">
        <v>3359</v>
      </c>
      <c r="F558" s="22" t="s">
        <v>8983</v>
      </c>
      <c r="G558" s="22" t="s">
        <v>2036</v>
      </c>
      <c r="H558" s="31" t="s">
        <v>8209</v>
      </c>
      <c r="I558" s="22" t="s">
        <v>8984</v>
      </c>
    </row>
    <row r="559" customFormat="false" ht="24.75" hidden="false" customHeight="true" outlineLevel="0" collapsed="false">
      <c r="A559" s="24" t="s">
        <v>2041</v>
      </c>
      <c r="B559" s="32" t="s">
        <v>8011</v>
      </c>
      <c r="C559" s="32" t="s">
        <v>8011</v>
      </c>
      <c r="D559" s="22" t="s">
        <v>7784</v>
      </c>
      <c r="E559" s="22" t="s">
        <v>3359</v>
      </c>
      <c r="F559" s="22" t="s">
        <v>8985</v>
      </c>
      <c r="G559" s="22" t="s">
        <v>2036</v>
      </c>
      <c r="H559" s="31" t="s">
        <v>8209</v>
      </c>
      <c r="I559" s="22"/>
    </row>
    <row r="560" customFormat="false" ht="15" hidden="false" customHeight="true" outlineLevel="0" collapsed="false">
      <c r="A560" s="24" t="s">
        <v>2040</v>
      </c>
      <c r="B560" s="32" t="s">
        <v>8986</v>
      </c>
      <c r="C560" s="32" t="s">
        <v>8013</v>
      </c>
      <c r="D560" s="22" t="s">
        <v>7784</v>
      </c>
      <c r="E560" s="22" t="s">
        <v>3437</v>
      </c>
      <c r="F560" s="22" t="s">
        <v>8987</v>
      </c>
      <c r="G560" s="22" t="s">
        <v>2036</v>
      </c>
      <c r="H560" s="35" t="s">
        <v>8132</v>
      </c>
      <c r="I560" s="22"/>
    </row>
    <row r="561" customFormat="false" ht="15" hidden="false" customHeight="true" outlineLevel="0" collapsed="false">
      <c r="A561" s="24" t="s">
        <v>2040</v>
      </c>
      <c r="B561" s="32" t="s">
        <v>8988</v>
      </c>
      <c r="C561" s="32" t="s">
        <v>7025</v>
      </c>
      <c r="D561" s="22" t="s">
        <v>3363</v>
      </c>
      <c r="E561" s="22" t="s">
        <v>3437</v>
      </c>
      <c r="F561" s="22" t="s">
        <v>8989</v>
      </c>
      <c r="G561" s="22" t="s">
        <v>2036</v>
      </c>
      <c r="H561" s="35" t="s">
        <v>8132</v>
      </c>
      <c r="I561" s="22"/>
    </row>
    <row r="562" customFormat="false" ht="15" hidden="false" customHeight="true" outlineLevel="0" collapsed="false">
      <c r="A562" s="24" t="s">
        <v>2040</v>
      </c>
      <c r="B562" s="32" t="s">
        <v>8990</v>
      </c>
      <c r="C562" s="32" t="s">
        <v>7028</v>
      </c>
      <c r="D562" s="22" t="s">
        <v>3363</v>
      </c>
      <c r="E562" s="22" t="s">
        <v>3437</v>
      </c>
      <c r="F562" s="22" t="s">
        <v>8991</v>
      </c>
      <c r="G562" s="22" t="s">
        <v>2036</v>
      </c>
      <c r="H562" s="35" t="s">
        <v>8132</v>
      </c>
      <c r="I562" s="22"/>
    </row>
    <row r="563" customFormat="false" ht="15" hidden="false" customHeight="true" outlineLevel="0" collapsed="false">
      <c r="A563" s="24" t="s">
        <v>2040</v>
      </c>
      <c r="B563" s="32" t="s">
        <v>8992</v>
      </c>
      <c r="C563" s="32" t="s">
        <v>7022</v>
      </c>
      <c r="D563" s="22" t="s">
        <v>3363</v>
      </c>
      <c r="E563" s="22" t="s">
        <v>3437</v>
      </c>
      <c r="F563" s="22" t="s">
        <v>8993</v>
      </c>
      <c r="G563" s="22" t="s">
        <v>2036</v>
      </c>
      <c r="H563" s="35" t="s">
        <v>8132</v>
      </c>
      <c r="I563" s="22"/>
    </row>
    <row r="564" customFormat="false" ht="15" hidden="false" customHeight="true" outlineLevel="0" collapsed="false">
      <c r="A564" s="24" t="s">
        <v>2040</v>
      </c>
      <c r="B564" s="32" t="s">
        <v>6889</v>
      </c>
      <c r="C564" s="32" t="s">
        <v>6889</v>
      </c>
      <c r="D564" s="22" t="s">
        <v>3363</v>
      </c>
      <c r="E564" s="22" t="s">
        <v>3389</v>
      </c>
      <c r="F564" s="22" t="s">
        <v>8994</v>
      </c>
      <c r="G564" s="22" t="s">
        <v>3176</v>
      </c>
      <c r="H564" s="35" t="s">
        <v>8132</v>
      </c>
      <c r="I564" s="22"/>
    </row>
    <row r="565" customFormat="false" ht="15" hidden="false" customHeight="true" outlineLevel="0" collapsed="false">
      <c r="A565" s="24" t="s">
        <v>2041</v>
      </c>
      <c r="B565" s="32" t="s">
        <v>7308</v>
      </c>
      <c r="C565" s="32" t="s">
        <v>7308</v>
      </c>
      <c r="D565" s="22" t="s">
        <v>3363</v>
      </c>
      <c r="E565" s="22" t="s">
        <v>3389</v>
      </c>
      <c r="F565" s="22" t="s">
        <v>8995</v>
      </c>
      <c r="G565" s="22" t="s">
        <v>2036</v>
      </c>
      <c r="H565" s="35" t="s">
        <v>8132</v>
      </c>
      <c r="I565" s="22"/>
    </row>
    <row r="566" customFormat="false" ht="15" hidden="false" customHeight="true" outlineLevel="0" collapsed="false">
      <c r="A566" s="24" t="s">
        <v>1563</v>
      </c>
      <c r="B566" s="32" t="s">
        <v>6800</v>
      </c>
      <c r="C566" s="32" t="s">
        <v>6800</v>
      </c>
      <c r="D566" s="22" t="s">
        <v>3363</v>
      </c>
      <c r="E566" s="22" t="s">
        <v>3359</v>
      </c>
      <c r="F566" s="22" t="s">
        <v>8996</v>
      </c>
      <c r="G566" s="22" t="s">
        <v>2065</v>
      </c>
      <c r="H566" s="35" t="s">
        <v>8132</v>
      </c>
      <c r="I566" s="22"/>
    </row>
    <row r="567" customFormat="false" ht="15" hidden="false" customHeight="true" outlineLevel="0" collapsed="false">
      <c r="A567" s="24" t="s">
        <v>2069</v>
      </c>
      <c r="B567" s="32" t="s">
        <v>7055</v>
      </c>
      <c r="C567" s="32" t="s">
        <v>7055</v>
      </c>
      <c r="D567" s="22" t="s">
        <v>3363</v>
      </c>
      <c r="E567" s="22" t="s">
        <v>3359</v>
      </c>
      <c r="F567" s="22" t="s">
        <v>8997</v>
      </c>
      <c r="G567" s="22" t="s">
        <v>2065</v>
      </c>
      <c r="H567" s="35" t="s">
        <v>8132</v>
      </c>
      <c r="I567" s="22"/>
    </row>
    <row r="568" customFormat="false" ht="15" hidden="false" customHeight="true" outlineLevel="0" collapsed="false">
      <c r="A568" s="24" t="s">
        <v>2069</v>
      </c>
      <c r="B568" s="32" t="s">
        <v>6788</v>
      </c>
      <c r="C568" s="32" t="s">
        <v>7050</v>
      </c>
      <c r="D568" s="22" t="s">
        <v>3363</v>
      </c>
      <c r="E568" s="22" t="s">
        <v>3359</v>
      </c>
      <c r="F568" s="22" t="s">
        <v>8998</v>
      </c>
      <c r="G568" s="22" t="s">
        <v>2065</v>
      </c>
      <c r="H568" s="35" t="s">
        <v>8132</v>
      </c>
      <c r="I568" s="22"/>
    </row>
    <row r="569" customFormat="false" ht="15" hidden="false" customHeight="true" outlineLevel="0" collapsed="false">
      <c r="A569" s="24" t="s">
        <v>2070</v>
      </c>
      <c r="B569" s="32" t="s">
        <v>6788</v>
      </c>
      <c r="C569" s="32" t="s">
        <v>7091</v>
      </c>
      <c r="D569" s="22" t="s">
        <v>3363</v>
      </c>
      <c r="E569" s="22" t="s">
        <v>3359</v>
      </c>
      <c r="F569" s="22" t="s">
        <v>8999</v>
      </c>
      <c r="G569" s="22" t="s">
        <v>3195</v>
      </c>
      <c r="H569" s="35" t="s">
        <v>8132</v>
      </c>
      <c r="I569" s="22"/>
    </row>
    <row r="570" customFormat="false" ht="15" hidden="false" customHeight="true" outlineLevel="0" collapsed="false">
      <c r="A570" s="24" t="s">
        <v>1563</v>
      </c>
      <c r="B570" s="32" t="s">
        <v>6853</v>
      </c>
      <c r="C570" s="32" t="s">
        <v>6853</v>
      </c>
      <c r="D570" s="22" t="s">
        <v>3363</v>
      </c>
      <c r="E570" s="22" t="s">
        <v>3394</v>
      </c>
      <c r="F570" s="22" t="s">
        <v>9000</v>
      </c>
      <c r="G570" s="22" t="s">
        <v>2065</v>
      </c>
      <c r="H570" s="35" t="s">
        <v>8132</v>
      </c>
      <c r="I570" s="22"/>
    </row>
    <row r="571" customFormat="false" ht="15" hidden="false" customHeight="true" outlineLevel="0" collapsed="false">
      <c r="A571" s="24" t="s">
        <v>2069</v>
      </c>
      <c r="B571" s="32" t="s">
        <v>7065</v>
      </c>
      <c r="C571" s="32" t="s">
        <v>7065</v>
      </c>
      <c r="D571" s="22" t="s">
        <v>3363</v>
      </c>
      <c r="E571" s="22" t="s">
        <v>3394</v>
      </c>
      <c r="F571" s="22" t="s">
        <v>9001</v>
      </c>
      <c r="G571" s="22" t="s">
        <v>2065</v>
      </c>
      <c r="H571" s="35" t="s">
        <v>8132</v>
      </c>
      <c r="I571" s="22"/>
    </row>
    <row r="572" customFormat="false" ht="15" hidden="false" customHeight="true" outlineLevel="0" collapsed="false">
      <c r="A572" s="24" t="s">
        <v>1563</v>
      </c>
      <c r="B572" s="32" t="s">
        <v>9002</v>
      </c>
      <c r="C572" s="32" t="s">
        <v>6816</v>
      </c>
      <c r="D572" s="22" t="s">
        <v>3363</v>
      </c>
      <c r="E572" s="22" t="s">
        <v>3394</v>
      </c>
      <c r="F572" s="22" t="s">
        <v>9003</v>
      </c>
      <c r="G572" s="22" t="s">
        <v>2065</v>
      </c>
      <c r="H572" s="35" t="s">
        <v>8132</v>
      </c>
      <c r="I572" s="22"/>
    </row>
    <row r="573" customFormat="false" ht="15" hidden="false" customHeight="true" outlineLevel="0" collapsed="false">
      <c r="A573" s="24" t="s">
        <v>2069</v>
      </c>
      <c r="B573" s="32" t="s">
        <v>7061</v>
      </c>
      <c r="C573" s="32" t="s">
        <v>7061</v>
      </c>
      <c r="D573" s="22" t="s">
        <v>3363</v>
      </c>
      <c r="E573" s="22" t="s">
        <v>3437</v>
      </c>
      <c r="F573" s="22" t="s">
        <v>9004</v>
      </c>
      <c r="G573" s="22" t="s">
        <v>2065</v>
      </c>
      <c r="H573" s="35" t="s">
        <v>8132</v>
      </c>
      <c r="I573" s="22"/>
    </row>
    <row r="574" customFormat="false" ht="15" hidden="false" customHeight="true" outlineLevel="0" collapsed="false">
      <c r="A574" s="24" t="s">
        <v>1563</v>
      </c>
      <c r="B574" s="32" t="s">
        <v>6860</v>
      </c>
      <c r="C574" s="32" t="s">
        <v>6860</v>
      </c>
      <c r="D574" s="22" t="s">
        <v>3363</v>
      </c>
      <c r="E574" s="22" t="s">
        <v>3394</v>
      </c>
      <c r="F574" s="22" t="s">
        <v>9005</v>
      </c>
      <c r="G574" s="22" t="s">
        <v>2065</v>
      </c>
      <c r="H574" s="35" t="s">
        <v>8132</v>
      </c>
      <c r="I574" s="22"/>
    </row>
    <row r="575" customFormat="false" ht="15" hidden="false" customHeight="true" outlineLevel="0" collapsed="false">
      <c r="A575" s="24" t="s">
        <v>2070</v>
      </c>
      <c r="B575" s="32" t="s">
        <v>7098</v>
      </c>
      <c r="C575" s="32" t="s">
        <v>7098</v>
      </c>
      <c r="D575" s="22" t="s">
        <v>3363</v>
      </c>
      <c r="E575" s="22" t="s">
        <v>3394</v>
      </c>
      <c r="F575" s="22" t="s">
        <v>9006</v>
      </c>
      <c r="G575" s="22" t="s">
        <v>2065</v>
      </c>
      <c r="H575" s="35" t="s">
        <v>8132</v>
      </c>
      <c r="I575" s="22"/>
    </row>
    <row r="576" customFormat="false" ht="15" hidden="false" customHeight="true" outlineLevel="0" collapsed="false">
      <c r="A576" s="24" t="s">
        <v>2070</v>
      </c>
      <c r="B576" s="32" t="s">
        <v>6889</v>
      </c>
      <c r="C576" s="32" t="s">
        <v>6889</v>
      </c>
      <c r="D576" s="22" t="s">
        <v>3363</v>
      </c>
      <c r="E576" s="22" t="s">
        <v>3389</v>
      </c>
      <c r="F576" s="22" t="s">
        <v>9007</v>
      </c>
      <c r="G576" s="22" t="s">
        <v>3195</v>
      </c>
      <c r="H576" s="35" t="s">
        <v>8132</v>
      </c>
      <c r="I576" s="22"/>
    </row>
    <row r="577" customFormat="false" ht="15" hidden="false" customHeight="true" outlineLevel="0" collapsed="false">
      <c r="A577" s="24" t="s">
        <v>1563</v>
      </c>
      <c r="B577" s="32" t="s">
        <v>7104</v>
      </c>
      <c r="C577" s="32" t="s">
        <v>6808</v>
      </c>
      <c r="D577" s="22" t="s">
        <v>3363</v>
      </c>
      <c r="E577" s="22" t="s">
        <v>3359</v>
      </c>
      <c r="F577" s="22" t="s">
        <v>9008</v>
      </c>
      <c r="G577" s="22" t="s">
        <v>2095</v>
      </c>
      <c r="H577" s="35" t="s">
        <v>8132</v>
      </c>
      <c r="I577" s="22"/>
    </row>
    <row r="578" customFormat="false" ht="15" hidden="false" customHeight="true" outlineLevel="0" collapsed="false">
      <c r="A578" s="24" t="s">
        <v>2099</v>
      </c>
      <c r="B578" s="32" t="s">
        <v>7104</v>
      </c>
      <c r="C578" s="32" t="s">
        <v>7104</v>
      </c>
      <c r="D578" s="22" t="s">
        <v>3363</v>
      </c>
      <c r="E578" s="22" t="s">
        <v>3359</v>
      </c>
      <c r="F578" s="22" t="s">
        <v>9009</v>
      </c>
      <c r="G578" s="22" t="s">
        <v>2095</v>
      </c>
      <c r="H578" s="35" t="s">
        <v>8132</v>
      </c>
      <c r="I578" s="22"/>
    </row>
    <row r="579" customFormat="false" ht="37.5" hidden="false" customHeight="true" outlineLevel="0" collapsed="false">
      <c r="A579" s="24" t="s">
        <v>1563</v>
      </c>
      <c r="B579" s="32" t="s">
        <v>7766</v>
      </c>
      <c r="C579" s="32" t="s">
        <v>7766</v>
      </c>
      <c r="D579" s="22" t="s">
        <v>8185</v>
      </c>
      <c r="E579" s="22" t="s">
        <v>3359</v>
      </c>
      <c r="F579" s="22" t="s">
        <v>7767</v>
      </c>
      <c r="G579" s="22" t="s">
        <v>2095</v>
      </c>
      <c r="H579" s="31" t="s">
        <v>8209</v>
      </c>
      <c r="I579" s="22"/>
    </row>
    <row r="580" customFormat="false" ht="15" hidden="false" customHeight="true" outlineLevel="0" collapsed="false">
      <c r="A580" s="24" t="s">
        <v>2099</v>
      </c>
      <c r="B580" s="32" t="s">
        <v>7106</v>
      </c>
      <c r="C580" s="32" t="s">
        <v>7106</v>
      </c>
      <c r="D580" s="22" t="s">
        <v>3363</v>
      </c>
      <c r="E580" s="22" t="s">
        <v>3359</v>
      </c>
      <c r="F580" s="22" t="s">
        <v>9010</v>
      </c>
      <c r="G580" s="22" t="s">
        <v>2095</v>
      </c>
      <c r="H580" s="35" t="s">
        <v>8132</v>
      </c>
      <c r="I580" s="22"/>
    </row>
    <row r="581" customFormat="false" ht="15" hidden="false" customHeight="true" outlineLevel="0" collapsed="false">
      <c r="A581" s="24" t="s">
        <v>1563</v>
      </c>
      <c r="B581" s="32" t="s">
        <v>2129</v>
      </c>
      <c r="C581" s="32" t="s">
        <v>6788</v>
      </c>
      <c r="D581" s="22" t="s">
        <v>3363</v>
      </c>
      <c r="E581" s="22" t="s">
        <v>3359</v>
      </c>
      <c r="F581" s="22" t="s">
        <v>8952</v>
      </c>
      <c r="G581" s="22" t="s">
        <v>9011</v>
      </c>
      <c r="H581" s="35" t="s">
        <v>8132</v>
      </c>
      <c r="I581" s="22"/>
    </row>
    <row r="582" customFormat="false" ht="24.75" hidden="false" customHeight="true" outlineLevel="0" collapsed="false">
      <c r="A582" s="24" t="s">
        <v>2099</v>
      </c>
      <c r="B582" s="32" t="s">
        <v>7932</v>
      </c>
      <c r="C582" s="32" t="s">
        <v>7932</v>
      </c>
      <c r="D582" s="22" t="s">
        <v>7784</v>
      </c>
      <c r="E582" s="22" t="s">
        <v>7975</v>
      </c>
      <c r="F582" s="22" t="s">
        <v>9012</v>
      </c>
      <c r="G582" s="22" t="s">
        <v>2095</v>
      </c>
      <c r="H582" s="31" t="s">
        <v>8209</v>
      </c>
      <c r="I582" s="22"/>
    </row>
    <row r="583" customFormat="false" ht="15" hidden="false" customHeight="true" outlineLevel="0" collapsed="false">
      <c r="A583" s="24" t="s">
        <v>1563</v>
      </c>
      <c r="B583" s="32" t="s">
        <v>9013</v>
      </c>
      <c r="C583" s="32" t="s">
        <v>6862</v>
      </c>
      <c r="D583" s="22" t="s">
        <v>3363</v>
      </c>
      <c r="E583" s="22" t="s">
        <v>3394</v>
      </c>
      <c r="F583" s="22" t="s">
        <v>9014</v>
      </c>
      <c r="G583" s="22" t="s">
        <v>2095</v>
      </c>
      <c r="H583" s="35" t="s">
        <v>8132</v>
      </c>
      <c r="I583" s="22"/>
    </row>
    <row r="584" customFormat="false" ht="15" hidden="false" customHeight="true" outlineLevel="0" collapsed="false">
      <c r="A584" s="24" t="s">
        <v>1563</v>
      </c>
      <c r="B584" s="32" t="s">
        <v>6862</v>
      </c>
      <c r="C584" s="32" t="s">
        <v>6862</v>
      </c>
      <c r="D584" s="22" t="s">
        <v>3363</v>
      </c>
      <c r="E584" s="22" t="s">
        <v>3394</v>
      </c>
      <c r="F584" s="22" t="s">
        <v>9014</v>
      </c>
      <c r="G584" s="22" t="s">
        <v>2095</v>
      </c>
      <c r="H584" s="35" t="s">
        <v>8132</v>
      </c>
      <c r="I584" s="22"/>
    </row>
    <row r="585" customFormat="false" ht="15" hidden="false" customHeight="true" outlineLevel="0" collapsed="false">
      <c r="A585" s="24" t="s">
        <v>2099</v>
      </c>
      <c r="B585" s="32" t="s">
        <v>9015</v>
      </c>
      <c r="C585" s="32" t="s">
        <v>7122</v>
      </c>
      <c r="D585" s="22" t="s">
        <v>3363</v>
      </c>
      <c r="E585" s="22" t="s">
        <v>3394</v>
      </c>
      <c r="F585" s="22" t="s">
        <v>9016</v>
      </c>
      <c r="G585" s="22" t="s">
        <v>2095</v>
      </c>
      <c r="H585" s="35" t="s">
        <v>8132</v>
      </c>
      <c r="I585" s="22"/>
    </row>
    <row r="586" customFormat="false" ht="15" hidden="false" customHeight="true" outlineLevel="0" collapsed="false">
      <c r="A586" s="24" t="s">
        <v>2099</v>
      </c>
      <c r="B586" s="32" t="s">
        <v>9017</v>
      </c>
      <c r="C586" s="32" t="s">
        <v>7124</v>
      </c>
      <c r="D586" s="22" t="s">
        <v>3363</v>
      </c>
      <c r="E586" s="22" t="s">
        <v>3394</v>
      </c>
      <c r="F586" s="22" t="s">
        <v>9018</v>
      </c>
      <c r="G586" s="22" t="s">
        <v>2095</v>
      </c>
      <c r="H586" s="35" t="s">
        <v>8132</v>
      </c>
      <c r="I586" s="22"/>
    </row>
    <row r="587" customFormat="false" ht="15" hidden="false" customHeight="true" outlineLevel="0" collapsed="false">
      <c r="A587" s="24" t="s">
        <v>2100</v>
      </c>
      <c r="B587" s="32" t="s">
        <v>7098</v>
      </c>
      <c r="C587" s="32" t="s">
        <v>7140</v>
      </c>
      <c r="D587" s="22" t="s">
        <v>3363</v>
      </c>
      <c r="E587" s="22" t="s">
        <v>3394</v>
      </c>
      <c r="F587" s="22" t="s">
        <v>9019</v>
      </c>
      <c r="G587" s="22" t="s">
        <v>2095</v>
      </c>
      <c r="H587" s="35" t="s">
        <v>8132</v>
      </c>
      <c r="I587" s="22"/>
    </row>
    <row r="588" customFormat="false" ht="15" hidden="false" customHeight="true" outlineLevel="0" collapsed="false">
      <c r="A588" s="24" t="s">
        <v>2100</v>
      </c>
      <c r="B588" s="32" t="s">
        <v>3389</v>
      </c>
      <c r="C588" s="32" t="s">
        <v>6889</v>
      </c>
      <c r="D588" s="22" t="s">
        <v>3363</v>
      </c>
      <c r="E588" s="22" t="s">
        <v>3389</v>
      </c>
      <c r="F588" s="22" t="s">
        <v>9020</v>
      </c>
      <c r="G588" s="22" t="s">
        <v>2095</v>
      </c>
      <c r="H588" s="35" t="s">
        <v>8132</v>
      </c>
      <c r="I588" s="22"/>
    </row>
    <row r="589" customFormat="false" ht="24.75" hidden="false" customHeight="true" outlineLevel="0" collapsed="false">
      <c r="A589" s="24" t="s">
        <v>692</v>
      </c>
      <c r="B589" s="32" t="s">
        <v>8016</v>
      </c>
      <c r="C589" s="32" t="s">
        <v>8016</v>
      </c>
      <c r="D589" s="22" t="s">
        <v>7784</v>
      </c>
      <c r="E589" s="22" t="s">
        <v>3713</v>
      </c>
      <c r="F589" s="22" t="s">
        <v>9021</v>
      </c>
      <c r="G589" s="22" t="s">
        <v>2125</v>
      </c>
      <c r="H589" s="31" t="s">
        <v>8209</v>
      </c>
      <c r="I589" s="22"/>
    </row>
    <row r="590" customFormat="false" ht="15" hidden="false" customHeight="true" outlineLevel="0" collapsed="false">
      <c r="A590" s="24" t="s">
        <v>692</v>
      </c>
      <c r="B590" s="32" t="s">
        <v>8018</v>
      </c>
      <c r="C590" s="32" t="s">
        <v>8018</v>
      </c>
      <c r="D590" s="22" t="s">
        <v>7784</v>
      </c>
      <c r="E590" s="22" t="s">
        <v>3713</v>
      </c>
      <c r="F590" s="22" t="s">
        <v>9022</v>
      </c>
      <c r="G590" s="22" t="s">
        <v>2125</v>
      </c>
      <c r="H590" s="31" t="s">
        <v>8209</v>
      </c>
      <c r="I590" s="22"/>
    </row>
    <row r="591" customFormat="false" ht="15" hidden="false" customHeight="true" outlineLevel="0" collapsed="false">
      <c r="A591" s="24" t="s">
        <v>692</v>
      </c>
      <c r="B591" s="32" t="s">
        <v>8020</v>
      </c>
      <c r="C591" s="32" t="s">
        <v>8020</v>
      </c>
      <c r="D591" s="22" t="s">
        <v>7784</v>
      </c>
      <c r="E591" s="22" t="s">
        <v>3713</v>
      </c>
      <c r="F591" s="22" t="s">
        <v>9023</v>
      </c>
      <c r="G591" s="22" t="s">
        <v>2125</v>
      </c>
      <c r="H591" s="31" t="s">
        <v>8209</v>
      </c>
      <c r="I591" s="22"/>
    </row>
    <row r="592" customFormat="false" ht="15" hidden="false" customHeight="true" outlineLevel="0" collapsed="false">
      <c r="A592" s="24" t="s">
        <v>692</v>
      </c>
      <c r="B592" s="32" t="s">
        <v>8022</v>
      </c>
      <c r="C592" s="32" t="s">
        <v>8022</v>
      </c>
      <c r="D592" s="22" t="s">
        <v>7784</v>
      </c>
      <c r="E592" s="22" t="s">
        <v>3713</v>
      </c>
      <c r="F592" s="22" t="s">
        <v>9024</v>
      </c>
      <c r="G592" s="22" t="s">
        <v>2125</v>
      </c>
      <c r="H592" s="31" t="s">
        <v>8209</v>
      </c>
      <c r="I592" s="22"/>
    </row>
    <row r="593" customFormat="false" ht="15" hidden="false" customHeight="true" outlineLevel="0" collapsed="false">
      <c r="A593" s="24" t="s">
        <v>692</v>
      </c>
      <c r="B593" s="32" t="s">
        <v>8024</v>
      </c>
      <c r="C593" s="32" t="s">
        <v>8024</v>
      </c>
      <c r="D593" s="22" t="s">
        <v>7784</v>
      </c>
      <c r="E593" s="22" t="s">
        <v>3713</v>
      </c>
      <c r="F593" s="22" t="s">
        <v>9025</v>
      </c>
      <c r="G593" s="22" t="s">
        <v>2125</v>
      </c>
      <c r="H593" s="31" t="s">
        <v>8209</v>
      </c>
      <c r="I593" s="22"/>
    </row>
    <row r="594" customFormat="false" ht="15" hidden="false" customHeight="true" outlineLevel="0" collapsed="false">
      <c r="A594" s="24" t="s">
        <v>692</v>
      </c>
      <c r="B594" s="32" t="s">
        <v>8026</v>
      </c>
      <c r="C594" s="32" t="s">
        <v>8026</v>
      </c>
      <c r="D594" s="22" t="s">
        <v>7784</v>
      </c>
      <c r="E594" s="22" t="s">
        <v>3713</v>
      </c>
      <c r="F594" s="22" t="s">
        <v>9026</v>
      </c>
      <c r="G594" s="22" t="s">
        <v>2125</v>
      </c>
      <c r="H594" s="31" t="s">
        <v>8209</v>
      </c>
      <c r="I594" s="22"/>
    </row>
    <row r="595" customFormat="false" ht="24.75" hidden="false" customHeight="true" outlineLevel="0" collapsed="false">
      <c r="A595" s="24" t="s">
        <v>893</v>
      </c>
      <c r="B595" s="32" t="s">
        <v>8028</v>
      </c>
      <c r="C595" s="32" t="s">
        <v>8028</v>
      </c>
      <c r="D595" s="22" t="s">
        <v>7784</v>
      </c>
      <c r="E595" s="22" t="s">
        <v>3713</v>
      </c>
      <c r="F595" s="22" t="s">
        <v>9027</v>
      </c>
      <c r="G595" s="22" t="s">
        <v>2208</v>
      </c>
      <c r="H595" s="31" t="s">
        <v>8209</v>
      </c>
      <c r="I595" s="22"/>
    </row>
    <row r="596" customFormat="false" ht="24.75" hidden="false" customHeight="true" outlineLevel="0" collapsed="false">
      <c r="A596" s="24" t="s">
        <v>893</v>
      </c>
      <c r="B596" s="32" t="s">
        <v>8030</v>
      </c>
      <c r="C596" s="32" t="s">
        <v>8030</v>
      </c>
      <c r="D596" s="22" t="s">
        <v>7784</v>
      </c>
      <c r="E596" s="22" t="s">
        <v>3713</v>
      </c>
      <c r="F596" s="22" t="s">
        <v>9028</v>
      </c>
      <c r="G596" s="22" t="s">
        <v>2208</v>
      </c>
      <c r="H596" s="31" t="s">
        <v>8209</v>
      </c>
      <c r="I596" s="22"/>
    </row>
    <row r="597" customFormat="false" ht="15" hidden="false" customHeight="true" outlineLevel="0" collapsed="false">
      <c r="A597" s="24" t="s">
        <v>2041</v>
      </c>
      <c r="B597" s="32" t="s">
        <v>7314</v>
      </c>
      <c r="C597" s="32" t="s">
        <v>7314</v>
      </c>
      <c r="D597" s="22" t="s">
        <v>3363</v>
      </c>
      <c r="E597" s="22" t="s">
        <v>3359</v>
      </c>
      <c r="F597" s="22" t="s">
        <v>9029</v>
      </c>
      <c r="G597" s="22" t="s">
        <v>2237</v>
      </c>
      <c r="H597" s="35" t="s">
        <v>8132</v>
      </c>
      <c r="I597" s="22"/>
    </row>
    <row r="598" customFormat="false" ht="24.75" hidden="false" customHeight="true" outlineLevel="0" collapsed="false">
      <c r="A598" s="24" t="s">
        <v>637</v>
      </c>
      <c r="B598" s="32" t="s">
        <v>7314</v>
      </c>
      <c r="C598" s="32" t="s">
        <v>7314</v>
      </c>
      <c r="D598" s="22" t="s">
        <v>7784</v>
      </c>
      <c r="E598" s="22" t="s">
        <v>3359</v>
      </c>
      <c r="F598" s="22" t="s">
        <v>9030</v>
      </c>
      <c r="G598" s="22" t="s">
        <v>2237</v>
      </c>
      <c r="H598" s="31" t="s">
        <v>8209</v>
      </c>
      <c r="I598" s="22"/>
    </row>
    <row r="599" customFormat="false" ht="15" hidden="false" customHeight="true" outlineLevel="0" collapsed="false">
      <c r="A599" s="24" t="s">
        <v>2041</v>
      </c>
      <c r="B599" s="32" t="s">
        <v>9031</v>
      </c>
      <c r="C599" s="32" t="s">
        <v>7312</v>
      </c>
      <c r="D599" s="22" t="s">
        <v>3363</v>
      </c>
      <c r="E599" s="22" t="s">
        <v>3359</v>
      </c>
      <c r="F599" s="22" t="s">
        <v>9032</v>
      </c>
      <c r="G599" s="22" t="s">
        <v>2237</v>
      </c>
      <c r="H599" s="35" t="s">
        <v>8132</v>
      </c>
      <c r="I599" s="22"/>
    </row>
    <row r="600" customFormat="false" ht="15" hidden="false" customHeight="true" outlineLevel="0" collapsed="false">
      <c r="A600" s="24" t="s">
        <v>637</v>
      </c>
      <c r="B600" s="32" t="s">
        <v>7246</v>
      </c>
      <c r="C600" s="32" t="s">
        <v>7246</v>
      </c>
      <c r="D600" s="22" t="s">
        <v>3363</v>
      </c>
      <c r="E600" s="22" t="s">
        <v>3359</v>
      </c>
      <c r="F600" s="22" t="s">
        <v>9033</v>
      </c>
      <c r="G600" s="22" t="s">
        <v>2237</v>
      </c>
      <c r="H600" s="35" t="s">
        <v>8132</v>
      </c>
      <c r="I600" s="22"/>
    </row>
    <row r="601" customFormat="false" ht="15" hidden="false" customHeight="true" outlineLevel="0" collapsed="false">
      <c r="A601" s="24" t="s">
        <v>2041</v>
      </c>
      <c r="B601" s="32" t="s">
        <v>7098</v>
      </c>
      <c r="C601" s="32" t="s">
        <v>7098</v>
      </c>
      <c r="D601" s="22" t="s">
        <v>7784</v>
      </c>
      <c r="E601" s="22" t="s">
        <v>3713</v>
      </c>
      <c r="F601" s="22" t="s">
        <v>9034</v>
      </c>
      <c r="G601" s="22" t="s">
        <v>9035</v>
      </c>
      <c r="H601" s="35" t="s">
        <v>8132</v>
      </c>
      <c r="I601" s="22"/>
    </row>
    <row r="602" customFormat="false" ht="24.75" hidden="false" customHeight="true" outlineLevel="0" collapsed="false">
      <c r="A602" s="24" t="s">
        <v>637</v>
      </c>
      <c r="B602" s="32" t="s">
        <v>7098</v>
      </c>
      <c r="C602" s="32" t="s">
        <v>7098</v>
      </c>
      <c r="D602" s="22" t="s">
        <v>7784</v>
      </c>
      <c r="E602" s="22" t="s">
        <v>3713</v>
      </c>
      <c r="F602" s="22" t="s">
        <v>9036</v>
      </c>
      <c r="G602" s="22" t="s">
        <v>2237</v>
      </c>
      <c r="H602" s="35" t="s">
        <v>8132</v>
      </c>
      <c r="I602" s="22"/>
    </row>
    <row r="603" customFormat="false" ht="15" hidden="false" customHeight="true" outlineLevel="0" collapsed="false">
      <c r="A603" s="24" t="s">
        <v>2041</v>
      </c>
      <c r="B603" s="32" t="s">
        <v>5508</v>
      </c>
      <c r="C603" s="32" t="s">
        <v>5508</v>
      </c>
      <c r="D603" s="22" t="s">
        <v>3363</v>
      </c>
      <c r="E603" s="22" t="s">
        <v>3389</v>
      </c>
      <c r="F603" s="22" t="s">
        <v>9037</v>
      </c>
      <c r="G603" s="22" t="s">
        <v>9035</v>
      </c>
      <c r="H603" s="35" t="s">
        <v>8132</v>
      </c>
      <c r="I603" s="22"/>
    </row>
    <row r="604" customFormat="false" ht="15" hidden="false" customHeight="true" outlineLevel="0" collapsed="false">
      <c r="A604" s="24" t="s">
        <v>637</v>
      </c>
      <c r="B604" s="32" t="s">
        <v>6625</v>
      </c>
      <c r="C604" s="32" t="s">
        <v>6625</v>
      </c>
      <c r="D604" s="22" t="s">
        <v>3363</v>
      </c>
      <c r="E604" s="22" t="s">
        <v>3389</v>
      </c>
      <c r="F604" s="22" t="s">
        <v>9038</v>
      </c>
      <c r="G604" s="22" t="s">
        <v>2237</v>
      </c>
      <c r="H604" s="35" t="s">
        <v>8132</v>
      </c>
      <c r="I604" s="22"/>
    </row>
    <row r="605" customFormat="false" ht="15" hidden="false" customHeight="true" outlineLevel="0" collapsed="false">
      <c r="A605" s="24" t="s">
        <v>2041</v>
      </c>
      <c r="B605" s="32" t="s">
        <v>6675</v>
      </c>
      <c r="C605" s="32" t="s">
        <v>6675</v>
      </c>
      <c r="D605" s="22" t="s">
        <v>3363</v>
      </c>
      <c r="E605" s="22" t="s">
        <v>3394</v>
      </c>
      <c r="F605" s="22" t="s">
        <v>9039</v>
      </c>
      <c r="G605" s="22" t="s">
        <v>9040</v>
      </c>
      <c r="H605" s="35" t="s">
        <v>8132</v>
      </c>
      <c r="I605" s="22"/>
    </row>
    <row r="606" customFormat="false" ht="15" hidden="false" customHeight="true" outlineLevel="0" collapsed="false">
      <c r="A606" s="24" t="s">
        <v>637</v>
      </c>
      <c r="B606" s="32" t="s">
        <v>6675</v>
      </c>
      <c r="C606" s="32" t="s">
        <v>6675</v>
      </c>
      <c r="D606" s="22" t="s">
        <v>7784</v>
      </c>
      <c r="E606" s="22" t="s">
        <v>3713</v>
      </c>
      <c r="F606" s="22" t="s">
        <v>9041</v>
      </c>
      <c r="G606" s="22" t="s">
        <v>9040</v>
      </c>
      <c r="H606" s="35" t="s">
        <v>8132</v>
      </c>
      <c r="I606" s="22"/>
    </row>
    <row r="607" customFormat="false" ht="15" hidden="false" customHeight="true" outlineLevel="0" collapsed="false">
      <c r="A607" s="24" t="s">
        <v>524</v>
      </c>
      <c r="B607" s="32" t="s">
        <v>4046</v>
      </c>
      <c r="C607" s="32" t="s">
        <v>4046</v>
      </c>
      <c r="D607" s="22" t="s">
        <v>3363</v>
      </c>
      <c r="E607" s="22" t="s">
        <v>3359</v>
      </c>
      <c r="F607" s="22" t="s">
        <v>8376</v>
      </c>
      <c r="G607" s="22" t="s">
        <v>2265</v>
      </c>
      <c r="H607" s="35" t="s">
        <v>8132</v>
      </c>
      <c r="I607" s="22"/>
    </row>
    <row r="608" customFormat="false" ht="15" hidden="false" customHeight="true" outlineLevel="0" collapsed="false">
      <c r="A608" s="24" t="s">
        <v>1336</v>
      </c>
      <c r="B608" s="32" t="s">
        <v>9042</v>
      </c>
      <c r="C608" s="32" t="s">
        <v>3356</v>
      </c>
      <c r="D608" s="22" t="s">
        <v>3363</v>
      </c>
      <c r="E608" s="22" t="s">
        <v>3359</v>
      </c>
      <c r="F608" s="22" t="s">
        <v>9043</v>
      </c>
      <c r="G608" s="22" t="s">
        <v>2265</v>
      </c>
      <c r="H608" s="35" t="s">
        <v>8132</v>
      </c>
      <c r="I608" s="22" t="s">
        <v>9044</v>
      </c>
    </row>
    <row r="609" customFormat="false" ht="15" hidden="false" customHeight="true" outlineLevel="0" collapsed="false">
      <c r="A609" s="24" t="s">
        <v>2041</v>
      </c>
      <c r="B609" s="32" t="s">
        <v>8036</v>
      </c>
      <c r="C609" s="32" t="s">
        <v>8036</v>
      </c>
      <c r="D609" s="22" t="s">
        <v>7784</v>
      </c>
      <c r="E609" s="22" t="s">
        <v>3713</v>
      </c>
      <c r="F609" s="22" t="s">
        <v>9045</v>
      </c>
      <c r="G609" s="22" t="s">
        <v>2265</v>
      </c>
      <c r="H609" s="35" t="s">
        <v>8132</v>
      </c>
      <c r="I609" s="22"/>
    </row>
    <row r="610" customFormat="false" ht="15" hidden="false" customHeight="true" outlineLevel="0" collapsed="false">
      <c r="A610" s="24" t="s">
        <v>692</v>
      </c>
      <c r="B610" s="32" t="s">
        <v>8038</v>
      </c>
      <c r="C610" s="32" t="s">
        <v>8038</v>
      </c>
      <c r="D610" s="22" t="s">
        <v>7784</v>
      </c>
      <c r="E610" s="22" t="s">
        <v>3713</v>
      </c>
      <c r="F610" s="22" t="s">
        <v>9046</v>
      </c>
      <c r="G610" s="22" t="s">
        <v>2265</v>
      </c>
      <c r="H610" s="31" t="s">
        <v>8209</v>
      </c>
      <c r="I610" s="22"/>
    </row>
    <row r="611" customFormat="false" ht="24.75" hidden="false" customHeight="true" outlineLevel="0" collapsed="false">
      <c r="A611" s="24" t="s">
        <v>692</v>
      </c>
      <c r="B611" s="32" t="s">
        <v>8040</v>
      </c>
      <c r="C611" s="32" t="s">
        <v>8040</v>
      </c>
      <c r="D611" s="22" t="s">
        <v>7784</v>
      </c>
      <c r="E611" s="22" t="s">
        <v>3713</v>
      </c>
      <c r="F611" s="22" t="s">
        <v>9047</v>
      </c>
      <c r="G611" s="22" t="s">
        <v>2265</v>
      </c>
      <c r="H611" s="31" t="s">
        <v>8209</v>
      </c>
      <c r="I611" s="22"/>
    </row>
    <row r="612" customFormat="false" ht="37.5" hidden="false" customHeight="true" outlineLevel="0" collapsed="false">
      <c r="A612" s="24" t="s">
        <v>524</v>
      </c>
      <c r="B612" s="32" t="s">
        <v>9048</v>
      </c>
      <c r="C612" s="32" t="s">
        <v>8042</v>
      </c>
      <c r="D612" s="22" t="s">
        <v>7784</v>
      </c>
      <c r="E612" s="22" t="s">
        <v>3713</v>
      </c>
      <c r="F612" s="22" t="s">
        <v>9049</v>
      </c>
      <c r="G612" s="22" t="s">
        <v>2265</v>
      </c>
      <c r="H612" s="35" t="s">
        <v>8132</v>
      </c>
      <c r="I612" s="22"/>
    </row>
    <row r="613" customFormat="false" ht="24.75" hidden="false" customHeight="true" outlineLevel="0" collapsed="false">
      <c r="A613" s="24" t="s">
        <v>2041</v>
      </c>
      <c r="B613" s="32" t="s">
        <v>9050</v>
      </c>
      <c r="C613" s="32" t="s">
        <v>8044</v>
      </c>
      <c r="D613" s="22" t="s">
        <v>7784</v>
      </c>
      <c r="E613" s="22" t="s">
        <v>8045</v>
      </c>
      <c r="F613" s="22" t="s">
        <v>9051</v>
      </c>
      <c r="G613" s="22" t="s">
        <v>2292</v>
      </c>
      <c r="H613" s="31" t="s">
        <v>8209</v>
      </c>
      <c r="I613" s="22"/>
    </row>
    <row r="614" customFormat="false" ht="24.75" hidden="false" customHeight="true" outlineLevel="0" collapsed="false">
      <c r="A614" s="24" t="s">
        <v>2041</v>
      </c>
      <c r="B614" s="32" t="s">
        <v>8047</v>
      </c>
      <c r="C614" s="32" t="s">
        <v>8047</v>
      </c>
      <c r="D614" s="22" t="s">
        <v>7784</v>
      </c>
      <c r="E614" s="22" t="s">
        <v>7975</v>
      </c>
      <c r="F614" s="22" t="s">
        <v>9052</v>
      </c>
      <c r="G614" s="22" t="s">
        <v>2292</v>
      </c>
      <c r="H614" s="35" t="s">
        <v>8132</v>
      </c>
      <c r="I614" s="22"/>
    </row>
    <row r="615" customFormat="false" ht="24.75" hidden="false" customHeight="true" outlineLevel="0" collapsed="false">
      <c r="A615" s="24" t="s">
        <v>692</v>
      </c>
      <c r="B615" s="32" t="s">
        <v>8049</v>
      </c>
      <c r="C615" s="32" t="s">
        <v>8049</v>
      </c>
      <c r="D615" s="22" t="s">
        <v>7784</v>
      </c>
      <c r="E615" s="22" t="s">
        <v>7975</v>
      </c>
      <c r="F615" s="22" t="s">
        <v>9053</v>
      </c>
      <c r="G615" s="22" t="s">
        <v>2292</v>
      </c>
      <c r="H615" s="35" t="s">
        <v>8132</v>
      </c>
      <c r="I615" s="22"/>
    </row>
    <row r="616" customFormat="false" ht="15" hidden="false" customHeight="true" outlineLevel="0" collapsed="false">
      <c r="A616" s="24" t="s">
        <v>2041</v>
      </c>
      <c r="B616" s="32" t="s">
        <v>8051</v>
      </c>
      <c r="C616" s="32" t="s">
        <v>8051</v>
      </c>
      <c r="D616" s="22" t="s">
        <v>7784</v>
      </c>
      <c r="E616" s="22" t="s">
        <v>3713</v>
      </c>
      <c r="F616" s="22" t="s">
        <v>9054</v>
      </c>
      <c r="G616" s="22" t="s">
        <v>2292</v>
      </c>
      <c r="H616" s="35" t="s">
        <v>8132</v>
      </c>
      <c r="I616" s="22"/>
    </row>
    <row r="617" customFormat="false" ht="24.75" hidden="false" customHeight="true" outlineLevel="0" collapsed="false">
      <c r="A617" s="24" t="s">
        <v>692</v>
      </c>
      <c r="B617" s="32" t="s">
        <v>8053</v>
      </c>
      <c r="C617" s="32" t="s">
        <v>8053</v>
      </c>
      <c r="D617" s="22" t="s">
        <v>7784</v>
      </c>
      <c r="E617" s="22" t="s">
        <v>3713</v>
      </c>
      <c r="F617" s="22" t="s">
        <v>9055</v>
      </c>
      <c r="G617" s="22" t="s">
        <v>2292</v>
      </c>
      <c r="H617" s="31" t="s">
        <v>8209</v>
      </c>
      <c r="I617" s="22"/>
    </row>
    <row r="618" customFormat="false" ht="24.75" hidden="false" customHeight="true" outlineLevel="0" collapsed="false">
      <c r="A618" s="24" t="s">
        <v>1650</v>
      </c>
      <c r="B618" s="32" t="s">
        <v>8726</v>
      </c>
      <c r="C618" s="32" t="s">
        <v>5787</v>
      </c>
      <c r="D618" s="22" t="s">
        <v>3363</v>
      </c>
      <c r="E618" s="22" t="s">
        <v>3394</v>
      </c>
      <c r="F618" s="22" t="s">
        <v>9056</v>
      </c>
      <c r="G618" s="22" t="s">
        <v>9057</v>
      </c>
      <c r="H618" s="31" t="s">
        <v>8209</v>
      </c>
      <c r="I618" s="22" t="s">
        <v>9058</v>
      </c>
    </row>
    <row r="619" customFormat="false" ht="24.75" hidden="false" customHeight="true" outlineLevel="0" collapsed="false">
      <c r="A619" s="24" t="s">
        <v>2041</v>
      </c>
      <c r="B619" s="32" t="s">
        <v>8055</v>
      </c>
      <c r="C619" s="32" t="s">
        <v>8055</v>
      </c>
      <c r="D619" s="22" t="s">
        <v>7784</v>
      </c>
      <c r="E619" s="22" t="s">
        <v>3713</v>
      </c>
      <c r="F619" s="22" t="s">
        <v>9059</v>
      </c>
      <c r="G619" s="22" t="s">
        <v>2292</v>
      </c>
      <c r="H619" s="33" t="s">
        <v>8344</v>
      </c>
      <c r="I619" s="22"/>
    </row>
    <row r="620" customFormat="false" ht="24.75" hidden="false" customHeight="true" outlineLevel="0" collapsed="false">
      <c r="A620" s="24" t="s">
        <v>2041</v>
      </c>
      <c r="B620" s="32" t="s">
        <v>8044</v>
      </c>
      <c r="C620" s="32" t="s">
        <v>8044</v>
      </c>
      <c r="D620" s="22" t="s">
        <v>7784</v>
      </c>
      <c r="E620" s="22" t="s">
        <v>8045</v>
      </c>
      <c r="F620" s="22" t="s">
        <v>9051</v>
      </c>
      <c r="G620" s="22" t="s">
        <v>2320</v>
      </c>
      <c r="H620" s="31" t="s">
        <v>8209</v>
      </c>
      <c r="I620" s="22"/>
    </row>
    <row r="621" customFormat="false" ht="24.75" hidden="false" customHeight="true" outlineLevel="0" collapsed="false">
      <c r="A621" s="24" t="s">
        <v>692</v>
      </c>
      <c r="B621" s="32" t="s">
        <v>8057</v>
      </c>
      <c r="C621" s="32" t="s">
        <v>8057</v>
      </c>
      <c r="D621" s="22" t="s">
        <v>7784</v>
      </c>
      <c r="E621" s="22" t="s">
        <v>3713</v>
      </c>
      <c r="F621" s="22" t="s">
        <v>9060</v>
      </c>
      <c r="G621" s="22" t="s">
        <v>2320</v>
      </c>
      <c r="H621" s="31" t="s">
        <v>8209</v>
      </c>
      <c r="I621" s="22"/>
    </row>
    <row r="622" customFormat="false" ht="15" hidden="false" customHeight="true" outlineLevel="0" collapsed="false">
      <c r="A622" s="24" t="s">
        <v>2041</v>
      </c>
      <c r="B622" s="32" t="s">
        <v>7277</v>
      </c>
      <c r="C622" s="32" t="s">
        <v>7277</v>
      </c>
      <c r="D622" s="22" t="s">
        <v>3363</v>
      </c>
      <c r="E622" s="22" t="s">
        <v>3359</v>
      </c>
      <c r="F622" s="22" t="s">
        <v>9061</v>
      </c>
      <c r="G622" s="22" t="s">
        <v>9062</v>
      </c>
      <c r="H622" s="35" t="s">
        <v>8132</v>
      </c>
      <c r="I622" s="22"/>
    </row>
    <row r="623" customFormat="false" ht="15" hidden="false" customHeight="true" outlineLevel="0" collapsed="false">
      <c r="A623" s="24" t="s">
        <v>2041</v>
      </c>
      <c r="B623" s="32" t="s">
        <v>8059</v>
      </c>
      <c r="C623" s="32" t="s">
        <v>8059</v>
      </c>
      <c r="D623" s="22" t="s">
        <v>7784</v>
      </c>
      <c r="E623" s="22" t="s">
        <v>3389</v>
      </c>
      <c r="F623" s="22" t="s">
        <v>9063</v>
      </c>
      <c r="G623" s="22" t="s">
        <v>2347</v>
      </c>
      <c r="H623" s="35" t="s">
        <v>8132</v>
      </c>
      <c r="I623" s="22"/>
    </row>
    <row r="624" customFormat="false" ht="15" hidden="false" customHeight="true" outlineLevel="0" collapsed="false">
      <c r="A624" s="24" t="s">
        <v>692</v>
      </c>
      <c r="B624" s="32" t="s">
        <v>8061</v>
      </c>
      <c r="C624" s="32" t="s">
        <v>8061</v>
      </c>
      <c r="D624" s="22" t="s">
        <v>7784</v>
      </c>
      <c r="E624" s="22" t="s">
        <v>3389</v>
      </c>
      <c r="F624" s="22" t="s">
        <v>9064</v>
      </c>
      <c r="G624" s="22" t="s">
        <v>2347</v>
      </c>
      <c r="H624" s="31" t="s">
        <v>8209</v>
      </c>
      <c r="I624" s="22"/>
    </row>
    <row r="625" customFormat="false" ht="15" hidden="false" customHeight="true" outlineLevel="0" collapsed="false">
      <c r="A625" s="24" t="s">
        <v>2041</v>
      </c>
      <c r="B625" s="32" t="s">
        <v>8063</v>
      </c>
      <c r="C625" s="32" t="s">
        <v>8063</v>
      </c>
      <c r="D625" s="22" t="s">
        <v>7784</v>
      </c>
      <c r="E625" s="22" t="s">
        <v>3713</v>
      </c>
      <c r="F625" s="22" t="s">
        <v>9065</v>
      </c>
      <c r="G625" s="22" t="s">
        <v>2347</v>
      </c>
      <c r="H625" s="35" t="s">
        <v>8132</v>
      </c>
      <c r="I625" s="22"/>
    </row>
    <row r="626" customFormat="false" ht="15" hidden="false" customHeight="true" outlineLevel="0" collapsed="false">
      <c r="A626" s="24" t="s">
        <v>1651</v>
      </c>
      <c r="B626" s="32" t="s">
        <v>9066</v>
      </c>
      <c r="C626" s="32" t="s">
        <v>5860</v>
      </c>
      <c r="D626" s="22" t="s">
        <v>3363</v>
      </c>
      <c r="E626" s="22" t="s">
        <v>3394</v>
      </c>
      <c r="F626" s="22" t="s">
        <v>8803</v>
      </c>
      <c r="G626" s="22" t="s">
        <v>2347</v>
      </c>
      <c r="H626" s="31" t="s">
        <v>8209</v>
      </c>
      <c r="I626" s="22" t="s">
        <v>9067</v>
      </c>
    </row>
    <row r="627" customFormat="false" ht="15" hidden="false" customHeight="true" outlineLevel="0" collapsed="false">
      <c r="A627" s="24" t="s">
        <v>2041</v>
      </c>
      <c r="B627" s="32" t="s">
        <v>8065</v>
      </c>
      <c r="C627" s="32" t="s">
        <v>8065</v>
      </c>
      <c r="D627" s="22" t="s">
        <v>7784</v>
      </c>
      <c r="E627" s="22" t="s">
        <v>3713</v>
      </c>
      <c r="F627" s="22" t="s">
        <v>9068</v>
      </c>
      <c r="G627" s="22" t="s">
        <v>9069</v>
      </c>
      <c r="H627" s="35" t="s">
        <v>8132</v>
      </c>
      <c r="I627" s="22"/>
    </row>
    <row r="628" customFormat="false" ht="24.75" hidden="false" customHeight="true" outlineLevel="0" collapsed="false">
      <c r="A628" s="24" t="s">
        <v>692</v>
      </c>
      <c r="B628" s="32" t="s">
        <v>8067</v>
      </c>
      <c r="C628" s="32" t="s">
        <v>8067</v>
      </c>
      <c r="D628" s="22" t="s">
        <v>7784</v>
      </c>
      <c r="E628" s="22" t="s">
        <v>3713</v>
      </c>
      <c r="F628" s="22" t="s">
        <v>9070</v>
      </c>
      <c r="G628" s="22" t="s">
        <v>2347</v>
      </c>
      <c r="H628" s="31" t="s">
        <v>8209</v>
      </c>
      <c r="I628" s="22"/>
    </row>
    <row r="629" customFormat="false" ht="24.75" hidden="false" customHeight="true" outlineLevel="0" collapsed="false">
      <c r="A629" s="24" t="s">
        <v>692</v>
      </c>
      <c r="B629" s="32" t="s">
        <v>8069</v>
      </c>
      <c r="C629" s="32" t="s">
        <v>8069</v>
      </c>
      <c r="D629" s="22" t="s">
        <v>7784</v>
      </c>
      <c r="E629" s="22" t="s">
        <v>3713</v>
      </c>
      <c r="F629" s="22" t="s">
        <v>9071</v>
      </c>
      <c r="G629" s="22" t="s">
        <v>2347</v>
      </c>
      <c r="H629" s="31" t="s">
        <v>8209</v>
      </c>
      <c r="I629" s="22"/>
    </row>
    <row r="630" customFormat="false" ht="15" hidden="false" customHeight="true" outlineLevel="0" collapsed="false">
      <c r="A630" s="24" t="s">
        <v>637</v>
      </c>
      <c r="B630" s="32" t="s">
        <v>8690</v>
      </c>
      <c r="C630" s="32" t="s">
        <v>7275</v>
      </c>
      <c r="D630" s="22" t="s">
        <v>3363</v>
      </c>
      <c r="E630" s="22" t="s">
        <v>3359</v>
      </c>
      <c r="F630" s="22" t="s">
        <v>9072</v>
      </c>
      <c r="G630" s="22" t="s">
        <v>2374</v>
      </c>
      <c r="H630" s="35" t="s">
        <v>8132</v>
      </c>
      <c r="I630" s="22"/>
    </row>
    <row r="631" customFormat="false" ht="15" hidden="false" customHeight="true" outlineLevel="0" collapsed="false">
      <c r="A631" s="24" t="s">
        <v>637</v>
      </c>
      <c r="B631" s="32" t="s">
        <v>7277</v>
      </c>
      <c r="C631" s="32" t="s">
        <v>7277</v>
      </c>
      <c r="D631" s="22" t="s">
        <v>3363</v>
      </c>
      <c r="E631" s="22" t="s">
        <v>3359</v>
      </c>
      <c r="F631" s="22" t="s">
        <v>9073</v>
      </c>
      <c r="G631" s="22" t="s">
        <v>2374</v>
      </c>
      <c r="H631" s="35" t="s">
        <v>8132</v>
      </c>
      <c r="I631" s="22"/>
    </row>
    <row r="632" customFormat="false" ht="15" hidden="false" customHeight="true" outlineLevel="0" collapsed="false">
      <c r="A632" s="24" t="s">
        <v>893</v>
      </c>
      <c r="B632" s="32" t="s">
        <v>6675</v>
      </c>
      <c r="C632" s="32" t="s">
        <v>6675</v>
      </c>
      <c r="D632" s="22" t="s">
        <v>3363</v>
      </c>
      <c r="E632" s="22" t="s">
        <v>3394</v>
      </c>
      <c r="F632" s="22" t="s">
        <v>9074</v>
      </c>
      <c r="G632" s="22" t="s">
        <v>2374</v>
      </c>
      <c r="H632" s="35" t="s">
        <v>8132</v>
      </c>
      <c r="I632" s="22"/>
    </row>
    <row r="633" customFormat="false" ht="24.75" hidden="false" customHeight="true" outlineLevel="0" collapsed="false">
      <c r="A633" s="24" t="s">
        <v>3342</v>
      </c>
      <c r="B633" s="32" t="s">
        <v>7701</v>
      </c>
      <c r="C633" s="32" t="s">
        <v>7701</v>
      </c>
      <c r="D633" s="22" t="s">
        <v>8185</v>
      </c>
      <c r="E633" s="22" t="s">
        <v>3394</v>
      </c>
      <c r="F633" s="22" t="s">
        <v>7703</v>
      </c>
      <c r="G633" s="22" t="s">
        <v>2374</v>
      </c>
      <c r="H633" s="35" t="s">
        <v>8132</v>
      </c>
      <c r="I633" s="22" t="s">
        <v>9075</v>
      </c>
    </row>
    <row r="634" customFormat="false" ht="15" hidden="false" customHeight="true" outlineLevel="0" collapsed="false">
      <c r="A634" s="24" t="s">
        <v>893</v>
      </c>
      <c r="B634" s="32" t="s">
        <v>9076</v>
      </c>
      <c r="C634" s="32" t="s">
        <v>7171</v>
      </c>
      <c r="D634" s="22" t="s">
        <v>3363</v>
      </c>
      <c r="E634" s="22" t="s">
        <v>3359</v>
      </c>
      <c r="F634" s="22" t="s">
        <v>8873</v>
      </c>
      <c r="G634" s="22" t="s">
        <v>9077</v>
      </c>
      <c r="H634" s="31" t="s">
        <v>8209</v>
      </c>
      <c r="I634" s="22" t="s">
        <v>9078</v>
      </c>
    </row>
    <row r="635" customFormat="false" ht="24.75" hidden="false" customHeight="true" outlineLevel="0" collapsed="false">
      <c r="A635" s="24" t="s">
        <v>692</v>
      </c>
      <c r="B635" s="32" t="s">
        <v>9076</v>
      </c>
      <c r="C635" s="32" t="s">
        <v>7171</v>
      </c>
      <c r="D635" s="22" t="s">
        <v>3363</v>
      </c>
      <c r="E635" s="22" t="s">
        <v>3359</v>
      </c>
      <c r="F635" s="22" t="s">
        <v>8463</v>
      </c>
      <c r="G635" s="22" t="s">
        <v>2400</v>
      </c>
      <c r="H635" s="31" t="s">
        <v>8209</v>
      </c>
      <c r="I635" s="22" t="s">
        <v>9079</v>
      </c>
    </row>
    <row r="636" customFormat="false" ht="15" hidden="false" customHeight="true" outlineLevel="0" collapsed="false">
      <c r="A636" s="24" t="s">
        <v>893</v>
      </c>
      <c r="B636" s="32" t="s">
        <v>7271</v>
      </c>
      <c r="C636" s="32" t="s">
        <v>7271</v>
      </c>
      <c r="D636" s="22" t="s">
        <v>3363</v>
      </c>
      <c r="E636" s="22" t="s">
        <v>3394</v>
      </c>
      <c r="F636" s="22" t="s">
        <v>9080</v>
      </c>
      <c r="G636" s="22" t="s">
        <v>2400</v>
      </c>
      <c r="H636" s="35" t="s">
        <v>8132</v>
      </c>
      <c r="I636" s="22"/>
    </row>
    <row r="637" customFormat="false" ht="15" hidden="false" customHeight="true" outlineLevel="0" collapsed="false">
      <c r="A637" s="24" t="s">
        <v>692</v>
      </c>
      <c r="B637" s="32" t="s">
        <v>6670</v>
      </c>
      <c r="C637" s="32" t="s">
        <v>6670</v>
      </c>
      <c r="D637" s="22" t="s">
        <v>3363</v>
      </c>
      <c r="E637" s="22" t="s">
        <v>3394</v>
      </c>
      <c r="F637" s="22" t="s">
        <v>9081</v>
      </c>
      <c r="G637" s="22" t="s">
        <v>2400</v>
      </c>
      <c r="H637" s="35" t="s">
        <v>8132</v>
      </c>
      <c r="I637" s="22"/>
    </row>
    <row r="638" customFormat="false" ht="15" hidden="false" customHeight="true" outlineLevel="0" collapsed="false">
      <c r="A638" s="24" t="s">
        <v>893</v>
      </c>
      <c r="B638" s="32" t="s">
        <v>5590</v>
      </c>
      <c r="C638" s="32" t="s">
        <v>5590</v>
      </c>
      <c r="D638" s="22" t="s">
        <v>3363</v>
      </c>
      <c r="E638" s="22" t="s">
        <v>3394</v>
      </c>
      <c r="F638" s="22" t="s">
        <v>9082</v>
      </c>
      <c r="G638" s="22" t="s">
        <v>2400</v>
      </c>
      <c r="H638" s="35" t="s">
        <v>8132</v>
      </c>
      <c r="I638" s="22"/>
    </row>
    <row r="639" customFormat="false" ht="15" hidden="false" customHeight="true" outlineLevel="0" collapsed="false">
      <c r="A639" s="24" t="s">
        <v>692</v>
      </c>
      <c r="B639" s="32" t="s">
        <v>6673</v>
      </c>
      <c r="C639" s="32" t="s">
        <v>6673</v>
      </c>
      <c r="D639" s="22" t="s">
        <v>3363</v>
      </c>
      <c r="E639" s="22" t="s">
        <v>3394</v>
      </c>
      <c r="F639" s="22" t="s">
        <v>9083</v>
      </c>
      <c r="G639" s="22" t="s">
        <v>2400</v>
      </c>
      <c r="H639" s="35" t="s">
        <v>8132</v>
      </c>
      <c r="I639" s="22"/>
    </row>
    <row r="640" customFormat="false" ht="15" hidden="false" customHeight="true" outlineLevel="0" collapsed="false">
      <c r="A640" s="24" t="s">
        <v>893</v>
      </c>
      <c r="B640" s="32" t="s">
        <v>9084</v>
      </c>
      <c r="C640" s="32" t="s">
        <v>6675</v>
      </c>
      <c r="D640" s="22" t="s">
        <v>3363</v>
      </c>
      <c r="E640" s="22" t="s">
        <v>3394</v>
      </c>
      <c r="F640" s="22" t="s">
        <v>9074</v>
      </c>
      <c r="G640" s="22" t="s">
        <v>9085</v>
      </c>
      <c r="H640" s="35" t="s">
        <v>8132</v>
      </c>
      <c r="I640" s="22"/>
    </row>
    <row r="641" customFormat="false" ht="15" hidden="false" customHeight="true" outlineLevel="0" collapsed="false">
      <c r="A641" s="24" t="s">
        <v>893</v>
      </c>
      <c r="B641" s="32" t="s">
        <v>9086</v>
      </c>
      <c r="C641" s="32" t="s">
        <v>7269</v>
      </c>
      <c r="D641" s="22" t="s">
        <v>3363</v>
      </c>
      <c r="E641" s="22" t="s">
        <v>3394</v>
      </c>
      <c r="F641" s="22" t="s">
        <v>9087</v>
      </c>
      <c r="G641" s="22" t="s">
        <v>9088</v>
      </c>
      <c r="H641" s="35" t="s">
        <v>8132</v>
      </c>
      <c r="I641" s="22"/>
    </row>
    <row r="642" customFormat="false" ht="15" hidden="false" customHeight="true" outlineLevel="0" collapsed="false">
      <c r="A642" s="24" t="s">
        <v>893</v>
      </c>
      <c r="B642" s="32" t="s">
        <v>9089</v>
      </c>
      <c r="C642" s="32" t="s">
        <v>7265</v>
      </c>
      <c r="D642" s="22" t="s">
        <v>3363</v>
      </c>
      <c r="E642" s="22" t="s">
        <v>3359</v>
      </c>
      <c r="F642" s="22" t="s">
        <v>9090</v>
      </c>
      <c r="G642" s="22" t="s">
        <v>2425</v>
      </c>
      <c r="H642" s="35" t="s">
        <v>8132</v>
      </c>
      <c r="I642" s="22"/>
    </row>
    <row r="643" customFormat="false" ht="15" hidden="false" customHeight="true" outlineLevel="0" collapsed="false">
      <c r="A643" s="24" t="s">
        <v>892</v>
      </c>
      <c r="B643" s="32" t="s">
        <v>9091</v>
      </c>
      <c r="C643" s="32" t="s">
        <v>7554</v>
      </c>
      <c r="D643" s="22" t="s">
        <v>3363</v>
      </c>
      <c r="E643" s="22" t="s">
        <v>3359</v>
      </c>
      <c r="F643" s="22" t="s">
        <v>9092</v>
      </c>
      <c r="G643" s="22" t="s">
        <v>2425</v>
      </c>
      <c r="H643" s="35" t="s">
        <v>8132</v>
      </c>
      <c r="I643" s="22" t="s">
        <v>9093</v>
      </c>
    </row>
    <row r="644" customFormat="false" ht="15" hidden="false" customHeight="true" outlineLevel="0" collapsed="false">
      <c r="A644" s="24" t="s">
        <v>892</v>
      </c>
      <c r="B644" s="32" t="s">
        <v>9094</v>
      </c>
      <c r="C644" s="32" t="s">
        <v>6682</v>
      </c>
      <c r="D644" s="22" t="s">
        <v>3363</v>
      </c>
      <c r="E644" s="22" t="s">
        <v>3394</v>
      </c>
      <c r="F644" s="22" t="s">
        <v>9095</v>
      </c>
      <c r="G644" s="22" t="s">
        <v>2425</v>
      </c>
      <c r="H644" s="35" t="s">
        <v>8132</v>
      </c>
      <c r="I644" s="22"/>
    </row>
    <row r="645" customFormat="false" ht="15" hidden="false" customHeight="true" outlineLevel="0" collapsed="false">
      <c r="A645" s="24" t="s">
        <v>893</v>
      </c>
      <c r="B645" s="32" t="s">
        <v>9096</v>
      </c>
      <c r="C645" s="32" t="s">
        <v>7265</v>
      </c>
      <c r="D645" s="22" t="s">
        <v>3363</v>
      </c>
      <c r="E645" s="22" t="s">
        <v>3359</v>
      </c>
      <c r="F645" s="22" t="s">
        <v>9090</v>
      </c>
      <c r="G645" s="22" t="s">
        <v>2448</v>
      </c>
      <c r="H645" s="35" t="s">
        <v>8132</v>
      </c>
      <c r="I645" s="22"/>
    </row>
    <row r="646" customFormat="false" ht="15" hidden="false" customHeight="true" outlineLevel="0" collapsed="false">
      <c r="A646" s="24" t="s">
        <v>892</v>
      </c>
      <c r="B646" s="32" t="s">
        <v>9097</v>
      </c>
      <c r="C646" s="32" t="s">
        <v>7554</v>
      </c>
      <c r="D646" s="22" t="s">
        <v>3363</v>
      </c>
      <c r="E646" s="22" t="s">
        <v>3359</v>
      </c>
      <c r="F646" s="22" t="s">
        <v>9092</v>
      </c>
      <c r="G646" s="22" t="s">
        <v>2448</v>
      </c>
      <c r="H646" s="35" t="s">
        <v>8132</v>
      </c>
      <c r="I646" s="22"/>
    </row>
    <row r="647" customFormat="false" ht="15" hidden="false" customHeight="true" outlineLevel="0" collapsed="false">
      <c r="A647" s="24" t="s">
        <v>892</v>
      </c>
      <c r="B647" s="32" t="s">
        <v>9098</v>
      </c>
      <c r="C647" s="32" t="s">
        <v>7561</v>
      </c>
      <c r="D647" s="22" t="s">
        <v>3363</v>
      </c>
      <c r="E647" s="22" t="s">
        <v>3394</v>
      </c>
      <c r="F647" s="22" t="s">
        <v>9099</v>
      </c>
      <c r="G647" s="22" t="s">
        <v>2448</v>
      </c>
      <c r="H647" s="35" t="s">
        <v>8132</v>
      </c>
      <c r="I647" s="22"/>
    </row>
    <row r="648" customFormat="false" ht="24.75" hidden="false" customHeight="true" outlineLevel="0" collapsed="false">
      <c r="A648" s="24" t="s">
        <v>892</v>
      </c>
      <c r="B648" s="32" t="s">
        <v>8071</v>
      </c>
      <c r="C648" s="32" t="s">
        <v>8071</v>
      </c>
      <c r="D648" s="22" t="s">
        <v>7784</v>
      </c>
      <c r="E648" s="22" t="s">
        <v>3713</v>
      </c>
      <c r="F648" s="22" t="s">
        <v>9100</v>
      </c>
      <c r="G648" s="22" t="s">
        <v>2448</v>
      </c>
      <c r="H648" s="31" t="s">
        <v>8209</v>
      </c>
      <c r="I648" s="22"/>
    </row>
    <row r="649" customFormat="false" ht="24.75" hidden="false" customHeight="true" outlineLevel="0" collapsed="false">
      <c r="A649" s="24" t="s">
        <v>892</v>
      </c>
      <c r="B649" s="32" t="s">
        <v>8073</v>
      </c>
      <c r="C649" s="32" t="s">
        <v>8073</v>
      </c>
      <c r="D649" s="22" t="s">
        <v>7784</v>
      </c>
      <c r="E649" s="22" t="s">
        <v>3713</v>
      </c>
      <c r="F649" s="22" t="s">
        <v>9101</v>
      </c>
      <c r="G649" s="22" t="s">
        <v>2448</v>
      </c>
      <c r="H649" s="35" t="s">
        <v>8132</v>
      </c>
      <c r="I649" s="22"/>
    </row>
    <row r="650" customFormat="false" ht="15" hidden="false" customHeight="true" outlineLevel="0" collapsed="false">
      <c r="A650" s="24" t="s">
        <v>2478</v>
      </c>
      <c r="B650" s="32" t="s">
        <v>9102</v>
      </c>
      <c r="C650" s="32" t="s">
        <v>7156</v>
      </c>
      <c r="D650" s="22" t="s">
        <v>3363</v>
      </c>
      <c r="E650" s="22" t="s">
        <v>3359</v>
      </c>
      <c r="F650" s="22" t="s">
        <v>9103</v>
      </c>
      <c r="G650" s="22" t="s">
        <v>2474</v>
      </c>
      <c r="H650" s="31" t="s">
        <v>8209</v>
      </c>
      <c r="I650" s="22" t="s">
        <v>9104</v>
      </c>
    </row>
    <row r="651" customFormat="false" ht="15" hidden="false" customHeight="true" outlineLevel="0" collapsed="false">
      <c r="A651" s="24" t="s">
        <v>1929</v>
      </c>
      <c r="B651" s="32" t="s">
        <v>9102</v>
      </c>
      <c r="C651" s="32" t="s">
        <v>7156</v>
      </c>
      <c r="D651" s="22" t="s">
        <v>3363</v>
      </c>
      <c r="E651" s="22" t="s">
        <v>3359</v>
      </c>
      <c r="F651" s="22" t="s">
        <v>9105</v>
      </c>
      <c r="G651" s="22" t="s">
        <v>2474</v>
      </c>
      <c r="H651" s="31" t="s">
        <v>8209</v>
      </c>
      <c r="I651" s="22" t="s">
        <v>9104</v>
      </c>
    </row>
    <row r="652" customFormat="false" ht="15" hidden="false" customHeight="true" outlineLevel="0" collapsed="false">
      <c r="A652" s="24" t="s">
        <v>2478</v>
      </c>
      <c r="B652" s="32" t="s">
        <v>7319</v>
      </c>
      <c r="C652" s="32" t="s">
        <v>7454</v>
      </c>
      <c r="D652" s="22" t="s">
        <v>3363</v>
      </c>
      <c r="E652" s="22" t="s">
        <v>3394</v>
      </c>
      <c r="F652" s="22" t="s">
        <v>9106</v>
      </c>
      <c r="G652" s="22" t="s">
        <v>2474</v>
      </c>
      <c r="H652" s="35" t="s">
        <v>8132</v>
      </c>
      <c r="I652" s="22" t="s">
        <v>9107</v>
      </c>
    </row>
    <row r="653" customFormat="false" ht="24.75" hidden="false" customHeight="true" outlineLevel="0" collapsed="false">
      <c r="A653" s="24" t="s">
        <v>893</v>
      </c>
      <c r="B653" s="32" t="s">
        <v>8075</v>
      </c>
      <c r="C653" s="32" t="s">
        <v>8075</v>
      </c>
      <c r="D653" s="22" t="s">
        <v>7784</v>
      </c>
      <c r="E653" s="22" t="s">
        <v>3713</v>
      </c>
      <c r="F653" s="22" t="s">
        <v>9108</v>
      </c>
      <c r="G653" s="22" t="s">
        <v>2474</v>
      </c>
      <c r="H653" s="31" t="s">
        <v>8209</v>
      </c>
      <c r="I653" s="22"/>
    </row>
    <row r="654" customFormat="false" ht="15" hidden="false" customHeight="true" outlineLevel="0" collapsed="false">
      <c r="A654" s="24" t="s">
        <v>1929</v>
      </c>
      <c r="B654" s="32" t="s">
        <v>7319</v>
      </c>
      <c r="C654" s="32" t="s">
        <v>7454</v>
      </c>
      <c r="D654" s="22" t="s">
        <v>3363</v>
      </c>
      <c r="E654" s="22" t="s">
        <v>3394</v>
      </c>
      <c r="F654" s="22" t="s">
        <v>8948</v>
      </c>
      <c r="G654" s="22" t="s">
        <v>2474</v>
      </c>
      <c r="H654" s="35" t="s">
        <v>8132</v>
      </c>
      <c r="I654" s="22" t="s">
        <v>9107</v>
      </c>
    </row>
    <row r="655" customFormat="false" ht="24.75" hidden="false" customHeight="true" outlineLevel="0" collapsed="false">
      <c r="A655" s="24" t="s">
        <v>893</v>
      </c>
      <c r="B655" s="32" t="s">
        <v>8077</v>
      </c>
      <c r="C655" s="32" t="s">
        <v>8077</v>
      </c>
      <c r="D655" s="22" t="s">
        <v>7784</v>
      </c>
      <c r="E655" s="22" t="s">
        <v>3713</v>
      </c>
      <c r="F655" s="22" t="s">
        <v>9109</v>
      </c>
      <c r="G655" s="22" t="s">
        <v>2474</v>
      </c>
      <c r="H655" s="31" t="s">
        <v>8209</v>
      </c>
      <c r="I655" s="22"/>
    </row>
    <row r="656" customFormat="false" ht="15" hidden="false" customHeight="true" outlineLevel="0" collapsed="false">
      <c r="A656" s="24" t="s">
        <v>692</v>
      </c>
      <c r="B656" s="32" t="s">
        <v>5511</v>
      </c>
      <c r="C656" s="32" t="s">
        <v>7243</v>
      </c>
      <c r="D656" s="22" t="s">
        <v>3363</v>
      </c>
      <c r="E656" s="22" t="s">
        <v>3359</v>
      </c>
      <c r="F656" s="22" t="s">
        <v>8548</v>
      </c>
      <c r="G656" s="22" t="s">
        <v>9110</v>
      </c>
      <c r="H656" s="35" t="s">
        <v>8132</v>
      </c>
      <c r="I656" s="22"/>
    </row>
    <row r="657" customFormat="false" ht="24.75" hidden="false" customHeight="true" outlineLevel="0" collapsed="false">
      <c r="A657" s="24" t="s">
        <v>1336</v>
      </c>
      <c r="B657" s="32" t="s">
        <v>7768</v>
      </c>
      <c r="C657" s="32" t="s">
        <v>7768</v>
      </c>
      <c r="D657" s="22" t="s">
        <v>8185</v>
      </c>
      <c r="E657" s="22" t="s">
        <v>3713</v>
      </c>
      <c r="F657" s="22" t="s">
        <v>7769</v>
      </c>
      <c r="G657" s="22" t="s">
        <v>2501</v>
      </c>
      <c r="H657" s="35" t="s">
        <v>8132</v>
      </c>
      <c r="I657" s="22" t="s">
        <v>9111</v>
      </c>
    </row>
    <row r="658" customFormat="false" ht="24.75" hidden="false" customHeight="true" outlineLevel="0" collapsed="false">
      <c r="A658" s="24" t="s">
        <v>692</v>
      </c>
      <c r="B658" s="32" t="s">
        <v>8079</v>
      </c>
      <c r="C658" s="32" t="s">
        <v>8079</v>
      </c>
      <c r="D658" s="22" t="s">
        <v>7784</v>
      </c>
      <c r="E658" s="22" t="s">
        <v>3713</v>
      </c>
      <c r="F658" s="22" t="s">
        <v>9112</v>
      </c>
      <c r="G658" s="22" t="s">
        <v>2501</v>
      </c>
      <c r="H658" s="35" t="s">
        <v>8132</v>
      </c>
      <c r="I658" s="22"/>
    </row>
    <row r="659" customFormat="false" ht="15" hidden="false" customHeight="true" outlineLevel="0" collapsed="false">
      <c r="A659" s="24" t="s">
        <v>2532</v>
      </c>
      <c r="B659" s="32" t="s">
        <v>7330</v>
      </c>
      <c r="C659" s="32" t="s">
        <v>7330</v>
      </c>
      <c r="D659" s="22" t="s">
        <v>3363</v>
      </c>
      <c r="E659" s="22" t="s">
        <v>3359</v>
      </c>
      <c r="F659" s="22" t="s">
        <v>9113</v>
      </c>
      <c r="G659" s="22" t="s">
        <v>2528</v>
      </c>
      <c r="H659" s="35" t="s">
        <v>8132</v>
      </c>
      <c r="I659" s="22"/>
    </row>
    <row r="660" customFormat="false" ht="15" hidden="false" customHeight="true" outlineLevel="0" collapsed="false">
      <c r="A660" s="24" t="s">
        <v>2532</v>
      </c>
      <c r="B660" s="32" t="s">
        <v>8081</v>
      </c>
      <c r="C660" s="32" t="s">
        <v>8081</v>
      </c>
      <c r="D660" s="22" t="s">
        <v>7784</v>
      </c>
      <c r="E660" s="22" t="s">
        <v>3713</v>
      </c>
      <c r="F660" s="22" t="s">
        <v>9114</v>
      </c>
      <c r="G660" s="22" t="s">
        <v>2528</v>
      </c>
      <c r="H660" s="35" t="s">
        <v>8132</v>
      </c>
      <c r="I660" s="22"/>
    </row>
    <row r="661" customFormat="false" ht="24.75" hidden="false" customHeight="true" outlineLevel="0" collapsed="false">
      <c r="A661" s="24" t="s">
        <v>893</v>
      </c>
      <c r="B661" s="32" t="s">
        <v>8083</v>
      </c>
      <c r="C661" s="32" t="s">
        <v>8083</v>
      </c>
      <c r="D661" s="22" t="s">
        <v>7784</v>
      </c>
      <c r="E661" s="22" t="s">
        <v>3713</v>
      </c>
      <c r="F661" s="22" t="s">
        <v>9115</v>
      </c>
      <c r="G661" s="22" t="s">
        <v>2528</v>
      </c>
      <c r="H661" s="31" t="s">
        <v>8209</v>
      </c>
      <c r="I661" s="22"/>
    </row>
    <row r="662" customFormat="false" ht="24.75" hidden="false" customHeight="true" outlineLevel="0" collapsed="false">
      <c r="A662" s="24" t="s">
        <v>2532</v>
      </c>
      <c r="B662" s="32" t="s">
        <v>8085</v>
      </c>
      <c r="C662" s="32" t="s">
        <v>8085</v>
      </c>
      <c r="D662" s="22" t="s">
        <v>7784</v>
      </c>
      <c r="E662" s="22" t="s">
        <v>3713</v>
      </c>
      <c r="F662" s="22" t="s">
        <v>9116</v>
      </c>
      <c r="G662" s="22" t="s">
        <v>2528</v>
      </c>
      <c r="H662" s="31" t="s">
        <v>8209</v>
      </c>
      <c r="I662" s="22" t="s">
        <v>9117</v>
      </c>
    </row>
    <row r="663" customFormat="false" ht="24.75" hidden="false" customHeight="true" outlineLevel="0" collapsed="false">
      <c r="A663" s="24" t="s">
        <v>893</v>
      </c>
      <c r="B663" s="32" t="s">
        <v>8087</v>
      </c>
      <c r="C663" s="32" t="s">
        <v>8087</v>
      </c>
      <c r="D663" s="22" t="s">
        <v>7784</v>
      </c>
      <c r="E663" s="22" t="s">
        <v>3713</v>
      </c>
      <c r="F663" s="22" t="s">
        <v>9118</v>
      </c>
      <c r="G663" s="22" t="s">
        <v>2528</v>
      </c>
      <c r="H663" s="31" t="s">
        <v>8209</v>
      </c>
      <c r="I663" s="22"/>
    </row>
    <row r="664" customFormat="false" ht="15" hidden="false" customHeight="true" outlineLevel="0" collapsed="false">
      <c r="A664" s="24" t="s">
        <v>2532</v>
      </c>
      <c r="B664" s="32" t="s">
        <v>9119</v>
      </c>
      <c r="C664" s="32" t="s">
        <v>7361</v>
      </c>
      <c r="D664" s="22" t="s">
        <v>3363</v>
      </c>
      <c r="E664" s="22" t="s">
        <v>3394</v>
      </c>
      <c r="F664" s="22" t="s">
        <v>9120</v>
      </c>
      <c r="G664" s="22" t="s">
        <v>2528</v>
      </c>
      <c r="H664" s="35" t="s">
        <v>8132</v>
      </c>
      <c r="I664" s="22"/>
    </row>
    <row r="665" customFormat="false" ht="24.75" hidden="false" customHeight="true" outlineLevel="0" collapsed="false">
      <c r="A665" s="24" t="s">
        <v>692</v>
      </c>
      <c r="B665" s="32" t="s">
        <v>8089</v>
      </c>
      <c r="C665" s="32" t="s">
        <v>8089</v>
      </c>
      <c r="D665" s="22" t="s">
        <v>7784</v>
      </c>
      <c r="E665" s="22" t="s">
        <v>3713</v>
      </c>
      <c r="F665" s="22" t="s">
        <v>9121</v>
      </c>
      <c r="G665" s="22" t="s">
        <v>2528</v>
      </c>
      <c r="H665" s="31" t="s">
        <v>8209</v>
      </c>
      <c r="I665" s="22"/>
    </row>
    <row r="666" customFormat="false" ht="15" hidden="false" customHeight="true" outlineLevel="0" collapsed="false">
      <c r="A666" s="24" t="s">
        <v>2532</v>
      </c>
      <c r="B666" s="32" t="s">
        <v>8091</v>
      </c>
      <c r="C666" s="32" t="s">
        <v>8091</v>
      </c>
      <c r="D666" s="22" t="s">
        <v>7784</v>
      </c>
      <c r="E666" s="22" t="s">
        <v>3713</v>
      </c>
      <c r="F666" s="22" t="s">
        <v>9122</v>
      </c>
      <c r="G666" s="22" t="s">
        <v>2528</v>
      </c>
      <c r="H666" s="35" t="s">
        <v>8132</v>
      </c>
      <c r="I666" s="22"/>
    </row>
    <row r="667" customFormat="false" ht="15" hidden="false" customHeight="true" outlineLevel="0" collapsed="false">
      <c r="A667" s="24" t="s">
        <v>692</v>
      </c>
      <c r="B667" s="32" t="s">
        <v>8093</v>
      </c>
      <c r="C667" s="32" t="s">
        <v>8093</v>
      </c>
      <c r="D667" s="22" t="s">
        <v>7784</v>
      </c>
      <c r="E667" s="22" t="s">
        <v>3713</v>
      </c>
      <c r="F667" s="22" t="s">
        <v>9123</v>
      </c>
      <c r="G667" s="22" t="s">
        <v>2528</v>
      </c>
      <c r="H667" s="31" t="s">
        <v>8209</v>
      </c>
      <c r="I667" s="22"/>
    </row>
    <row r="668" customFormat="false" ht="24.75" hidden="false" customHeight="true" outlineLevel="0" collapsed="false">
      <c r="A668" s="24" t="s">
        <v>2532</v>
      </c>
      <c r="B668" s="32" t="s">
        <v>8095</v>
      </c>
      <c r="C668" s="32" t="s">
        <v>8095</v>
      </c>
      <c r="D668" s="22" t="s">
        <v>7784</v>
      </c>
      <c r="E668" s="22" t="s">
        <v>3713</v>
      </c>
      <c r="F668" s="22" t="s">
        <v>9124</v>
      </c>
      <c r="G668" s="22" t="s">
        <v>2528</v>
      </c>
      <c r="H668" s="31" t="s">
        <v>8209</v>
      </c>
      <c r="I668" s="22"/>
    </row>
    <row r="669" customFormat="false" ht="15" hidden="false" customHeight="true" outlineLevel="0" collapsed="false">
      <c r="A669" s="24" t="s">
        <v>692</v>
      </c>
      <c r="B669" s="32" t="s">
        <v>8097</v>
      </c>
      <c r="C669" s="32" t="s">
        <v>8097</v>
      </c>
      <c r="D669" s="22" t="s">
        <v>7784</v>
      </c>
      <c r="E669" s="22" t="s">
        <v>3713</v>
      </c>
      <c r="F669" s="22" t="s">
        <v>9125</v>
      </c>
      <c r="G669" s="22" t="s">
        <v>2528</v>
      </c>
      <c r="H669" s="31" t="s">
        <v>8209</v>
      </c>
      <c r="I669" s="22"/>
    </row>
    <row r="670" customFormat="false" ht="15" hidden="false" customHeight="true" outlineLevel="0" collapsed="false">
      <c r="A670" s="24" t="s">
        <v>2560</v>
      </c>
      <c r="B670" s="32" t="s">
        <v>8102</v>
      </c>
      <c r="C670" s="32" t="s">
        <v>5674</v>
      </c>
      <c r="D670" s="22" t="s">
        <v>3363</v>
      </c>
      <c r="E670" s="22" t="s">
        <v>3389</v>
      </c>
      <c r="F670" s="22" t="s">
        <v>9126</v>
      </c>
      <c r="G670" s="22" t="s">
        <v>2556</v>
      </c>
      <c r="H670" s="35" t="s">
        <v>8132</v>
      </c>
      <c r="I670" s="22"/>
    </row>
    <row r="671" customFormat="false" ht="15" hidden="false" customHeight="true" outlineLevel="0" collapsed="false">
      <c r="A671" s="24" t="s">
        <v>2561</v>
      </c>
      <c r="B671" s="32" t="s">
        <v>8102</v>
      </c>
      <c r="C671" s="32" t="s">
        <v>7412</v>
      </c>
      <c r="D671" s="22" t="s">
        <v>3363</v>
      </c>
      <c r="E671" s="22" t="s">
        <v>3389</v>
      </c>
      <c r="F671" s="22" t="s">
        <v>9127</v>
      </c>
      <c r="G671" s="22" t="s">
        <v>2556</v>
      </c>
      <c r="H671" s="35" t="s">
        <v>8132</v>
      </c>
      <c r="I671" s="22"/>
    </row>
    <row r="672" customFormat="false" ht="15" hidden="false" customHeight="true" outlineLevel="0" collapsed="false">
      <c r="A672" s="24" t="s">
        <v>2560</v>
      </c>
      <c r="B672" s="32" t="s">
        <v>9128</v>
      </c>
      <c r="C672" s="32" t="s">
        <v>7378</v>
      </c>
      <c r="D672" s="22" t="s">
        <v>3363</v>
      </c>
      <c r="E672" s="22" t="s">
        <v>3359</v>
      </c>
      <c r="F672" s="22" t="s">
        <v>9129</v>
      </c>
      <c r="G672" s="22" t="s">
        <v>2556</v>
      </c>
      <c r="H672" s="35" t="s">
        <v>8132</v>
      </c>
      <c r="I672" s="22"/>
    </row>
    <row r="673" customFormat="false" ht="24.75" hidden="false" customHeight="true" outlineLevel="0" collapsed="false">
      <c r="A673" s="24" t="s">
        <v>2561</v>
      </c>
      <c r="B673" s="32" t="s">
        <v>8099</v>
      </c>
      <c r="C673" s="32" t="s">
        <v>8099</v>
      </c>
      <c r="D673" s="22" t="s">
        <v>7784</v>
      </c>
      <c r="E673" s="22" t="s">
        <v>8100</v>
      </c>
      <c r="F673" s="22" t="s">
        <v>9130</v>
      </c>
      <c r="G673" s="22" t="s">
        <v>2556</v>
      </c>
      <c r="H673" s="35" t="s">
        <v>8132</v>
      </c>
      <c r="I673" s="22"/>
    </row>
    <row r="674" customFormat="false" ht="24.75" hidden="false" customHeight="true" outlineLevel="0" collapsed="false">
      <c r="A674" s="24" t="s">
        <v>692</v>
      </c>
      <c r="B674" s="32" t="s">
        <v>8102</v>
      </c>
      <c r="C674" s="32" t="s">
        <v>8102</v>
      </c>
      <c r="D674" s="22" t="s">
        <v>7784</v>
      </c>
      <c r="E674" s="22" t="s">
        <v>3389</v>
      </c>
      <c r="F674" s="22" t="s">
        <v>9131</v>
      </c>
      <c r="G674" s="22" t="s">
        <v>2556</v>
      </c>
      <c r="H674" s="35" t="s">
        <v>8132</v>
      </c>
      <c r="I674" s="22"/>
    </row>
    <row r="675" customFormat="false" ht="15" hidden="false" customHeight="true" outlineLevel="0" collapsed="false">
      <c r="A675" s="24" t="s">
        <v>2560</v>
      </c>
      <c r="B675" s="32" t="s">
        <v>9132</v>
      </c>
      <c r="C675" s="32" t="s">
        <v>7403</v>
      </c>
      <c r="D675" s="22" t="s">
        <v>3363</v>
      </c>
      <c r="E675" s="22" t="s">
        <v>3394</v>
      </c>
      <c r="F675" s="22" t="s">
        <v>9133</v>
      </c>
      <c r="G675" s="22" t="s">
        <v>2556</v>
      </c>
      <c r="H675" s="35" t="s">
        <v>8132</v>
      </c>
      <c r="I675" s="22"/>
    </row>
    <row r="676" customFormat="false" ht="15" hidden="false" customHeight="true" outlineLevel="0" collapsed="false">
      <c r="A676" s="24" t="s">
        <v>692</v>
      </c>
      <c r="B676" s="32" t="s">
        <v>8104</v>
      </c>
      <c r="C676" s="32" t="s">
        <v>8104</v>
      </c>
      <c r="D676" s="22" t="s">
        <v>7784</v>
      </c>
      <c r="E676" s="22" t="s">
        <v>3713</v>
      </c>
      <c r="F676" s="22" t="s">
        <v>9134</v>
      </c>
      <c r="G676" s="22" t="s">
        <v>2556</v>
      </c>
      <c r="H676" s="31" t="s">
        <v>8209</v>
      </c>
      <c r="I676" s="22"/>
    </row>
    <row r="677" customFormat="false" ht="24.75" hidden="false" customHeight="true" outlineLevel="0" collapsed="false">
      <c r="A677" s="24" t="s">
        <v>2561</v>
      </c>
      <c r="B677" s="32" t="s">
        <v>8104</v>
      </c>
      <c r="C677" s="32" t="s">
        <v>8104</v>
      </c>
      <c r="D677" s="22" t="s">
        <v>7784</v>
      </c>
      <c r="E677" s="22" t="s">
        <v>3713</v>
      </c>
      <c r="F677" s="22" t="s">
        <v>9135</v>
      </c>
      <c r="G677" s="22" t="s">
        <v>2556</v>
      </c>
      <c r="H677" s="35" t="s">
        <v>8132</v>
      </c>
      <c r="I677" s="22"/>
    </row>
    <row r="678" customFormat="false" ht="15" hidden="false" customHeight="true" outlineLevel="0" collapsed="false">
      <c r="A678" s="24" t="s">
        <v>692</v>
      </c>
      <c r="B678" s="32" t="s">
        <v>8107</v>
      </c>
      <c r="C678" s="32" t="s">
        <v>8107</v>
      </c>
      <c r="D678" s="22" t="s">
        <v>7784</v>
      </c>
      <c r="E678" s="22" t="s">
        <v>3713</v>
      </c>
      <c r="F678" s="22" t="s">
        <v>9136</v>
      </c>
      <c r="G678" s="22" t="s">
        <v>2556</v>
      </c>
      <c r="H678" s="31" t="s">
        <v>8209</v>
      </c>
      <c r="I678" s="22"/>
    </row>
    <row r="679" customFormat="false" ht="15" hidden="false" customHeight="true" outlineLevel="0" collapsed="false">
      <c r="A679" s="24" t="s">
        <v>2561</v>
      </c>
      <c r="B679" s="32" t="s">
        <v>9137</v>
      </c>
      <c r="C679" s="32" t="s">
        <v>7426</v>
      </c>
      <c r="D679" s="22" t="s">
        <v>3363</v>
      </c>
      <c r="E679" s="22" t="s">
        <v>3394</v>
      </c>
      <c r="F679" s="22" t="s">
        <v>9138</v>
      </c>
      <c r="G679" s="22" t="s">
        <v>2556</v>
      </c>
      <c r="H679" s="35" t="s">
        <v>8132</v>
      </c>
      <c r="I679" s="22"/>
    </row>
    <row r="680" customFormat="false" ht="15" hidden="false" customHeight="true" outlineLevel="0" collapsed="false">
      <c r="A680" s="24" t="s">
        <v>692</v>
      </c>
      <c r="B680" s="32" t="s">
        <v>8109</v>
      </c>
      <c r="C680" s="32" t="s">
        <v>8109</v>
      </c>
      <c r="D680" s="22" t="s">
        <v>7784</v>
      </c>
      <c r="E680" s="22" t="s">
        <v>3713</v>
      </c>
      <c r="F680" s="22" t="s">
        <v>9139</v>
      </c>
      <c r="G680" s="22" t="s">
        <v>2556</v>
      </c>
      <c r="H680" s="31" t="s">
        <v>8209</v>
      </c>
      <c r="I680" s="22"/>
    </row>
    <row r="681" customFormat="false" ht="15" hidden="false" customHeight="true" outlineLevel="0" collapsed="false">
      <c r="A681" s="24" t="s">
        <v>2561</v>
      </c>
      <c r="B681" s="32" t="s">
        <v>8109</v>
      </c>
      <c r="C681" s="32" t="s">
        <v>7432</v>
      </c>
      <c r="D681" s="22" t="s">
        <v>3363</v>
      </c>
      <c r="E681" s="22" t="s">
        <v>3394</v>
      </c>
      <c r="F681" s="22" t="s">
        <v>9140</v>
      </c>
      <c r="G681" s="22" t="s">
        <v>2556</v>
      </c>
      <c r="H681" s="35" t="s">
        <v>8132</v>
      </c>
      <c r="I681" s="22"/>
    </row>
    <row r="682" customFormat="false" ht="37.5" hidden="false" customHeight="true" outlineLevel="0" collapsed="false">
      <c r="A682" s="24" t="s">
        <v>637</v>
      </c>
      <c r="B682" s="32" t="s">
        <v>9141</v>
      </c>
      <c r="C682" s="32" t="s">
        <v>7764</v>
      </c>
      <c r="D682" s="22" t="s">
        <v>8185</v>
      </c>
      <c r="E682" s="22" t="s">
        <v>7754</v>
      </c>
      <c r="F682" s="22" t="s">
        <v>9142</v>
      </c>
      <c r="G682" s="22" t="s">
        <v>2586</v>
      </c>
      <c r="H682" s="35" t="s">
        <v>8132</v>
      </c>
      <c r="I682" s="22"/>
    </row>
    <row r="683" customFormat="false" ht="15" hidden="false" customHeight="true" outlineLevel="0" collapsed="false">
      <c r="A683" s="24" t="s">
        <v>637</v>
      </c>
      <c r="B683" s="32" t="s">
        <v>9143</v>
      </c>
      <c r="C683" s="32" t="s">
        <v>7243</v>
      </c>
      <c r="D683" s="22" t="s">
        <v>8185</v>
      </c>
      <c r="E683" s="22"/>
      <c r="F683" s="22" t="s">
        <v>8946</v>
      </c>
      <c r="G683" s="22" t="s">
        <v>2586</v>
      </c>
      <c r="H683" s="35" t="s">
        <v>8132</v>
      </c>
      <c r="I683" s="22" t="s">
        <v>8205</v>
      </c>
    </row>
    <row r="684" customFormat="false" ht="24.75" hidden="false" customHeight="true" outlineLevel="0" collapsed="false">
      <c r="A684" s="24" t="s">
        <v>892</v>
      </c>
      <c r="B684" s="32" t="s">
        <v>8111</v>
      </c>
      <c r="C684" s="32" t="s">
        <v>8111</v>
      </c>
      <c r="D684" s="22" t="s">
        <v>7784</v>
      </c>
      <c r="E684" s="22" t="s">
        <v>7754</v>
      </c>
      <c r="F684" s="22" t="s">
        <v>9144</v>
      </c>
      <c r="G684" s="22" t="s">
        <v>2586</v>
      </c>
      <c r="H684" s="31" t="s">
        <v>8209</v>
      </c>
      <c r="I684" s="22" t="s">
        <v>9145</v>
      </c>
    </row>
    <row r="685" customFormat="false" ht="24.75" hidden="false" customHeight="true" outlineLevel="0" collapsed="false">
      <c r="A685" s="24" t="s">
        <v>892</v>
      </c>
      <c r="B685" s="32" t="s">
        <v>9146</v>
      </c>
      <c r="C685" s="32" t="s">
        <v>7770</v>
      </c>
      <c r="D685" s="22" t="s">
        <v>8185</v>
      </c>
      <c r="E685" s="22" t="s">
        <v>7754</v>
      </c>
      <c r="F685" s="22" t="s">
        <v>7771</v>
      </c>
      <c r="G685" s="22" t="s">
        <v>2612</v>
      </c>
      <c r="H685" s="35" t="s">
        <v>8132</v>
      </c>
      <c r="I685" s="22"/>
    </row>
    <row r="686" customFormat="false" ht="15" hidden="false" customHeight="true" outlineLevel="0" collapsed="false">
      <c r="A686" s="24" t="s">
        <v>892</v>
      </c>
      <c r="B686" s="32" t="s">
        <v>9147</v>
      </c>
      <c r="C686" s="32" t="s">
        <v>9148</v>
      </c>
      <c r="D686" s="22" t="s">
        <v>8185</v>
      </c>
      <c r="E686" s="22"/>
      <c r="F686" s="22" t="s">
        <v>9149</v>
      </c>
      <c r="G686" s="22" t="s">
        <v>2612</v>
      </c>
      <c r="H686" s="35" t="s">
        <v>8132</v>
      </c>
      <c r="I686" s="22" t="s">
        <v>8205</v>
      </c>
    </row>
    <row r="687" customFormat="false" ht="15" hidden="false" customHeight="true" outlineLevel="0" collapsed="false">
      <c r="A687" s="24" t="s">
        <v>892</v>
      </c>
      <c r="B687" s="32" t="s">
        <v>9150</v>
      </c>
      <c r="C687" s="32" t="s">
        <v>9151</v>
      </c>
      <c r="D687" s="22" t="s">
        <v>8185</v>
      </c>
      <c r="E687" s="22"/>
      <c r="F687" s="22" t="s">
        <v>9152</v>
      </c>
      <c r="G687" s="22" t="s">
        <v>2612</v>
      </c>
      <c r="H687" s="35" t="s">
        <v>8132</v>
      </c>
      <c r="I687" s="22" t="s">
        <v>8205</v>
      </c>
    </row>
    <row r="688" customFormat="false" ht="15" hidden="false" customHeight="true" outlineLevel="0" collapsed="false">
      <c r="A688" s="24" t="s">
        <v>892</v>
      </c>
      <c r="B688" s="32" t="s">
        <v>9153</v>
      </c>
      <c r="C688" s="32" t="s">
        <v>9154</v>
      </c>
      <c r="D688" s="22" t="s">
        <v>8185</v>
      </c>
      <c r="E688" s="22"/>
      <c r="F688" s="22" t="s">
        <v>9155</v>
      </c>
      <c r="G688" s="22" t="s">
        <v>2612</v>
      </c>
      <c r="H688" s="35" t="s">
        <v>8132</v>
      </c>
      <c r="I688" s="22" t="s">
        <v>8205</v>
      </c>
    </row>
    <row r="689" customFormat="false" ht="15" hidden="false" customHeight="true" outlineLevel="0" collapsed="false">
      <c r="A689" s="24" t="s">
        <v>692</v>
      </c>
      <c r="B689" s="32" t="s">
        <v>9156</v>
      </c>
      <c r="C689" s="32" t="s">
        <v>8113</v>
      </c>
      <c r="D689" s="22" t="s">
        <v>7784</v>
      </c>
      <c r="E689" s="22" t="s">
        <v>7754</v>
      </c>
      <c r="F689" s="22" t="s">
        <v>9157</v>
      </c>
      <c r="G689" s="22" t="s">
        <v>2638</v>
      </c>
      <c r="H689" s="31" t="s">
        <v>8209</v>
      </c>
      <c r="I689" s="22"/>
    </row>
    <row r="690" customFormat="false" ht="15" hidden="false" customHeight="true" outlineLevel="0" collapsed="false">
      <c r="A690" s="24" t="s">
        <v>692</v>
      </c>
      <c r="B690" s="32" t="s">
        <v>9158</v>
      </c>
      <c r="C690" s="32" t="s">
        <v>6625</v>
      </c>
      <c r="D690" s="22" t="s">
        <v>3363</v>
      </c>
      <c r="E690" s="22"/>
      <c r="F690" s="22"/>
      <c r="G690" s="22" t="s">
        <v>2638</v>
      </c>
      <c r="H690" s="31" t="s">
        <v>8209</v>
      </c>
      <c r="I690" s="22" t="s">
        <v>8205</v>
      </c>
    </row>
    <row r="691" customFormat="false" ht="15" hidden="false" customHeight="true" outlineLevel="0" collapsed="false">
      <c r="A691" s="24" t="s">
        <v>692</v>
      </c>
      <c r="B691" s="32" t="s">
        <v>9159</v>
      </c>
      <c r="C691" s="32" t="s">
        <v>7098</v>
      </c>
      <c r="D691" s="22" t="s">
        <v>7784</v>
      </c>
      <c r="E691" s="22"/>
      <c r="F691" s="22" t="s">
        <v>9160</v>
      </c>
      <c r="G691" s="22" t="s">
        <v>2638</v>
      </c>
      <c r="H691" s="31" t="s">
        <v>8209</v>
      </c>
      <c r="I691" s="22" t="s">
        <v>8205</v>
      </c>
    </row>
    <row r="692" customFormat="false" ht="24.75" hidden="false" customHeight="true" outlineLevel="0" collapsed="false">
      <c r="A692" s="24" t="s">
        <v>692</v>
      </c>
      <c r="B692" s="32" t="s">
        <v>8115</v>
      </c>
      <c r="C692" s="32" t="s">
        <v>8115</v>
      </c>
      <c r="D692" s="22" t="s">
        <v>7784</v>
      </c>
      <c r="E692" s="22" t="s">
        <v>3713</v>
      </c>
      <c r="F692" s="22" t="s">
        <v>9161</v>
      </c>
      <c r="G692" s="22" t="s">
        <v>2638</v>
      </c>
      <c r="H692" s="31" t="s">
        <v>8209</v>
      </c>
      <c r="I692" s="22"/>
    </row>
    <row r="693" customFormat="false" ht="24.75" hidden="false" customHeight="true" outlineLevel="0" collapsed="false">
      <c r="A693" s="24" t="s">
        <v>692</v>
      </c>
      <c r="B693" s="32" t="s">
        <v>8117</v>
      </c>
      <c r="C693" s="32" t="s">
        <v>8117</v>
      </c>
      <c r="D693" s="22" t="s">
        <v>7784</v>
      </c>
      <c r="E693" s="22" t="s">
        <v>3713</v>
      </c>
      <c r="F693" s="22" t="s">
        <v>9162</v>
      </c>
      <c r="G693" s="22" t="s">
        <v>2638</v>
      </c>
      <c r="H693" s="31" t="s">
        <v>8209</v>
      </c>
      <c r="I693" s="22"/>
    </row>
    <row r="694" customFormat="false" ht="15" hidden="false" customHeight="true" outlineLevel="0" collapsed="false">
      <c r="A694" s="24" t="s">
        <v>2041</v>
      </c>
      <c r="B694" s="32" t="s">
        <v>8119</v>
      </c>
      <c r="C694" s="32" t="s">
        <v>8119</v>
      </c>
      <c r="D694" s="22" t="s">
        <v>7784</v>
      </c>
      <c r="E694" s="22" t="s">
        <v>3713</v>
      </c>
      <c r="F694" s="22" t="s">
        <v>9163</v>
      </c>
      <c r="G694" s="22" t="s">
        <v>2638</v>
      </c>
      <c r="H694" s="35" t="s">
        <v>8132</v>
      </c>
      <c r="I694" s="22"/>
    </row>
    <row r="695" customFormat="false" ht="24.75" hidden="false" customHeight="true" outlineLevel="0" collapsed="false">
      <c r="A695" s="24" t="s">
        <v>692</v>
      </c>
      <c r="B695" s="32" t="s">
        <v>8121</v>
      </c>
      <c r="C695" s="32" t="s">
        <v>8121</v>
      </c>
      <c r="D695" s="22" t="s">
        <v>7784</v>
      </c>
      <c r="E695" s="22" t="s">
        <v>3713</v>
      </c>
      <c r="F695" s="22" t="s">
        <v>9070</v>
      </c>
      <c r="G695" s="22" t="s">
        <v>2638</v>
      </c>
      <c r="H695" s="31" t="s">
        <v>8209</v>
      </c>
      <c r="I695" s="22"/>
    </row>
    <row r="696" customFormat="false" ht="24.75" hidden="false" customHeight="true" outlineLevel="0" collapsed="false">
      <c r="A696" s="24" t="s">
        <v>523</v>
      </c>
      <c r="B696" s="32" t="s">
        <v>9164</v>
      </c>
      <c r="C696" s="32" t="s">
        <v>7156</v>
      </c>
      <c r="D696" s="22" t="s">
        <v>3363</v>
      </c>
      <c r="E696" s="22" t="s">
        <v>3359</v>
      </c>
      <c r="F696" s="22" t="s">
        <v>9165</v>
      </c>
      <c r="G696" s="22" t="s">
        <v>2664</v>
      </c>
      <c r="H696" s="31" t="s">
        <v>8209</v>
      </c>
      <c r="I696" s="22" t="s">
        <v>9166</v>
      </c>
    </row>
    <row r="697" customFormat="false" ht="15" hidden="false" customHeight="true" outlineLevel="0" collapsed="false">
      <c r="A697" s="24" t="s">
        <v>523</v>
      </c>
      <c r="B697" s="32" t="s">
        <v>7601</v>
      </c>
      <c r="C697" s="32" t="s">
        <v>3850</v>
      </c>
      <c r="D697" s="22" t="s">
        <v>3363</v>
      </c>
      <c r="E697" s="22" t="s">
        <v>3394</v>
      </c>
      <c r="F697" s="22" t="s">
        <v>8451</v>
      </c>
      <c r="G697" s="22" t="s">
        <v>2664</v>
      </c>
      <c r="H697" s="35" t="s">
        <v>8132</v>
      </c>
      <c r="I697" s="22"/>
    </row>
    <row r="698" customFormat="false" ht="15" hidden="false" customHeight="true" outlineLevel="0" collapsed="false">
      <c r="A698" s="24" t="s">
        <v>523</v>
      </c>
      <c r="B698" s="32" t="s">
        <v>4072</v>
      </c>
      <c r="C698" s="32" t="s">
        <v>7154</v>
      </c>
      <c r="D698" s="22" t="s">
        <v>3363</v>
      </c>
      <c r="E698" s="22" t="s">
        <v>3389</v>
      </c>
      <c r="F698" s="22" t="s">
        <v>8391</v>
      </c>
      <c r="G698" s="22" t="s">
        <v>2664</v>
      </c>
      <c r="H698" s="35" t="s">
        <v>8132</v>
      </c>
      <c r="I698" s="22"/>
    </row>
    <row r="699" customFormat="false" ht="15" hidden="false" customHeight="true" outlineLevel="0" collapsed="false">
      <c r="A699" s="24" t="s">
        <v>186</v>
      </c>
      <c r="B699" s="32" t="s">
        <v>8133</v>
      </c>
      <c r="C699" s="32" t="s">
        <v>3369</v>
      </c>
      <c r="D699" s="22" t="s">
        <v>9167</v>
      </c>
      <c r="E699" s="22"/>
      <c r="F699" s="22" t="s">
        <v>9168</v>
      </c>
      <c r="G699" s="22" t="s">
        <v>180</v>
      </c>
      <c r="H699" s="22"/>
      <c r="I699" s="22"/>
    </row>
    <row r="700" customFormat="false" ht="24.75" hidden="false" customHeight="true" outlineLevel="0" collapsed="false">
      <c r="A700" s="24" t="s">
        <v>186</v>
      </c>
      <c r="B700" s="32" t="s">
        <v>8133</v>
      </c>
      <c r="C700" s="32" t="s">
        <v>9169</v>
      </c>
      <c r="D700" s="22" t="s">
        <v>9167</v>
      </c>
      <c r="E700" s="22"/>
      <c r="F700" s="22" t="s">
        <v>9170</v>
      </c>
      <c r="G700" s="22" t="s">
        <v>381</v>
      </c>
      <c r="H700" s="22"/>
      <c r="I700" s="22" t="s">
        <v>9171</v>
      </c>
    </row>
    <row r="701" customFormat="false" ht="15" hidden="false" customHeight="true" outlineLevel="0" collapsed="false">
      <c r="A701" s="24" t="s">
        <v>186</v>
      </c>
      <c r="B701" s="32" t="s">
        <v>8140</v>
      </c>
      <c r="C701" s="32" t="s">
        <v>3381</v>
      </c>
      <c r="D701" s="22" t="s">
        <v>9167</v>
      </c>
      <c r="E701" s="22"/>
      <c r="F701" s="22" t="s">
        <v>9168</v>
      </c>
      <c r="G701" s="22" t="s">
        <v>180</v>
      </c>
      <c r="H701" s="22"/>
      <c r="I701" s="22"/>
    </row>
    <row r="702" customFormat="false" ht="24.75" hidden="false" customHeight="true" outlineLevel="0" collapsed="false">
      <c r="A702" s="24" t="s">
        <v>186</v>
      </c>
      <c r="B702" s="32" t="s">
        <v>8140</v>
      </c>
      <c r="C702" s="32" t="s">
        <v>9172</v>
      </c>
      <c r="D702" s="22" t="s">
        <v>9167</v>
      </c>
      <c r="E702" s="22"/>
      <c r="F702" s="22" t="s">
        <v>9170</v>
      </c>
      <c r="G702" s="22" t="s">
        <v>381</v>
      </c>
      <c r="H702" s="22"/>
      <c r="I702" s="22" t="s">
        <v>9171</v>
      </c>
    </row>
    <row r="703" customFormat="false" ht="24.75" hidden="false" customHeight="true" outlineLevel="0" collapsed="false">
      <c r="A703" s="24" t="s">
        <v>186</v>
      </c>
      <c r="B703" s="32" t="s">
        <v>8140</v>
      </c>
      <c r="C703" s="32" t="s">
        <v>9173</v>
      </c>
      <c r="D703" s="22" t="s">
        <v>9167</v>
      </c>
      <c r="E703" s="22"/>
      <c r="F703" s="22" t="s">
        <v>9174</v>
      </c>
      <c r="G703" s="22" t="s">
        <v>1106</v>
      </c>
      <c r="H703" s="22"/>
      <c r="I703" s="22" t="s">
        <v>9175</v>
      </c>
    </row>
    <row r="704" customFormat="false" ht="15" hidden="false" customHeight="true" outlineLevel="0" collapsed="false">
      <c r="A704" s="24" t="s">
        <v>186</v>
      </c>
      <c r="B704" s="32" t="s">
        <v>8146</v>
      </c>
      <c r="C704" s="32" t="s">
        <v>3386</v>
      </c>
      <c r="D704" s="22" t="s">
        <v>9167</v>
      </c>
      <c r="E704" s="22"/>
      <c r="F704" s="22" t="s">
        <v>9168</v>
      </c>
      <c r="G704" s="22" t="s">
        <v>180</v>
      </c>
      <c r="H704" s="22"/>
      <c r="I704" s="22"/>
    </row>
    <row r="705" customFormat="false" ht="15" hidden="false" customHeight="true" outlineLevel="0" collapsed="false">
      <c r="A705" s="24" t="s">
        <v>186</v>
      </c>
      <c r="B705" s="32" t="s">
        <v>8146</v>
      </c>
      <c r="C705" s="32" t="s">
        <v>3479</v>
      </c>
      <c r="D705" s="22" t="s">
        <v>9167</v>
      </c>
      <c r="E705" s="22"/>
      <c r="F705" s="22" t="s">
        <v>9176</v>
      </c>
      <c r="G705" s="22" t="s">
        <v>213</v>
      </c>
      <c r="H705" s="22"/>
      <c r="I705" s="22"/>
    </row>
    <row r="706" customFormat="false" ht="24.75" hidden="false" customHeight="true" outlineLevel="0" collapsed="false">
      <c r="A706" s="24" t="s">
        <v>186</v>
      </c>
      <c r="B706" s="32" t="s">
        <v>8146</v>
      </c>
      <c r="C706" s="32" t="s">
        <v>9177</v>
      </c>
      <c r="D706" s="22" t="s">
        <v>9167</v>
      </c>
      <c r="E706" s="22"/>
      <c r="F706" s="22" t="s">
        <v>9170</v>
      </c>
      <c r="G706" s="22" t="s">
        <v>381</v>
      </c>
      <c r="H706" s="22"/>
      <c r="I706" s="22" t="s">
        <v>9171</v>
      </c>
    </row>
    <row r="707" customFormat="false" ht="15" hidden="false" customHeight="true" outlineLevel="0" collapsed="false">
      <c r="A707" s="24" t="s">
        <v>186</v>
      </c>
      <c r="B707" s="32" t="s">
        <v>8155</v>
      </c>
      <c r="C707" s="32" t="s">
        <v>3391</v>
      </c>
      <c r="D707" s="22" t="s">
        <v>9167</v>
      </c>
      <c r="E707" s="22"/>
      <c r="F707" s="22" t="s">
        <v>9168</v>
      </c>
      <c r="G707" s="22" t="s">
        <v>180</v>
      </c>
      <c r="H707" s="22"/>
      <c r="I707" s="22"/>
    </row>
    <row r="708" customFormat="false" ht="15" hidden="false" customHeight="true" outlineLevel="0" collapsed="false">
      <c r="A708" s="24" t="s">
        <v>186</v>
      </c>
      <c r="B708" s="32" t="s">
        <v>8155</v>
      </c>
      <c r="C708" s="32" t="s">
        <v>3481</v>
      </c>
      <c r="D708" s="22" t="s">
        <v>9167</v>
      </c>
      <c r="E708" s="22"/>
      <c r="F708" s="22" t="s">
        <v>9176</v>
      </c>
      <c r="G708" s="22" t="s">
        <v>213</v>
      </c>
      <c r="H708" s="22"/>
      <c r="I708" s="22"/>
    </row>
    <row r="709" customFormat="false" ht="15" hidden="false" customHeight="true" outlineLevel="0" collapsed="false">
      <c r="A709" s="24" t="s">
        <v>186</v>
      </c>
      <c r="B709" s="32" t="s">
        <v>8155</v>
      </c>
      <c r="C709" s="32" t="s">
        <v>3593</v>
      </c>
      <c r="D709" s="22" t="s">
        <v>9167</v>
      </c>
      <c r="E709" s="22"/>
      <c r="F709" s="22" t="s">
        <v>9178</v>
      </c>
      <c r="G709" s="22" t="s">
        <v>295</v>
      </c>
      <c r="H709" s="22"/>
      <c r="I709" s="22"/>
    </row>
    <row r="710" customFormat="false" ht="24.75" hidden="false" customHeight="true" outlineLevel="0" collapsed="false">
      <c r="A710" s="24" t="s">
        <v>186</v>
      </c>
      <c r="B710" s="32" t="s">
        <v>8155</v>
      </c>
      <c r="C710" s="32" t="s">
        <v>9179</v>
      </c>
      <c r="D710" s="22" t="s">
        <v>9167</v>
      </c>
      <c r="E710" s="22"/>
      <c r="F710" s="22" t="s">
        <v>9170</v>
      </c>
      <c r="G710" s="22" t="s">
        <v>381</v>
      </c>
      <c r="H710" s="22"/>
      <c r="I710" s="22" t="s">
        <v>9171</v>
      </c>
    </row>
    <row r="711" customFormat="false" ht="15" hidden="false" customHeight="true" outlineLevel="0" collapsed="false">
      <c r="A711" s="24" t="s">
        <v>186</v>
      </c>
      <c r="B711" s="32" t="s">
        <v>8161</v>
      </c>
      <c r="C711" s="32" t="s">
        <v>3445</v>
      </c>
      <c r="D711" s="22" t="s">
        <v>9167</v>
      </c>
      <c r="E711" s="22"/>
      <c r="F711" s="22" t="s">
        <v>9168</v>
      </c>
      <c r="G711" s="22" t="s">
        <v>180</v>
      </c>
      <c r="H711" s="22"/>
      <c r="I711" s="22"/>
    </row>
    <row r="712" customFormat="false" ht="15" hidden="false" customHeight="true" outlineLevel="0" collapsed="false">
      <c r="A712" s="24" t="s">
        <v>186</v>
      </c>
      <c r="B712" s="32" t="s">
        <v>8161</v>
      </c>
      <c r="C712" s="32" t="s">
        <v>3487</v>
      </c>
      <c r="D712" s="22" t="s">
        <v>9167</v>
      </c>
      <c r="E712" s="22"/>
      <c r="F712" s="22" t="s">
        <v>9176</v>
      </c>
      <c r="G712" s="22" t="s">
        <v>213</v>
      </c>
      <c r="H712" s="22"/>
      <c r="I712" s="22"/>
    </row>
    <row r="713" customFormat="false" ht="15" hidden="false" customHeight="true" outlineLevel="0" collapsed="false">
      <c r="A713" s="24" t="s">
        <v>186</v>
      </c>
      <c r="B713" s="32" t="s">
        <v>8161</v>
      </c>
      <c r="C713" s="32" t="s">
        <v>3512</v>
      </c>
      <c r="D713" s="22" t="s">
        <v>9167</v>
      </c>
      <c r="E713" s="22"/>
      <c r="F713" s="22" t="s">
        <v>9180</v>
      </c>
      <c r="G713" s="22" t="s">
        <v>241</v>
      </c>
      <c r="H713" s="22"/>
      <c r="I713" s="22"/>
    </row>
    <row r="714" customFormat="false" ht="37.5" hidden="false" customHeight="true" outlineLevel="0" collapsed="false">
      <c r="A714" s="24" t="s">
        <v>186</v>
      </c>
      <c r="B714" s="32" t="s">
        <v>8161</v>
      </c>
      <c r="C714" s="32" t="s">
        <v>9181</v>
      </c>
      <c r="D714" s="22" t="s">
        <v>9167</v>
      </c>
      <c r="E714" s="22"/>
      <c r="F714" s="22" t="s">
        <v>9182</v>
      </c>
      <c r="G714" s="22" t="s">
        <v>266</v>
      </c>
      <c r="H714" s="22"/>
      <c r="I714" s="22"/>
    </row>
    <row r="715" customFormat="false" ht="15" hidden="false" customHeight="true" outlineLevel="0" collapsed="false">
      <c r="A715" s="24" t="s">
        <v>186</v>
      </c>
      <c r="B715" s="32" t="s">
        <v>8161</v>
      </c>
      <c r="C715" s="32" t="s">
        <v>3611</v>
      </c>
      <c r="D715" s="22" t="s">
        <v>9167</v>
      </c>
      <c r="E715" s="22"/>
      <c r="F715" s="22" t="s">
        <v>9178</v>
      </c>
      <c r="G715" s="22" t="s">
        <v>295</v>
      </c>
      <c r="H715" s="22"/>
      <c r="I715" s="22"/>
    </row>
    <row r="716" customFormat="false" ht="37.5" hidden="false" customHeight="true" outlineLevel="0" collapsed="false">
      <c r="A716" s="24" t="s">
        <v>186</v>
      </c>
      <c r="B716" s="32" t="s">
        <v>8161</v>
      </c>
      <c r="C716" s="32" t="s">
        <v>9183</v>
      </c>
      <c r="D716" s="22" t="s">
        <v>9167</v>
      </c>
      <c r="E716" s="22"/>
      <c r="F716" s="22" t="s">
        <v>9170</v>
      </c>
      <c r="G716" s="22" t="s">
        <v>381</v>
      </c>
      <c r="H716" s="22"/>
      <c r="I716" s="22" t="s">
        <v>9184</v>
      </c>
    </row>
    <row r="717" customFormat="false" ht="15" hidden="false" customHeight="true" outlineLevel="0" collapsed="false">
      <c r="A717" s="24" t="s">
        <v>186</v>
      </c>
      <c r="B717" s="32" t="s">
        <v>8167</v>
      </c>
      <c r="C717" s="32" t="s">
        <v>3449</v>
      </c>
      <c r="D717" s="22" t="s">
        <v>9167</v>
      </c>
      <c r="E717" s="22"/>
      <c r="F717" s="22" t="s">
        <v>9168</v>
      </c>
      <c r="G717" s="22" t="s">
        <v>180</v>
      </c>
      <c r="H717" s="22"/>
      <c r="I717" s="22"/>
    </row>
    <row r="718" customFormat="false" ht="15" hidden="false" customHeight="true" outlineLevel="0" collapsed="false">
      <c r="A718" s="24" t="s">
        <v>186</v>
      </c>
      <c r="B718" s="32" t="s">
        <v>8167</v>
      </c>
      <c r="C718" s="32" t="s">
        <v>3490</v>
      </c>
      <c r="D718" s="22" t="s">
        <v>9167</v>
      </c>
      <c r="E718" s="22"/>
      <c r="F718" s="22" t="s">
        <v>9176</v>
      </c>
      <c r="G718" s="22" t="s">
        <v>213</v>
      </c>
      <c r="H718" s="22"/>
      <c r="I718" s="22"/>
    </row>
    <row r="719" customFormat="false" ht="15" hidden="false" customHeight="true" outlineLevel="0" collapsed="false">
      <c r="A719" s="24" t="s">
        <v>186</v>
      </c>
      <c r="B719" s="32" t="s">
        <v>8167</v>
      </c>
      <c r="C719" s="32" t="s">
        <v>3516</v>
      </c>
      <c r="D719" s="22" t="s">
        <v>9167</v>
      </c>
      <c r="E719" s="22"/>
      <c r="F719" s="22" t="s">
        <v>9180</v>
      </c>
      <c r="G719" s="22" t="s">
        <v>241</v>
      </c>
      <c r="H719" s="22"/>
      <c r="I719" s="22"/>
    </row>
    <row r="720" customFormat="false" ht="24.75" hidden="false" customHeight="true" outlineLevel="0" collapsed="false">
      <c r="A720" s="24" t="s">
        <v>186</v>
      </c>
      <c r="B720" s="32" t="s">
        <v>8167</v>
      </c>
      <c r="C720" s="32" t="s">
        <v>9185</v>
      </c>
      <c r="D720" s="22" t="s">
        <v>9167</v>
      </c>
      <c r="E720" s="22"/>
      <c r="F720" s="22" t="s">
        <v>9182</v>
      </c>
      <c r="G720" s="22" t="s">
        <v>266</v>
      </c>
      <c r="H720" s="22"/>
      <c r="I720" s="22"/>
    </row>
    <row r="721" customFormat="false" ht="15" hidden="false" customHeight="true" outlineLevel="0" collapsed="false">
      <c r="A721" s="24" t="s">
        <v>186</v>
      </c>
      <c r="B721" s="32" t="s">
        <v>8167</v>
      </c>
      <c r="C721" s="32" t="s">
        <v>3613</v>
      </c>
      <c r="D721" s="22" t="s">
        <v>9167</v>
      </c>
      <c r="E721" s="22"/>
      <c r="F721" s="22" t="s">
        <v>9178</v>
      </c>
      <c r="G721" s="22" t="s">
        <v>295</v>
      </c>
      <c r="H721" s="22"/>
      <c r="I721" s="22"/>
    </row>
    <row r="722" customFormat="false" ht="15" hidden="false" customHeight="true" outlineLevel="0" collapsed="false">
      <c r="A722" s="24" t="s">
        <v>186</v>
      </c>
      <c r="B722" s="32" t="s">
        <v>8172</v>
      </c>
      <c r="C722" s="32" t="s">
        <v>3454</v>
      </c>
      <c r="D722" s="22" t="s">
        <v>9167</v>
      </c>
      <c r="E722" s="22"/>
      <c r="F722" s="22" t="s">
        <v>9168</v>
      </c>
      <c r="G722" s="22" t="s">
        <v>180</v>
      </c>
      <c r="H722" s="22"/>
      <c r="I722" s="22"/>
    </row>
    <row r="723" customFormat="false" ht="15" hidden="false" customHeight="true" outlineLevel="0" collapsed="false">
      <c r="A723" s="24" t="s">
        <v>186</v>
      </c>
      <c r="B723" s="32" t="s">
        <v>8172</v>
      </c>
      <c r="C723" s="32" t="s">
        <v>3518</v>
      </c>
      <c r="D723" s="22" t="s">
        <v>9167</v>
      </c>
      <c r="E723" s="22"/>
      <c r="F723" s="22" t="s">
        <v>9180</v>
      </c>
      <c r="G723" s="22" t="s">
        <v>241</v>
      </c>
      <c r="H723" s="22"/>
      <c r="I723" s="22"/>
    </row>
    <row r="724" customFormat="false" ht="15" hidden="false" customHeight="true" outlineLevel="0" collapsed="false">
      <c r="A724" s="24" t="s">
        <v>186</v>
      </c>
      <c r="B724" s="32" t="s">
        <v>8172</v>
      </c>
      <c r="C724" s="32" t="s">
        <v>3615</v>
      </c>
      <c r="D724" s="22" t="s">
        <v>9167</v>
      </c>
      <c r="E724" s="22"/>
      <c r="F724" s="22" t="s">
        <v>9178</v>
      </c>
      <c r="G724" s="22" t="s">
        <v>295</v>
      </c>
      <c r="H724" s="22"/>
      <c r="I724" s="22"/>
    </row>
    <row r="725" customFormat="false" ht="15" hidden="false" customHeight="true" outlineLevel="0" collapsed="false">
      <c r="A725" s="24" t="s">
        <v>186</v>
      </c>
      <c r="B725" s="32" t="s">
        <v>8177</v>
      </c>
      <c r="C725" s="32" t="s">
        <v>3459</v>
      </c>
      <c r="D725" s="22" t="s">
        <v>9167</v>
      </c>
      <c r="E725" s="22"/>
      <c r="F725" s="22" t="s">
        <v>9168</v>
      </c>
      <c r="G725" s="22" t="s">
        <v>180</v>
      </c>
      <c r="H725" s="22"/>
      <c r="I725" s="22"/>
    </row>
    <row r="726" customFormat="false" ht="15" hidden="false" customHeight="true" outlineLevel="0" collapsed="false">
      <c r="A726" s="24" t="s">
        <v>186</v>
      </c>
      <c r="B726" s="32" t="s">
        <v>8177</v>
      </c>
      <c r="C726" s="32" t="s">
        <v>3520</v>
      </c>
      <c r="D726" s="22" t="s">
        <v>9167</v>
      </c>
      <c r="E726" s="22"/>
      <c r="F726" s="22" t="s">
        <v>9180</v>
      </c>
      <c r="G726" s="22" t="s">
        <v>241</v>
      </c>
      <c r="H726" s="22"/>
      <c r="I726" s="22"/>
    </row>
    <row r="727" customFormat="false" ht="15" hidden="false" customHeight="true" outlineLevel="0" collapsed="false">
      <c r="A727" s="24" t="s">
        <v>186</v>
      </c>
      <c r="B727" s="32" t="s">
        <v>8177</v>
      </c>
      <c r="C727" s="32" t="s">
        <v>3617</v>
      </c>
      <c r="D727" s="22" t="s">
        <v>9167</v>
      </c>
      <c r="E727" s="22"/>
      <c r="F727" s="22" t="s">
        <v>9178</v>
      </c>
      <c r="G727" s="22" t="s">
        <v>295</v>
      </c>
      <c r="H727" s="22"/>
      <c r="I727" s="22"/>
    </row>
    <row r="728" customFormat="false" ht="15" hidden="false" customHeight="true" outlineLevel="0" collapsed="false">
      <c r="A728" s="24" t="s">
        <v>186</v>
      </c>
      <c r="B728" s="32" t="s">
        <v>8181</v>
      </c>
      <c r="C728" s="32" t="s">
        <v>3463</v>
      </c>
      <c r="D728" s="22" t="s">
        <v>9167</v>
      </c>
      <c r="E728" s="22"/>
      <c r="F728" s="22" t="s">
        <v>9168</v>
      </c>
      <c r="G728" s="22" t="s">
        <v>180</v>
      </c>
      <c r="H728" s="22"/>
      <c r="I728" s="22"/>
    </row>
    <row r="729" customFormat="false" ht="15" hidden="false" customHeight="true" outlineLevel="0" collapsed="false">
      <c r="A729" s="24" t="s">
        <v>186</v>
      </c>
      <c r="B729" s="32" t="s">
        <v>8181</v>
      </c>
      <c r="C729" s="32" t="s">
        <v>3523</v>
      </c>
      <c r="D729" s="22" t="s">
        <v>9167</v>
      </c>
      <c r="E729" s="22"/>
      <c r="F729" s="22" t="s">
        <v>9180</v>
      </c>
      <c r="G729" s="22" t="s">
        <v>241</v>
      </c>
      <c r="H729" s="22"/>
      <c r="I729" s="22"/>
    </row>
    <row r="730" customFormat="false" ht="15" hidden="false" customHeight="true" outlineLevel="0" collapsed="false">
      <c r="A730" s="24" t="s">
        <v>186</v>
      </c>
      <c r="B730" s="32" t="s">
        <v>3853</v>
      </c>
      <c r="C730" s="32" t="s">
        <v>3397</v>
      </c>
      <c r="D730" s="22" t="s">
        <v>9167</v>
      </c>
      <c r="E730" s="22"/>
      <c r="F730" s="22" t="s">
        <v>9168</v>
      </c>
      <c r="G730" s="22" t="s">
        <v>180</v>
      </c>
      <c r="H730" s="22"/>
      <c r="I730" s="22"/>
    </row>
    <row r="731" customFormat="false" ht="15" hidden="false" customHeight="true" outlineLevel="0" collapsed="false">
      <c r="A731" s="24" t="s">
        <v>186</v>
      </c>
      <c r="B731" s="32" t="s">
        <v>3853</v>
      </c>
      <c r="C731" s="32" t="s">
        <v>3472</v>
      </c>
      <c r="D731" s="22" t="s">
        <v>9167</v>
      </c>
      <c r="E731" s="22"/>
      <c r="F731" s="22" t="s">
        <v>9176</v>
      </c>
      <c r="G731" s="22" t="s">
        <v>213</v>
      </c>
      <c r="H731" s="22"/>
      <c r="I731" s="22"/>
    </row>
    <row r="732" customFormat="false" ht="15" hidden="false" customHeight="true" outlineLevel="0" collapsed="false">
      <c r="A732" s="24" t="s">
        <v>186</v>
      </c>
      <c r="B732" s="32" t="s">
        <v>3853</v>
      </c>
      <c r="C732" s="32" t="s">
        <v>3598</v>
      </c>
      <c r="D732" s="22" t="s">
        <v>9167</v>
      </c>
      <c r="E732" s="22"/>
      <c r="F732" s="22" t="s">
        <v>9178</v>
      </c>
      <c r="G732" s="22" t="s">
        <v>295</v>
      </c>
      <c r="H732" s="22"/>
      <c r="I732" s="22"/>
    </row>
    <row r="733" customFormat="false" ht="24.75" hidden="false" customHeight="true" outlineLevel="0" collapsed="false">
      <c r="A733" s="24" t="s">
        <v>186</v>
      </c>
      <c r="B733" s="32" t="s">
        <v>3853</v>
      </c>
      <c r="C733" s="32" t="s">
        <v>9186</v>
      </c>
      <c r="D733" s="22" t="s">
        <v>9167</v>
      </c>
      <c r="E733" s="22"/>
      <c r="F733" s="22" t="s">
        <v>9174</v>
      </c>
      <c r="G733" s="22" t="s">
        <v>1106</v>
      </c>
      <c r="H733" s="22"/>
      <c r="I733" s="22" t="s">
        <v>9187</v>
      </c>
    </row>
    <row r="734" customFormat="false" ht="15" hidden="false" customHeight="true" outlineLevel="0" collapsed="false">
      <c r="A734" s="24" t="s">
        <v>524</v>
      </c>
      <c r="B734" s="32" t="s">
        <v>8161</v>
      </c>
      <c r="C734" s="32" t="s">
        <v>3857</v>
      </c>
      <c r="D734" s="22" t="s">
        <v>9167</v>
      </c>
      <c r="E734" s="22"/>
      <c r="F734" s="22" t="s">
        <v>9188</v>
      </c>
      <c r="G734" s="22" t="s">
        <v>519</v>
      </c>
      <c r="H734" s="22"/>
      <c r="I734" s="22" t="s">
        <v>9189</v>
      </c>
    </row>
    <row r="735" customFormat="false" ht="15" hidden="false" customHeight="true" outlineLevel="0" collapsed="false">
      <c r="A735" s="24" t="s">
        <v>524</v>
      </c>
      <c r="B735" s="32" t="s">
        <v>8161</v>
      </c>
      <c r="C735" s="32" t="s">
        <v>4308</v>
      </c>
      <c r="D735" s="22" t="s">
        <v>9167</v>
      </c>
      <c r="E735" s="22"/>
      <c r="F735" s="22" t="s">
        <v>9190</v>
      </c>
      <c r="G735" s="22" t="s">
        <v>1215</v>
      </c>
      <c r="H735" s="22"/>
      <c r="I735" s="22" t="s">
        <v>9189</v>
      </c>
    </row>
    <row r="736" customFormat="false" ht="15" hidden="false" customHeight="true" outlineLevel="0" collapsed="false">
      <c r="A736" s="24" t="s">
        <v>524</v>
      </c>
      <c r="B736" s="32" t="s">
        <v>7188</v>
      </c>
      <c r="C736" s="32" t="s">
        <v>3859</v>
      </c>
      <c r="D736" s="22" t="s">
        <v>9167</v>
      </c>
      <c r="E736" s="22"/>
      <c r="F736" s="22" t="s">
        <v>9188</v>
      </c>
      <c r="G736" s="22" t="s">
        <v>519</v>
      </c>
      <c r="H736" s="22"/>
      <c r="I736" s="22" t="s">
        <v>9189</v>
      </c>
    </row>
    <row r="737" customFormat="false" ht="15" hidden="false" customHeight="true" outlineLevel="0" collapsed="false">
      <c r="A737" s="24" t="s">
        <v>524</v>
      </c>
      <c r="B737" s="32" t="s">
        <v>7188</v>
      </c>
      <c r="C737" s="32" t="s">
        <v>4310</v>
      </c>
      <c r="D737" s="22" t="s">
        <v>9167</v>
      </c>
      <c r="E737" s="22"/>
      <c r="F737" s="22" t="s">
        <v>9190</v>
      </c>
      <c r="G737" s="22" t="s">
        <v>1215</v>
      </c>
      <c r="H737" s="22"/>
      <c r="I737" s="22" t="s">
        <v>9189</v>
      </c>
    </row>
    <row r="738" customFormat="false" ht="15" hidden="false" customHeight="true" outlineLevel="0" collapsed="false">
      <c r="A738" s="24" t="s">
        <v>524</v>
      </c>
      <c r="B738" s="32" t="s">
        <v>7191</v>
      </c>
      <c r="C738" s="32" t="s">
        <v>3867</v>
      </c>
      <c r="D738" s="22" t="s">
        <v>9167</v>
      </c>
      <c r="E738" s="22"/>
      <c r="F738" s="22" t="s">
        <v>9188</v>
      </c>
      <c r="G738" s="22" t="s">
        <v>519</v>
      </c>
      <c r="H738" s="22"/>
      <c r="I738" s="22" t="s">
        <v>9189</v>
      </c>
    </row>
    <row r="739" customFormat="false" ht="15" hidden="false" customHeight="true" outlineLevel="0" collapsed="false">
      <c r="A739" s="24" t="s">
        <v>524</v>
      </c>
      <c r="B739" s="32" t="s">
        <v>7191</v>
      </c>
      <c r="C739" s="32" t="s">
        <v>4313</v>
      </c>
      <c r="D739" s="22" t="s">
        <v>9167</v>
      </c>
      <c r="E739" s="22"/>
      <c r="F739" s="22" t="s">
        <v>9190</v>
      </c>
      <c r="G739" s="22" t="s">
        <v>1215</v>
      </c>
      <c r="H739" s="22"/>
      <c r="I739" s="22" t="s">
        <v>9189</v>
      </c>
    </row>
    <row r="740" customFormat="false" ht="15" hidden="false" customHeight="true" outlineLevel="0" collapsed="false">
      <c r="A740" s="24" t="s">
        <v>185</v>
      </c>
      <c r="B740" s="32" t="s">
        <v>5129</v>
      </c>
      <c r="C740" s="32" t="s">
        <v>9191</v>
      </c>
      <c r="D740" s="22" t="s">
        <v>9167</v>
      </c>
      <c r="E740" s="22"/>
      <c r="F740" s="22" t="s">
        <v>9192</v>
      </c>
      <c r="G740" s="22" t="s">
        <v>410</v>
      </c>
      <c r="H740" s="22"/>
      <c r="I740" s="22" t="s">
        <v>9193</v>
      </c>
    </row>
    <row r="741" customFormat="false" ht="24.75" hidden="false" customHeight="true" outlineLevel="0" collapsed="false">
      <c r="A741" s="24" t="s">
        <v>185</v>
      </c>
      <c r="B741" s="32" t="s">
        <v>5129</v>
      </c>
      <c r="C741" s="32" t="s">
        <v>9194</v>
      </c>
      <c r="D741" s="22" t="s">
        <v>9167</v>
      </c>
      <c r="E741" s="22"/>
      <c r="F741" s="22" t="s">
        <v>9195</v>
      </c>
      <c r="G741" s="22" t="s">
        <v>435</v>
      </c>
      <c r="H741" s="22"/>
      <c r="I741" s="22" t="s">
        <v>9193</v>
      </c>
    </row>
    <row r="742" customFormat="false" ht="24.75" hidden="false" customHeight="true" outlineLevel="0" collapsed="false">
      <c r="A742" s="24" t="s">
        <v>185</v>
      </c>
      <c r="B742" s="32" t="s">
        <v>7787</v>
      </c>
      <c r="C742" s="32" t="s">
        <v>9196</v>
      </c>
      <c r="D742" s="22" t="s">
        <v>9167</v>
      </c>
      <c r="E742" s="22"/>
      <c r="F742" s="22" t="s">
        <v>9180</v>
      </c>
      <c r="G742" s="22" t="s">
        <v>241</v>
      </c>
      <c r="H742" s="22"/>
      <c r="I742" s="22" t="s">
        <v>9197</v>
      </c>
    </row>
    <row r="743" customFormat="false" ht="24.75" hidden="false" customHeight="true" outlineLevel="0" collapsed="false">
      <c r="A743" s="24" t="s">
        <v>185</v>
      </c>
      <c r="B743" s="32" t="s">
        <v>7787</v>
      </c>
      <c r="C743" s="32" t="s">
        <v>9198</v>
      </c>
      <c r="D743" s="22" t="s">
        <v>9167</v>
      </c>
      <c r="E743" s="22"/>
      <c r="F743" s="22" t="s">
        <v>9199</v>
      </c>
      <c r="G743" s="22" t="s">
        <v>464</v>
      </c>
      <c r="H743" s="22"/>
      <c r="I743" s="22" t="s">
        <v>9197</v>
      </c>
    </row>
    <row r="744" customFormat="false" ht="15" hidden="false" customHeight="true" outlineLevel="0" collapsed="false">
      <c r="A744" s="24" t="s">
        <v>185</v>
      </c>
      <c r="B744" s="32" t="s">
        <v>4072</v>
      </c>
      <c r="C744" s="32" t="s">
        <v>6625</v>
      </c>
      <c r="D744" s="22" t="s">
        <v>9167</v>
      </c>
      <c r="E744" s="22"/>
      <c r="F744" s="22" t="s">
        <v>9168</v>
      </c>
      <c r="G744" s="22" t="s">
        <v>180</v>
      </c>
      <c r="H744" s="22"/>
      <c r="I744" s="22" t="s">
        <v>9200</v>
      </c>
    </row>
    <row r="745" customFormat="false" ht="37.5" hidden="false" customHeight="true" outlineLevel="0" collapsed="false">
      <c r="A745" s="24" t="s">
        <v>185</v>
      </c>
      <c r="B745" s="32" t="s">
        <v>4072</v>
      </c>
      <c r="C745" s="32" t="s">
        <v>9201</v>
      </c>
      <c r="D745" s="22" t="s">
        <v>9167</v>
      </c>
      <c r="E745" s="22"/>
      <c r="F745" s="22" t="s">
        <v>9202</v>
      </c>
      <c r="G745" s="22" t="s">
        <v>1618</v>
      </c>
      <c r="H745" s="22"/>
      <c r="I745" s="22" t="s">
        <v>9200</v>
      </c>
    </row>
    <row r="746" customFormat="false" ht="24.75" hidden="false" customHeight="true" outlineLevel="0" collapsed="false">
      <c r="A746" s="24" t="s">
        <v>692</v>
      </c>
      <c r="B746" s="32" t="s">
        <v>7932</v>
      </c>
      <c r="C746" s="32" t="s">
        <v>9203</v>
      </c>
      <c r="D746" s="22" t="s">
        <v>9167</v>
      </c>
      <c r="E746" s="22"/>
      <c r="F746" s="22" t="s">
        <v>9204</v>
      </c>
      <c r="G746" s="22" t="s">
        <v>1244</v>
      </c>
      <c r="H746" s="22"/>
      <c r="I746" s="22" t="s">
        <v>9205</v>
      </c>
    </row>
    <row r="747" customFormat="false" ht="24.75" hidden="false" customHeight="true" outlineLevel="0" collapsed="false">
      <c r="A747" s="24" t="s">
        <v>692</v>
      </c>
      <c r="B747" s="32" t="s">
        <v>7932</v>
      </c>
      <c r="C747" s="32" t="s">
        <v>9206</v>
      </c>
      <c r="D747" s="22" t="s">
        <v>9167</v>
      </c>
      <c r="E747" s="22"/>
      <c r="F747" s="22" t="s">
        <v>9207</v>
      </c>
      <c r="G747" s="22" t="s">
        <v>2125</v>
      </c>
      <c r="H747" s="22"/>
      <c r="I747" s="22" t="s">
        <v>9205</v>
      </c>
    </row>
    <row r="748" customFormat="false" ht="24.75" hidden="false" customHeight="true" outlineLevel="0" collapsed="false">
      <c r="A748" s="24" t="s">
        <v>692</v>
      </c>
      <c r="B748" s="32" t="s">
        <v>7098</v>
      </c>
      <c r="C748" s="32" t="s">
        <v>9208</v>
      </c>
      <c r="D748" s="22" t="s">
        <v>9167</v>
      </c>
      <c r="E748" s="22"/>
      <c r="F748" s="22" t="s">
        <v>9209</v>
      </c>
      <c r="G748" s="22" t="s">
        <v>1705</v>
      </c>
      <c r="H748" s="22"/>
      <c r="I748" s="22" t="s">
        <v>9210</v>
      </c>
    </row>
    <row r="749" customFormat="false" ht="15" hidden="false" customHeight="true" outlineLevel="0" collapsed="false">
      <c r="A749" s="24" t="s">
        <v>692</v>
      </c>
      <c r="B749" s="32" t="s">
        <v>7098</v>
      </c>
      <c r="C749" s="32" t="s">
        <v>9211</v>
      </c>
      <c r="D749" s="22" t="s">
        <v>9167</v>
      </c>
      <c r="E749" s="22"/>
      <c r="F749" s="22" t="s">
        <v>9212</v>
      </c>
      <c r="G749" s="22" t="s">
        <v>2265</v>
      </c>
      <c r="H749" s="22"/>
      <c r="I749" s="22" t="s">
        <v>9210</v>
      </c>
    </row>
    <row r="750" customFormat="false" ht="24.75" hidden="false" customHeight="true" outlineLevel="0" collapsed="false">
      <c r="A750" s="24" t="s">
        <v>692</v>
      </c>
      <c r="B750" s="32" t="s">
        <v>7098</v>
      </c>
      <c r="C750" s="32" t="s">
        <v>9213</v>
      </c>
      <c r="D750" s="22" t="s">
        <v>9167</v>
      </c>
      <c r="E750" s="22"/>
      <c r="F750" s="22" t="s">
        <v>9214</v>
      </c>
      <c r="G750" s="22" t="s">
        <v>2664</v>
      </c>
      <c r="H750" s="22"/>
      <c r="I750" s="22" t="s">
        <v>9210</v>
      </c>
    </row>
    <row r="751" customFormat="false" ht="24.75" hidden="false" customHeight="true" outlineLevel="0" collapsed="false">
      <c r="A751" s="24" t="s">
        <v>1650</v>
      </c>
      <c r="B751" s="32" t="s">
        <v>8726</v>
      </c>
      <c r="C751" s="32" t="s">
        <v>9215</v>
      </c>
      <c r="D751" s="22" t="s">
        <v>9167</v>
      </c>
      <c r="E751" s="22"/>
      <c r="F751" s="22" t="s">
        <v>9216</v>
      </c>
      <c r="G751" s="22" t="s">
        <v>2292</v>
      </c>
      <c r="H751" s="22"/>
      <c r="I751" s="22" t="s">
        <v>9217</v>
      </c>
    </row>
    <row r="752" customFormat="false" ht="24.75" hidden="false" customHeight="true" outlineLevel="0" collapsed="false">
      <c r="A752" s="24" t="s">
        <v>1650</v>
      </c>
      <c r="B752" s="32" t="s">
        <v>8726</v>
      </c>
      <c r="C752" s="32" t="s">
        <v>9218</v>
      </c>
      <c r="D752" s="22" t="s">
        <v>9167</v>
      </c>
      <c r="E752" s="22"/>
      <c r="F752" s="22" t="s">
        <v>9219</v>
      </c>
      <c r="G752" s="22" t="s">
        <v>2320</v>
      </c>
      <c r="H752" s="22"/>
      <c r="I752" s="22" t="s">
        <v>9217</v>
      </c>
    </row>
    <row r="753" customFormat="false" ht="15" hidden="false" customHeight="true" outlineLevel="0" collapsed="false">
      <c r="A753" s="24" t="s">
        <v>749</v>
      </c>
      <c r="B753" s="32" t="s">
        <v>8468</v>
      </c>
      <c r="C753" s="32" t="s">
        <v>5516</v>
      </c>
      <c r="D753" s="22" t="s">
        <v>9167</v>
      </c>
      <c r="E753" s="22"/>
      <c r="F753" s="22" t="s">
        <v>9220</v>
      </c>
      <c r="G753" s="22" t="s">
        <v>745</v>
      </c>
      <c r="H753" s="22"/>
      <c r="I753" s="22"/>
    </row>
    <row r="754" customFormat="false" ht="24.75" hidden="false" customHeight="true" outlineLevel="0" collapsed="false">
      <c r="A754" s="24" t="s">
        <v>749</v>
      </c>
      <c r="B754" s="32" t="s">
        <v>8468</v>
      </c>
      <c r="C754" s="32" t="s">
        <v>9221</v>
      </c>
      <c r="D754" s="22" t="s">
        <v>9167</v>
      </c>
      <c r="E754" s="22"/>
      <c r="F754" s="22" t="s">
        <v>9222</v>
      </c>
      <c r="G754" s="22" t="s">
        <v>804</v>
      </c>
      <c r="H754" s="22"/>
      <c r="I754" s="22"/>
    </row>
    <row r="755" customFormat="false" ht="15" hidden="false" customHeight="true" outlineLevel="0" collapsed="false">
      <c r="A755" s="24" t="s">
        <v>523</v>
      </c>
      <c r="B755" s="32" t="s">
        <v>4071</v>
      </c>
      <c r="C755" s="32" t="s">
        <v>7151</v>
      </c>
      <c r="D755" s="22" t="s">
        <v>9167</v>
      </c>
      <c r="E755" s="22"/>
      <c r="F755" s="22" t="s">
        <v>9223</v>
      </c>
      <c r="G755" s="22" t="s">
        <v>633</v>
      </c>
      <c r="H755" s="22"/>
      <c r="I755" s="22"/>
    </row>
    <row r="756" customFormat="false" ht="24.75" hidden="false" customHeight="true" outlineLevel="0" collapsed="false">
      <c r="A756" s="24" t="s">
        <v>523</v>
      </c>
      <c r="B756" s="32" t="s">
        <v>4071</v>
      </c>
      <c r="C756" s="32" t="s">
        <v>9224</v>
      </c>
      <c r="D756" s="22" t="s">
        <v>9167</v>
      </c>
      <c r="E756" s="22"/>
      <c r="F756" s="22" t="s">
        <v>9214</v>
      </c>
      <c r="G756" s="22" t="s">
        <v>2664</v>
      </c>
      <c r="H756" s="22"/>
      <c r="I756" s="22"/>
    </row>
  </sheetData>
  <autoFilter ref="A4:I756"/>
  <mergeCells count="2">
    <mergeCell ref="A1:H1"/>
    <mergeCell ref="A2:I2"/>
  </mergeCells>
  <hyperlinks>
    <hyperlink ref="I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50</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9225</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25</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408.75" hidden="false" customHeight="true" outlineLevel="0" collapsed="false">
      <c r="A6" s="24" t="s">
        <v>9247</v>
      </c>
      <c r="B6" s="22" t="s">
        <v>9248</v>
      </c>
      <c r="C6" s="22" t="s">
        <v>9249</v>
      </c>
      <c r="D6" s="22" t="s">
        <v>9250</v>
      </c>
      <c r="E6" s="31" t="s">
        <v>19</v>
      </c>
      <c r="F6" s="22" t="s">
        <v>9251</v>
      </c>
      <c r="G6" s="22" t="s">
        <v>9252</v>
      </c>
      <c r="H6" s="22" t="s">
        <v>9253</v>
      </c>
      <c r="I6" s="22" t="s">
        <v>9254</v>
      </c>
      <c r="J6" s="22" t="s">
        <v>9255</v>
      </c>
      <c r="K6" s="22" t="s">
        <v>9256</v>
      </c>
      <c r="L6" s="22" t="s">
        <v>9257</v>
      </c>
      <c r="M6" s="22" t="s">
        <v>9258</v>
      </c>
      <c r="N6" s="22" t="s">
        <v>9259</v>
      </c>
      <c r="O6" s="22" t="s">
        <v>9260</v>
      </c>
      <c r="P6" s="22" t="s">
        <v>9261</v>
      </c>
      <c r="Q6" s="22" t="s">
        <v>9261</v>
      </c>
      <c r="R6" s="22" t="s">
        <v>9262</v>
      </c>
      <c r="S6" s="22" t="s">
        <v>9263</v>
      </c>
      <c r="T6" s="22" t="s">
        <v>9264</v>
      </c>
      <c r="U6" s="22" t="s">
        <v>9265</v>
      </c>
      <c r="V6" s="22" t="s">
        <v>9266</v>
      </c>
      <c r="W6" s="22" t="s">
        <v>9267</v>
      </c>
      <c r="X6" s="22" t="s">
        <v>9268</v>
      </c>
      <c r="Y6" s="32" t="s">
        <v>9269</v>
      </c>
      <c r="Z6" s="22" t="s">
        <v>9270</v>
      </c>
      <c r="AA6" s="22" t="s">
        <v>9271</v>
      </c>
    </row>
    <row r="7" customFormat="false" ht="174.75" hidden="false" customHeight="true" outlineLevel="0" collapsed="false">
      <c r="A7" s="24" t="s">
        <v>9272</v>
      </c>
      <c r="B7" s="22" t="s">
        <v>9248</v>
      </c>
      <c r="C7" s="22" t="s">
        <v>9273</v>
      </c>
      <c r="D7" s="22" t="s">
        <v>9274</v>
      </c>
      <c r="E7" s="35" t="s">
        <v>15</v>
      </c>
      <c r="F7" s="22" t="s">
        <v>9275</v>
      </c>
      <c r="G7" s="22" t="s">
        <v>9276</v>
      </c>
      <c r="H7" s="22" t="s">
        <v>9277</v>
      </c>
      <c r="I7" s="22" t="s">
        <v>9278</v>
      </c>
      <c r="J7" s="22" t="s">
        <v>9279</v>
      </c>
      <c r="K7" s="22" t="s">
        <v>9280</v>
      </c>
      <c r="L7" s="22" t="s">
        <v>9281</v>
      </c>
      <c r="M7" s="22" t="s">
        <v>9282</v>
      </c>
      <c r="N7" s="22" t="s">
        <v>9283</v>
      </c>
      <c r="O7" s="22" t="s">
        <v>9284</v>
      </c>
      <c r="P7" s="22" t="s">
        <v>9285</v>
      </c>
      <c r="Q7" s="22" t="s">
        <v>9261</v>
      </c>
      <c r="R7" s="22" t="s">
        <v>9286</v>
      </c>
      <c r="S7" s="22" t="s">
        <v>9287</v>
      </c>
      <c r="T7" s="22" t="s">
        <v>9288</v>
      </c>
      <c r="U7" s="22" t="s">
        <v>9289</v>
      </c>
      <c r="V7" s="22" t="s">
        <v>9290</v>
      </c>
      <c r="W7" s="22" t="s">
        <v>9291</v>
      </c>
      <c r="X7" s="22" t="s">
        <v>9292</v>
      </c>
      <c r="Y7" s="32" t="s">
        <v>9293</v>
      </c>
      <c r="Z7" s="22" t="s">
        <v>9294</v>
      </c>
      <c r="AA7" s="22" t="s">
        <v>9295</v>
      </c>
    </row>
    <row r="8" customFormat="false" ht="124.5" hidden="false" customHeight="true" outlineLevel="0" collapsed="false">
      <c r="A8" s="24" t="s">
        <v>9296</v>
      </c>
      <c r="B8" s="22" t="s">
        <v>9248</v>
      </c>
      <c r="C8" s="22" t="s">
        <v>9273</v>
      </c>
      <c r="D8" s="22" t="s">
        <v>9297</v>
      </c>
      <c r="E8" s="35" t="s">
        <v>15</v>
      </c>
      <c r="F8" s="22" t="s">
        <v>9298</v>
      </c>
      <c r="G8" s="22" t="s">
        <v>9299</v>
      </c>
      <c r="H8" s="22" t="s">
        <v>9300</v>
      </c>
      <c r="I8" s="22" t="s">
        <v>9301</v>
      </c>
      <c r="J8" s="22" t="s">
        <v>9302</v>
      </c>
      <c r="K8" s="22" t="s">
        <v>9303</v>
      </c>
      <c r="L8" s="22" t="s">
        <v>9304</v>
      </c>
      <c r="M8" s="22" t="s">
        <v>9305</v>
      </c>
      <c r="N8" s="22" t="s">
        <v>9306</v>
      </c>
      <c r="O8" s="22" t="s">
        <v>9307</v>
      </c>
      <c r="P8" s="22" t="s">
        <v>9308</v>
      </c>
      <c r="Q8" s="22" t="s">
        <v>9261</v>
      </c>
      <c r="R8" s="22" t="s">
        <v>9309</v>
      </c>
      <c r="S8" s="22" t="s">
        <v>9310</v>
      </c>
      <c r="T8" s="22" t="s">
        <v>9311</v>
      </c>
      <c r="U8" s="22" t="s">
        <v>9312</v>
      </c>
      <c r="V8" s="22" t="s">
        <v>9313</v>
      </c>
      <c r="W8" s="22" t="s">
        <v>9314</v>
      </c>
      <c r="X8" s="22" t="s">
        <v>9315</v>
      </c>
      <c r="Y8" s="32" t="s">
        <v>9316</v>
      </c>
      <c r="Z8" s="22" t="s">
        <v>9317</v>
      </c>
      <c r="AA8" s="22" t="s">
        <v>9318</v>
      </c>
    </row>
    <row r="9" customFormat="false" ht="112.5" hidden="false" customHeight="true" outlineLevel="0" collapsed="false">
      <c r="A9" s="24" t="s">
        <v>9319</v>
      </c>
      <c r="B9" s="22" t="s">
        <v>9248</v>
      </c>
      <c r="C9" s="22" t="s">
        <v>9320</v>
      </c>
      <c r="D9" s="22" t="s">
        <v>9321</v>
      </c>
      <c r="E9" s="31" t="s">
        <v>19</v>
      </c>
      <c r="F9" s="22" t="s">
        <v>9322</v>
      </c>
      <c r="G9" s="22" t="s">
        <v>9323</v>
      </c>
      <c r="H9" s="22" t="s">
        <v>9324</v>
      </c>
      <c r="I9" s="22" t="s">
        <v>9325</v>
      </c>
      <c r="J9" s="22" t="s">
        <v>9326</v>
      </c>
      <c r="K9" s="22" t="s">
        <v>9327</v>
      </c>
      <c r="L9" s="22" t="s">
        <v>9328</v>
      </c>
      <c r="M9" s="22" t="s">
        <v>9329</v>
      </c>
      <c r="N9" s="22" t="s">
        <v>9261</v>
      </c>
      <c r="O9" s="22" t="s">
        <v>9330</v>
      </c>
      <c r="P9" s="22" t="s">
        <v>9261</v>
      </c>
      <c r="Q9" s="22" t="s">
        <v>9331</v>
      </c>
      <c r="R9" s="22" t="s">
        <v>9332</v>
      </c>
      <c r="S9" s="22" t="s">
        <v>9333</v>
      </c>
      <c r="T9" s="22" t="s">
        <v>9334</v>
      </c>
      <c r="U9" s="22" t="s">
        <v>9335</v>
      </c>
      <c r="V9" s="22" t="s">
        <v>9336</v>
      </c>
      <c r="W9" s="22" t="s">
        <v>9337</v>
      </c>
      <c r="X9" s="22" t="s">
        <v>9338</v>
      </c>
      <c r="Y9" s="32" t="s">
        <v>9339</v>
      </c>
      <c r="Z9" s="22" t="s">
        <v>9340</v>
      </c>
      <c r="AA9" s="22" t="s">
        <v>9341</v>
      </c>
    </row>
    <row r="10" customFormat="false" ht="137.25" hidden="false" customHeight="true" outlineLevel="0" collapsed="false">
      <c r="A10" s="24" t="s">
        <v>9342</v>
      </c>
      <c r="B10" s="22" t="s">
        <v>9248</v>
      </c>
      <c r="C10" s="22" t="s">
        <v>9343</v>
      </c>
      <c r="D10" s="22" t="s">
        <v>9344</v>
      </c>
      <c r="E10" s="35" t="s">
        <v>15</v>
      </c>
      <c r="F10" s="22" t="s">
        <v>9345</v>
      </c>
      <c r="G10" s="22" t="s">
        <v>9346</v>
      </c>
      <c r="H10" s="22" t="s">
        <v>9347</v>
      </c>
      <c r="I10" s="22" t="s">
        <v>9348</v>
      </c>
      <c r="J10" s="22" t="s">
        <v>9349</v>
      </c>
      <c r="K10" s="22" t="s">
        <v>9350</v>
      </c>
      <c r="L10" s="22" t="s">
        <v>9351</v>
      </c>
      <c r="M10" s="22" t="s">
        <v>9352</v>
      </c>
      <c r="N10" s="22" t="s">
        <v>9353</v>
      </c>
      <c r="O10" s="22" t="s">
        <v>9354</v>
      </c>
      <c r="P10" s="22" t="s">
        <v>9355</v>
      </c>
      <c r="Q10" s="22" t="s">
        <v>9261</v>
      </c>
      <c r="R10" s="22" t="s">
        <v>9356</v>
      </c>
      <c r="S10" s="22" t="s">
        <v>9357</v>
      </c>
      <c r="T10" s="22" t="s">
        <v>9358</v>
      </c>
      <c r="U10" s="22" t="s">
        <v>9359</v>
      </c>
      <c r="V10" s="22" t="s">
        <v>9360</v>
      </c>
      <c r="W10" s="22" t="s">
        <v>9361</v>
      </c>
      <c r="X10" s="22" t="s">
        <v>9362</v>
      </c>
      <c r="Y10" s="32" t="s">
        <v>9363</v>
      </c>
      <c r="Z10" s="22" t="s">
        <v>9364</v>
      </c>
      <c r="AA10" s="22" t="s">
        <v>9365</v>
      </c>
    </row>
    <row r="11" customFormat="false" ht="75" hidden="false" customHeight="true" outlineLevel="0" collapsed="false">
      <c r="A11" s="24" t="s">
        <v>9366</v>
      </c>
      <c r="B11" s="22" t="s">
        <v>9248</v>
      </c>
      <c r="C11" s="22" t="s">
        <v>9367</v>
      </c>
      <c r="D11" s="22" t="s">
        <v>9368</v>
      </c>
      <c r="E11" s="35" t="s">
        <v>15</v>
      </c>
      <c r="F11" s="22" t="s">
        <v>9369</v>
      </c>
      <c r="G11" s="22" t="s">
        <v>9370</v>
      </c>
      <c r="H11" s="22" t="s">
        <v>9371</v>
      </c>
      <c r="I11" s="22" t="s">
        <v>9372</v>
      </c>
      <c r="J11" s="22" t="s">
        <v>9373</v>
      </c>
      <c r="K11" s="22" t="s">
        <v>9374</v>
      </c>
      <c r="L11" s="22" t="s">
        <v>9375</v>
      </c>
      <c r="M11" s="22" t="s">
        <v>9376</v>
      </c>
      <c r="N11" s="22" t="s">
        <v>9377</v>
      </c>
      <c r="O11" s="22" t="s">
        <v>9378</v>
      </c>
      <c r="P11" s="22" t="s">
        <v>9379</v>
      </c>
      <c r="Q11" s="22" t="s">
        <v>9261</v>
      </c>
      <c r="R11" s="22" t="s">
        <v>9380</v>
      </c>
      <c r="S11" s="22" t="s">
        <v>9381</v>
      </c>
      <c r="T11" s="22" t="s">
        <v>9382</v>
      </c>
      <c r="U11" s="22" t="s">
        <v>9383</v>
      </c>
      <c r="V11" s="22" t="s">
        <v>9384</v>
      </c>
      <c r="W11" s="22" t="s">
        <v>9385</v>
      </c>
      <c r="X11" s="22" t="s">
        <v>9386</v>
      </c>
      <c r="Y11" s="32" t="s">
        <v>9387</v>
      </c>
      <c r="Z11" s="22" t="s">
        <v>9364</v>
      </c>
      <c r="AA11" s="22"/>
    </row>
    <row r="12" customFormat="false" ht="137.25" hidden="false" customHeight="true" outlineLevel="0" collapsed="false">
      <c r="A12" s="24" t="s">
        <v>9388</v>
      </c>
      <c r="B12" s="22" t="s">
        <v>9248</v>
      </c>
      <c r="C12" s="22" t="s">
        <v>9389</v>
      </c>
      <c r="D12" s="22" t="s">
        <v>9390</v>
      </c>
      <c r="E12" s="35" t="s">
        <v>15</v>
      </c>
      <c r="F12" s="22" t="s">
        <v>9391</v>
      </c>
      <c r="G12" s="22" t="s">
        <v>9392</v>
      </c>
      <c r="H12" s="22" t="s">
        <v>9393</v>
      </c>
      <c r="I12" s="22" t="s">
        <v>9394</v>
      </c>
      <c r="J12" s="22" t="s">
        <v>9395</v>
      </c>
      <c r="K12" s="22" t="s">
        <v>9396</v>
      </c>
      <c r="L12" s="22" t="s">
        <v>9397</v>
      </c>
      <c r="M12" s="22" t="s">
        <v>9398</v>
      </c>
      <c r="N12" s="22" t="s">
        <v>9399</v>
      </c>
      <c r="O12" s="22" t="s">
        <v>9400</v>
      </c>
      <c r="P12" s="22" t="s">
        <v>9401</v>
      </c>
      <c r="Q12" s="22" t="s">
        <v>9261</v>
      </c>
      <c r="R12" s="22" t="s">
        <v>9402</v>
      </c>
      <c r="S12" s="22" t="s">
        <v>9403</v>
      </c>
      <c r="T12" s="22" t="s">
        <v>9404</v>
      </c>
      <c r="U12" s="22" t="s">
        <v>9405</v>
      </c>
      <c r="V12" s="22" t="s">
        <v>9406</v>
      </c>
      <c r="W12" s="22" t="s">
        <v>9407</v>
      </c>
      <c r="X12" s="22" t="s">
        <v>9408</v>
      </c>
      <c r="Y12" s="32" t="s">
        <v>9409</v>
      </c>
      <c r="Z12" s="22" t="s">
        <v>9410</v>
      </c>
      <c r="AA12" s="22" t="s">
        <v>9411</v>
      </c>
    </row>
    <row r="13" customFormat="false" ht="87" hidden="false" customHeight="true" outlineLevel="0" collapsed="false">
      <c r="A13" s="24" t="s">
        <v>9412</v>
      </c>
      <c r="B13" s="22" t="s">
        <v>9248</v>
      </c>
      <c r="C13" s="22" t="s">
        <v>9389</v>
      </c>
      <c r="D13" s="22" t="s">
        <v>9413</v>
      </c>
      <c r="E13" s="35" t="s">
        <v>15</v>
      </c>
      <c r="F13" s="22" t="s">
        <v>9414</v>
      </c>
      <c r="G13" s="22" t="s">
        <v>9415</v>
      </c>
      <c r="H13" s="22" t="s">
        <v>9416</v>
      </c>
      <c r="I13" s="22" t="s">
        <v>9417</v>
      </c>
      <c r="J13" s="22" t="s">
        <v>9418</v>
      </c>
      <c r="K13" s="22" t="s">
        <v>9419</v>
      </c>
      <c r="L13" s="22" t="s">
        <v>9420</v>
      </c>
      <c r="M13" s="22" t="s">
        <v>9421</v>
      </c>
      <c r="N13" s="22" t="s">
        <v>9422</v>
      </c>
      <c r="O13" s="22" t="s">
        <v>9423</v>
      </c>
      <c r="P13" s="22" t="s">
        <v>9424</v>
      </c>
      <c r="Q13" s="22" t="s">
        <v>9261</v>
      </c>
      <c r="R13" s="22" t="s">
        <v>9425</v>
      </c>
      <c r="S13" s="22" t="s">
        <v>9426</v>
      </c>
      <c r="T13" s="22" t="s">
        <v>9427</v>
      </c>
      <c r="U13" s="22" t="s">
        <v>9428</v>
      </c>
      <c r="V13" s="22" t="s">
        <v>9429</v>
      </c>
      <c r="W13" s="22" t="s">
        <v>9430</v>
      </c>
      <c r="X13" s="22" t="s">
        <v>9431</v>
      </c>
      <c r="Y13" s="32" t="s">
        <v>9432</v>
      </c>
      <c r="Z13" s="22" t="s">
        <v>9433</v>
      </c>
      <c r="AA13" s="22"/>
    </row>
    <row r="14" customFormat="false" ht="137.25" hidden="false" customHeight="true" outlineLevel="0" collapsed="false">
      <c r="A14" s="24" t="s">
        <v>9434</v>
      </c>
      <c r="B14" s="22" t="s">
        <v>9248</v>
      </c>
      <c r="C14" s="22" t="s">
        <v>9389</v>
      </c>
      <c r="D14" s="22" t="s">
        <v>9435</v>
      </c>
      <c r="E14" s="31" t="s">
        <v>19</v>
      </c>
      <c r="F14" s="22" t="s">
        <v>9436</v>
      </c>
      <c r="G14" s="22" t="s">
        <v>9437</v>
      </c>
      <c r="H14" s="22" t="s">
        <v>9438</v>
      </c>
      <c r="I14" s="22" t="s">
        <v>9439</v>
      </c>
      <c r="J14" s="22" t="s">
        <v>9440</v>
      </c>
      <c r="K14" s="22" t="s">
        <v>9441</v>
      </c>
      <c r="L14" s="22" t="s">
        <v>9442</v>
      </c>
      <c r="M14" s="22" t="s">
        <v>9443</v>
      </c>
      <c r="N14" s="22" t="s">
        <v>9444</v>
      </c>
      <c r="O14" s="22" t="s">
        <v>9445</v>
      </c>
      <c r="P14" s="22" t="s">
        <v>9446</v>
      </c>
      <c r="Q14" s="22" t="s">
        <v>9261</v>
      </c>
      <c r="R14" s="22" t="s">
        <v>9447</v>
      </c>
      <c r="S14" s="22" t="s">
        <v>9448</v>
      </c>
      <c r="T14" s="22" t="s">
        <v>9449</v>
      </c>
      <c r="U14" s="22" t="s">
        <v>9450</v>
      </c>
      <c r="V14" s="22" t="s">
        <v>9451</v>
      </c>
      <c r="W14" s="22" t="s">
        <v>9452</v>
      </c>
      <c r="X14" s="22" t="s">
        <v>9431</v>
      </c>
      <c r="Y14" s="32" t="s">
        <v>9453</v>
      </c>
      <c r="Z14" s="22" t="s">
        <v>9454</v>
      </c>
      <c r="AA14" s="22" t="s">
        <v>9455</v>
      </c>
    </row>
    <row r="15" customFormat="false" ht="62.25" hidden="false" customHeight="true" outlineLevel="0" collapsed="false">
      <c r="A15" s="24" t="s">
        <v>9456</v>
      </c>
      <c r="B15" s="22" t="s">
        <v>9248</v>
      </c>
      <c r="C15" s="22" t="s">
        <v>9457</v>
      </c>
      <c r="D15" s="22" t="s">
        <v>9458</v>
      </c>
      <c r="E15" s="35" t="s">
        <v>15</v>
      </c>
      <c r="F15" s="22" t="s">
        <v>9459</v>
      </c>
      <c r="G15" s="22" t="s">
        <v>9460</v>
      </c>
      <c r="H15" s="22" t="s">
        <v>9461</v>
      </c>
      <c r="I15" s="22" t="s">
        <v>9462</v>
      </c>
      <c r="J15" s="22" t="s">
        <v>9463</v>
      </c>
      <c r="K15" s="22" t="s">
        <v>9464</v>
      </c>
      <c r="L15" s="22" t="s">
        <v>9465</v>
      </c>
      <c r="M15" s="22" t="s">
        <v>9466</v>
      </c>
      <c r="N15" s="22" t="s">
        <v>9467</v>
      </c>
      <c r="O15" s="22" t="s">
        <v>9468</v>
      </c>
      <c r="P15" s="22" t="s">
        <v>9261</v>
      </c>
      <c r="Q15" s="22" t="s">
        <v>9261</v>
      </c>
      <c r="R15" s="22" t="s">
        <v>9469</v>
      </c>
      <c r="S15" s="22" t="s">
        <v>9470</v>
      </c>
      <c r="T15" s="22" t="s">
        <v>9471</v>
      </c>
      <c r="U15" s="22" t="s">
        <v>9472</v>
      </c>
      <c r="V15" s="22" t="s">
        <v>9473</v>
      </c>
      <c r="W15" s="22" t="s">
        <v>9474</v>
      </c>
      <c r="X15" s="22" t="s">
        <v>9431</v>
      </c>
      <c r="Y15" s="32" t="s">
        <v>9466</v>
      </c>
      <c r="Z15" s="22" t="s">
        <v>9475</v>
      </c>
      <c r="AA15" s="22" t="s">
        <v>9476</v>
      </c>
    </row>
    <row r="16" customFormat="false" ht="62.25" hidden="false" customHeight="true" outlineLevel="0" collapsed="false">
      <c r="A16" s="24" t="s">
        <v>9477</v>
      </c>
      <c r="B16" s="22" t="s">
        <v>9248</v>
      </c>
      <c r="C16" s="22" t="s">
        <v>9478</v>
      </c>
      <c r="D16" s="22" t="s">
        <v>9479</v>
      </c>
      <c r="E16" s="35" t="s">
        <v>15</v>
      </c>
      <c r="F16" s="22" t="s">
        <v>9480</v>
      </c>
      <c r="G16" s="22" t="s">
        <v>9481</v>
      </c>
      <c r="H16" s="22" t="s">
        <v>9371</v>
      </c>
      <c r="I16" s="22" t="s">
        <v>9482</v>
      </c>
      <c r="J16" s="22" t="s">
        <v>9483</v>
      </c>
      <c r="K16" s="22" t="s">
        <v>9484</v>
      </c>
      <c r="L16" s="22" t="s">
        <v>9485</v>
      </c>
      <c r="M16" s="22" t="s">
        <v>9486</v>
      </c>
      <c r="N16" s="22" t="s">
        <v>9487</v>
      </c>
      <c r="O16" s="22" t="s">
        <v>9488</v>
      </c>
      <c r="P16" s="22" t="s">
        <v>9489</v>
      </c>
      <c r="Q16" s="22" t="s">
        <v>9261</v>
      </c>
      <c r="R16" s="22" t="s">
        <v>9490</v>
      </c>
      <c r="S16" s="22" t="s">
        <v>9491</v>
      </c>
      <c r="T16" s="22" t="s">
        <v>9492</v>
      </c>
      <c r="U16" s="22" t="s">
        <v>9493</v>
      </c>
      <c r="V16" s="22" t="s">
        <v>9494</v>
      </c>
      <c r="W16" s="22" t="s">
        <v>9495</v>
      </c>
      <c r="X16" s="22" t="s">
        <v>9496</v>
      </c>
      <c r="Y16" s="32" t="s">
        <v>9497</v>
      </c>
      <c r="Z16" s="22" t="s">
        <v>9498</v>
      </c>
      <c r="AA16" s="22"/>
    </row>
    <row r="17" customFormat="false" ht="62.25" hidden="false" customHeight="true" outlineLevel="0" collapsed="false">
      <c r="A17" s="24" t="s">
        <v>9499</v>
      </c>
      <c r="B17" s="22" t="s">
        <v>9248</v>
      </c>
      <c r="C17" s="22" t="s">
        <v>9478</v>
      </c>
      <c r="D17" s="22" t="s">
        <v>9500</v>
      </c>
      <c r="E17" s="31" t="s">
        <v>19</v>
      </c>
      <c r="F17" s="22" t="s">
        <v>9501</v>
      </c>
      <c r="G17" s="22" t="s">
        <v>9502</v>
      </c>
      <c r="H17" s="22" t="s">
        <v>9503</v>
      </c>
      <c r="I17" s="22" t="s">
        <v>9504</v>
      </c>
      <c r="J17" s="22" t="s">
        <v>9505</v>
      </c>
      <c r="K17" s="22" t="s">
        <v>9506</v>
      </c>
      <c r="L17" s="22" t="s">
        <v>9507</v>
      </c>
      <c r="M17" s="22" t="s">
        <v>9508</v>
      </c>
      <c r="N17" s="22" t="s">
        <v>9487</v>
      </c>
      <c r="O17" s="22" t="s">
        <v>9509</v>
      </c>
      <c r="P17" s="22" t="s">
        <v>9510</v>
      </c>
      <c r="Q17" s="22" t="s">
        <v>9261</v>
      </c>
      <c r="R17" s="22" t="s">
        <v>9511</v>
      </c>
      <c r="S17" s="22" t="s">
        <v>9512</v>
      </c>
      <c r="T17" s="22" t="s">
        <v>9513</v>
      </c>
      <c r="U17" s="22" t="s">
        <v>9514</v>
      </c>
      <c r="V17" s="22" t="s">
        <v>9515</v>
      </c>
      <c r="W17" s="22" t="s">
        <v>9516</v>
      </c>
      <c r="X17" s="22" t="s">
        <v>9517</v>
      </c>
      <c r="Y17" s="32" t="s">
        <v>9518</v>
      </c>
      <c r="Z17" s="22" t="s">
        <v>9498</v>
      </c>
      <c r="AA17" s="22" t="s">
        <v>9519</v>
      </c>
    </row>
    <row r="18" customFormat="false" ht="137.25" hidden="false" customHeight="true" outlineLevel="0" collapsed="false">
      <c r="A18" s="24" t="s">
        <v>9520</v>
      </c>
      <c r="B18" s="22" t="s">
        <v>9248</v>
      </c>
      <c r="C18" s="22" t="s">
        <v>9521</v>
      </c>
      <c r="D18" s="22" t="s">
        <v>9522</v>
      </c>
      <c r="E18" s="35" t="s">
        <v>15</v>
      </c>
      <c r="F18" s="22" t="s">
        <v>9523</v>
      </c>
      <c r="G18" s="22" t="s">
        <v>9524</v>
      </c>
      <c r="H18" s="22" t="s">
        <v>9525</v>
      </c>
      <c r="I18" s="22" t="s">
        <v>9526</v>
      </c>
      <c r="J18" s="22" t="s">
        <v>9527</v>
      </c>
      <c r="K18" s="22" t="s">
        <v>9528</v>
      </c>
      <c r="L18" s="22" t="s">
        <v>9529</v>
      </c>
      <c r="M18" s="22" t="s">
        <v>9530</v>
      </c>
      <c r="N18" s="22" t="s">
        <v>9531</v>
      </c>
      <c r="O18" s="22" t="s">
        <v>9532</v>
      </c>
      <c r="P18" s="22" t="s">
        <v>9533</v>
      </c>
      <c r="Q18" s="22" t="s">
        <v>9534</v>
      </c>
      <c r="R18" s="22" t="s">
        <v>9535</v>
      </c>
      <c r="S18" s="22" t="s">
        <v>9536</v>
      </c>
      <c r="T18" s="22" t="s">
        <v>9537</v>
      </c>
      <c r="U18" s="22" t="s">
        <v>9538</v>
      </c>
      <c r="V18" s="22" t="s">
        <v>9539</v>
      </c>
      <c r="W18" s="22" t="s">
        <v>9540</v>
      </c>
      <c r="X18" s="22" t="s">
        <v>9541</v>
      </c>
      <c r="Y18" s="32" t="s">
        <v>9542</v>
      </c>
      <c r="Z18" s="22" t="s">
        <v>9543</v>
      </c>
      <c r="AA18" s="22" t="s">
        <v>9544</v>
      </c>
    </row>
    <row r="19" customFormat="false" ht="124.5" hidden="false" customHeight="true" outlineLevel="0" collapsed="false">
      <c r="A19" s="24" t="s">
        <v>9545</v>
      </c>
      <c r="B19" s="22" t="s">
        <v>9248</v>
      </c>
      <c r="C19" s="22" t="s">
        <v>9546</v>
      </c>
      <c r="D19" s="22" t="s">
        <v>9547</v>
      </c>
      <c r="E19" s="35" t="s">
        <v>15</v>
      </c>
      <c r="F19" s="22" t="s">
        <v>9548</v>
      </c>
      <c r="G19" s="22" t="s">
        <v>9549</v>
      </c>
      <c r="H19" s="22" t="s">
        <v>9550</v>
      </c>
      <c r="I19" s="22" t="s">
        <v>9551</v>
      </c>
      <c r="J19" s="22" t="s">
        <v>9552</v>
      </c>
      <c r="K19" s="22" t="s">
        <v>9553</v>
      </c>
      <c r="L19" s="22" t="s">
        <v>9554</v>
      </c>
      <c r="M19" s="22" t="s">
        <v>9555</v>
      </c>
      <c r="N19" s="22" t="s">
        <v>9556</v>
      </c>
      <c r="O19" s="22" t="s">
        <v>9557</v>
      </c>
      <c r="P19" s="22" t="s">
        <v>9558</v>
      </c>
      <c r="Q19" s="22" t="s">
        <v>9559</v>
      </c>
      <c r="R19" s="22" t="s">
        <v>9560</v>
      </c>
      <c r="S19" s="22" t="s">
        <v>9561</v>
      </c>
      <c r="T19" s="22" t="s">
        <v>9562</v>
      </c>
      <c r="U19" s="22" t="s">
        <v>9563</v>
      </c>
      <c r="V19" s="22" t="s">
        <v>9564</v>
      </c>
      <c r="W19" s="22" t="s">
        <v>9565</v>
      </c>
      <c r="X19" s="22" t="s">
        <v>9566</v>
      </c>
      <c r="Y19" s="32" t="s">
        <v>9567</v>
      </c>
      <c r="Z19" s="22" t="s">
        <v>9568</v>
      </c>
      <c r="AA19" s="22" t="s">
        <v>9569</v>
      </c>
    </row>
    <row r="20" customFormat="false" ht="87" hidden="false" customHeight="true" outlineLevel="0" collapsed="false">
      <c r="A20" s="24" t="s">
        <v>9570</v>
      </c>
      <c r="B20" s="22" t="s">
        <v>9248</v>
      </c>
      <c r="C20" s="22" t="s">
        <v>9546</v>
      </c>
      <c r="D20" s="22" t="s">
        <v>9571</v>
      </c>
      <c r="E20" s="35" t="s">
        <v>15</v>
      </c>
      <c r="F20" s="22" t="s">
        <v>9572</v>
      </c>
      <c r="G20" s="22" t="s">
        <v>9573</v>
      </c>
      <c r="H20" s="22" t="s">
        <v>9574</v>
      </c>
      <c r="I20" s="22" t="s">
        <v>9575</v>
      </c>
      <c r="J20" s="22" t="s">
        <v>9576</v>
      </c>
      <c r="K20" s="22" t="s">
        <v>9577</v>
      </c>
      <c r="L20" s="22" t="s">
        <v>9578</v>
      </c>
      <c r="M20" s="22" t="s">
        <v>9579</v>
      </c>
      <c r="N20" s="22" t="s">
        <v>9580</v>
      </c>
      <c r="O20" s="22" t="s">
        <v>9581</v>
      </c>
      <c r="P20" s="22" t="s">
        <v>9582</v>
      </c>
      <c r="Q20" s="22" t="s">
        <v>9583</v>
      </c>
      <c r="R20" s="22" t="s">
        <v>9584</v>
      </c>
      <c r="S20" s="22" t="s">
        <v>9585</v>
      </c>
      <c r="T20" s="22" t="s">
        <v>9586</v>
      </c>
      <c r="U20" s="22" t="s">
        <v>9587</v>
      </c>
      <c r="V20" s="22" t="s">
        <v>9588</v>
      </c>
      <c r="W20" s="22" t="s">
        <v>9589</v>
      </c>
      <c r="X20" s="22" t="s">
        <v>9566</v>
      </c>
      <c r="Y20" s="32" t="s">
        <v>9590</v>
      </c>
      <c r="Z20" s="22" t="s">
        <v>9591</v>
      </c>
      <c r="AA20" s="22"/>
    </row>
    <row r="21" customFormat="false" ht="99.75" hidden="false" customHeight="true" outlineLevel="0" collapsed="false">
      <c r="A21" s="24" t="s">
        <v>9592</v>
      </c>
      <c r="B21" s="22" t="s">
        <v>9248</v>
      </c>
      <c r="C21" s="22" t="s">
        <v>9593</v>
      </c>
      <c r="D21" s="22" t="s">
        <v>9594</v>
      </c>
      <c r="E21" s="31" t="s">
        <v>19</v>
      </c>
      <c r="F21" s="22" t="s">
        <v>9595</v>
      </c>
      <c r="G21" s="22" t="s">
        <v>9596</v>
      </c>
      <c r="H21" s="22" t="s">
        <v>9597</v>
      </c>
      <c r="I21" s="22" t="s">
        <v>9598</v>
      </c>
      <c r="J21" s="22" t="s">
        <v>9599</v>
      </c>
      <c r="K21" s="22" t="s">
        <v>9600</v>
      </c>
      <c r="L21" s="22" t="s">
        <v>9601</v>
      </c>
      <c r="M21" s="22" t="s">
        <v>9602</v>
      </c>
      <c r="N21" s="22" t="s">
        <v>9603</v>
      </c>
      <c r="O21" s="22" t="s">
        <v>9604</v>
      </c>
      <c r="P21" s="22" t="s">
        <v>9582</v>
      </c>
      <c r="Q21" s="22" t="s">
        <v>9605</v>
      </c>
      <c r="R21" s="22" t="s">
        <v>9606</v>
      </c>
      <c r="S21" s="22" t="s">
        <v>9607</v>
      </c>
      <c r="T21" s="22" t="s">
        <v>9608</v>
      </c>
      <c r="U21" s="22" t="s">
        <v>9609</v>
      </c>
      <c r="V21" s="22" t="s">
        <v>9610</v>
      </c>
      <c r="W21" s="22" t="s">
        <v>9611</v>
      </c>
      <c r="X21" s="22" t="s">
        <v>9431</v>
      </c>
      <c r="Y21" s="32" t="s">
        <v>9612</v>
      </c>
      <c r="Z21" s="22" t="s">
        <v>9613</v>
      </c>
      <c r="AA21" s="22" t="s">
        <v>9614</v>
      </c>
    </row>
    <row r="22" customFormat="false" ht="124.5" hidden="false" customHeight="true" outlineLevel="0" collapsed="false">
      <c r="A22" s="24" t="s">
        <v>9615</v>
      </c>
      <c r="B22" s="22" t="s">
        <v>9248</v>
      </c>
      <c r="C22" s="22" t="s">
        <v>9593</v>
      </c>
      <c r="D22" s="22" t="s">
        <v>9616</v>
      </c>
      <c r="E22" s="31" t="s">
        <v>19</v>
      </c>
      <c r="F22" s="22" t="s">
        <v>9617</v>
      </c>
      <c r="G22" s="22" t="s">
        <v>9618</v>
      </c>
      <c r="H22" s="22" t="s">
        <v>9619</v>
      </c>
      <c r="I22" s="22" t="s">
        <v>9620</v>
      </c>
      <c r="J22" s="22" t="s">
        <v>9621</v>
      </c>
      <c r="K22" s="22" t="s">
        <v>9622</v>
      </c>
      <c r="L22" s="22" t="s">
        <v>9623</v>
      </c>
      <c r="M22" s="22" t="s">
        <v>9624</v>
      </c>
      <c r="N22" s="22" t="s">
        <v>9625</v>
      </c>
      <c r="O22" s="22" t="s">
        <v>9626</v>
      </c>
      <c r="P22" s="22" t="s">
        <v>9627</v>
      </c>
      <c r="Q22" s="22" t="s">
        <v>9628</v>
      </c>
      <c r="R22" s="22" t="s">
        <v>9629</v>
      </c>
      <c r="S22" s="22" t="s">
        <v>9630</v>
      </c>
      <c r="T22" s="22" t="s">
        <v>9631</v>
      </c>
      <c r="U22" s="22" t="s">
        <v>9632</v>
      </c>
      <c r="V22" s="22" t="s">
        <v>9633</v>
      </c>
      <c r="W22" s="22" t="s">
        <v>9634</v>
      </c>
      <c r="X22" s="22" t="s">
        <v>9431</v>
      </c>
      <c r="Y22" s="32" t="s">
        <v>9635</v>
      </c>
      <c r="Z22" s="22" t="s">
        <v>9636</v>
      </c>
      <c r="AA22" s="22" t="s">
        <v>9637</v>
      </c>
    </row>
    <row r="23" customFormat="false" ht="150" hidden="false" customHeight="true" outlineLevel="0" collapsed="false">
      <c r="A23" s="24" t="s">
        <v>9638</v>
      </c>
      <c r="B23" s="22" t="s">
        <v>9248</v>
      </c>
      <c r="C23" s="22" t="s">
        <v>9593</v>
      </c>
      <c r="D23" s="22" t="s">
        <v>9639</v>
      </c>
      <c r="E23" s="35" t="s">
        <v>15</v>
      </c>
      <c r="F23" s="22" t="s">
        <v>9640</v>
      </c>
      <c r="G23" s="22" t="s">
        <v>9641</v>
      </c>
      <c r="H23" s="22" t="s">
        <v>9642</v>
      </c>
      <c r="I23" s="22" t="s">
        <v>9643</v>
      </c>
      <c r="J23" s="22" t="s">
        <v>9644</v>
      </c>
      <c r="K23" s="22" t="s">
        <v>9645</v>
      </c>
      <c r="L23" s="22" t="s">
        <v>9646</v>
      </c>
      <c r="M23" s="22" t="s">
        <v>9647</v>
      </c>
      <c r="N23" s="22" t="s">
        <v>9648</v>
      </c>
      <c r="O23" s="22" t="s">
        <v>9649</v>
      </c>
      <c r="P23" s="22" t="s">
        <v>9582</v>
      </c>
      <c r="Q23" s="22" t="s">
        <v>9261</v>
      </c>
      <c r="R23" s="22" t="s">
        <v>9650</v>
      </c>
      <c r="S23" s="22" t="s">
        <v>9651</v>
      </c>
      <c r="T23" s="22" t="s">
        <v>9652</v>
      </c>
      <c r="U23" s="22" t="s">
        <v>9653</v>
      </c>
      <c r="V23" s="22" t="s">
        <v>9654</v>
      </c>
      <c r="W23" s="22" t="s">
        <v>9655</v>
      </c>
      <c r="X23" s="22" t="s">
        <v>9431</v>
      </c>
      <c r="Y23" s="32" t="s">
        <v>9656</v>
      </c>
      <c r="Z23" s="22" t="s">
        <v>9657</v>
      </c>
      <c r="AA23" s="22" t="s">
        <v>9658</v>
      </c>
    </row>
    <row r="24" customFormat="false" ht="124.5" hidden="false" customHeight="true" outlineLevel="0" collapsed="false">
      <c r="A24" s="24" t="s">
        <v>9659</v>
      </c>
      <c r="B24" s="22" t="s">
        <v>9248</v>
      </c>
      <c r="C24" s="22" t="s">
        <v>9660</v>
      </c>
      <c r="D24" s="22" t="s">
        <v>9661</v>
      </c>
      <c r="E24" s="31" t="s">
        <v>19</v>
      </c>
      <c r="F24" s="22" t="s">
        <v>9662</v>
      </c>
      <c r="G24" s="22" t="s">
        <v>9663</v>
      </c>
      <c r="H24" s="22" t="s">
        <v>9664</v>
      </c>
      <c r="I24" s="22" t="s">
        <v>9665</v>
      </c>
      <c r="J24" s="22" t="s">
        <v>9666</v>
      </c>
      <c r="K24" s="22" t="s">
        <v>9667</v>
      </c>
      <c r="L24" s="22" t="s">
        <v>9668</v>
      </c>
      <c r="M24" s="22" t="s">
        <v>9669</v>
      </c>
      <c r="N24" s="22" t="s">
        <v>9670</v>
      </c>
      <c r="O24" s="22" t="s">
        <v>9671</v>
      </c>
      <c r="P24" s="22" t="s">
        <v>9261</v>
      </c>
      <c r="Q24" s="22" t="s">
        <v>9261</v>
      </c>
      <c r="R24" s="22" t="s">
        <v>9672</v>
      </c>
      <c r="S24" s="22" t="s">
        <v>9673</v>
      </c>
      <c r="T24" s="22" t="s">
        <v>9674</v>
      </c>
      <c r="U24" s="22" t="s">
        <v>9675</v>
      </c>
      <c r="V24" s="22" t="s">
        <v>9676</v>
      </c>
      <c r="W24" s="22" t="s">
        <v>9677</v>
      </c>
      <c r="X24" s="22" t="s">
        <v>9566</v>
      </c>
      <c r="Y24" s="32" t="s">
        <v>9678</v>
      </c>
      <c r="Z24" s="22" t="s">
        <v>9679</v>
      </c>
      <c r="AA24" s="22" t="s">
        <v>9680</v>
      </c>
    </row>
    <row r="25" customFormat="false" ht="137.25" hidden="false" customHeight="true" outlineLevel="0" collapsed="false">
      <c r="A25" s="24" t="s">
        <v>9681</v>
      </c>
      <c r="B25" s="22" t="s">
        <v>9248</v>
      </c>
      <c r="C25" s="22" t="s">
        <v>9660</v>
      </c>
      <c r="D25" s="22" t="s">
        <v>9682</v>
      </c>
      <c r="E25" s="31" t="s">
        <v>19</v>
      </c>
      <c r="F25" s="22" t="s">
        <v>9683</v>
      </c>
      <c r="G25" s="22" t="s">
        <v>9684</v>
      </c>
      <c r="H25" s="22" t="s">
        <v>9685</v>
      </c>
      <c r="I25" s="22" t="s">
        <v>9504</v>
      </c>
      <c r="J25" s="22" t="s">
        <v>9686</v>
      </c>
      <c r="K25" s="22" t="s">
        <v>9687</v>
      </c>
      <c r="L25" s="22" t="s">
        <v>9688</v>
      </c>
      <c r="M25" s="22" t="s">
        <v>9689</v>
      </c>
      <c r="N25" s="22" t="s">
        <v>9690</v>
      </c>
      <c r="O25" s="22" t="s">
        <v>9691</v>
      </c>
      <c r="P25" s="22" t="s">
        <v>9261</v>
      </c>
      <c r="Q25" s="22" t="s">
        <v>9261</v>
      </c>
      <c r="R25" s="22" t="s">
        <v>9692</v>
      </c>
      <c r="S25" s="22" t="s">
        <v>9693</v>
      </c>
      <c r="T25" s="22" t="s">
        <v>9694</v>
      </c>
      <c r="U25" s="22" t="s">
        <v>9695</v>
      </c>
      <c r="V25" s="22" t="s">
        <v>9696</v>
      </c>
      <c r="W25" s="22" t="s">
        <v>9697</v>
      </c>
      <c r="X25" s="22" t="s">
        <v>9566</v>
      </c>
      <c r="Y25" s="32" t="s">
        <v>9698</v>
      </c>
      <c r="Z25" s="22" t="s">
        <v>9699</v>
      </c>
      <c r="AA25" s="22" t="s">
        <v>9700</v>
      </c>
    </row>
    <row r="26" customFormat="false" ht="87" hidden="false" customHeight="true" outlineLevel="0" collapsed="false">
      <c r="A26" s="24" t="s">
        <v>9701</v>
      </c>
      <c r="B26" s="22" t="s">
        <v>9248</v>
      </c>
      <c r="C26" s="22" t="s">
        <v>9660</v>
      </c>
      <c r="D26" s="22" t="s">
        <v>9702</v>
      </c>
      <c r="E26" s="31" t="s">
        <v>19</v>
      </c>
      <c r="F26" s="22" t="s">
        <v>9703</v>
      </c>
      <c r="G26" s="22" t="s">
        <v>9704</v>
      </c>
      <c r="H26" s="22" t="s">
        <v>9705</v>
      </c>
      <c r="I26" s="22" t="s">
        <v>9504</v>
      </c>
      <c r="J26" s="22" t="s">
        <v>9706</v>
      </c>
      <c r="K26" s="22" t="s">
        <v>9707</v>
      </c>
      <c r="L26" s="22" t="s">
        <v>9708</v>
      </c>
      <c r="M26" s="22" t="s">
        <v>9709</v>
      </c>
      <c r="N26" s="22" t="s">
        <v>9710</v>
      </c>
      <c r="O26" s="22" t="s">
        <v>9711</v>
      </c>
      <c r="P26" s="22" t="s">
        <v>9261</v>
      </c>
      <c r="Q26" s="22" t="s">
        <v>9261</v>
      </c>
      <c r="R26" s="22" t="s">
        <v>9712</v>
      </c>
      <c r="S26" s="22" t="s">
        <v>9693</v>
      </c>
      <c r="T26" s="22" t="s">
        <v>9713</v>
      </c>
      <c r="U26" s="22" t="s">
        <v>9714</v>
      </c>
      <c r="V26" s="22" t="s">
        <v>9715</v>
      </c>
      <c r="W26" s="22" t="s">
        <v>9716</v>
      </c>
      <c r="X26" s="22" t="s">
        <v>9566</v>
      </c>
      <c r="Y26" s="32" t="s">
        <v>9717</v>
      </c>
      <c r="Z26" s="22" t="s">
        <v>9718</v>
      </c>
      <c r="AA26" s="22" t="s">
        <v>9719</v>
      </c>
    </row>
    <row r="27" customFormat="false" ht="87" hidden="false" customHeight="true" outlineLevel="0" collapsed="false">
      <c r="A27" s="24" t="s">
        <v>9720</v>
      </c>
      <c r="B27" s="22" t="s">
        <v>9248</v>
      </c>
      <c r="C27" s="22" t="s">
        <v>9721</v>
      </c>
      <c r="D27" s="22" t="s">
        <v>9722</v>
      </c>
      <c r="E27" s="31" t="s">
        <v>19</v>
      </c>
      <c r="F27" s="22" t="s">
        <v>9723</v>
      </c>
      <c r="G27" s="22" t="s">
        <v>9724</v>
      </c>
      <c r="H27" s="22" t="s">
        <v>9725</v>
      </c>
      <c r="I27" s="22" t="s">
        <v>9726</v>
      </c>
      <c r="J27" s="22" t="s">
        <v>9727</v>
      </c>
      <c r="K27" s="22" t="s">
        <v>9728</v>
      </c>
      <c r="L27" s="22" t="s">
        <v>9729</v>
      </c>
      <c r="M27" s="22" t="s">
        <v>9730</v>
      </c>
      <c r="N27" s="22" t="s">
        <v>9731</v>
      </c>
      <c r="O27" s="22" t="s">
        <v>9732</v>
      </c>
      <c r="P27" s="22" t="s">
        <v>9582</v>
      </c>
      <c r="Q27" s="22" t="s">
        <v>9733</v>
      </c>
      <c r="R27" s="22" t="s">
        <v>9734</v>
      </c>
      <c r="S27" s="22" t="s">
        <v>9735</v>
      </c>
      <c r="T27" s="22" t="s">
        <v>9736</v>
      </c>
      <c r="U27" s="22" t="s">
        <v>9737</v>
      </c>
      <c r="V27" s="22" t="s">
        <v>9738</v>
      </c>
      <c r="W27" s="22" t="s">
        <v>9739</v>
      </c>
      <c r="X27" s="22" t="s">
        <v>9431</v>
      </c>
      <c r="Y27" s="32" t="s">
        <v>9740</v>
      </c>
      <c r="Z27" s="22" t="s">
        <v>9741</v>
      </c>
      <c r="AA27" s="22" t="s">
        <v>9742</v>
      </c>
    </row>
    <row r="28" customFormat="false" ht="49.5" hidden="false" customHeight="true" outlineLevel="0" collapsed="false">
      <c r="A28" s="24" t="s">
        <v>9743</v>
      </c>
      <c r="B28" s="22" t="s">
        <v>9248</v>
      </c>
      <c r="C28" s="22" t="s">
        <v>9721</v>
      </c>
      <c r="D28" s="22" t="s">
        <v>9744</v>
      </c>
      <c r="E28" s="34" t="s">
        <v>17</v>
      </c>
      <c r="F28" s="22" t="s">
        <v>9745</v>
      </c>
      <c r="G28" s="22" t="s">
        <v>9746</v>
      </c>
      <c r="H28" s="22" t="s">
        <v>9747</v>
      </c>
      <c r="I28" s="22" t="s">
        <v>9504</v>
      </c>
      <c r="J28" s="22" t="s">
        <v>9748</v>
      </c>
      <c r="K28" s="22" t="s">
        <v>9749</v>
      </c>
      <c r="L28" s="22" t="s">
        <v>9750</v>
      </c>
      <c r="M28" s="22" t="s">
        <v>9751</v>
      </c>
      <c r="N28" s="22" t="s">
        <v>9752</v>
      </c>
      <c r="O28" s="22" t="s">
        <v>9753</v>
      </c>
      <c r="P28" s="22" t="s">
        <v>9582</v>
      </c>
      <c r="Q28" s="22" t="s">
        <v>9754</v>
      </c>
      <c r="R28" s="22" t="s">
        <v>9755</v>
      </c>
      <c r="S28" s="22" t="s">
        <v>9756</v>
      </c>
      <c r="T28" s="22" t="s">
        <v>9757</v>
      </c>
      <c r="U28" s="22" t="s">
        <v>9758</v>
      </c>
      <c r="V28" s="22" t="s">
        <v>9759</v>
      </c>
      <c r="W28" s="22" t="s">
        <v>9760</v>
      </c>
      <c r="X28" s="22" t="s">
        <v>9431</v>
      </c>
      <c r="Y28" s="32" t="s">
        <v>9761</v>
      </c>
      <c r="Z28" s="22" t="s">
        <v>9741</v>
      </c>
      <c r="AA28" s="22" t="s">
        <v>9762</v>
      </c>
    </row>
    <row r="29" customFormat="false" ht="287.25" hidden="false" customHeight="true" outlineLevel="0" collapsed="false">
      <c r="A29" s="24" t="s">
        <v>9763</v>
      </c>
      <c r="B29" s="22" t="s">
        <v>9248</v>
      </c>
      <c r="C29" s="22" t="s">
        <v>9764</v>
      </c>
      <c r="D29" s="22" t="s">
        <v>9765</v>
      </c>
      <c r="E29" s="31" t="s">
        <v>19</v>
      </c>
      <c r="F29" s="22" t="s">
        <v>9766</v>
      </c>
      <c r="G29" s="22" t="s">
        <v>9767</v>
      </c>
      <c r="H29" s="22" t="s">
        <v>9768</v>
      </c>
      <c r="I29" s="22" t="s">
        <v>9769</v>
      </c>
      <c r="J29" s="22" t="s">
        <v>9770</v>
      </c>
      <c r="K29" s="22" t="s">
        <v>9771</v>
      </c>
      <c r="L29" s="22" t="s">
        <v>9772</v>
      </c>
      <c r="M29" s="22" t="s">
        <v>9773</v>
      </c>
      <c r="N29" s="22" t="s">
        <v>9774</v>
      </c>
      <c r="O29" s="22" t="s">
        <v>9775</v>
      </c>
      <c r="P29" s="22" t="s">
        <v>9776</v>
      </c>
      <c r="Q29" s="22" t="s">
        <v>9777</v>
      </c>
      <c r="R29" s="22" t="s">
        <v>9778</v>
      </c>
      <c r="S29" s="22" t="s">
        <v>9779</v>
      </c>
      <c r="T29" s="22" t="s">
        <v>9780</v>
      </c>
      <c r="U29" s="22" t="s">
        <v>9781</v>
      </c>
      <c r="V29" s="22" t="s">
        <v>9782</v>
      </c>
      <c r="W29" s="22" t="s">
        <v>9783</v>
      </c>
      <c r="X29" s="22" t="s">
        <v>9431</v>
      </c>
      <c r="Y29" s="32" t="s">
        <v>9784</v>
      </c>
      <c r="Z29" s="22" t="s">
        <v>9785</v>
      </c>
      <c r="AA29" s="22" t="s">
        <v>9786</v>
      </c>
    </row>
    <row r="30" customFormat="false" ht="124.5" hidden="false" customHeight="true" outlineLevel="0" collapsed="false">
      <c r="A30" s="24" t="s">
        <v>9787</v>
      </c>
      <c r="B30" s="22" t="s">
        <v>9248</v>
      </c>
      <c r="C30" s="22" t="s">
        <v>9788</v>
      </c>
      <c r="D30" s="22" t="s">
        <v>9789</v>
      </c>
      <c r="E30" s="35" t="s">
        <v>15</v>
      </c>
      <c r="F30" s="22" t="s">
        <v>9790</v>
      </c>
      <c r="G30" s="22" t="s">
        <v>9791</v>
      </c>
      <c r="H30" s="22" t="s">
        <v>9792</v>
      </c>
      <c r="I30" s="22" t="s">
        <v>9793</v>
      </c>
      <c r="J30" s="22" t="s">
        <v>9794</v>
      </c>
      <c r="K30" s="22" t="s">
        <v>9795</v>
      </c>
      <c r="L30" s="22" t="s">
        <v>9796</v>
      </c>
      <c r="M30" s="22" t="s">
        <v>9797</v>
      </c>
      <c r="N30" s="22" t="s">
        <v>9798</v>
      </c>
      <c r="O30" s="22" t="s">
        <v>9799</v>
      </c>
      <c r="P30" s="22" t="s">
        <v>9800</v>
      </c>
      <c r="Q30" s="22" t="s">
        <v>9261</v>
      </c>
      <c r="R30" s="22" t="s">
        <v>9801</v>
      </c>
      <c r="S30" s="22" t="s">
        <v>9802</v>
      </c>
      <c r="T30" s="22" t="s">
        <v>9803</v>
      </c>
      <c r="U30" s="22" t="s">
        <v>9804</v>
      </c>
      <c r="V30" s="22" t="s">
        <v>9805</v>
      </c>
      <c r="W30" s="22" t="s">
        <v>9806</v>
      </c>
      <c r="X30" s="22" t="s">
        <v>9807</v>
      </c>
      <c r="Y30" s="32" t="s">
        <v>9808</v>
      </c>
      <c r="Z30" s="22" t="s">
        <v>9809</v>
      </c>
      <c r="AA30" s="22" t="s">
        <v>9810</v>
      </c>
    </row>
  </sheetData>
  <autoFilter ref="A5:AA30"/>
  <mergeCells count="2">
    <mergeCell ref="A1:Z1"/>
    <mergeCell ref="A2:AA2"/>
  </mergeCells>
  <dataValidations count="1">
    <dataValidation allowBlank="true" errorStyle="stop" operator="between" showDropDown="false" showErrorMessage="false" showInputMessage="false" sqref="E6:E1030"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52</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9811</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8</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75" hidden="false" customHeight="true" outlineLevel="0" collapsed="false">
      <c r="A6" s="24" t="s">
        <v>9812</v>
      </c>
      <c r="B6" s="22" t="s">
        <v>9248</v>
      </c>
      <c r="C6" s="22" t="s">
        <v>9813</v>
      </c>
      <c r="D6" s="22" t="s">
        <v>9814</v>
      </c>
      <c r="E6" s="35" t="s">
        <v>15</v>
      </c>
      <c r="F6" s="22" t="s">
        <v>9815</v>
      </c>
      <c r="G6" s="22" t="s">
        <v>9816</v>
      </c>
      <c r="H6" s="22" t="s">
        <v>9371</v>
      </c>
      <c r="I6" s="22" t="s">
        <v>9817</v>
      </c>
      <c r="J6" s="22" t="s">
        <v>9818</v>
      </c>
      <c r="K6" s="22" t="s">
        <v>9819</v>
      </c>
      <c r="L6" s="22" t="s">
        <v>9820</v>
      </c>
      <c r="M6" s="22" t="s">
        <v>9821</v>
      </c>
      <c r="N6" s="22" t="s">
        <v>9822</v>
      </c>
      <c r="O6" s="22" t="s">
        <v>9823</v>
      </c>
      <c r="P6" s="22" t="s">
        <v>9824</v>
      </c>
      <c r="Q6" s="22" t="s">
        <v>9825</v>
      </c>
      <c r="R6" s="22" t="s">
        <v>9826</v>
      </c>
      <c r="S6" s="22" t="s">
        <v>9827</v>
      </c>
      <c r="T6" s="22" t="s">
        <v>9828</v>
      </c>
      <c r="U6" s="22" t="s">
        <v>9829</v>
      </c>
      <c r="V6" s="22" t="s">
        <v>9830</v>
      </c>
      <c r="W6" s="22" t="s">
        <v>9831</v>
      </c>
      <c r="X6" s="22" t="s">
        <v>9431</v>
      </c>
      <c r="Y6" s="32" t="s">
        <v>9832</v>
      </c>
      <c r="Z6" s="22" t="s">
        <v>9833</v>
      </c>
      <c r="AA6" s="22" t="s">
        <v>9834</v>
      </c>
    </row>
    <row r="7" customFormat="false" ht="75" hidden="false" customHeight="true" outlineLevel="0" collapsed="false">
      <c r="A7" s="24" t="s">
        <v>9835</v>
      </c>
      <c r="B7" s="22" t="s">
        <v>9248</v>
      </c>
      <c r="C7" s="22" t="s">
        <v>9836</v>
      </c>
      <c r="D7" s="22" t="s">
        <v>9837</v>
      </c>
      <c r="E7" s="35" t="s">
        <v>15</v>
      </c>
      <c r="F7" s="22" t="s">
        <v>9838</v>
      </c>
      <c r="G7" s="22" t="s">
        <v>9839</v>
      </c>
      <c r="H7" s="22" t="s">
        <v>9840</v>
      </c>
      <c r="I7" s="22" t="s">
        <v>9841</v>
      </c>
      <c r="J7" s="22" t="s">
        <v>9842</v>
      </c>
      <c r="K7" s="22" t="s">
        <v>9843</v>
      </c>
      <c r="L7" s="22" t="s">
        <v>9844</v>
      </c>
      <c r="M7" s="22" t="s">
        <v>9845</v>
      </c>
      <c r="N7" s="22" t="s">
        <v>9846</v>
      </c>
      <c r="O7" s="22" t="s">
        <v>9847</v>
      </c>
      <c r="P7" s="22" t="s">
        <v>9848</v>
      </c>
      <c r="Q7" s="22" t="s">
        <v>9849</v>
      </c>
      <c r="R7" s="22" t="s">
        <v>9850</v>
      </c>
      <c r="S7" s="22" t="s">
        <v>9851</v>
      </c>
      <c r="T7" s="22" t="s">
        <v>9852</v>
      </c>
      <c r="U7" s="22" t="s">
        <v>9853</v>
      </c>
      <c r="V7" s="22" t="s">
        <v>9854</v>
      </c>
      <c r="W7" s="22" t="s">
        <v>9855</v>
      </c>
      <c r="X7" s="22" t="s">
        <v>9386</v>
      </c>
      <c r="Y7" s="32" t="s">
        <v>9856</v>
      </c>
      <c r="Z7" s="22" t="s">
        <v>9857</v>
      </c>
      <c r="AA7" s="22" t="s">
        <v>9858</v>
      </c>
    </row>
    <row r="8" customFormat="false" ht="112.5" hidden="false" customHeight="true" outlineLevel="0" collapsed="false">
      <c r="A8" s="24" t="s">
        <v>9859</v>
      </c>
      <c r="B8" s="22" t="s">
        <v>9248</v>
      </c>
      <c r="C8" s="22" t="s">
        <v>9836</v>
      </c>
      <c r="D8" s="22" t="s">
        <v>9860</v>
      </c>
      <c r="E8" s="35" t="s">
        <v>15</v>
      </c>
      <c r="F8" s="22" t="s">
        <v>9861</v>
      </c>
      <c r="G8" s="22" t="s">
        <v>9862</v>
      </c>
      <c r="H8" s="22" t="s">
        <v>9863</v>
      </c>
      <c r="I8" s="22" t="s">
        <v>9504</v>
      </c>
      <c r="J8" s="22" t="s">
        <v>9864</v>
      </c>
      <c r="K8" s="22" t="s">
        <v>9865</v>
      </c>
      <c r="L8" s="22" t="s">
        <v>9866</v>
      </c>
      <c r="M8" s="22" t="s">
        <v>9867</v>
      </c>
      <c r="N8" s="22" t="s">
        <v>9868</v>
      </c>
      <c r="O8" s="22" t="s">
        <v>9869</v>
      </c>
      <c r="P8" s="22" t="s">
        <v>9870</v>
      </c>
      <c r="Q8" s="22" t="s">
        <v>9871</v>
      </c>
      <c r="R8" s="22" t="s">
        <v>9872</v>
      </c>
      <c r="S8" s="22" t="s">
        <v>9873</v>
      </c>
      <c r="T8" s="22" t="s">
        <v>9874</v>
      </c>
      <c r="U8" s="22" t="s">
        <v>9875</v>
      </c>
      <c r="V8" s="22" t="s">
        <v>9876</v>
      </c>
      <c r="W8" s="22" t="s">
        <v>9877</v>
      </c>
      <c r="X8" s="22" t="s">
        <v>9386</v>
      </c>
      <c r="Y8" s="32" t="s">
        <v>9878</v>
      </c>
      <c r="Z8" s="22" t="s">
        <v>9879</v>
      </c>
      <c r="AA8" s="22"/>
    </row>
    <row r="9" customFormat="false" ht="199.5" hidden="false" customHeight="true" outlineLevel="0" collapsed="false">
      <c r="A9" s="24" t="s">
        <v>9880</v>
      </c>
      <c r="B9" s="22" t="s">
        <v>9248</v>
      </c>
      <c r="C9" s="22" t="s">
        <v>9881</v>
      </c>
      <c r="D9" s="22" t="s">
        <v>9882</v>
      </c>
      <c r="E9" s="31" t="s">
        <v>19</v>
      </c>
      <c r="F9" s="22" t="s">
        <v>9883</v>
      </c>
      <c r="G9" s="22" t="s">
        <v>9884</v>
      </c>
      <c r="H9" s="22" t="s">
        <v>9885</v>
      </c>
      <c r="I9" s="22" t="s">
        <v>9886</v>
      </c>
      <c r="J9" s="22" t="s">
        <v>9887</v>
      </c>
      <c r="K9" s="22" t="s">
        <v>9888</v>
      </c>
      <c r="L9" s="22" t="s">
        <v>9889</v>
      </c>
      <c r="M9" s="22" t="s">
        <v>9890</v>
      </c>
      <c r="N9" s="22" t="s">
        <v>9891</v>
      </c>
      <c r="O9" s="22" t="s">
        <v>9892</v>
      </c>
      <c r="P9" s="22" t="s">
        <v>9893</v>
      </c>
      <c r="Q9" s="22" t="s">
        <v>9894</v>
      </c>
      <c r="R9" s="22" t="s">
        <v>9895</v>
      </c>
      <c r="S9" s="22" t="s">
        <v>9896</v>
      </c>
      <c r="T9" s="22" t="s">
        <v>9897</v>
      </c>
      <c r="U9" s="22" t="s">
        <v>9898</v>
      </c>
      <c r="V9" s="22" t="s">
        <v>9899</v>
      </c>
      <c r="W9" s="22" t="s">
        <v>9900</v>
      </c>
      <c r="X9" s="22" t="s">
        <v>9386</v>
      </c>
      <c r="Y9" s="32" t="s">
        <v>9901</v>
      </c>
      <c r="Z9" s="22" t="s">
        <v>9902</v>
      </c>
      <c r="AA9" s="22" t="s">
        <v>9903</v>
      </c>
    </row>
    <row r="10" customFormat="false" ht="212.25" hidden="false" customHeight="true" outlineLevel="0" collapsed="false">
      <c r="A10" s="24" t="s">
        <v>9904</v>
      </c>
      <c r="B10" s="22" t="s">
        <v>9248</v>
      </c>
      <c r="C10" s="22" t="s">
        <v>9881</v>
      </c>
      <c r="D10" s="22" t="s">
        <v>9905</v>
      </c>
      <c r="E10" s="35" t="s">
        <v>15</v>
      </c>
      <c r="F10" s="22" t="s">
        <v>9906</v>
      </c>
      <c r="G10" s="22" t="s">
        <v>9907</v>
      </c>
      <c r="H10" s="22" t="s">
        <v>9908</v>
      </c>
      <c r="I10" s="22" t="s">
        <v>9909</v>
      </c>
      <c r="J10" s="22" t="s">
        <v>9910</v>
      </c>
      <c r="K10" s="22" t="s">
        <v>9911</v>
      </c>
      <c r="L10" s="22" t="s">
        <v>9912</v>
      </c>
      <c r="M10" s="22" t="s">
        <v>9913</v>
      </c>
      <c r="N10" s="22" t="s">
        <v>9914</v>
      </c>
      <c r="O10" s="22" t="s">
        <v>9915</v>
      </c>
      <c r="P10" s="22" t="s">
        <v>9916</v>
      </c>
      <c r="Q10" s="22" t="s">
        <v>9917</v>
      </c>
      <c r="R10" s="22" t="s">
        <v>9918</v>
      </c>
      <c r="S10" s="22" t="s">
        <v>9919</v>
      </c>
      <c r="T10" s="22" t="s">
        <v>9920</v>
      </c>
      <c r="U10" s="22" t="s">
        <v>9921</v>
      </c>
      <c r="V10" s="22" t="s">
        <v>9922</v>
      </c>
      <c r="W10" s="22" t="s">
        <v>9923</v>
      </c>
      <c r="X10" s="22" t="s">
        <v>9431</v>
      </c>
      <c r="Y10" s="32" t="s">
        <v>9924</v>
      </c>
      <c r="Z10" s="22" t="s">
        <v>9925</v>
      </c>
      <c r="AA10" s="22" t="s">
        <v>9926</v>
      </c>
    </row>
    <row r="11" customFormat="false" ht="137.25" hidden="false" customHeight="true" outlineLevel="0" collapsed="false">
      <c r="A11" s="24" t="s">
        <v>9927</v>
      </c>
      <c r="B11" s="22" t="s">
        <v>9248</v>
      </c>
      <c r="C11" s="22" t="s">
        <v>9881</v>
      </c>
      <c r="D11" s="22" t="s">
        <v>9928</v>
      </c>
      <c r="E11" s="35" t="s">
        <v>15</v>
      </c>
      <c r="F11" s="22" t="s">
        <v>9929</v>
      </c>
      <c r="G11" s="22" t="s">
        <v>9930</v>
      </c>
      <c r="H11" s="22" t="s">
        <v>9931</v>
      </c>
      <c r="I11" s="22" t="s">
        <v>9932</v>
      </c>
      <c r="J11" s="22" t="s">
        <v>9933</v>
      </c>
      <c r="K11" s="22" t="s">
        <v>9934</v>
      </c>
      <c r="L11" s="22" t="s">
        <v>9935</v>
      </c>
      <c r="M11" s="22" t="s">
        <v>9936</v>
      </c>
      <c r="N11" s="22" t="s">
        <v>9937</v>
      </c>
      <c r="O11" s="22" t="s">
        <v>9938</v>
      </c>
      <c r="P11" s="22" t="s">
        <v>9939</v>
      </c>
      <c r="Q11" s="22" t="s">
        <v>9940</v>
      </c>
      <c r="R11" s="22" t="s">
        <v>9941</v>
      </c>
      <c r="S11" s="22" t="s">
        <v>9942</v>
      </c>
      <c r="T11" s="22" t="s">
        <v>9943</v>
      </c>
      <c r="U11" s="22" t="s">
        <v>9944</v>
      </c>
      <c r="V11" s="22" t="s">
        <v>9945</v>
      </c>
      <c r="W11" s="22" t="s">
        <v>9946</v>
      </c>
      <c r="X11" s="22" t="s">
        <v>9386</v>
      </c>
      <c r="Y11" s="32" t="s">
        <v>9947</v>
      </c>
      <c r="Z11" s="22" t="s">
        <v>9948</v>
      </c>
      <c r="AA11" s="22" t="s">
        <v>9949</v>
      </c>
    </row>
    <row r="12" customFormat="false" ht="124.5" hidden="false" customHeight="true" outlineLevel="0" collapsed="false">
      <c r="A12" s="24" t="s">
        <v>9950</v>
      </c>
      <c r="B12" s="22" t="s">
        <v>9248</v>
      </c>
      <c r="C12" s="22" t="s">
        <v>9951</v>
      </c>
      <c r="D12" s="22" t="s">
        <v>9952</v>
      </c>
      <c r="E12" s="35" t="s">
        <v>15</v>
      </c>
      <c r="F12" s="22" t="s">
        <v>9953</v>
      </c>
      <c r="G12" s="22" t="s">
        <v>9954</v>
      </c>
      <c r="H12" s="22" t="s">
        <v>9955</v>
      </c>
      <c r="I12" s="22" t="s">
        <v>9956</v>
      </c>
      <c r="J12" s="22" t="s">
        <v>9957</v>
      </c>
      <c r="K12" s="22" t="s">
        <v>9958</v>
      </c>
      <c r="L12" s="22" t="s">
        <v>9959</v>
      </c>
      <c r="M12" s="22" t="s">
        <v>9960</v>
      </c>
      <c r="N12" s="22" t="s">
        <v>9961</v>
      </c>
      <c r="O12" s="22" t="s">
        <v>9488</v>
      </c>
      <c r="P12" s="22" t="s">
        <v>9962</v>
      </c>
      <c r="Q12" s="22" t="s">
        <v>9261</v>
      </c>
      <c r="R12" s="22" t="s">
        <v>9963</v>
      </c>
      <c r="S12" s="22" t="s">
        <v>9964</v>
      </c>
      <c r="T12" s="22" t="s">
        <v>9965</v>
      </c>
      <c r="U12" s="22" t="s">
        <v>9966</v>
      </c>
      <c r="V12" s="22" t="s">
        <v>9967</v>
      </c>
      <c r="W12" s="22" t="s">
        <v>9968</v>
      </c>
      <c r="X12" s="22" t="s">
        <v>9807</v>
      </c>
      <c r="Y12" s="32" t="s">
        <v>9969</v>
      </c>
      <c r="Z12" s="22" t="s">
        <v>9970</v>
      </c>
      <c r="AA12" s="22" t="s">
        <v>9971</v>
      </c>
    </row>
    <row r="13" customFormat="false" ht="124.5" hidden="false" customHeight="true" outlineLevel="0" collapsed="false">
      <c r="A13" s="24" t="s">
        <v>9972</v>
      </c>
      <c r="B13" s="22" t="s">
        <v>9248</v>
      </c>
      <c r="C13" s="22" t="s">
        <v>9973</v>
      </c>
      <c r="D13" s="22" t="s">
        <v>9974</v>
      </c>
      <c r="E13" s="35" t="s">
        <v>15</v>
      </c>
      <c r="F13" s="22" t="s">
        <v>9975</v>
      </c>
      <c r="G13" s="22" t="s">
        <v>9976</v>
      </c>
      <c r="H13" s="22" t="s">
        <v>9977</v>
      </c>
      <c r="I13" s="22" t="s">
        <v>9978</v>
      </c>
      <c r="J13" s="22" t="s">
        <v>9979</v>
      </c>
      <c r="K13" s="22" t="s">
        <v>9980</v>
      </c>
      <c r="L13" s="22" t="s">
        <v>9981</v>
      </c>
      <c r="M13" s="22" t="s">
        <v>9982</v>
      </c>
      <c r="N13" s="22" t="s">
        <v>9983</v>
      </c>
      <c r="O13" s="22" t="s">
        <v>9984</v>
      </c>
      <c r="P13" s="22" t="s">
        <v>9261</v>
      </c>
      <c r="Q13" s="22" t="s">
        <v>9985</v>
      </c>
      <c r="R13" s="22" t="s">
        <v>9986</v>
      </c>
      <c r="S13" s="22" t="s">
        <v>9987</v>
      </c>
      <c r="T13" s="22" t="s">
        <v>9988</v>
      </c>
      <c r="U13" s="22" t="s">
        <v>9989</v>
      </c>
      <c r="V13" s="22" t="s">
        <v>9990</v>
      </c>
      <c r="W13" s="22" t="s">
        <v>9991</v>
      </c>
      <c r="X13" s="22" t="s">
        <v>9386</v>
      </c>
      <c r="Y13" s="32" t="s">
        <v>9992</v>
      </c>
      <c r="Z13" s="22" t="s">
        <v>9993</v>
      </c>
      <c r="AA13" s="22" t="s">
        <v>9994</v>
      </c>
    </row>
  </sheetData>
  <autoFilter ref="A5:AA13"/>
  <mergeCells count="2">
    <mergeCell ref="A1:Z1"/>
    <mergeCell ref="A2:AA2"/>
  </mergeCells>
  <dataValidations count="1">
    <dataValidation allowBlank="true" errorStyle="stop" operator="between" showDropDown="false" showErrorMessage="false" showInputMessage="false" sqref="E6:E1013"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54</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9995</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7</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324.75" hidden="false" customHeight="true" outlineLevel="0" collapsed="false">
      <c r="A6" s="24" t="s">
        <v>9996</v>
      </c>
      <c r="B6" s="22" t="s">
        <v>9248</v>
      </c>
      <c r="C6" s="22" t="s">
        <v>9997</v>
      </c>
      <c r="D6" s="22" t="s">
        <v>9998</v>
      </c>
      <c r="E6" s="35" t="s">
        <v>15</v>
      </c>
      <c r="F6" s="22" t="s">
        <v>9999</v>
      </c>
      <c r="G6" s="22" t="s">
        <v>10000</v>
      </c>
      <c r="H6" s="22" t="s">
        <v>10001</v>
      </c>
      <c r="I6" s="22" t="s">
        <v>10002</v>
      </c>
      <c r="J6" s="22" t="s">
        <v>10003</v>
      </c>
      <c r="K6" s="22" t="s">
        <v>10004</v>
      </c>
      <c r="L6" s="22" t="s">
        <v>10005</v>
      </c>
      <c r="M6" s="22" t="s">
        <v>10006</v>
      </c>
      <c r="N6" s="22" t="s">
        <v>9261</v>
      </c>
      <c r="O6" s="22" t="s">
        <v>10007</v>
      </c>
      <c r="P6" s="22" t="s">
        <v>9261</v>
      </c>
      <c r="Q6" s="22" t="s">
        <v>10008</v>
      </c>
      <c r="R6" s="22" t="s">
        <v>10009</v>
      </c>
      <c r="S6" s="22" t="s">
        <v>10010</v>
      </c>
      <c r="T6" s="22" t="s">
        <v>10011</v>
      </c>
      <c r="U6" s="22" t="s">
        <v>10012</v>
      </c>
      <c r="V6" s="22" t="s">
        <v>10013</v>
      </c>
      <c r="W6" s="22" t="s">
        <v>10014</v>
      </c>
      <c r="X6" s="22" t="s">
        <v>9431</v>
      </c>
      <c r="Y6" s="32" t="s">
        <v>10015</v>
      </c>
      <c r="Z6" s="22" t="s">
        <v>10016</v>
      </c>
      <c r="AA6" s="22" t="s">
        <v>10017</v>
      </c>
    </row>
    <row r="7" customFormat="false" ht="212.25" hidden="false" customHeight="true" outlineLevel="0" collapsed="false">
      <c r="A7" s="24" t="s">
        <v>10018</v>
      </c>
      <c r="B7" s="22" t="s">
        <v>9248</v>
      </c>
      <c r="C7" s="22" t="s">
        <v>9997</v>
      </c>
      <c r="D7" s="22" t="s">
        <v>10019</v>
      </c>
      <c r="E7" s="31" t="s">
        <v>19</v>
      </c>
      <c r="F7" s="22" t="s">
        <v>10020</v>
      </c>
      <c r="G7" s="22" t="s">
        <v>10021</v>
      </c>
      <c r="H7" s="22" t="s">
        <v>10022</v>
      </c>
      <c r="I7" s="22" t="s">
        <v>10023</v>
      </c>
      <c r="J7" s="22" t="s">
        <v>10024</v>
      </c>
      <c r="K7" s="22" t="s">
        <v>10025</v>
      </c>
      <c r="L7" s="22" t="s">
        <v>10026</v>
      </c>
      <c r="M7" s="22" t="s">
        <v>10027</v>
      </c>
      <c r="N7" s="22" t="s">
        <v>9261</v>
      </c>
      <c r="O7" s="22" t="s">
        <v>10028</v>
      </c>
      <c r="P7" s="22" t="s">
        <v>9261</v>
      </c>
      <c r="Q7" s="22" t="s">
        <v>10029</v>
      </c>
      <c r="R7" s="22" t="s">
        <v>10030</v>
      </c>
      <c r="S7" s="22" t="s">
        <v>10031</v>
      </c>
      <c r="T7" s="22" t="s">
        <v>10032</v>
      </c>
      <c r="U7" s="22" t="s">
        <v>10033</v>
      </c>
      <c r="V7" s="22" t="s">
        <v>10034</v>
      </c>
      <c r="W7" s="22" t="s">
        <v>10035</v>
      </c>
      <c r="X7" s="22" t="s">
        <v>9431</v>
      </c>
      <c r="Y7" s="32" t="s">
        <v>10036</v>
      </c>
      <c r="Z7" s="22" t="s">
        <v>10037</v>
      </c>
      <c r="AA7" s="22" t="s">
        <v>10038</v>
      </c>
    </row>
    <row r="8" customFormat="false" ht="408.75" hidden="false" customHeight="true" outlineLevel="0" collapsed="false">
      <c r="A8" s="24" t="s">
        <v>10039</v>
      </c>
      <c r="B8" s="22" t="s">
        <v>9248</v>
      </c>
      <c r="C8" s="22" t="s">
        <v>10040</v>
      </c>
      <c r="D8" s="22" t="s">
        <v>10041</v>
      </c>
      <c r="E8" s="37" t="s">
        <v>23</v>
      </c>
      <c r="F8" s="22" t="s">
        <v>10042</v>
      </c>
      <c r="G8" s="22" t="s">
        <v>10043</v>
      </c>
      <c r="H8" s="22" t="s">
        <v>9371</v>
      </c>
      <c r="I8" s="22" t="s">
        <v>10044</v>
      </c>
      <c r="J8" s="22" t="s">
        <v>10045</v>
      </c>
      <c r="K8" s="22" t="s">
        <v>10046</v>
      </c>
      <c r="L8" s="22" t="s">
        <v>10047</v>
      </c>
      <c r="M8" s="22" t="s">
        <v>10048</v>
      </c>
      <c r="N8" s="22" t="s">
        <v>10049</v>
      </c>
      <c r="O8" s="22" t="s">
        <v>10050</v>
      </c>
      <c r="P8" s="22" t="s">
        <v>9261</v>
      </c>
      <c r="Q8" s="22" t="s">
        <v>10051</v>
      </c>
      <c r="R8" s="22" t="s">
        <v>10052</v>
      </c>
      <c r="S8" s="22" t="s">
        <v>10053</v>
      </c>
      <c r="T8" s="22" t="s">
        <v>10054</v>
      </c>
      <c r="U8" s="22" t="s">
        <v>10055</v>
      </c>
      <c r="V8" s="22" t="s">
        <v>10056</v>
      </c>
      <c r="W8" s="22" t="s">
        <v>10057</v>
      </c>
      <c r="X8" s="22" t="s">
        <v>10058</v>
      </c>
      <c r="Y8" s="32" t="s">
        <v>10059</v>
      </c>
      <c r="Z8" s="22" t="s">
        <v>10060</v>
      </c>
      <c r="AA8" s="22" t="s">
        <v>10061</v>
      </c>
    </row>
    <row r="9" customFormat="false" ht="137.25" hidden="false" customHeight="true" outlineLevel="0" collapsed="false">
      <c r="A9" s="24" t="s">
        <v>10062</v>
      </c>
      <c r="B9" s="22" t="s">
        <v>9248</v>
      </c>
      <c r="C9" s="22" t="s">
        <v>10063</v>
      </c>
      <c r="D9" s="22" t="s">
        <v>10064</v>
      </c>
      <c r="E9" s="31" t="s">
        <v>19</v>
      </c>
      <c r="F9" s="22" t="s">
        <v>10065</v>
      </c>
      <c r="G9" s="22" t="s">
        <v>10066</v>
      </c>
      <c r="H9" s="22" t="s">
        <v>10067</v>
      </c>
      <c r="I9" s="22" t="s">
        <v>10068</v>
      </c>
      <c r="J9" s="22" t="s">
        <v>10069</v>
      </c>
      <c r="K9" s="22" t="s">
        <v>10070</v>
      </c>
      <c r="L9" s="22" t="s">
        <v>10071</v>
      </c>
      <c r="M9" s="22" t="s">
        <v>10072</v>
      </c>
      <c r="N9" s="22" t="s">
        <v>10073</v>
      </c>
      <c r="O9" s="22" t="s">
        <v>10074</v>
      </c>
      <c r="P9" s="22" t="s">
        <v>10075</v>
      </c>
      <c r="Q9" s="22" t="s">
        <v>10076</v>
      </c>
      <c r="R9" s="22" t="s">
        <v>10077</v>
      </c>
      <c r="S9" s="22" t="s">
        <v>10078</v>
      </c>
      <c r="T9" s="22" t="s">
        <v>10079</v>
      </c>
      <c r="U9" s="22" t="s">
        <v>10080</v>
      </c>
      <c r="V9" s="22" t="s">
        <v>10081</v>
      </c>
      <c r="W9" s="22" t="s">
        <v>10082</v>
      </c>
      <c r="X9" s="22" t="s">
        <v>9566</v>
      </c>
      <c r="Y9" s="32" t="s">
        <v>10083</v>
      </c>
      <c r="Z9" s="22" t="s">
        <v>10084</v>
      </c>
      <c r="AA9" s="22" t="s">
        <v>10085</v>
      </c>
    </row>
    <row r="10" customFormat="false" ht="137.25" hidden="false" customHeight="true" outlineLevel="0" collapsed="false">
      <c r="A10" s="24" t="s">
        <v>10086</v>
      </c>
      <c r="B10" s="22" t="s">
        <v>9248</v>
      </c>
      <c r="C10" s="22" t="s">
        <v>10087</v>
      </c>
      <c r="D10" s="22" t="s">
        <v>10088</v>
      </c>
      <c r="E10" s="31" t="s">
        <v>19</v>
      </c>
      <c r="F10" s="22" t="s">
        <v>10089</v>
      </c>
      <c r="G10" s="22" t="s">
        <v>10090</v>
      </c>
      <c r="H10" s="22" t="s">
        <v>9371</v>
      </c>
      <c r="I10" s="22" t="s">
        <v>10091</v>
      </c>
      <c r="J10" s="22" t="s">
        <v>10092</v>
      </c>
      <c r="K10" s="22" t="s">
        <v>10093</v>
      </c>
      <c r="L10" s="22" t="s">
        <v>10094</v>
      </c>
      <c r="M10" s="22" t="s">
        <v>10095</v>
      </c>
      <c r="N10" s="22" t="s">
        <v>10096</v>
      </c>
      <c r="O10" s="22" t="s">
        <v>10097</v>
      </c>
      <c r="P10" s="22" t="s">
        <v>9582</v>
      </c>
      <c r="Q10" s="22" t="s">
        <v>10098</v>
      </c>
      <c r="R10" s="22" t="s">
        <v>10099</v>
      </c>
      <c r="S10" s="22" t="s">
        <v>10100</v>
      </c>
      <c r="T10" s="22" t="s">
        <v>10101</v>
      </c>
      <c r="U10" s="22" t="s">
        <v>10102</v>
      </c>
      <c r="V10" s="22" t="s">
        <v>10103</v>
      </c>
      <c r="W10" s="22" t="s">
        <v>10104</v>
      </c>
      <c r="X10" s="22" t="s">
        <v>10105</v>
      </c>
      <c r="Y10" s="32" t="s">
        <v>10106</v>
      </c>
      <c r="Z10" s="22" t="s">
        <v>10107</v>
      </c>
      <c r="AA10" s="22" t="s">
        <v>10108</v>
      </c>
    </row>
    <row r="11" customFormat="false" ht="87" hidden="false" customHeight="true" outlineLevel="0" collapsed="false">
      <c r="A11" s="24" t="s">
        <v>10109</v>
      </c>
      <c r="B11" s="22" t="s">
        <v>9248</v>
      </c>
      <c r="C11" s="22" t="s">
        <v>10087</v>
      </c>
      <c r="D11" s="22" t="s">
        <v>10110</v>
      </c>
      <c r="E11" s="33" t="s">
        <v>21</v>
      </c>
      <c r="F11" s="22" t="s">
        <v>10111</v>
      </c>
      <c r="G11" s="22" t="s">
        <v>10112</v>
      </c>
      <c r="H11" s="22" t="s">
        <v>9371</v>
      </c>
      <c r="I11" s="22" t="s">
        <v>9504</v>
      </c>
      <c r="J11" s="22" t="s">
        <v>10113</v>
      </c>
      <c r="K11" s="22" t="s">
        <v>10114</v>
      </c>
      <c r="L11" s="22" t="s">
        <v>10115</v>
      </c>
      <c r="M11" s="22" t="s">
        <v>10116</v>
      </c>
      <c r="N11" s="22" t="s">
        <v>10117</v>
      </c>
      <c r="O11" s="22" t="s">
        <v>10118</v>
      </c>
      <c r="P11" s="22" t="s">
        <v>9582</v>
      </c>
      <c r="Q11" s="22" t="s">
        <v>10119</v>
      </c>
      <c r="R11" s="22" t="s">
        <v>10120</v>
      </c>
      <c r="S11" s="22" t="s">
        <v>10121</v>
      </c>
      <c r="T11" s="22" t="s">
        <v>10122</v>
      </c>
      <c r="U11" s="22" t="s">
        <v>10123</v>
      </c>
      <c r="V11" s="22" t="s">
        <v>10124</v>
      </c>
      <c r="W11" s="22" t="s">
        <v>10125</v>
      </c>
      <c r="X11" s="22" t="s">
        <v>9431</v>
      </c>
      <c r="Y11" s="32" t="s">
        <v>10126</v>
      </c>
      <c r="Z11" s="22" t="s">
        <v>10127</v>
      </c>
      <c r="AA11" s="22" t="s">
        <v>10128</v>
      </c>
    </row>
    <row r="12" customFormat="false" ht="237" hidden="false" customHeight="true" outlineLevel="0" collapsed="false">
      <c r="A12" s="24" t="s">
        <v>10129</v>
      </c>
      <c r="B12" s="22" t="s">
        <v>9248</v>
      </c>
      <c r="C12" s="22" t="s">
        <v>10130</v>
      </c>
      <c r="D12" s="22" t="s">
        <v>10131</v>
      </c>
      <c r="E12" s="31" t="s">
        <v>19</v>
      </c>
      <c r="F12" s="22" t="s">
        <v>10132</v>
      </c>
      <c r="G12" s="22" t="s">
        <v>10133</v>
      </c>
      <c r="H12" s="22" t="s">
        <v>10134</v>
      </c>
      <c r="I12" s="22" t="s">
        <v>10135</v>
      </c>
      <c r="J12" s="22" t="s">
        <v>10136</v>
      </c>
      <c r="K12" s="22" t="s">
        <v>10137</v>
      </c>
      <c r="L12" s="22" t="s">
        <v>10138</v>
      </c>
      <c r="M12" s="22" t="s">
        <v>10139</v>
      </c>
      <c r="N12" s="22" t="s">
        <v>10140</v>
      </c>
      <c r="O12" s="22" t="s">
        <v>10141</v>
      </c>
      <c r="P12" s="22" t="s">
        <v>9261</v>
      </c>
      <c r="Q12" s="22" t="s">
        <v>10142</v>
      </c>
      <c r="R12" s="22" t="s">
        <v>10143</v>
      </c>
      <c r="S12" s="22" t="s">
        <v>10144</v>
      </c>
      <c r="T12" s="22" t="s">
        <v>10145</v>
      </c>
      <c r="U12" s="22" t="s">
        <v>10146</v>
      </c>
      <c r="V12" s="22" t="s">
        <v>10147</v>
      </c>
      <c r="W12" s="22" t="s">
        <v>10148</v>
      </c>
      <c r="X12" s="22" t="s">
        <v>9431</v>
      </c>
      <c r="Y12" s="32" t="s">
        <v>10149</v>
      </c>
      <c r="Z12" s="22" t="s">
        <v>10150</v>
      </c>
      <c r="AA12" s="22" t="s">
        <v>10151</v>
      </c>
    </row>
  </sheetData>
  <autoFilter ref="A5:AA12"/>
  <mergeCells count="2">
    <mergeCell ref="A1:Z1"/>
    <mergeCell ref="A2:AA2"/>
  </mergeCells>
  <dataValidations count="1">
    <dataValidation allowBlank="true" errorStyle="stop" operator="between" showDropDown="false" showErrorMessage="false" showInputMessage="false" sqref="E6:E1012"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5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56</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10152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49</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137.25" hidden="false" customHeight="true" outlineLevel="0" collapsed="false">
      <c r="A6" s="24" t="s">
        <v>10153</v>
      </c>
      <c r="B6" s="22" t="s">
        <v>9248</v>
      </c>
      <c r="C6" s="22" t="s">
        <v>10154</v>
      </c>
      <c r="D6" s="22" t="s">
        <v>10155</v>
      </c>
      <c r="E6" s="31" t="s">
        <v>19</v>
      </c>
      <c r="F6" s="22" t="s">
        <v>10156</v>
      </c>
      <c r="G6" s="22" t="s">
        <v>10157</v>
      </c>
      <c r="H6" s="22" t="s">
        <v>10158</v>
      </c>
      <c r="I6" s="22" t="s">
        <v>10159</v>
      </c>
      <c r="J6" s="22" t="s">
        <v>10160</v>
      </c>
      <c r="K6" s="22" t="s">
        <v>10161</v>
      </c>
      <c r="L6" s="22" t="s">
        <v>10162</v>
      </c>
      <c r="M6" s="22" t="s">
        <v>10163</v>
      </c>
      <c r="N6" s="22" t="s">
        <v>10164</v>
      </c>
      <c r="O6" s="22" t="s">
        <v>10165</v>
      </c>
      <c r="P6" s="22" t="s">
        <v>10166</v>
      </c>
      <c r="Q6" s="22" t="s">
        <v>10167</v>
      </c>
      <c r="R6" s="22" t="s">
        <v>10168</v>
      </c>
      <c r="S6" s="22" t="s">
        <v>10169</v>
      </c>
      <c r="T6" s="22" t="s">
        <v>10170</v>
      </c>
      <c r="U6" s="22" t="s">
        <v>10171</v>
      </c>
      <c r="V6" s="22" t="s">
        <v>10172</v>
      </c>
      <c r="W6" s="22" t="s">
        <v>10173</v>
      </c>
      <c r="X6" s="22" t="s">
        <v>10174</v>
      </c>
      <c r="Y6" s="32" t="s">
        <v>10175</v>
      </c>
      <c r="Z6" s="22" t="s">
        <v>10176</v>
      </c>
      <c r="AA6" s="22" t="s">
        <v>10177</v>
      </c>
    </row>
    <row r="7" customFormat="false" ht="408.75" hidden="false" customHeight="true" outlineLevel="0" collapsed="false">
      <c r="A7" s="24" t="s">
        <v>10178</v>
      </c>
      <c r="B7" s="22" t="s">
        <v>9248</v>
      </c>
      <c r="C7" s="22" t="s">
        <v>10154</v>
      </c>
      <c r="D7" s="22" t="s">
        <v>10179</v>
      </c>
      <c r="E7" s="31" t="s">
        <v>19</v>
      </c>
      <c r="F7" s="22" t="s">
        <v>10180</v>
      </c>
      <c r="G7" s="22" t="s">
        <v>10181</v>
      </c>
      <c r="H7" s="22" t="s">
        <v>10182</v>
      </c>
      <c r="I7" s="22" t="s">
        <v>10183</v>
      </c>
      <c r="J7" s="22" t="s">
        <v>10184</v>
      </c>
      <c r="K7" s="22" t="s">
        <v>10185</v>
      </c>
      <c r="L7" s="22" t="s">
        <v>10186</v>
      </c>
      <c r="M7" s="22" t="s">
        <v>10187</v>
      </c>
      <c r="N7" s="22" t="s">
        <v>10188</v>
      </c>
      <c r="O7" s="22"/>
      <c r="P7" s="22" t="s">
        <v>10166</v>
      </c>
      <c r="Q7" s="22"/>
      <c r="R7" s="22" t="s">
        <v>10189</v>
      </c>
      <c r="S7" s="22" t="s">
        <v>10190</v>
      </c>
      <c r="T7" s="22" t="s">
        <v>10191</v>
      </c>
      <c r="U7" s="22" t="s">
        <v>10192</v>
      </c>
      <c r="V7" s="22" t="s">
        <v>10193</v>
      </c>
      <c r="W7" s="22" t="s">
        <v>10194</v>
      </c>
      <c r="X7" s="22" t="s">
        <v>10195</v>
      </c>
      <c r="Y7" s="32" t="s">
        <v>10196</v>
      </c>
      <c r="Z7" s="22" t="s">
        <v>10197</v>
      </c>
      <c r="AA7" s="22" t="s">
        <v>10198</v>
      </c>
    </row>
    <row r="8" customFormat="false" ht="137.25" hidden="false" customHeight="true" outlineLevel="0" collapsed="false">
      <c r="A8" s="24" t="s">
        <v>10199</v>
      </c>
      <c r="B8" s="22" t="s">
        <v>9248</v>
      </c>
      <c r="C8" s="22" t="s">
        <v>1560</v>
      </c>
      <c r="D8" s="22" t="s">
        <v>10200</v>
      </c>
      <c r="E8" s="31" t="s">
        <v>19</v>
      </c>
      <c r="F8" s="22" t="s">
        <v>10201</v>
      </c>
      <c r="G8" s="22" t="s">
        <v>10202</v>
      </c>
      <c r="H8" s="22" t="s">
        <v>10203</v>
      </c>
      <c r="I8" s="22" t="s">
        <v>10204</v>
      </c>
      <c r="J8" s="22" t="s">
        <v>10205</v>
      </c>
      <c r="K8" s="22" t="s">
        <v>10206</v>
      </c>
      <c r="L8" s="22" t="s">
        <v>10207</v>
      </c>
      <c r="M8" s="22" t="s">
        <v>10208</v>
      </c>
      <c r="N8" s="22" t="s">
        <v>10209</v>
      </c>
      <c r="O8" s="22" t="s">
        <v>10210</v>
      </c>
      <c r="P8" s="22" t="s">
        <v>10166</v>
      </c>
      <c r="Q8" s="22" t="s">
        <v>10211</v>
      </c>
      <c r="R8" s="22" t="s">
        <v>10212</v>
      </c>
      <c r="S8" s="22" t="s">
        <v>10213</v>
      </c>
      <c r="T8" s="22" t="s">
        <v>10214</v>
      </c>
      <c r="U8" s="22" t="s">
        <v>10215</v>
      </c>
      <c r="V8" s="22" t="s">
        <v>10216</v>
      </c>
      <c r="W8" s="22" t="s">
        <v>10217</v>
      </c>
      <c r="X8" s="22" t="s">
        <v>10218</v>
      </c>
      <c r="Y8" s="32" t="s">
        <v>10219</v>
      </c>
      <c r="Z8" s="22" t="s">
        <v>10220</v>
      </c>
      <c r="AA8" s="22" t="s">
        <v>10221</v>
      </c>
    </row>
    <row r="9" customFormat="false" ht="124.5" hidden="false" customHeight="true" outlineLevel="0" collapsed="false">
      <c r="A9" s="24" t="s">
        <v>10222</v>
      </c>
      <c r="B9" s="22" t="s">
        <v>9248</v>
      </c>
      <c r="C9" s="22" t="s">
        <v>1560</v>
      </c>
      <c r="D9" s="22" t="s">
        <v>10223</v>
      </c>
      <c r="E9" s="35" t="s">
        <v>15</v>
      </c>
      <c r="F9" s="22" t="s">
        <v>10224</v>
      </c>
      <c r="G9" s="22" t="s">
        <v>10225</v>
      </c>
      <c r="H9" s="22" t="s">
        <v>10226</v>
      </c>
      <c r="I9" s="22" t="s">
        <v>10227</v>
      </c>
      <c r="J9" s="22" t="s">
        <v>10228</v>
      </c>
      <c r="K9" s="22" t="s">
        <v>10229</v>
      </c>
      <c r="L9" s="22" t="s">
        <v>10230</v>
      </c>
      <c r="M9" s="22" t="s">
        <v>10231</v>
      </c>
      <c r="N9" s="22" t="s">
        <v>10232</v>
      </c>
      <c r="O9" s="22" t="s">
        <v>10233</v>
      </c>
      <c r="P9" s="22" t="s">
        <v>10166</v>
      </c>
      <c r="Q9" s="22" t="s">
        <v>10234</v>
      </c>
      <c r="R9" s="22" t="s">
        <v>10235</v>
      </c>
      <c r="S9" s="22" t="s">
        <v>10236</v>
      </c>
      <c r="T9" s="22" t="s">
        <v>10237</v>
      </c>
      <c r="U9" s="22" t="s">
        <v>10238</v>
      </c>
      <c r="V9" s="22" t="s">
        <v>10239</v>
      </c>
      <c r="W9" s="22" t="s">
        <v>10240</v>
      </c>
      <c r="X9" s="22" t="s">
        <v>10241</v>
      </c>
      <c r="Y9" s="32" t="s">
        <v>10242</v>
      </c>
      <c r="Z9" s="22" t="s">
        <v>10243</v>
      </c>
      <c r="AA9" s="22" t="s">
        <v>10244</v>
      </c>
    </row>
    <row r="10" customFormat="false" ht="112.5" hidden="false" customHeight="true" outlineLevel="0" collapsed="false">
      <c r="A10" s="24" t="s">
        <v>10245</v>
      </c>
      <c r="B10" s="22" t="s">
        <v>9248</v>
      </c>
      <c r="C10" s="22" t="s">
        <v>1391</v>
      </c>
      <c r="D10" s="22" t="s">
        <v>10246</v>
      </c>
      <c r="E10" s="31" t="s">
        <v>19</v>
      </c>
      <c r="F10" s="22" t="s">
        <v>10247</v>
      </c>
      <c r="G10" s="22" t="s">
        <v>10248</v>
      </c>
      <c r="H10" s="22" t="s">
        <v>10249</v>
      </c>
      <c r="I10" s="22" t="s">
        <v>10250</v>
      </c>
      <c r="J10" s="22" t="s">
        <v>10251</v>
      </c>
      <c r="K10" s="22" t="s">
        <v>10252</v>
      </c>
      <c r="L10" s="22" t="s">
        <v>10253</v>
      </c>
      <c r="M10" s="22" t="s">
        <v>10254</v>
      </c>
      <c r="N10" s="22" t="s">
        <v>10255</v>
      </c>
      <c r="O10" s="22" t="s">
        <v>10256</v>
      </c>
      <c r="P10" s="22" t="s">
        <v>10166</v>
      </c>
      <c r="Q10" s="22" t="s">
        <v>10257</v>
      </c>
      <c r="R10" s="22" t="s">
        <v>10258</v>
      </c>
      <c r="S10" s="22" t="s">
        <v>10259</v>
      </c>
      <c r="T10" s="22" t="s">
        <v>10260</v>
      </c>
      <c r="U10" s="22" t="s">
        <v>10261</v>
      </c>
      <c r="V10" s="22" t="s">
        <v>10262</v>
      </c>
      <c r="W10" s="22" t="s">
        <v>10263</v>
      </c>
      <c r="X10" s="22" t="s">
        <v>10241</v>
      </c>
      <c r="Y10" s="32" t="s">
        <v>10264</v>
      </c>
      <c r="Z10" s="22" t="s">
        <v>10265</v>
      </c>
      <c r="AA10" s="22" t="s">
        <v>10266</v>
      </c>
    </row>
    <row r="11" customFormat="false" ht="112.5" hidden="false" customHeight="true" outlineLevel="0" collapsed="false">
      <c r="A11" s="24" t="s">
        <v>10267</v>
      </c>
      <c r="B11" s="22" t="s">
        <v>9248</v>
      </c>
      <c r="C11" s="22" t="s">
        <v>10268</v>
      </c>
      <c r="D11" s="22" t="s">
        <v>10269</v>
      </c>
      <c r="E11" s="35" t="s">
        <v>15</v>
      </c>
      <c r="F11" s="22" t="s">
        <v>10270</v>
      </c>
      <c r="G11" s="22" t="s">
        <v>10271</v>
      </c>
      <c r="H11" s="22" t="s">
        <v>10272</v>
      </c>
      <c r="I11" s="22" t="s">
        <v>10273</v>
      </c>
      <c r="J11" s="22" t="s">
        <v>10274</v>
      </c>
      <c r="K11" s="22" t="s">
        <v>10275</v>
      </c>
      <c r="L11" s="22" t="s">
        <v>10276</v>
      </c>
      <c r="M11" s="22" t="s">
        <v>10277</v>
      </c>
      <c r="N11" s="22" t="s">
        <v>10278</v>
      </c>
      <c r="O11" s="22" t="s">
        <v>10279</v>
      </c>
      <c r="P11" s="22" t="s">
        <v>10166</v>
      </c>
      <c r="Q11" s="22" t="s">
        <v>10257</v>
      </c>
      <c r="R11" s="22" t="s">
        <v>10280</v>
      </c>
      <c r="S11" s="22" t="s">
        <v>10281</v>
      </c>
      <c r="T11" s="22" t="s">
        <v>10282</v>
      </c>
      <c r="U11" s="22" t="s">
        <v>10283</v>
      </c>
      <c r="V11" s="22" t="s">
        <v>10284</v>
      </c>
      <c r="W11" s="22" t="s">
        <v>10285</v>
      </c>
      <c r="X11" s="22" t="s">
        <v>10241</v>
      </c>
      <c r="Y11" s="32" t="s">
        <v>10286</v>
      </c>
      <c r="Z11" s="22" t="s">
        <v>10265</v>
      </c>
      <c r="AA11" s="22"/>
    </row>
    <row r="12" customFormat="false" ht="124.5" hidden="false" customHeight="true" outlineLevel="0" collapsed="false">
      <c r="A12" s="24" t="s">
        <v>10287</v>
      </c>
      <c r="B12" s="22" t="s">
        <v>9248</v>
      </c>
      <c r="C12" s="22" t="s">
        <v>1391</v>
      </c>
      <c r="D12" s="22" t="s">
        <v>10288</v>
      </c>
      <c r="E12" s="35" t="s">
        <v>15</v>
      </c>
      <c r="F12" s="22" t="s">
        <v>10289</v>
      </c>
      <c r="G12" s="22" t="s">
        <v>10290</v>
      </c>
      <c r="H12" s="22" t="s">
        <v>10291</v>
      </c>
      <c r="I12" s="22" t="s">
        <v>10273</v>
      </c>
      <c r="J12" s="22" t="s">
        <v>10292</v>
      </c>
      <c r="K12" s="22" t="s">
        <v>10293</v>
      </c>
      <c r="L12" s="22" t="s">
        <v>10294</v>
      </c>
      <c r="M12" s="22" t="s">
        <v>10295</v>
      </c>
      <c r="N12" s="22" t="s">
        <v>10296</v>
      </c>
      <c r="O12" s="22" t="s">
        <v>10297</v>
      </c>
      <c r="P12" s="22" t="s">
        <v>10166</v>
      </c>
      <c r="Q12" s="22" t="s">
        <v>10257</v>
      </c>
      <c r="R12" s="22" t="s">
        <v>10298</v>
      </c>
      <c r="S12" s="22" t="s">
        <v>10299</v>
      </c>
      <c r="T12" s="22" t="s">
        <v>10300</v>
      </c>
      <c r="U12" s="22" t="s">
        <v>10301</v>
      </c>
      <c r="V12" s="22" t="s">
        <v>10302</v>
      </c>
      <c r="W12" s="22" t="s">
        <v>10303</v>
      </c>
      <c r="X12" s="22" t="s">
        <v>10304</v>
      </c>
      <c r="Y12" s="32" t="s">
        <v>10305</v>
      </c>
      <c r="Z12" s="22" t="s">
        <v>10306</v>
      </c>
      <c r="AA12" s="22"/>
    </row>
    <row r="13" customFormat="false" ht="112.5" hidden="false" customHeight="true" outlineLevel="0" collapsed="false">
      <c r="A13" s="24" t="s">
        <v>10307</v>
      </c>
      <c r="B13" s="22" t="s">
        <v>9248</v>
      </c>
      <c r="C13" s="22" t="s">
        <v>10308</v>
      </c>
      <c r="D13" s="22" t="s">
        <v>10309</v>
      </c>
      <c r="E13" s="31" t="s">
        <v>19</v>
      </c>
      <c r="F13" s="22" t="s">
        <v>10310</v>
      </c>
      <c r="G13" s="22" t="s">
        <v>10311</v>
      </c>
      <c r="H13" s="22" t="s">
        <v>10312</v>
      </c>
      <c r="I13" s="22" t="s">
        <v>10313</v>
      </c>
      <c r="J13" s="22" t="s">
        <v>10314</v>
      </c>
      <c r="K13" s="22" t="s">
        <v>10315</v>
      </c>
      <c r="L13" s="22" t="s">
        <v>10316</v>
      </c>
      <c r="M13" s="22" t="s">
        <v>10317</v>
      </c>
      <c r="N13" s="22" t="s">
        <v>10318</v>
      </c>
      <c r="O13" s="22"/>
      <c r="P13" s="22" t="s">
        <v>10166</v>
      </c>
      <c r="Q13" s="22" t="s">
        <v>10257</v>
      </c>
      <c r="R13" s="22" t="s">
        <v>10319</v>
      </c>
      <c r="S13" s="22" t="s">
        <v>10320</v>
      </c>
      <c r="T13" s="22" t="s">
        <v>10321</v>
      </c>
      <c r="U13" s="22" t="s">
        <v>10322</v>
      </c>
      <c r="V13" s="22" t="s">
        <v>10323</v>
      </c>
      <c r="W13" s="22" t="s">
        <v>10324</v>
      </c>
      <c r="X13" s="22" t="s">
        <v>10325</v>
      </c>
      <c r="Y13" s="32" t="s">
        <v>10326</v>
      </c>
      <c r="Z13" s="22" t="s">
        <v>10265</v>
      </c>
      <c r="AA13" s="22" t="s">
        <v>10327</v>
      </c>
    </row>
    <row r="14" customFormat="false" ht="112.5" hidden="false" customHeight="true" outlineLevel="0" collapsed="false">
      <c r="A14" s="24" t="s">
        <v>10328</v>
      </c>
      <c r="B14" s="22" t="s">
        <v>9248</v>
      </c>
      <c r="C14" s="22" t="s">
        <v>10308</v>
      </c>
      <c r="D14" s="22" t="s">
        <v>10329</v>
      </c>
      <c r="E14" s="31" t="s">
        <v>19</v>
      </c>
      <c r="F14" s="22" t="s">
        <v>10330</v>
      </c>
      <c r="G14" s="22" t="s">
        <v>10331</v>
      </c>
      <c r="H14" s="22" t="s">
        <v>10332</v>
      </c>
      <c r="I14" s="22" t="s">
        <v>10313</v>
      </c>
      <c r="J14" s="22"/>
      <c r="K14" s="22" t="s">
        <v>10333</v>
      </c>
      <c r="L14" s="22" t="s">
        <v>10334</v>
      </c>
      <c r="M14" s="22" t="s">
        <v>10335</v>
      </c>
      <c r="N14" s="22" t="s">
        <v>10336</v>
      </c>
      <c r="O14" s="22"/>
      <c r="P14" s="22" t="s">
        <v>10166</v>
      </c>
      <c r="Q14" s="22" t="s">
        <v>10257</v>
      </c>
      <c r="R14" s="22" t="s">
        <v>10337</v>
      </c>
      <c r="S14" s="22" t="s">
        <v>10320</v>
      </c>
      <c r="T14" s="22" t="s">
        <v>10338</v>
      </c>
      <c r="U14" s="22" t="s">
        <v>10339</v>
      </c>
      <c r="V14" s="22" t="s">
        <v>10340</v>
      </c>
      <c r="W14" s="22"/>
      <c r="X14" s="22" t="s">
        <v>10304</v>
      </c>
      <c r="Y14" s="32" t="s">
        <v>10326</v>
      </c>
      <c r="Z14" s="22" t="s">
        <v>10341</v>
      </c>
      <c r="AA14" s="22" t="s">
        <v>10342</v>
      </c>
    </row>
    <row r="15" customFormat="false" ht="112.5" hidden="false" customHeight="true" outlineLevel="0" collapsed="false">
      <c r="A15" s="24" t="s">
        <v>10343</v>
      </c>
      <c r="B15" s="22" t="s">
        <v>9248</v>
      </c>
      <c r="C15" s="22" t="s">
        <v>10308</v>
      </c>
      <c r="D15" s="22" t="s">
        <v>10344</v>
      </c>
      <c r="E15" s="31" t="s">
        <v>19</v>
      </c>
      <c r="F15" s="22" t="s">
        <v>10345</v>
      </c>
      <c r="G15" s="22" t="s">
        <v>10346</v>
      </c>
      <c r="H15" s="22" t="s">
        <v>10347</v>
      </c>
      <c r="I15" s="22" t="s">
        <v>10348</v>
      </c>
      <c r="J15" s="22" t="s">
        <v>10349</v>
      </c>
      <c r="K15" s="22" t="s">
        <v>10350</v>
      </c>
      <c r="L15" s="22" t="s">
        <v>10351</v>
      </c>
      <c r="M15" s="22" t="s">
        <v>10352</v>
      </c>
      <c r="N15" s="22" t="s">
        <v>10353</v>
      </c>
      <c r="O15" s="22"/>
      <c r="P15" s="22" t="s">
        <v>10166</v>
      </c>
      <c r="Q15" s="22" t="s">
        <v>10257</v>
      </c>
      <c r="R15" s="22" t="s">
        <v>10354</v>
      </c>
      <c r="S15" s="22" t="s">
        <v>10355</v>
      </c>
      <c r="T15" s="22" t="s">
        <v>10356</v>
      </c>
      <c r="U15" s="22" t="s">
        <v>10357</v>
      </c>
      <c r="V15" s="22" t="s">
        <v>10358</v>
      </c>
      <c r="W15" s="22" t="s">
        <v>10359</v>
      </c>
      <c r="X15" s="22" t="s">
        <v>10241</v>
      </c>
      <c r="Y15" s="32" t="s">
        <v>10360</v>
      </c>
      <c r="Z15" s="22" t="s">
        <v>10361</v>
      </c>
      <c r="AA15" s="22" t="s">
        <v>10362</v>
      </c>
    </row>
    <row r="16" customFormat="false" ht="124.5" hidden="false" customHeight="true" outlineLevel="0" collapsed="false">
      <c r="A16" s="24" t="s">
        <v>10363</v>
      </c>
      <c r="B16" s="22" t="s">
        <v>9248</v>
      </c>
      <c r="C16" s="22" t="s">
        <v>10364</v>
      </c>
      <c r="D16" s="22" t="s">
        <v>10365</v>
      </c>
      <c r="E16" s="35" t="s">
        <v>15</v>
      </c>
      <c r="F16" s="22" t="s">
        <v>10366</v>
      </c>
      <c r="G16" s="22" t="s">
        <v>10367</v>
      </c>
      <c r="H16" s="22" t="s">
        <v>10368</v>
      </c>
      <c r="I16" s="22" t="s">
        <v>10348</v>
      </c>
      <c r="J16" s="22" t="s">
        <v>10369</v>
      </c>
      <c r="K16" s="22" t="s">
        <v>10370</v>
      </c>
      <c r="L16" s="22" t="s">
        <v>10371</v>
      </c>
      <c r="M16" s="22" t="s">
        <v>10372</v>
      </c>
      <c r="N16" s="22" t="s">
        <v>10373</v>
      </c>
      <c r="O16" s="22" t="s">
        <v>10374</v>
      </c>
      <c r="P16" s="22" t="s">
        <v>10166</v>
      </c>
      <c r="Q16" s="22" t="s">
        <v>10257</v>
      </c>
      <c r="R16" s="22" t="s">
        <v>10375</v>
      </c>
      <c r="S16" s="22" t="s">
        <v>10376</v>
      </c>
      <c r="T16" s="22" t="s">
        <v>10377</v>
      </c>
      <c r="U16" s="22" t="s">
        <v>10378</v>
      </c>
      <c r="V16" s="22" t="s">
        <v>10379</v>
      </c>
      <c r="W16" s="22" t="s">
        <v>10380</v>
      </c>
      <c r="X16" s="22" t="s">
        <v>10304</v>
      </c>
      <c r="Y16" s="32" t="s">
        <v>10381</v>
      </c>
      <c r="Z16" s="22" t="s">
        <v>10382</v>
      </c>
      <c r="AA16" s="22" t="s">
        <v>10383</v>
      </c>
    </row>
    <row r="17" customFormat="false" ht="249.75" hidden="false" customHeight="true" outlineLevel="0" collapsed="false">
      <c r="A17" s="24" t="s">
        <v>10384</v>
      </c>
      <c r="B17" s="22" t="s">
        <v>9248</v>
      </c>
      <c r="C17" s="22" t="s">
        <v>10385</v>
      </c>
      <c r="D17" s="22" t="s">
        <v>10386</v>
      </c>
      <c r="E17" s="35" t="s">
        <v>15</v>
      </c>
      <c r="F17" s="22" t="s">
        <v>10387</v>
      </c>
      <c r="G17" s="22" t="s">
        <v>10388</v>
      </c>
      <c r="H17" s="22" t="s">
        <v>10389</v>
      </c>
      <c r="I17" s="22" t="s">
        <v>10313</v>
      </c>
      <c r="J17" s="22" t="s">
        <v>10390</v>
      </c>
      <c r="K17" s="22" t="s">
        <v>10391</v>
      </c>
      <c r="L17" s="22" t="s">
        <v>10392</v>
      </c>
      <c r="M17" s="22" t="s">
        <v>10393</v>
      </c>
      <c r="N17" s="22" t="s">
        <v>10394</v>
      </c>
      <c r="O17" s="22" t="s">
        <v>10395</v>
      </c>
      <c r="P17" s="22" t="s">
        <v>10166</v>
      </c>
      <c r="Q17" s="22" t="s">
        <v>10257</v>
      </c>
      <c r="R17" s="22" t="s">
        <v>10396</v>
      </c>
      <c r="S17" s="22" t="s">
        <v>10355</v>
      </c>
      <c r="T17" s="22" t="s">
        <v>10397</v>
      </c>
      <c r="U17" s="22" t="s">
        <v>10398</v>
      </c>
      <c r="V17" s="22" t="s">
        <v>10399</v>
      </c>
      <c r="W17" s="22" t="s">
        <v>10400</v>
      </c>
      <c r="X17" s="22" t="s">
        <v>10401</v>
      </c>
      <c r="Y17" s="32" t="s">
        <v>10402</v>
      </c>
      <c r="Z17" s="22" t="s">
        <v>10403</v>
      </c>
      <c r="AA17" s="22" t="s">
        <v>10404</v>
      </c>
    </row>
    <row r="18" customFormat="false" ht="112.5" hidden="false" customHeight="true" outlineLevel="0" collapsed="false">
      <c r="A18" s="24" t="s">
        <v>10405</v>
      </c>
      <c r="B18" s="22" t="s">
        <v>9248</v>
      </c>
      <c r="C18" s="22" t="s">
        <v>10406</v>
      </c>
      <c r="D18" s="22" t="s">
        <v>10407</v>
      </c>
      <c r="E18" s="35" t="s">
        <v>15</v>
      </c>
      <c r="F18" s="22" t="s">
        <v>10408</v>
      </c>
      <c r="G18" s="22" t="s">
        <v>10409</v>
      </c>
      <c r="H18" s="22" t="s">
        <v>10410</v>
      </c>
      <c r="I18" s="22" t="s">
        <v>10411</v>
      </c>
      <c r="J18" s="22" t="s">
        <v>10412</v>
      </c>
      <c r="K18" s="22" t="s">
        <v>10413</v>
      </c>
      <c r="L18" s="22" t="s">
        <v>10414</v>
      </c>
      <c r="M18" s="22" t="s">
        <v>10415</v>
      </c>
      <c r="N18" s="22" t="s">
        <v>10416</v>
      </c>
      <c r="O18" s="22" t="s">
        <v>10417</v>
      </c>
      <c r="P18" s="22" t="s">
        <v>10166</v>
      </c>
      <c r="Q18" s="22" t="s">
        <v>10257</v>
      </c>
      <c r="R18" s="22" t="s">
        <v>10418</v>
      </c>
      <c r="S18" s="22" t="s">
        <v>10355</v>
      </c>
      <c r="T18" s="22" t="s">
        <v>10419</v>
      </c>
      <c r="U18" s="22" t="s">
        <v>10420</v>
      </c>
      <c r="V18" s="22" t="s">
        <v>10421</v>
      </c>
      <c r="W18" s="22" t="s">
        <v>10422</v>
      </c>
      <c r="X18" s="22" t="s">
        <v>10241</v>
      </c>
      <c r="Y18" s="32" t="s">
        <v>10423</v>
      </c>
      <c r="Z18" s="22" t="s">
        <v>10424</v>
      </c>
      <c r="AA18" s="22"/>
    </row>
    <row r="19" customFormat="false" ht="112.5" hidden="false" customHeight="true" outlineLevel="0" collapsed="false">
      <c r="A19" s="24" t="s">
        <v>10425</v>
      </c>
      <c r="B19" s="22" t="s">
        <v>9248</v>
      </c>
      <c r="C19" s="22" t="s">
        <v>10385</v>
      </c>
      <c r="D19" s="22" t="s">
        <v>10426</v>
      </c>
      <c r="E19" s="35" t="s">
        <v>15</v>
      </c>
      <c r="F19" s="22" t="s">
        <v>10427</v>
      </c>
      <c r="G19" s="22" t="s">
        <v>10428</v>
      </c>
      <c r="H19" s="22" t="s">
        <v>10429</v>
      </c>
      <c r="I19" s="22" t="s">
        <v>10313</v>
      </c>
      <c r="J19" s="22"/>
      <c r="K19" s="22" t="s">
        <v>10430</v>
      </c>
      <c r="L19" s="22" t="s">
        <v>10431</v>
      </c>
      <c r="M19" s="22" t="s">
        <v>10432</v>
      </c>
      <c r="N19" s="22" t="s">
        <v>10433</v>
      </c>
      <c r="O19" s="22"/>
      <c r="P19" s="22" t="s">
        <v>10166</v>
      </c>
      <c r="Q19" s="22" t="s">
        <v>10257</v>
      </c>
      <c r="R19" s="22"/>
      <c r="S19" s="22" t="s">
        <v>10355</v>
      </c>
      <c r="T19" s="22" t="s">
        <v>10434</v>
      </c>
      <c r="U19" s="22" t="s">
        <v>10435</v>
      </c>
      <c r="V19" s="22" t="s">
        <v>10436</v>
      </c>
      <c r="W19" s="22" t="s">
        <v>10437</v>
      </c>
      <c r="X19" s="22" t="s">
        <v>10438</v>
      </c>
      <c r="Y19" s="32" t="s">
        <v>10439</v>
      </c>
      <c r="Z19" s="22" t="s">
        <v>10440</v>
      </c>
      <c r="AA19" s="22"/>
    </row>
    <row r="20" customFormat="false" ht="137.25" hidden="false" customHeight="true" outlineLevel="0" collapsed="false">
      <c r="A20" s="24" t="s">
        <v>10441</v>
      </c>
      <c r="B20" s="22" t="s">
        <v>9248</v>
      </c>
      <c r="C20" s="22" t="s">
        <v>10385</v>
      </c>
      <c r="D20" s="22" t="s">
        <v>10442</v>
      </c>
      <c r="E20" s="35" t="s">
        <v>15</v>
      </c>
      <c r="F20" s="22" t="s">
        <v>10443</v>
      </c>
      <c r="G20" s="22" t="s">
        <v>10444</v>
      </c>
      <c r="H20" s="22" t="s">
        <v>10445</v>
      </c>
      <c r="I20" s="22" t="s">
        <v>10313</v>
      </c>
      <c r="J20" s="22"/>
      <c r="K20" s="22" t="s">
        <v>10446</v>
      </c>
      <c r="L20" s="22" t="s">
        <v>10447</v>
      </c>
      <c r="M20" s="22" t="s">
        <v>10448</v>
      </c>
      <c r="N20" s="22" t="s">
        <v>10433</v>
      </c>
      <c r="O20" s="22" t="s">
        <v>10449</v>
      </c>
      <c r="P20" s="22" t="s">
        <v>10166</v>
      </c>
      <c r="Q20" s="22" t="s">
        <v>10257</v>
      </c>
      <c r="R20" s="22" t="s">
        <v>10450</v>
      </c>
      <c r="S20" s="22" t="s">
        <v>10355</v>
      </c>
      <c r="T20" s="22" t="s">
        <v>10451</v>
      </c>
      <c r="U20" s="22" t="s">
        <v>10452</v>
      </c>
      <c r="V20" s="22" t="s">
        <v>10453</v>
      </c>
      <c r="W20" s="22" t="s">
        <v>10454</v>
      </c>
      <c r="X20" s="22" t="s">
        <v>10241</v>
      </c>
      <c r="Y20" s="32" t="s">
        <v>10455</v>
      </c>
      <c r="Z20" s="22" t="s">
        <v>10456</v>
      </c>
      <c r="AA20" s="22"/>
    </row>
    <row r="21" customFormat="false" ht="112.5" hidden="false" customHeight="true" outlineLevel="0" collapsed="false">
      <c r="A21" s="24" t="s">
        <v>10457</v>
      </c>
      <c r="B21" s="22" t="s">
        <v>9248</v>
      </c>
      <c r="C21" s="22" t="s">
        <v>10458</v>
      </c>
      <c r="D21" s="22" t="s">
        <v>10459</v>
      </c>
      <c r="E21" s="35" t="s">
        <v>15</v>
      </c>
      <c r="F21" s="22" t="s">
        <v>10460</v>
      </c>
      <c r="G21" s="22" t="s">
        <v>10461</v>
      </c>
      <c r="H21" s="22" t="s">
        <v>10462</v>
      </c>
      <c r="I21" s="22" t="s">
        <v>10313</v>
      </c>
      <c r="J21" s="22" t="s">
        <v>10463</v>
      </c>
      <c r="K21" s="22" t="s">
        <v>10464</v>
      </c>
      <c r="L21" s="22" t="s">
        <v>10465</v>
      </c>
      <c r="M21" s="22" t="s">
        <v>10466</v>
      </c>
      <c r="N21" s="22" t="s">
        <v>10467</v>
      </c>
      <c r="O21" s="22" t="s">
        <v>10468</v>
      </c>
      <c r="P21" s="22" t="s">
        <v>10166</v>
      </c>
      <c r="Q21" s="22" t="s">
        <v>10257</v>
      </c>
      <c r="R21" s="22" t="s">
        <v>10469</v>
      </c>
      <c r="S21" s="22" t="s">
        <v>10470</v>
      </c>
      <c r="T21" s="22" t="s">
        <v>10471</v>
      </c>
      <c r="U21" s="22" t="s">
        <v>10472</v>
      </c>
      <c r="V21" s="22" t="s">
        <v>10473</v>
      </c>
      <c r="W21" s="22" t="s">
        <v>10474</v>
      </c>
      <c r="X21" s="22" t="s">
        <v>10304</v>
      </c>
      <c r="Y21" s="32" t="s">
        <v>10475</v>
      </c>
      <c r="Z21" s="22" t="s">
        <v>10476</v>
      </c>
      <c r="AA21" s="22" t="s">
        <v>10477</v>
      </c>
    </row>
    <row r="22" customFormat="false" ht="112.5" hidden="false" customHeight="true" outlineLevel="0" collapsed="false">
      <c r="A22" s="24" t="s">
        <v>10478</v>
      </c>
      <c r="B22" s="22" t="s">
        <v>9248</v>
      </c>
      <c r="C22" s="22" t="s">
        <v>10479</v>
      </c>
      <c r="D22" s="22" t="s">
        <v>10480</v>
      </c>
      <c r="E22" s="35" t="s">
        <v>15</v>
      </c>
      <c r="F22" s="22" t="s">
        <v>10481</v>
      </c>
      <c r="G22" s="22" t="s">
        <v>10482</v>
      </c>
      <c r="H22" s="22" t="s">
        <v>10483</v>
      </c>
      <c r="I22" s="22" t="s">
        <v>10484</v>
      </c>
      <c r="J22" s="22" t="s">
        <v>10485</v>
      </c>
      <c r="K22" s="22" t="s">
        <v>10486</v>
      </c>
      <c r="L22" s="22" t="s">
        <v>10487</v>
      </c>
      <c r="M22" s="22" t="s">
        <v>10488</v>
      </c>
      <c r="N22" s="22" t="s">
        <v>10489</v>
      </c>
      <c r="O22" s="22" t="s">
        <v>10490</v>
      </c>
      <c r="P22" s="22" t="s">
        <v>10166</v>
      </c>
      <c r="Q22" s="22" t="s">
        <v>10491</v>
      </c>
      <c r="R22" s="22" t="s">
        <v>10492</v>
      </c>
      <c r="S22" s="22" t="s">
        <v>10493</v>
      </c>
      <c r="T22" s="22" t="s">
        <v>10494</v>
      </c>
      <c r="U22" s="22" t="s">
        <v>10495</v>
      </c>
      <c r="V22" s="22" t="s">
        <v>10496</v>
      </c>
      <c r="W22" s="22" t="s">
        <v>10497</v>
      </c>
      <c r="X22" s="22" t="s">
        <v>10304</v>
      </c>
      <c r="Y22" s="32" t="s">
        <v>10498</v>
      </c>
      <c r="Z22" s="22" t="s">
        <v>10499</v>
      </c>
      <c r="AA22" s="22" t="s">
        <v>10500</v>
      </c>
    </row>
    <row r="23" customFormat="false" ht="112.5" hidden="false" customHeight="true" outlineLevel="0" collapsed="false">
      <c r="A23" s="24" t="s">
        <v>10501</v>
      </c>
      <c r="B23" s="22" t="s">
        <v>9248</v>
      </c>
      <c r="C23" s="22" t="s">
        <v>10458</v>
      </c>
      <c r="D23" s="22" t="s">
        <v>10502</v>
      </c>
      <c r="E23" s="35" t="s">
        <v>15</v>
      </c>
      <c r="F23" s="22" t="s">
        <v>10503</v>
      </c>
      <c r="G23" s="22" t="s">
        <v>10504</v>
      </c>
      <c r="H23" s="22" t="s">
        <v>10505</v>
      </c>
      <c r="I23" s="22" t="s">
        <v>10506</v>
      </c>
      <c r="J23" s="22"/>
      <c r="K23" s="22" t="s">
        <v>10507</v>
      </c>
      <c r="L23" s="22" t="s">
        <v>10508</v>
      </c>
      <c r="M23" s="22" t="s">
        <v>10509</v>
      </c>
      <c r="N23" s="22" t="s">
        <v>10510</v>
      </c>
      <c r="O23" s="22"/>
      <c r="P23" s="22" t="s">
        <v>10166</v>
      </c>
      <c r="Q23" s="22" t="s">
        <v>10511</v>
      </c>
      <c r="R23" s="22"/>
      <c r="S23" s="22" t="s">
        <v>10512</v>
      </c>
      <c r="T23" s="22" t="s">
        <v>10513</v>
      </c>
      <c r="U23" s="22" t="s">
        <v>10514</v>
      </c>
      <c r="V23" s="22" t="s">
        <v>10515</v>
      </c>
      <c r="W23" s="22" t="s">
        <v>10516</v>
      </c>
      <c r="X23" s="22" t="s">
        <v>10241</v>
      </c>
      <c r="Y23" s="32" t="s">
        <v>10517</v>
      </c>
      <c r="Z23" s="22" t="s">
        <v>10518</v>
      </c>
      <c r="AA23" s="22"/>
    </row>
    <row r="24" customFormat="false" ht="112.5" hidden="false" customHeight="true" outlineLevel="0" collapsed="false">
      <c r="A24" s="24" t="s">
        <v>10519</v>
      </c>
      <c r="B24" s="22" t="s">
        <v>9248</v>
      </c>
      <c r="C24" s="22" t="s">
        <v>10479</v>
      </c>
      <c r="D24" s="22" t="s">
        <v>10520</v>
      </c>
      <c r="E24" s="35" t="s">
        <v>15</v>
      </c>
      <c r="F24" s="22" t="s">
        <v>10521</v>
      </c>
      <c r="G24" s="22" t="s">
        <v>10522</v>
      </c>
      <c r="H24" s="22" t="s">
        <v>10523</v>
      </c>
      <c r="I24" s="22"/>
      <c r="J24" s="22"/>
      <c r="K24" s="22" t="s">
        <v>10524</v>
      </c>
      <c r="L24" s="22" t="s">
        <v>10525</v>
      </c>
      <c r="M24" s="22" t="s">
        <v>10526</v>
      </c>
      <c r="N24" s="22" t="s">
        <v>10527</v>
      </c>
      <c r="O24" s="22"/>
      <c r="P24" s="22" t="s">
        <v>10166</v>
      </c>
      <c r="Q24" s="22" t="s">
        <v>10257</v>
      </c>
      <c r="R24" s="22"/>
      <c r="S24" s="22" t="s">
        <v>10355</v>
      </c>
      <c r="T24" s="22" t="s">
        <v>10528</v>
      </c>
      <c r="U24" s="22" t="s">
        <v>10529</v>
      </c>
      <c r="V24" s="22" t="s">
        <v>10530</v>
      </c>
      <c r="W24" s="22" t="s">
        <v>10531</v>
      </c>
      <c r="X24" s="22" t="s">
        <v>10241</v>
      </c>
      <c r="Y24" s="32" t="s">
        <v>10532</v>
      </c>
      <c r="Z24" s="22" t="s">
        <v>10533</v>
      </c>
      <c r="AA24" s="22"/>
    </row>
    <row r="25" customFormat="false" ht="112.5" hidden="false" customHeight="true" outlineLevel="0" collapsed="false">
      <c r="A25" s="24" t="s">
        <v>10534</v>
      </c>
      <c r="B25" s="22" t="s">
        <v>9248</v>
      </c>
      <c r="C25" s="22" t="s">
        <v>10535</v>
      </c>
      <c r="D25" s="22" t="s">
        <v>10536</v>
      </c>
      <c r="E25" s="35" t="s">
        <v>15</v>
      </c>
      <c r="F25" s="22" t="s">
        <v>10537</v>
      </c>
      <c r="G25" s="22" t="s">
        <v>10538</v>
      </c>
      <c r="H25" s="22" t="s">
        <v>10539</v>
      </c>
      <c r="I25" s="22" t="s">
        <v>10313</v>
      </c>
      <c r="J25" s="22" t="s">
        <v>10540</v>
      </c>
      <c r="K25" s="22" t="s">
        <v>10541</v>
      </c>
      <c r="L25" s="22" t="s">
        <v>10542</v>
      </c>
      <c r="M25" s="22" t="s">
        <v>10543</v>
      </c>
      <c r="N25" s="22" t="s">
        <v>10544</v>
      </c>
      <c r="O25" s="22" t="s">
        <v>10545</v>
      </c>
      <c r="P25" s="22" t="s">
        <v>10166</v>
      </c>
      <c r="Q25" s="22" t="s">
        <v>10257</v>
      </c>
      <c r="R25" s="22" t="s">
        <v>10546</v>
      </c>
      <c r="S25" s="22" t="s">
        <v>10547</v>
      </c>
      <c r="T25" s="22" t="s">
        <v>10548</v>
      </c>
      <c r="U25" s="22" t="s">
        <v>10549</v>
      </c>
      <c r="V25" s="22" t="s">
        <v>10550</v>
      </c>
      <c r="W25" s="22" t="s">
        <v>10551</v>
      </c>
      <c r="X25" s="22" t="s">
        <v>10304</v>
      </c>
      <c r="Y25" s="32" t="s">
        <v>10552</v>
      </c>
      <c r="Z25" s="22" t="s">
        <v>10476</v>
      </c>
      <c r="AA25" s="22"/>
    </row>
    <row r="26" customFormat="false" ht="112.5" hidden="false" customHeight="true" outlineLevel="0" collapsed="false">
      <c r="A26" s="24" t="s">
        <v>10553</v>
      </c>
      <c r="B26" s="22" t="s">
        <v>9248</v>
      </c>
      <c r="C26" s="22" t="s">
        <v>10554</v>
      </c>
      <c r="D26" s="22" t="s">
        <v>10555</v>
      </c>
      <c r="E26" s="35" t="s">
        <v>15</v>
      </c>
      <c r="F26" s="22" t="s">
        <v>10556</v>
      </c>
      <c r="G26" s="22" t="s">
        <v>10557</v>
      </c>
      <c r="H26" s="22" t="s">
        <v>10558</v>
      </c>
      <c r="I26" s="22" t="s">
        <v>10313</v>
      </c>
      <c r="J26" s="22"/>
      <c r="K26" s="22" t="s">
        <v>10559</v>
      </c>
      <c r="L26" s="22" t="s">
        <v>10560</v>
      </c>
      <c r="M26" s="22" t="s">
        <v>10561</v>
      </c>
      <c r="N26" s="22" t="s">
        <v>10562</v>
      </c>
      <c r="O26" s="22" t="s">
        <v>10563</v>
      </c>
      <c r="P26" s="22" t="s">
        <v>10166</v>
      </c>
      <c r="Q26" s="22" t="s">
        <v>10257</v>
      </c>
      <c r="R26" s="22"/>
      <c r="S26" s="22" t="s">
        <v>10355</v>
      </c>
      <c r="T26" s="22" t="s">
        <v>10564</v>
      </c>
      <c r="U26" s="22" t="s">
        <v>10565</v>
      </c>
      <c r="V26" s="22" t="s">
        <v>10566</v>
      </c>
      <c r="W26" s="22"/>
      <c r="X26" s="22" t="s">
        <v>10438</v>
      </c>
      <c r="Y26" s="32" t="s">
        <v>10567</v>
      </c>
      <c r="Z26" s="22" t="s">
        <v>10341</v>
      </c>
      <c r="AA26" s="22"/>
    </row>
    <row r="27" customFormat="false" ht="112.5" hidden="false" customHeight="true" outlineLevel="0" collapsed="false">
      <c r="A27" s="24" t="s">
        <v>10568</v>
      </c>
      <c r="B27" s="22" t="s">
        <v>9248</v>
      </c>
      <c r="C27" s="22" t="s">
        <v>10479</v>
      </c>
      <c r="D27" s="22" t="s">
        <v>10569</v>
      </c>
      <c r="E27" s="35" t="s">
        <v>15</v>
      </c>
      <c r="F27" s="22" t="s">
        <v>10570</v>
      </c>
      <c r="G27" s="22" t="s">
        <v>10571</v>
      </c>
      <c r="H27" s="22" t="s">
        <v>10572</v>
      </c>
      <c r="I27" s="22" t="s">
        <v>10313</v>
      </c>
      <c r="J27" s="22"/>
      <c r="K27" s="22" t="s">
        <v>10573</v>
      </c>
      <c r="L27" s="22" t="s">
        <v>10574</v>
      </c>
      <c r="M27" s="22" t="s">
        <v>10575</v>
      </c>
      <c r="N27" s="22" t="s">
        <v>10576</v>
      </c>
      <c r="O27" s="22" t="s">
        <v>10577</v>
      </c>
      <c r="P27" s="22" t="s">
        <v>10166</v>
      </c>
      <c r="Q27" s="22" t="s">
        <v>10257</v>
      </c>
      <c r="R27" s="22"/>
      <c r="S27" s="22"/>
      <c r="T27" s="22" t="s">
        <v>10578</v>
      </c>
      <c r="U27" s="22" t="s">
        <v>10579</v>
      </c>
      <c r="V27" s="22" t="s">
        <v>10580</v>
      </c>
      <c r="W27" s="22" t="s">
        <v>10581</v>
      </c>
      <c r="X27" s="22" t="s">
        <v>10241</v>
      </c>
      <c r="Y27" s="32" t="s">
        <v>10582</v>
      </c>
      <c r="Z27" s="22" t="s">
        <v>10341</v>
      </c>
      <c r="AA27" s="22"/>
    </row>
    <row r="28" customFormat="false" ht="112.5" hidden="false" customHeight="true" outlineLevel="0" collapsed="false">
      <c r="A28" s="24" t="s">
        <v>10583</v>
      </c>
      <c r="B28" s="22" t="s">
        <v>9248</v>
      </c>
      <c r="C28" s="22" t="s">
        <v>10554</v>
      </c>
      <c r="D28" s="22" t="s">
        <v>10584</v>
      </c>
      <c r="E28" s="31" t="s">
        <v>19</v>
      </c>
      <c r="F28" s="22" t="s">
        <v>10585</v>
      </c>
      <c r="G28" s="22" t="s">
        <v>10586</v>
      </c>
      <c r="H28" s="22" t="s">
        <v>10587</v>
      </c>
      <c r="I28" s="22"/>
      <c r="J28" s="22" t="s">
        <v>10588</v>
      </c>
      <c r="K28" s="22" t="s">
        <v>10589</v>
      </c>
      <c r="L28" s="22" t="s">
        <v>10590</v>
      </c>
      <c r="M28" s="22" t="s">
        <v>10591</v>
      </c>
      <c r="N28" s="22" t="s">
        <v>10592</v>
      </c>
      <c r="O28" s="22" t="s">
        <v>10593</v>
      </c>
      <c r="P28" s="22" t="s">
        <v>10166</v>
      </c>
      <c r="Q28" s="22" t="s">
        <v>10594</v>
      </c>
      <c r="R28" s="22"/>
      <c r="S28" s="22"/>
      <c r="T28" s="22" t="s">
        <v>10595</v>
      </c>
      <c r="U28" s="22" t="s">
        <v>10596</v>
      </c>
      <c r="V28" s="22" t="s">
        <v>10597</v>
      </c>
      <c r="W28" s="22"/>
      <c r="X28" s="22" t="s">
        <v>10438</v>
      </c>
      <c r="Y28" s="32" t="s">
        <v>10598</v>
      </c>
      <c r="Z28" s="22" t="s">
        <v>10599</v>
      </c>
      <c r="AA28" s="22" t="s">
        <v>10600</v>
      </c>
    </row>
    <row r="29" customFormat="false" ht="112.5" hidden="false" customHeight="true" outlineLevel="0" collapsed="false">
      <c r="A29" s="24" t="s">
        <v>10601</v>
      </c>
      <c r="B29" s="22" t="s">
        <v>9248</v>
      </c>
      <c r="C29" s="22" t="s">
        <v>10364</v>
      </c>
      <c r="D29" s="22" t="s">
        <v>10602</v>
      </c>
      <c r="E29" s="35" t="s">
        <v>15</v>
      </c>
      <c r="F29" s="22" t="s">
        <v>10603</v>
      </c>
      <c r="G29" s="22" t="s">
        <v>10604</v>
      </c>
      <c r="H29" s="22" t="s">
        <v>10605</v>
      </c>
      <c r="I29" s="22" t="s">
        <v>10606</v>
      </c>
      <c r="J29" s="22"/>
      <c r="K29" s="22" t="s">
        <v>10607</v>
      </c>
      <c r="L29" s="22" t="s">
        <v>10608</v>
      </c>
      <c r="M29" s="22" t="s">
        <v>10609</v>
      </c>
      <c r="N29" s="22" t="s">
        <v>10610</v>
      </c>
      <c r="O29" s="22"/>
      <c r="P29" s="22" t="s">
        <v>10166</v>
      </c>
      <c r="Q29" s="22" t="s">
        <v>10611</v>
      </c>
      <c r="R29" s="22"/>
      <c r="S29" s="22"/>
      <c r="T29" s="22" t="s">
        <v>10612</v>
      </c>
      <c r="U29" s="22" t="s">
        <v>10613</v>
      </c>
      <c r="V29" s="22" t="s">
        <v>10614</v>
      </c>
      <c r="W29" s="22"/>
      <c r="X29" s="22" t="s">
        <v>10241</v>
      </c>
      <c r="Y29" s="32" t="s">
        <v>10615</v>
      </c>
      <c r="Z29" s="22" t="s">
        <v>10616</v>
      </c>
      <c r="AA29" s="22"/>
    </row>
    <row r="30" customFormat="false" ht="112.5" hidden="false" customHeight="true" outlineLevel="0" collapsed="false">
      <c r="A30" s="24" t="s">
        <v>10617</v>
      </c>
      <c r="B30" s="22" t="s">
        <v>9248</v>
      </c>
      <c r="C30" s="22" t="s">
        <v>10618</v>
      </c>
      <c r="D30" s="22" t="s">
        <v>10619</v>
      </c>
      <c r="E30" s="31" t="s">
        <v>19</v>
      </c>
      <c r="F30" s="22" t="s">
        <v>10620</v>
      </c>
      <c r="G30" s="22" t="s">
        <v>10621</v>
      </c>
      <c r="H30" s="22" t="s">
        <v>10622</v>
      </c>
      <c r="I30" s="22" t="s">
        <v>10623</v>
      </c>
      <c r="J30" s="22" t="s">
        <v>10624</v>
      </c>
      <c r="K30" s="22" t="s">
        <v>10625</v>
      </c>
      <c r="L30" s="22" t="s">
        <v>10626</v>
      </c>
      <c r="M30" s="22" t="s">
        <v>10627</v>
      </c>
      <c r="N30" s="22" t="s">
        <v>10628</v>
      </c>
      <c r="O30" s="22" t="s">
        <v>10629</v>
      </c>
      <c r="P30" s="22" t="s">
        <v>10166</v>
      </c>
      <c r="Q30" s="22" t="s">
        <v>10257</v>
      </c>
      <c r="R30" s="22"/>
      <c r="S30" s="22" t="s">
        <v>10355</v>
      </c>
      <c r="T30" s="22" t="s">
        <v>10630</v>
      </c>
      <c r="U30" s="22" t="s">
        <v>10631</v>
      </c>
      <c r="V30" s="22" t="s">
        <v>10632</v>
      </c>
      <c r="W30" s="22" t="s">
        <v>10633</v>
      </c>
      <c r="X30" s="22" t="s">
        <v>10241</v>
      </c>
      <c r="Y30" s="32" t="s">
        <v>10634</v>
      </c>
      <c r="Z30" s="22" t="s">
        <v>10635</v>
      </c>
      <c r="AA30" s="22" t="s">
        <v>10636</v>
      </c>
    </row>
    <row r="31" customFormat="false" ht="112.5" hidden="false" customHeight="true" outlineLevel="0" collapsed="false">
      <c r="A31" s="24" t="s">
        <v>10637</v>
      </c>
      <c r="B31" s="22" t="s">
        <v>9248</v>
      </c>
      <c r="C31" s="22" t="s">
        <v>10638</v>
      </c>
      <c r="D31" s="22" t="s">
        <v>10639</v>
      </c>
      <c r="E31" s="35" t="s">
        <v>15</v>
      </c>
      <c r="F31" s="22" t="s">
        <v>10640</v>
      </c>
      <c r="G31" s="22" t="s">
        <v>10641</v>
      </c>
      <c r="H31" s="22" t="s">
        <v>10642</v>
      </c>
      <c r="I31" s="22" t="s">
        <v>10606</v>
      </c>
      <c r="J31" s="22"/>
      <c r="K31" s="22" t="s">
        <v>10643</v>
      </c>
      <c r="L31" s="22" t="s">
        <v>10644</v>
      </c>
      <c r="M31" s="22" t="s">
        <v>10645</v>
      </c>
      <c r="N31" s="22" t="s">
        <v>10646</v>
      </c>
      <c r="O31" s="22" t="s">
        <v>10647</v>
      </c>
      <c r="P31" s="22" t="s">
        <v>10166</v>
      </c>
      <c r="Q31" s="22" t="s">
        <v>10257</v>
      </c>
      <c r="R31" s="22"/>
      <c r="S31" s="22"/>
      <c r="T31" s="22" t="s">
        <v>10648</v>
      </c>
      <c r="U31" s="22" t="s">
        <v>10649</v>
      </c>
      <c r="V31" s="22" t="s">
        <v>10650</v>
      </c>
      <c r="W31" s="22" t="s">
        <v>10651</v>
      </c>
      <c r="X31" s="22" t="s">
        <v>10241</v>
      </c>
      <c r="Y31" s="32" t="s">
        <v>10652</v>
      </c>
      <c r="Z31" s="22" t="s">
        <v>10653</v>
      </c>
      <c r="AA31" s="22"/>
    </row>
    <row r="32" customFormat="false" ht="112.5" hidden="false" customHeight="true" outlineLevel="0" collapsed="false">
      <c r="A32" s="24" t="s">
        <v>10654</v>
      </c>
      <c r="B32" s="22" t="s">
        <v>9248</v>
      </c>
      <c r="C32" s="22" t="s">
        <v>10655</v>
      </c>
      <c r="D32" s="22" t="s">
        <v>10656</v>
      </c>
      <c r="E32" s="31" t="s">
        <v>19</v>
      </c>
      <c r="F32" s="22" t="s">
        <v>10657</v>
      </c>
      <c r="G32" s="22" t="s">
        <v>10658</v>
      </c>
      <c r="H32" s="22" t="s">
        <v>10659</v>
      </c>
      <c r="I32" s="22"/>
      <c r="J32" s="22" t="s">
        <v>10660</v>
      </c>
      <c r="K32" s="22" t="s">
        <v>10661</v>
      </c>
      <c r="L32" s="22" t="s">
        <v>10662</v>
      </c>
      <c r="M32" s="22" t="s">
        <v>10663</v>
      </c>
      <c r="N32" s="22" t="s">
        <v>10664</v>
      </c>
      <c r="O32" s="22"/>
      <c r="P32" s="22" t="s">
        <v>10166</v>
      </c>
      <c r="Q32" s="22" t="s">
        <v>10665</v>
      </c>
      <c r="R32" s="22"/>
      <c r="S32" s="22"/>
      <c r="T32" s="22" t="s">
        <v>10666</v>
      </c>
      <c r="U32" s="22"/>
      <c r="V32" s="22"/>
      <c r="W32" s="22"/>
      <c r="X32" s="22" t="s">
        <v>10438</v>
      </c>
      <c r="Y32" s="32" t="s">
        <v>10667</v>
      </c>
      <c r="Z32" s="22" t="s">
        <v>10668</v>
      </c>
      <c r="AA32" s="22" t="s">
        <v>10669</v>
      </c>
    </row>
    <row r="33" customFormat="false" ht="124.5" hidden="false" customHeight="true" outlineLevel="0" collapsed="false">
      <c r="A33" s="24" t="s">
        <v>10670</v>
      </c>
      <c r="B33" s="22" t="s">
        <v>9248</v>
      </c>
      <c r="C33" s="22" t="s">
        <v>10671</v>
      </c>
      <c r="D33" s="22" t="s">
        <v>10672</v>
      </c>
      <c r="E33" s="31" t="s">
        <v>19</v>
      </c>
      <c r="F33" s="22" t="s">
        <v>10673</v>
      </c>
      <c r="G33" s="22" t="s">
        <v>10674</v>
      </c>
      <c r="H33" s="22" t="s">
        <v>10675</v>
      </c>
      <c r="I33" s="22" t="s">
        <v>10676</v>
      </c>
      <c r="J33" s="22" t="s">
        <v>10677</v>
      </c>
      <c r="K33" s="22" t="s">
        <v>10678</v>
      </c>
      <c r="L33" s="22" t="s">
        <v>10679</v>
      </c>
      <c r="M33" s="22" t="s">
        <v>10680</v>
      </c>
      <c r="N33" s="22" t="s">
        <v>10681</v>
      </c>
      <c r="O33" s="22" t="s">
        <v>10682</v>
      </c>
      <c r="P33" s="22" t="s">
        <v>10166</v>
      </c>
      <c r="Q33" s="22" t="s">
        <v>10257</v>
      </c>
      <c r="R33" s="22" t="s">
        <v>10683</v>
      </c>
      <c r="S33" s="22" t="s">
        <v>10684</v>
      </c>
      <c r="T33" s="22" t="s">
        <v>10685</v>
      </c>
      <c r="U33" s="22" t="s">
        <v>10686</v>
      </c>
      <c r="V33" s="22" t="s">
        <v>10687</v>
      </c>
      <c r="W33" s="22" t="s">
        <v>10688</v>
      </c>
      <c r="X33" s="22" t="s">
        <v>10304</v>
      </c>
      <c r="Y33" s="32" t="s">
        <v>10689</v>
      </c>
      <c r="Z33" s="22" t="s">
        <v>10690</v>
      </c>
      <c r="AA33" s="22" t="s">
        <v>10691</v>
      </c>
    </row>
    <row r="34" customFormat="false" ht="112.5" hidden="false" customHeight="true" outlineLevel="0" collapsed="false">
      <c r="A34" s="24" t="s">
        <v>10692</v>
      </c>
      <c r="B34" s="22" t="s">
        <v>9248</v>
      </c>
      <c r="C34" s="22" t="s">
        <v>10693</v>
      </c>
      <c r="D34" s="22" t="s">
        <v>10694</v>
      </c>
      <c r="E34" s="35" t="s">
        <v>15</v>
      </c>
      <c r="F34" s="22" t="s">
        <v>10695</v>
      </c>
      <c r="G34" s="22" t="s">
        <v>10696</v>
      </c>
      <c r="H34" s="22" t="s">
        <v>10697</v>
      </c>
      <c r="I34" s="22"/>
      <c r="J34" s="22" t="s">
        <v>10698</v>
      </c>
      <c r="K34" s="22" t="s">
        <v>10699</v>
      </c>
      <c r="L34" s="22" t="s">
        <v>10700</v>
      </c>
      <c r="M34" s="22" t="s">
        <v>10701</v>
      </c>
      <c r="N34" s="22" t="s">
        <v>10702</v>
      </c>
      <c r="O34" s="22"/>
      <c r="P34" s="22" t="s">
        <v>10166</v>
      </c>
      <c r="Q34" s="22" t="s">
        <v>10257</v>
      </c>
      <c r="R34" s="22"/>
      <c r="S34" s="22"/>
      <c r="T34" s="22" t="s">
        <v>10703</v>
      </c>
      <c r="U34" s="22" t="s">
        <v>10704</v>
      </c>
      <c r="V34" s="22" t="s">
        <v>10399</v>
      </c>
      <c r="W34" s="22"/>
      <c r="X34" s="22" t="s">
        <v>10241</v>
      </c>
      <c r="Y34" s="32" t="s">
        <v>10705</v>
      </c>
      <c r="Z34" s="22" t="s">
        <v>10533</v>
      </c>
      <c r="AA34" s="22"/>
    </row>
    <row r="35" customFormat="false" ht="112.5" hidden="false" customHeight="true" outlineLevel="0" collapsed="false">
      <c r="A35" s="24" t="s">
        <v>10706</v>
      </c>
      <c r="B35" s="22" t="s">
        <v>9248</v>
      </c>
      <c r="C35" s="22" t="s">
        <v>10707</v>
      </c>
      <c r="D35" s="22" t="s">
        <v>10708</v>
      </c>
      <c r="E35" s="35" t="s">
        <v>15</v>
      </c>
      <c r="F35" s="22" t="s">
        <v>10709</v>
      </c>
      <c r="G35" s="22" t="s">
        <v>10710</v>
      </c>
      <c r="H35" s="22" t="s">
        <v>10711</v>
      </c>
      <c r="I35" s="22"/>
      <c r="J35" s="22"/>
      <c r="K35" s="22" t="s">
        <v>10712</v>
      </c>
      <c r="L35" s="22" t="s">
        <v>10713</v>
      </c>
      <c r="M35" s="22" t="s">
        <v>10714</v>
      </c>
      <c r="N35" s="22" t="s">
        <v>10715</v>
      </c>
      <c r="O35" s="22"/>
      <c r="P35" s="22" t="s">
        <v>10166</v>
      </c>
      <c r="Q35" s="22" t="s">
        <v>10716</v>
      </c>
      <c r="R35" s="22"/>
      <c r="S35" s="22"/>
      <c r="T35" s="22" t="s">
        <v>10717</v>
      </c>
      <c r="U35" s="22" t="s">
        <v>10718</v>
      </c>
      <c r="V35" s="22" t="s">
        <v>10719</v>
      </c>
      <c r="W35" s="22"/>
      <c r="X35" s="22" t="s">
        <v>10438</v>
      </c>
      <c r="Y35" s="32" t="s">
        <v>10720</v>
      </c>
      <c r="Z35" s="22" t="s">
        <v>10721</v>
      </c>
      <c r="AA35" s="22" t="s">
        <v>10722</v>
      </c>
    </row>
    <row r="36" customFormat="false" ht="124.5" hidden="false" customHeight="true" outlineLevel="0" collapsed="false">
      <c r="A36" s="24" t="s">
        <v>10723</v>
      </c>
      <c r="B36" s="22" t="s">
        <v>9248</v>
      </c>
      <c r="C36" s="22" t="s">
        <v>10724</v>
      </c>
      <c r="D36" s="22" t="s">
        <v>10725</v>
      </c>
      <c r="E36" s="35" t="s">
        <v>15</v>
      </c>
      <c r="F36" s="22" t="s">
        <v>10726</v>
      </c>
      <c r="G36" s="22" t="s">
        <v>10727</v>
      </c>
      <c r="H36" s="22" t="s">
        <v>10728</v>
      </c>
      <c r="I36" s="22" t="s">
        <v>10313</v>
      </c>
      <c r="J36" s="22" t="s">
        <v>10729</v>
      </c>
      <c r="K36" s="22" t="s">
        <v>10730</v>
      </c>
      <c r="L36" s="22" t="s">
        <v>10731</v>
      </c>
      <c r="M36" s="22" t="s">
        <v>10732</v>
      </c>
      <c r="N36" s="22" t="s">
        <v>10702</v>
      </c>
      <c r="O36" s="22" t="s">
        <v>10733</v>
      </c>
      <c r="P36" s="22" t="s">
        <v>10166</v>
      </c>
      <c r="Q36" s="22" t="s">
        <v>10734</v>
      </c>
      <c r="R36" s="22" t="s">
        <v>10735</v>
      </c>
      <c r="S36" s="22" t="s">
        <v>10736</v>
      </c>
      <c r="T36" s="22" t="s">
        <v>10737</v>
      </c>
      <c r="U36" s="22" t="s">
        <v>10738</v>
      </c>
      <c r="V36" s="22" t="s">
        <v>10739</v>
      </c>
      <c r="W36" s="22" t="s">
        <v>10740</v>
      </c>
      <c r="X36" s="22" t="s">
        <v>10304</v>
      </c>
      <c r="Y36" s="32" t="s">
        <v>10741</v>
      </c>
      <c r="Z36" s="22" t="s">
        <v>10742</v>
      </c>
      <c r="AA36" s="22"/>
    </row>
    <row r="37" customFormat="false" ht="112.5" hidden="false" customHeight="true" outlineLevel="0" collapsed="false">
      <c r="A37" s="24" t="s">
        <v>10743</v>
      </c>
      <c r="B37" s="22" t="s">
        <v>9248</v>
      </c>
      <c r="C37" s="22" t="s">
        <v>10744</v>
      </c>
      <c r="D37" s="22" t="s">
        <v>10745</v>
      </c>
      <c r="E37" s="31" t="s">
        <v>19</v>
      </c>
      <c r="F37" s="22" t="s">
        <v>10746</v>
      </c>
      <c r="G37" s="22" t="s">
        <v>10747</v>
      </c>
      <c r="H37" s="22" t="s">
        <v>10748</v>
      </c>
      <c r="I37" s="22"/>
      <c r="J37" s="22" t="s">
        <v>10749</v>
      </c>
      <c r="K37" s="22" t="s">
        <v>10750</v>
      </c>
      <c r="L37" s="22" t="s">
        <v>10751</v>
      </c>
      <c r="M37" s="22" t="s">
        <v>10752</v>
      </c>
      <c r="N37" s="22" t="s">
        <v>10753</v>
      </c>
      <c r="O37" s="22" t="s">
        <v>10754</v>
      </c>
      <c r="P37" s="22" t="s">
        <v>10166</v>
      </c>
      <c r="Q37" s="22" t="s">
        <v>10755</v>
      </c>
      <c r="R37" s="22" t="s">
        <v>10756</v>
      </c>
      <c r="S37" s="22"/>
      <c r="T37" s="22" t="s">
        <v>10757</v>
      </c>
      <c r="U37" s="22"/>
      <c r="V37" s="22" t="s">
        <v>10758</v>
      </c>
      <c r="W37" s="22"/>
      <c r="X37" s="22" t="s">
        <v>10304</v>
      </c>
      <c r="Y37" s="32" t="s">
        <v>10759</v>
      </c>
      <c r="Z37" s="22" t="s">
        <v>10760</v>
      </c>
      <c r="AA37" s="22" t="s">
        <v>10761</v>
      </c>
    </row>
    <row r="38" customFormat="false" ht="137.25" hidden="false" customHeight="true" outlineLevel="0" collapsed="false">
      <c r="A38" s="24" t="s">
        <v>10762</v>
      </c>
      <c r="B38" s="22" t="s">
        <v>9248</v>
      </c>
      <c r="C38" s="22" t="s">
        <v>10763</v>
      </c>
      <c r="D38" s="22" t="s">
        <v>10764</v>
      </c>
      <c r="E38" s="35" t="s">
        <v>15</v>
      </c>
      <c r="F38" s="22" t="s">
        <v>10765</v>
      </c>
      <c r="G38" s="22" t="s">
        <v>10766</v>
      </c>
      <c r="H38" s="22" t="s">
        <v>10767</v>
      </c>
      <c r="I38" s="22" t="s">
        <v>10768</v>
      </c>
      <c r="J38" s="22" t="s">
        <v>10769</v>
      </c>
      <c r="K38" s="22" t="s">
        <v>10770</v>
      </c>
      <c r="L38" s="22" t="s">
        <v>10771</v>
      </c>
      <c r="M38" s="22" t="s">
        <v>10772</v>
      </c>
      <c r="N38" s="22" t="s">
        <v>10773</v>
      </c>
      <c r="O38" s="22" t="s">
        <v>10774</v>
      </c>
      <c r="P38" s="22" t="s">
        <v>10166</v>
      </c>
      <c r="Q38" s="22"/>
      <c r="R38" s="22" t="s">
        <v>10775</v>
      </c>
      <c r="S38" s="22" t="s">
        <v>10776</v>
      </c>
      <c r="T38" s="22" t="s">
        <v>10777</v>
      </c>
      <c r="U38" s="22" t="s">
        <v>10778</v>
      </c>
      <c r="V38" s="22" t="s">
        <v>10779</v>
      </c>
      <c r="W38" s="22" t="s">
        <v>10780</v>
      </c>
      <c r="X38" s="22" t="s">
        <v>10304</v>
      </c>
      <c r="Y38" s="32" t="s">
        <v>10781</v>
      </c>
      <c r="Z38" s="22" t="s">
        <v>10782</v>
      </c>
      <c r="AA38" s="22" t="s">
        <v>10783</v>
      </c>
    </row>
    <row r="39" customFormat="false" ht="162" hidden="false" customHeight="true" outlineLevel="0" collapsed="false">
      <c r="A39" s="24" t="s">
        <v>10784</v>
      </c>
      <c r="B39" s="22" t="s">
        <v>9248</v>
      </c>
      <c r="C39" s="22" t="s">
        <v>10763</v>
      </c>
      <c r="D39" s="22" t="s">
        <v>10785</v>
      </c>
      <c r="E39" s="35" t="s">
        <v>15</v>
      </c>
      <c r="F39" s="22" t="s">
        <v>10786</v>
      </c>
      <c r="G39" s="22" t="s">
        <v>10787</v>
      </c>
      <c r="H39" s="22" t="s">
        <v>10788</v>
      </c>
      <c r="I39" s="22" t="s">
        <v>10313</v>
      </c>
      <c r="J39" s="22"/>
      <c r="K39" s="22" t="s">
        <v>10789</v>
      </c>
      <c r="L39" s="22" t="s">
        <v>10790</v>
      </c>
      <c r="M39" s="22"/>
      <c r="N39" s="22" t="s">
        <v>10791</v>
      </c>
      <c r="O39" s="22"/>
      <c r="P39" s="22" t="s">
        <v>10166</v>
      </c>
      <c r="Q39" s="22"/>
      <c r="R39" s="22" t="s">
        <v>10792</v>
      </c>
      <c r="S39" s="22"/>
      <c r="T39" s="22" t="s">
        <v>10793</v>
      </c>
      <c r="U39" s="22" t="s">
        <v>10794</v>
      </c>
      <c r="V39" s="22" t="s">
        <v>10795</v>
      </c>
      <c r="W39" s="22" t="s">
        <v>10796</v>
      </c>
      <c r="X39" s="22" t="s">
        <v>10438</v>
      </c>
      <c r="Y39" s="32" t="s">
        <v>10797</v>
      </c>
      <c r="Z39" s="22" t="s">
        <v>10798</v>
      </c>
      <c r="AA39" s="22" t="s">
        <v>10799</v>
      </c>
    </row>
    <row r="40" customFormat="false" ht="112.5" hidden="false" customHeight="true" outlineLevel="0" collapsed="false">
      <c r="A40" s="24" t="s">
        <v>10800</v>
      </c>
      <c r="B40" s="22" t="s">
        <v>9248</v>
      </c>
      <c r="C40" s="22" t="s">
        <v>10801</v>
      </c>
      <c r="D40" s="22" t="s">
        <v>10802</v>
      </c>
      <c r="E40" s="35" t="s">
        <v>15</v>
      </c>
      <c r="F40" s="22" t="s">
        <v>10803</v>
      </c>
      <c r="G40" s="22" t="s">
        <v>10804</v>
      </c>
      <c r="H40" s="22" t="s">
        <v>1396</v>
      </c>
      <c r="I40" s="22" t="s">
        <v>10805</v>
      </c>
      <c r="J40" s="22" t="s">
        <v>10806</v>
      </c>
      <c r="K40" s="22" t="s">
        <v>10807</v>
      </c>
      <c r="L40" s="22" t="s">
        <v>10808</v>
      </c>
      <c r="M40" s="22" t="s">
        <v>10809</v>
      </c>
      <c r="N40" s="22"/>
      <c r="O40" s="22"/>
      <c r="P40" s="22" t="s">
        <v>10166</v>
      </c>
      <c r="Q40" s="22" t="s">
        <v>10810</v>
      </c>
      <c r="R40" s="22" t="s">
        <v>10811</v>
      </c>
      <c r="S40" s="22" t="s">
        <v>10812</v>
      </c>
      <c r="T40" s="22" t="s">
        <v>10813</v>
      </c>
      <c r="U40" s="22" t="s">
        <v>10814</v>
      </c>
      <c r="V40" s="22" t="s">
        <v>10815</v>
      </c>
      <c r="W40" s="22" t="s">
        <v>10816</v>
      </c>
      <c r="X40" s="22" t="s">
        <v>10304</v>
      </c>
      <c r="Y40" s="32" t="s">
        <v>10817</v>
      </c>
      <c r="Z40" s="22" t="s">
        <v>10818</v>
      </c>
      <c r="AA40" s="22" t="s">
        <v>10819</v>
      </c>
    </row>
    <row r="41" customFormat="false" ht="112.5" hidden="false" customHeight="true" outlineLevel="0" collapsed="false">
      <c r="A41" s="24" t="s">
        <v>10820</v>
      </c>
      <c r="B41" s="22" t="s">
        <v>9248</v>
      </c>
      <c r="C41" s="22" t="s">
        <v>10801</v>
      </c>
      <c r="D41" s="22" t="s">
        <v>10821</v>
      </c>
      <c r="E41" s="35" t="s">
        <v>15</v>
      </c>
      <c r="F41" s="22" t="s">
        <v>10822</v>
      </c>
      <c r="G41" s="22" t="s">
        <v>10823</v>
      </c>
      <c r="H41" s="22" t="s">
        <v>1396</v>
      </c>
      <c r="I41" s="22" t="s">
        <v>10824</v>
      </c>
      <c r="J41" s="22"/>
      <c r="K41" s="22" t="s">
        <v>10825</v>
      </c>
      <c r="L41" s="22" t="s">
        <v>10826</v>
      </c>
      <c r="M41" s="22"/>
      <c r="N41" s="22"/>
      <c r="O41" s="22"/>
      <c r="P41" s="22" t="s">
        <v>10166</v>
      </c>
      <c r="Q41" s="22" t="s">
        <v>10827</v>
      </c>
      <c r="R41" s="22" t="s">
        <v>10828</v>
      </c>
      <c r="S41" s="22" t="s">
        <v>10829</v>
      </c>
      <c r="T41" s="22" t="s">
        <v>10830</v>
      </c>
      <c r="U41" s="22" t="s">
        <v>10831</v>
      </c>
      <c r="V41" s="22" t="s">
        <v>10832</v>
      </c>
      <c r="W41" s="22" t="s">
        <v>10833</v>
      </c>
      <c r="X41" s="22" t="s">
        <v>10304</v>
      </c>
      <c r="Y41" s="32" t="s">
        <v>10834</v>
      </c>
      <c r="Z41" s="22" t="s">
        <v>10835</v>
      </c>
      <c r="AA41" s="22" t="s">
        <v>10836</v>
      </c>
    </row>
    <row r="42" customFormat="false" ht="199.5" hidden="false" customHeight="true" outlineLevel="0" collapsed="false">
      <c r="A42" s="24" t="s">
        <v>10837</v>
      </c>
      <c r="B42" s="22" t="s">
        <v>9248</v>
      </c>
      <c r="C42" s="22" t="s">
        <v>1391</v>
      </c>
      <c r="D42" s="22" t="s">
        <v>10838</v>
      </c>
      <c r="E42" s="35" t="s">
        <v>15</v>
      </c>
      <c r="F42" s="22" t="s">
        <v>10839</v>
      </c>
      <c r="G42" s="22" t="s">
        <v>10840</v>
      </c>
      <c r="H42" s="22" t="s">
        <v>1396</v>
      </c>
      <c r="I42" s="22"/>
      <c r="J42" s="22" t="s">
        <v>10841</v>
      </c>
      <c r="K42" s="22" t="s">
        <v>10842</v>
      </c>
      <c r="L42" s="22" t="s">
        <v>10843</v>
      </c>
      <c r="M42" s="22" t="s">
        <v>10844</v>
      </c>
      <c r="N42" s="22" t="s">
        <v>10845</v>
      </c>
      <c r="O42" s="22" t="s">
        <v>10846</v>
      </c>
      <c r="P42" s="22" t="s">
        <v>10847</v>
      </c>
      <c r="Q42" s="22" t="s">
        <v>10848</v>
      </c>
      <c r="R42" s="22" t="s">
        <v>10849</v>
      </c>
      <c r="S42" s="22" t="s">
        <v>10850</v>
      </c>
      <c r="T42" s="22" t="s">
        <v>10851</v>
      </c>
      <c r="U42" s="22" t="s">
        <v>10852</v>
      </c>
      <c r="V42" s="22" t="s">
        <v>10853</v>
      </c>
      <c r="W42" s="22" t="s">
        <v>10854</v>
      </c>
      <c r="X42" s="22" t="s">
        <v>10304</v>
      </c>
      <c r="Y42" s="32" t="s">
        <v>10855</v>
      </c>
      <c r="Z42" s="22" t="s">
        <v>10856</v>
      </c>
      <c r="AA42" s="22" t="s">
        <v>10857</v>
      </c>
    </row>
    <row r="43" customFormat="false" ht="112.5" hidden="false" customHeight="true" outlineLevel="0" collapsed="false">
      <c r="A43" s="24" t="s">
        <v>10858</v>
      </c>
      <c r="B43" s="22" t="s">
        <v>9248</v>
      </c>
      <c r="C43" s="22" t="s">
        <v>10859</v>
      </c>
      <c r="D43" s="22" t="s">
        <v>10860</v>
      </c>
      <c r="E43" s="35" t="s">
        <v>15</v>
      </c>
      <c r="F43" s="22" t="s">
        <v>10861</v>
      </c>
      <c r="G43" s="22" t="s">
        <v>10862</v>
      </c>
      <c r="H43" s="22" t="s">
        <v>10863</v>
      </c>
      <c r="I43" s="22"/>
      <c r="J43" s="22"/>
      <c r="K43" s="22" t="s">
        <v>10864</v>
      </c>
      <c r="L43" s="22" t="s">
        <v>10865</v>
      </c>
      <c r="M43" s="22" t="s">
        <v>10866</v>
      </c>
      <c r="N43" s="22" t="s">
        <v>10867</v>
      </c>
      <c r="O43" s="22"/>
      <c r="P43" s="22" t="s">
        <v>10166</v>
      </c>
      <c r="Q43" s="22"/>
      <c r="R43" s="22" t="s">
        <v>10868</v>
      </c>
      <c r="S43" s="22" t="s">
        <v>10869</v>
      </c>
      <c r="T43" s="22" t="s">
        <v>10870</v>
      </c>
      <c r="U43" s="22" t="s">
        <v>10871</v>
      </c>
      <c r="V43" s="22" t="s">
        <v>10872</v>
      </c>
      <c r="W43" s="22" t="s">
        <v>10873</v>
      </c>
      <c r="X43" s="22" t="s">
        <v>10241</v>
      </c>
      <c r="Y43" s="32" t="s">
        <v>10874</v>
      </c>
      <c r="Z43" s="22" t="s">
        <v>10875</v>
      </c>
      <c r="AA43" s="22"/>
    </row>
    <row r="44" customFormat="false" ht="112.5" hidden="false" customHeight="true" outlineLevel="0" collapsed="false">
      <c r="A44" s="24" t="s">
        <v>10876</v>
      </c>
      <c r="B44" s="22" t="s">
        <v>9248</v>
      </c>
      <c r="C44" s="22" t="s">
        <v>10877</v>
      </c>
      <c r="D44" s="22" t="s">
        <v>10878</v>
      </c>
      <c r="E44" s="31" t="s">
        <v>19</v>
      </c>
      <c r="F44" s="22" t="s">
        <v>10879</v>
      </c>
      <c r="G44" s="22" t="s">
        <v>10880</v>
      </c>
      <c r="H44" s="22" t="s">
        <v>10881</v>
      </c>
      <c r="I44" s="22"/>
      <c r="J44" s="22"/>
      <c r="K44" s="22" t="s">
        <v>10882</v>
      </c>
      <c r="L44" s="22" t="s">
        <v>10883</v>
      </c>
      <c r="M44" s="22" t="s">
        <v>10884</v>
      </c>
      <c r="N44" s="22" t="s">
        <v>10885</v>
      </c>
      <c r="O44" s="22" t="s">
        <v>10886</v>
      </c>
      <c r="P44" s="22" t="s">
        <v>10166</v>
      </c>
      <c r="Q44" s="22"/>
      <c r="R44" s="22"/>
      <c r="S44" s="22" t="s">
        <v>10887</v>
      </c>
      <c r="T44" s="22" t="s">
        <v>10888</v>
      </c>
      <c r="U44" s="22" t="s">
        <v>10889</v>
      </c>
      <c r="V44" s="22" t="s">
        <v>10890</v>
      </c>
      <c r="W44" s="22"/>
      <c r="X44" s="22" t="s">
        <v>10891</v>
      </c>
      <c r="Y44" s="32" t="s">
        <v>10892</v>
      </c>
      <c r="Z44" s="22" t="s">
        <v>10893</v>
      </c>
      <c r="AA44" s="22" t="s">
        <v>10894</v>
      </c>
    </row>
    <row r="45" customFormat="false" ht="112.5" hidden="false" customHeight="true" outlineLevel="0" collapsed="false">
      <c r="A45" s="24" t="s">
        <v>10895</v>
      </c>
      <c r="B45" s="22" t="s">
        <v>9248</v>
      </c>
      <c r="C45" s="22" t="s">
        <v>1531</v>
      </c>
      <c r="D45" s="22" t="s">
        <v>10896</v>
      </c>
      <c r="E45" s="31" t="s">
        <v>19</v>
      </c>
      <c r="F45" s="22" t="s">
        <v>10897</v>
      </c>
      <c r="G45" s="22" t="s">
        <v>10898</v>
      </c>
      <c r="H45" s="22" t="s">
        <v>10899</v>
      </c>
      <c r="I45" s="22"/>
      <c r="J45" s="22" t="s">
        <v>10900</v>
      </c>
      <c r="K45" s="22" t="s">
        <v>10901</v>
      </c>
      <c r="L45" s="22" t="s">
        <v>10902</v>
      </c>
      <c r="M45" s="22"/>
      <c r="N45" s="22"/>
      <c r="O45" s="22"/>
      <c r="P45" s="22" t="s">
        <v>10166</v>
      </c>
      <c r="Q45" s="22" t="s">
        <v>10903</v>
      </c>
      <c r="R45" s="22" t="s">
        <v>10904</v>
      </c>
      <c r="S45" s="22"/>
      <c r="T45" s="22" t="s">
        <v>10905</v>
      </c>
      <c r="U45" s="22"/>
      <c r="V45" s="22"/>
      <c r="W45" s="22" t="s">
        <v>10906</v>
      </c>
      <c r="X45" s="22" t="s">
        <v>10438</v>
      </c>
      <c r="Y45" s="32"/>
      <c r="Z45" s="22" t="s">
        <v>10907</v>
      </c>
      <c r="AA45" s="22" t="s">
        <v>10908</v>
      </c>
    </row>
    <row r="46" customFormat="false" ht="112.5" hidden="false" customHeight="true" outlineLevel="0" collapsed="false">
      <c r="A46" s="24" t="s">
        <v>10909</v>
      </c>
      <c r="B46" s="22" t="s">
        <v>9248</v>
      </c>
      <c r="C46" s="22" t="s">
        <v>1531</v>
      </c>
      <c r="D46" s="22" t="s">
        <v>10910</v>
      </c>
      <c r="E46" s="35" t="s">
        <v>15</v>
      </c>
      <c r="F46" s="22" t="s">
        <v>10911</v>
      </c>
      <c r="G46" s="22" t="s">
        <v>10912</v>
      </c>
      <c r="H46" s="22" t="s">
        <v>10913</v>
      </c>
      <c r="I46" s="22"/>
      <c r="J46" s="22" t="s">
        <v>10914</v>
      </c>
      <c r="K46" s="22" t="s">
        <v>10915</v>
      </c>
      <c r="L46" s="22" t="s">
        <v>10916</v>
      </c>
      <c r="M46" s="22" t="s">
        <v>10917</v>
      </c>
      <c r="N46" s="22" t="s">
        <v>10918</v>
      </c>
      <c r="O46" s="22"/>
      <c r="P46" s="22" t="s">
        <v>10166</v>
      </c>
      <c r="Q46" s="22"/>
      <c r="R46" s="22" t="s">
        <v>10919</v>
      </c>
      <c r="S46" s="22"/>
      <c r="T46" s="22" t="s">
        <v>10920</v>
      </c>
      <c r="U46" s="22" t="s">
        <v>10921</v>
      </c>
      <c r="V46" s="22" t="s">
        <v>10922</v>
      </c>
      <c r="W46" s="22" t="s">
        <v>10923</v>
      </c>
      <c r="X46" s="22" t="s">
        <v>10304</v>
      </c>
      <c r="Y46" s="32" t="s">
        <v>10924</v>
      </c>
      <c r="Z46" s="22" t="s">
        <v>10925</v>
      </c>
      <c r="AA46" s="22"/>
    </row>
    <row r="47" customFormat="false" ht="112.5" hidden="false" customHeight="true" outlineLevel="0" collapsed="false">
      <c r="A47" s="24" t="s">
        <v>10926</v>
      </c>
      <c r="B47" s="22" t="s">
        <v>9248</v>
      </c>
      <c r="C47" s="22" t="s">
        <v>10927</v>
      </c>
      <c r="D47" s="22" t="s">
        <v>10928</v>
      </c>
      <c r="E47" s="35" t="s">
        <v>15</v>
      </c>
      <c r="F47" s="22" t="s">
        <v>10929</v>
      </c>
      <c r="G47" s="22" t="s">
        <v>10930</v>
      </c>
      <c r="H47" s="22" t="s">
        <v>10931</v>
      </c>
      <c r="I47" s="22"/>
      <c r="J47" s="22"/>
      <c r="K47" s="22" t="s">
        <v>10932</v>
      </c>
      <c r="L47" s="22" t="s">
        <v>10933</v>
      </c>
      <c r="M47" s="22"/>
      <c r="N47" s="22"/>
      <c r="O47" s="22" t="s">
        <v>10934</v>
      </c>
      <c r="P47" s="22" t="s">
        <v>10166</v>
      </c>
      <c r="Q47" s="22" t="s">
        <v>10935</v>
      </c>
      <c r="R47" s="22" t="s">
        <v>10936</v>
      </c>
      <c r="S47" s="22"/>
      <c r="T47" s="22" t="s">
        <v>10937</v>
      </c>
      <c r="U47" s="22"/>
      <c r="V47" s="22" t="s">
        <v>10938</v>
      </c>
      <c r="W47" s="22" t="s">
        <v>10939</v>
      </c>
      <c r="X47" s="22" t="s">
        <v>10241</v>
      </c>
      <c r="Y47" s="32"/>
      <c r="Z47" s="22" t="s">
        <v>10940</v>
      </c>
      <c r="AA47" s="22"/>
    </row>
    <row r="48" customFormat="false" ht="112.5" hidden="false" customHeight="true" outlineLevel="0" collapsed="false">
      <c r="A48" s="24" t="s">
        <v>10941</v>
      </c>
      <c r="B48" s="22" t="s">
        <v>9248</v>
      </c>
      <c r="C48" s="22" t="s">
        <v>10942</v>
      </c>
      <c r="D48" s="22" t="s">
        <v>10943</v>
      </c>
      <c r="E48" s="31" t="s">
        <v>19</v>
      </c>
      <c r="F48" s="22" t="s">
        <v>10944</v>
      </c>
      <c r="G48" s="22" t="s">
        <v>10945</v>
      </c>
      <c r="H48" s="22" t="s">
        <v>10946</v>
      </c>
      <c r="I48" s="22"/>
      <c r="J48" s="22" t="s">
        <v>10947</v>
      </c>
      <c r="K48" s="22" t="s">
        <v>10948</v>
      </c>
      <c r="L48" s="22" t="s">
        <v>10949</v>
      </c>
      <c r="M48" s="22" t="s">
        <v>10950</v>
      </c>
      <c r="N48" s="22" t="s">
        <v>10951</v>
      </c>
      <c r="O48" s="22"/>
      <c r="P48" s="22" t="s">
        <v>10166</v>
      </c>
      <c r="Q48" s="22"/>
      <c r="R48" s="22" t="s">
        <v>10952</v>
      </c>
      <c r="S48" s="22" t="s">
        <v>10953</v>
      </c>
      <c r="T48" s="22" t="s">
        <v>10954</v>
      </c>
      <c r="U48" s="22"/>
      <c r="V48" s="22"/>
      <c r="W48" s="22" t="s">
        <v>10955</v>
      </c>
      <c r="X48" s="22" t="s">
        <v>10304</v>
      </c>
      <c r="Y48" s="32" t="s">
        <v>10956</v>
      </c>
      <c r="Z48" s="22" t="s">
        <v>10957</v>
      </c>
      <c r="AA48" s="22" t="s">
        <v>10958</v>
      </c>
    </row>
    <row r="49" customFormat="false" ht="112.5" hidden="false" customHeight="true" outlineLevel="0" collapsed="false">
      <c r="A49" s="24" t="s">
        <v>10959</v>
      </c>
      <c r="B49" s="22" t="s">
        <v>9248</v>
      </c>
      <c r="C49" s="22" t="s">
        <v>10942</v>
      </c>
      <c r="D49" s="22" t="s">
        <v>10960</v>
      </c>
      <c r="E49" s="33" t="s">
        <v>21</v>
      </c>
      <c r="F49" s="22" t="s">
        <v>10961</v>
      </c>
      <c r="G49" s="22" t="s">
        <v>10962</v>
      </c>
      <c r="H49" s="22" t="s">
        <v>10963</v>
      </c>
      <c r="I49" s="22"/>
      <c r="J49" s="22" t="s">
        <v>10964</v>
      </c>
      <c r="K49" s="22" t="s">
        <v>10965</v>
      </c>
      <c r="L49" s="22" t="s">
        <v>10966</v>
      </c>
      <c r="M49" s="22" t="s">
        <v>10967</v>
      </c>
      <c r="N49" s="22"/>
      <c r="O49" s="22"/>
      <c r="P49" s="22" t="s">
        <v>10166</v>
      </c>
      <c r="Q49" s="22"/>
      <c r="R49" s="22" t="s">
        <v>10968</v>
      </c>
      <c r="S49" s="22" t="s">
        <v>10969</v>
      </c>
      <c r="T49" s="22" t="s">
        <v>10970</v>
      </c>
      <c r="U49" s="22"/>
      <c r="V49" s="22"/>
      <c r="W49" s="22" t="s">
        <v>10971</v>
      </c>
      <c r="X49" s="22" t="s">
        <v>10304</v>
      </c>
      <c r="Y49" s="32"/>
      <c r="Z49" s="22" t="s">
        <v>10972</v>
      </c>
      <c r="AA49" s="22" t="s">
        <v>10973</v>
      </c>
    </row>
    <row r="50" customFormat="false" ht="112.5" hidden="false" customHeight="true" outlineLevel="0" collapsed="false">
      <c r="A50" s="24" t="s">
        <v>10974</v>
      </c>
      <c r="B50" s="22" t="s">
        <v>9248</v>
      </c>
      <c r="C50" s="22" t="s">
        <v>10942</v>
      </c>
      <c r="D50" s="22" t="s">
        <v>10975</v>
      </c>
      <c r="E50" s="31" t="s">
        <v>19</v>
      </c>
      <c r="F50" s="22" t="s">
        <v>10976</v>
      </c>
      <c r="G50" s="22" t="s">
        <v>10977</v>
      </c>
      <c r="H50" s="22" t="s">
        <v>10978</v>
      </c>
      <c r="I50" s="22"/>
      <c r="J50" s="22" t="s">
        <v>10979</v>
      </c>
      <c r="K50" s="22" t="s">
        <v>10980</v>
      </c>
      <c r="L50" s="22" t="s">
        <v>10981</v>
      </c>
      <c r="M50" s="22" t="s">
        <v>10982</v>
      </c>
      <c r="N50" s="22"/>
      <c r="O50" s="22"/>
      <c r="P50" s="22" t="s">
        <v>10166</v>
      </c>
      <c r="Q50" s="22"/>
      <c r="R50" s="22"/>
      <c r="S50" s="22" t="s">
        <v>10983</v>
      </c>
      <c r="T50" s="22" t="s">
        <v>10984</v>
      </c>
      <c r="U50" s="22"/>
      <c r="V50" s="22"/>
      <c r="W50" s="22" t="s">
        <v>10985</v>
      </c>
      <c r="X50" s="22" t="s">
        <v>10986</v>
      </c>
      <c r="Y50" s="32"/>
      <c r="Z50" s="22" t="s">
        <v>10987</v>
      </c>
      <c r="AA50" s="22" t="s">
        <v>10988</v>
      </c>
    </row>
    <row r="51" customFormat="false" ht="75" hidden="false" customHeight="true" outlineLevel="0" collapsed="false">
      <c r="A51" s="24" t="s">
        <v>10989</v>
      </c>
      <c r="B51" s="22" t="s">
        <v>9248</v>
      </c>
      <c r="C51" s="22" t="s">
        <v>10990</v>
      </c>
      <c r="D51" s="22" t="s">
        <v>10991</v>
      </c>
      <c r="E51" s="33" t="s">
        <v>21</v>
      </c>
      <c r="F51" s="22" t="s">
        <v>10992</v>
      </c>
      <c r="G51" s="22" t="s">
        <v>10993</v>
      </c>
      <c r="H51" s="22" t="s">
        <v>10994</v>
      </c>
      <c r="I51" s="22"/>
      <c r="J51" s="22"/>
      <c r="K51" s="22" t="s">
        <v>10995</v>
      </c>
      <c r="L51" s="22" t="s">
        <v>10996</v>
      </c>
      <c r="M51" s="22" t="s">
        <v>10997</v>
      </c>
      <c r="N51" s="22"/>
      <c r="O51" s="22"/>
      <c r="P51" s="22" t="s">
        <v>10998</v>
      </c>
      <c r="Q51" s="22"/>
      <c r="R51" s="22" t="s">
        <v>10999</v>
      </c>
      <c r="S51" s="22"/>
      <c r="T51" s="22" t="s">
        <v>11000</v>
      </c>
      <c r="U51" s="22" t="s">
        <v>11001</v>
      </c>
      <c r="V51" s="22" t="s">
        <v>11002</v>
      </c>
      <c r="W51" s="22" t="s">
        <v>11003</v>
      </c>
      <c r="X51" s="22" t="s">
        <v>10438</v>
      </c>
      <c r="Y51" s="32" t="s">
        <v>11004</v>
      </c>
      <c r="Z51" s="22" t="s">
        <v>11005</v>
      </c>
      <c r="AA51" s="22" t="s">
        <v>11006</v>
      </c>
    </row>
    <row r="52" customFormat="false" ht="112.5" hidden="false" customHeight="true" outlineLevel="0" collapsed="false">
      <c r="A52" s="24" t="s">
        <v>11007</v>
      </c>
      <c r="B52" s="22" t="s">
        <v>9248</v>
      </c>
      <c r="C52" s="22" t="s">
        <v>11008</v>
      </c>
      <c r="D52" s="22" t="s">
        <v>11009</v>
      </c>
      <c r="E52" s="34" t="s">
        <v>17</v>
      </c>
      <c r="F52" s="22" t="s">
        <v>11010</v>
      </c>
      <c r="G52" s="22" t="s">
        <v>11011</v>
      </c>
      <c r="H52" s="22" t="s">
        <v>11012</v>
      </c>
      <c r="I52" s="22" t="s">
        <v>11013</v>
      </c>
      <c r="J52" s="22" t="s">
        <v>11014</v>
      </c>
      <c r="K52" s="22" t="s">
        <v>11015</v>
      </c>
      <c r="L52" s="22" t="s">
        <v>11016</v>
      </c>
      <c r="M52" s="22" t="s">
        <v>11017</v>
      </c>
      <c r="N52" s="22"/>
      <c r="O52" s="22" t="s">
        <v>11018</v>
      </c>
      <c r="P52" s="22" t="s">
        <v>10166</v>
      </c>
      <c r="Q52" s="22"/>
      <c r="R52" s="22" t="s">
        <v>11019</v>
      </c>
      <c r="S52" s="22"/>
      <c r="T52" s="22" t="s">
        <v>11020</v>
      </c>
      <c r="U52" s="22"/>
      <c r="V52" s="22" t="s">
        <v>11021</v>
      </c>
      <c r="W52" s="22"/>
      <c r="X52" s="22" t="s">
        <v>10438</v>
      </c>
      <c r="Y52" s="32" t="s">
        <v>11022</v>
      </c>
      <c r="Z52" s="22" t="s">
        <v>11023</v>
      </c>
      <c r="AA52" s="22" t="s">
        <v>11024</v>
      </c>
    </row>
    <row r="53" customFormat="false" ht="124.5" hidden="false" customHeight="true" outlineLevel="0" collapsed="false">
      <c r="A53" s="24" t="s">
        <v>11025</v>
      </c>
      <c r="B53" s="22" t="s">
        <v>9248</v>
      </c>
      <c r="C53" s="22" t="s">
        <v>10801</v>
      </c>
      <c r="D53" s="22" t="s">
        <v>11026</v>
      </c>
      <c r="E53" s="31" t="s">
        <v>19</v>
      </c>
      <c r="F53" s="22" t="s">
        <v>11027</v>
      </c>
      <c r="G53" s="22" t="s">
        <v>11028</v>
      </c>
      <c r="H53" s="22"/>
      <c r="I53" s="22" t="s">
        <v>10183</v>
      </c>
      <c r="J53" s="22"/>
      <c r="K53" s="22" t="s">
        <v>11029</v>
      </c>
      <c r="L53" s="22" t="s">
        <v>11030</v>
      </c>
      <c r="M53" s="22"/>
      <c r="N53" s="22"/>
      <c r="O53" s="22"/>
      <c r="P53" s="22" t="s">
        <v>10166</v>
      </c>
      <c r="Q53" s="22"/>
      <c r="R53" s="22" t="s">
        <v>11031</v>
      </c>
      <c r="S53" s="22"/>
      <c r="T53" s="22" t="s">
        <v>11032</v>
      </c>
      <c r="U53" s="22"/>
      <c r="V53" s="22"/>
      <c r="W53" s="22"/>
      <c r="X53" s="22" t="s">
        <v>10438</v>
      </c>
      <c r="Y53" s="32"/>
      <c r="Z53" s="22" t="s">
        <v>11033</v>
      </c>
      <c r="AA53" s="22" t="s">
        <v>11034</v>
      </c>
    </row>
    <row r="54" customFormat="false" ht="112.5" hidden="false" customHeight="true" outlineLevel="0" collapsed="false">
      <c r="A54" s="24" t="s">
        <v>11035</v>
      </c>
      <c r="B54" s="22" t="s">
        <v>9248</v>
      </c>
      <c r="C54" s="22" t="s">
        <v>11036</v>
      </c>
      <c r="D54" s="22" t="s">
        <v>11037</v>
      </c>
      <c r="E54" s="33" t="s">
        <v>21</v>
      </c>
      <c r="F54" s="22" t="s">
        <v>11038</v>
      </c>
      <c r="G54" s="22" t="s">
        <v>11039</v>
      </c>
      <c r="H54" s="22" t="s">
        <v>11040</v>
      </c>
      <c r="I54" s="22"/>
      <c r="J54" s="22"/>
      <c r="K54" s="22" t="s">
        <v>11041</v>
      </c>
      <c r="L54" s="22" t="s">
        <v>11042</v>
      </c>
      <c r="M54" s="22" t="s">
        <v>11043</v>
      </c>
      <c r="N54" s="22" t="s">
        <v>11044</v>
      </c>
      <c r="O54" s="22"/>
      <c r="P54" s="22" t="s">
        <v>10166</v>
      </c>
      <c r="Q54" s="22"/>
      <c r="R54" s="22"/>
      <c r="S54" s="22"/>
      <c r="T54" s="22" t="s">
        <v>11045</v>
      </c>
      <c r="U54" s="22"/>
      <c r="V54" s="22"/>
      <c r="W54" s="22"/>
      <c r="X54" s="22" t="s">
        <v>11046</v>
      </c>
      <c r="Y54" s="32"/>
      <c r="Z54" s="22" t="s">
        <v>11047</v>
      </c>
      <c r="AA54" s="22" t="s">
        <v>11048</v>
      </c>
    </row>
  </sheetData>
  <autoFilter ref="A5:AA54"/>
  <mergeCells count="2">
    <mergeCell ref="A1:Z1"/>
    <mergeCell ref="A2:AA2"/>
  </mergeCells>
  <dataValidations count="1">
    <dataValidation allowBlank="true" errorStyle="stop" operator="between" showDropDown="false" showErrorMessage="false" showInputMessage="false" sqref="E6:E1054"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58</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11049</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9</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174.75" hidden="false" customHeight="true" outlineLevel="0" collapsed="false">
      <c r="A6" s="24" t="s">
        <v>11050</v>
      </c>
      <c r="B6" s="22" t="s">
        <v>9248</v>
      </c>
      <c r="C6" s="22" t="s">
        <v>11051</v>
      </c>
      <c r="D6" s="22" t="s">
        <v>11052</v>
      </c>
      <c r="E6" s="35" t="s">
        <v>15</v>
      </c>
      <c r="F6" s="22" t="s">
        <v>11053</v>
      </c>
      <c r="G6" s="22" t="s">
        <v>11054</v>
      </c>
      <c r="H6" s="22" t="s">
        <v>11055</v>
      </c>
      <c r="I6" s="22" t="s">
        <v>10273</v>
      </c>
      <c r="J6" s="22" t="s">
        <v>11056</v>
      </c>
      <c r="K6" s="22" t="s">
        <v>11057</v>
      </c>
      <c r="L6" s="22" t="s">
        <v>11058</v>
      </c>
      <c r="M6" s="22" t="s">
        <v>11059</v>
      </c>
      <c r="N6" s="22" t="s">
        <v>11060</v>
      </c>
      <c r="O6" s="22" t="s">
        <v>11061</v>
      </c>
      <c r="P6" s="22" t="s">
        <v>10166</v>
      </c>
      <c r="Q6" s="22" t="s">
        <v>11062</v>
      </c>
      <c r="R6" s="22" t="s">
        <v>11063</v>
      </c>
      <c r="S6" s="22"/>
      <c r="T6" s="22" t="s">
        <v>11064</v>
      </c>
      <c r="U6" s="22" t="s">
        <v>11065</v>
      </c>
      <c r="V6" s="22" t="s">
        <v>11066</v>
      </c>
      <c r="W6" s="22" t="s">
        <v>11067</v>
      </c>
      <c r="X6" s="22" t="s">
        <v>10304</v>
      </c>
      <c r="Y6" s="32" t="s">
        <v>11068</v>
      </c>
      <c r="Z6" s="22" t="s">
        <v>11069</v>
      </c>
      <c r="AA6" s="22" t="s">
        <v>11070</v>
      </c>
    </row>
    <row r="7" customFormat="false" ht="112.5" hidden="false" customHeight="true" outlineLevel="0" collapsed="false">
      <c r="A7" s="24" t="s">
        <v>11071</v>
      </c>
      <c r="B7" s="22" t="s">
        <v>9248</v>
      </c>
      <c r="C7" s="22" t="s">
        <v>11072</v>
      </c>
      <c r="D7" s="22" t="s">
        <v>11073</v>
      </c>
      <c r="E7" s="35" t="s">
        <v>15</v>
      </c>
      <c r="F7" s="22" t="s">
        <v>11074</v>
      </c>
      <c r="G7" s="22" t="s">
        <v>11075</v>
      </c>
      <c r="H7" s="22" t="s">
        <v>11076</v>
      </c>
      <c r="I7" s="22"/>
      <c r="J7" s="22"/>
      <c r="K7" s="22" t="s">
        <v>11077</v>
      </c>
      <c r="L7" s="22" t="s">
        <v>11078</v>
      </c>
      <c r="M7" s="22" t="s">
        <v>11079</v>
      </c>
      <c r="N7" s="22" t="s">
        <v>11080</v>
      </c>
      <c r="O7" s="22" t="s">
        <v>11081</v>
      </c>
      <c r="P7" s="22" t="s">
        <v>10166</v>
      </c>
      <c r="Q7" s="22" t="s">
        <v>11062</v>
      </c>
      <c r="R7" s="22"/>
      <c r="S7" s="22"/>
      <c r="T7" s="22" t="s">
        <v>11082</v>
      </c>
      <c r="U7" s="22"/>
      <c r="V7" s="22"/>
      <c r="W7" s="22"/>
      <c r="X7" s="22" t="s">
        <v>10241</v>
      </c>
      <c r="Y7" s="32"/>
      <c r="Z7" s="22" t="s">
        <v>11083</v>
      </c>
      <c r="AA7" s="22"/>
    </row>
    <row r="8" customFormat="false" ht="137.25" hidden="false" customHeight="true" outlineLevel="0" collapsed="false">
      <c r="A8" s="24" t="s">
        <v>11084</v>
      </c>
      <c r="B8" s="22" t="s">
        <v>9248</v>
      </c>
      <c r="C8" s="22" t="s">
        <v>11085</v>
      </c>
      <c r="D8" s="22" t="s">
        <v>11086</v>
      </c>
      <c r="E8" s="31" t="s">
        <v>19</v>
      </c>
      <c r="F8" s="22" t="s">
        <v>11087</v>
      </c>
      <c r="G8" s="22" t="s">
        <v>11088</v>
      </c>
      <c r="H8" s="22" t="s">
        <v>11089</v>
      </c>
      <c r="I8" s="22" t="s">
        <v>11090</v>
      </c>
      <c r="J8" s="22" t="s">
        <v>11091</v>
      </c>
      <c r="K8" s="22" t="s">
        <v>11092</v>
      </c>
      <c r="L8" s="22" t="s">
        <v>11093</v>
      </c>
      <c r="M8" s="22" t="s">
        <v>11094</v>
      </c>
      <c r="N8" s="22" t="s">
        <v>11095</v>
      </c>
      <c r="O8" s="22" t="s">
        <v>11096</v>
      </c>
      <c r="P8" s="22" t="s">
        <v>10166</v>
      </c>
      <c r="Q8" s="22" t="s">
        <v>11062</v>
      </c>
      <c r="R8" s="22" t="s">
        <v>11097</v>
      </c>
      <c r="S8" s="22"/>
      <c r="T8" s="22" t="s">
        <v>11098</v>
      </c>
      <c r="U8" s="22" t="s">
        <v>11099</v>
      </c>
      <c r="V8" s="22" t="s">
        <v>11100</v>
      </c>
      <c r="W8" s="22"/>
      <c r="X8" s="22" t="s">
        <v>10304</v>
      </c>
      <c r="Y8" s="32" t="s">
        <v>11101</v>
      </c>
      <c r="Z8" s="22" t="s">
        <v>11102</v>
      </c>
      <c r="AA8" s="22" t="s">
        <v>11103</v>
      </c>
    </row>
    <row r="9" customFormat="false" ht="150" hidden="false" customHeight="true" outlineLevel="0" collapsed="false">
      <c r="A9" s="24" t="s">
        <v>11104</v>
      </c>
      <c r="B9" s="22" t="s">
        <v>9248</v>
      </c>
      <c r="C9" s="22" t="s">
        <v>11105</v>
      </c>
      <c r="D9" s="22" t="s">
        <v>11106</v>
      </c>
      <c r="E9" s="35" t="s">
        <v>15</v>
      </c>
      <c r="F9" s="22" t="s">
        <v>11107</v>
      </c>
      <c r="G9" s="22" t="s">
        <v>11108</v>
      </c>
      <c r="H9" s="22" t="s">
        <v>11109</v>
      </c>
      <c r="I9" s="22" t="s">
        <v>10273</v>
      </c>
      <c r="J9" s="22" t="s">
        <v>11110</v>
      </c>
      <c r="K9" s="22" t="s">
        <v>11111</v>
      </c>
      <c r="L9" s="22" t="s">
        <v>11112</v>
      </c>
      <c r="M9" s="22" t="s">
        <v>11113</v>
      </c>
      <c r="N9" s="22" t="s">
        <v>11114</v>
      </c>
      <c r="O9" s="22" t="s">
        <v>11115</v>
      </c>
      <c r="P9" s="22" t="s">
        <v>10166</v>
      </c>
      <c r="Q9" s="22" t="s">
        <v>11062</v>
      </c>
      <c r="R9" s="22"/>
      <c r="S9" s="22"/>
      <c r="T9" s="22" t="s">
        <v>11116</v>
      </c>
      <c r="U9" s="22"/>
      <c r="V9" s="22" t="s">
        <v>11117</v>
      </c>
      <c r="W9" s="22"/>
      <c r="X9" s="22" t="s">
        <v>10241</v>
      </c>
      <c r="Y9" s="32" t="s">
        <v>11118</v>
      </c>
      <c r="Z9" s="22" t="s">
        <v>11119</v>
      </c>
      <c r="AA9" s="22" t="s">
        <v>11120</v>
      </c>
    </row>
    <row r="10" customFormat="false" ht="112.5" hidden="false" customHeight="true" outlineLevel="0" collapsed="false">
      <c r="A10" s="24" t="s">
        <v>11121</v>
      </c>
      <c r="B10" s="22" t="s">
        <v>9248</v>
      </c>
      <c r="C10" s="22" t="s">
        <v>11122</v>
      </c>
      <c r="D10" s="22" t="s">
        <v>11123</v>
      </c>
      <c r="E10" s="35" t="s">
        <v>15</v>
      </c>
      <c r="F10" s="22" t="s">
        <v>11124</v>
      </c>
      <c r="G10" s="22" t="s">
        <v>11125</v>
      </c>
      <c r="H10" s="22" t="s">
        <v>11126</v>
      </c>
      <c r="I10" s="22" t="s">
        <v>11127</v>
      </c>
      <c r="J10" s="22"/>
      <c r="K10" s="22" t="s">
        <v>11128</v>
      </c>
      <c r="L10" s="22" t="s">
        <v>11129</v>
      </c>
      <c r="M10" s="22" t="s">
        <v>11130</v>
      </c>
      <c r="N10" s="22" t="s">
        <v>11131</v>
      </c>
      <c r="O10" s="22" t="s">
        <v>11132</v>
      </c>
      <c r="P10" s="22" t="s">
        <v>10166</v>
      </c>
      <c r="Q10" s="22" t="s">
        <v>11062</v>
      </c>
      <c r="R10" s="22"/>
      <c r="S10" s="22"/>
      <c r="T10" s="22" t="s">
        <v>11133</v>
      </c>
      <c r="U10" s="22"/>
      <c r="V10" s="22"/>
      <c r="W10" s="22" t="s">
        <v>11134</v>
      </c>
      <c r="X10" s="22" t="s">
        <v>10304</v>
      </c>
      <c r="Y10" s="32"/>
      <c r="Z10" s="22" t="s">
        <v>11135</v>
      </c>
      <c r="AA10" s="22" t="s">
        <v>11136</v>
      </c>
    </row>
    <row r="11" customFormat="false" ht="124.5" hidden="false" customHeight="true" outlineLevel="0" collapsed="false">
      <c r="A11" s="24" t="s">
        <v>11137</v>
      </c>
      <c r="B11" s="22" t="s">
        <v>9248</v>
      </c>
      <c r="C11" s="22" t="s">
        <v>11051</v>
      </c>
      <c r="D11" s="22" t="s">
        <v>11138</v>
      </c>
      <c r="E11" s="35" t="s">
        <v>15</v>
      </c>
      <c r="F11" s="22" t="s">
        <v>11139</v>
      </c>
      <c r="G11" s="22" t="s">
        <v>11140</v>
      </c>
      <c r="H11" s="22" t="s">
        <v>11141</v>
      </c>
      <c r="I11" s="22" t="s">
        <v>10313</v>
      </c>
      <c r="J11" s="22"/>
      <c r="K11" s="22" t="s">
        <v>11142</v>
      </c>
      <c r="L11" s="22" t="s">
        <v>11143</v>
      </c>
      <c r="M11" s="22"/>
      <c r="N11" s="22" t="s">
        <v>10791</v>
      </c>
      <c r="O11" s="22"/>
      <c r="P11" s="22" t="s">
        <v>10166</v>
      </c>
      <c r="Q11" s="22"/>
      <c r="R11" s="22" t="s">
        <v>11144</v>
      </c>
      <c r="S11" s="22"/>
      <c r="T11" s="22" t="s">
        <v>11145</v>
      </c>
      <c r="U11" s="22"/>
      <c r="V11" s="22"/>
      <c r="W11" s="22" t="s">
        <v>11146</v>
      </c>
      <c r="X11" s="22" t="s">
        <v>10241</v>
      </c>
      <c r="Y11" s="32"/>
      <c r="Z11" s="22" t="s">
        <v>11147</v>
      </c>
      <c r="AA11" s="22" t="s">
        <v>11148</v>
      </c>
    </row>
    <row r="12" customFormat="false" ht="112.5" hidden="false" customHeight="true" outlineLevel="0" collapsed="false">
      <c r="A12" s="24" t="s">
        <v>11149</v>
      </c>
      <c r="B12" s="22" t="s">
        <v>9248</v>
      </c>
      <c r="C12" s="22" t="s">
        <v>11150</v>
      </c>
      <c r="D12" s="22" t="s">
        <v>11151</v>
      </c>
      <c r="E12" s="35" t="s">
        <v>15</v>
      </c>
      <c r="F12" s="22" t="s">
        <v>11152</v>
      </c>
      <c r="G12" s="22" t="s">
        <v>11153</v>
      </c>
      <c r="H12" s="22" t="s">
        <v>11154</v>
      </c>
      <c r="I12" s="22"/>
      <c r="J12" s="22"/>
      <c r="K12" s="22" t="s">
        <v>11155</v>
      </c>
      <c r="L12" s="22" t="s">
        <v>11156</v>
      </c>
      <c r="M12" s="22" t="s">
        <v>11157</v>
      </c>
      <c r="N12" s="22" t="s">
        <v>11158</v>
      </c>
      <c r="O12" s="22" t="s">
        <v>11159</v>
      </c>
      <c r="P12" s="22" t="s">
        <v>10166</v>
      </c>
      <c r="Q12" s="22"/>
      <c r="R12" s="22"/>
      <c r="S12" s="22"/>
      <c r="T12" s="22" t="s">
        <v>11160</v>
      </c>
      <c r="U12" s="22"/>
      <c r="V12" s="22"/>
      <c r="W12" s="22"/>
      <c r="X12" s="22" t="s">
        <v>10304</v>
      </c>
      <c r="Y12" s="32"/>
      <c r="Z12" s="22" t="s">
        <v>11161</v>
      </c>
      <c r="AA12" s="22" t="s">
        <v>11162</v>
      </c>
    </row>
    <row r="13" customFormat="false" ht="199.5" hidden="false" customHeight="true" outlineLevel="0" collapsed="false">
      <c r="A13" s="24" t="s">
        <v>11163</v>
      </c>
      <c r="B13" s="22" t="s">
        <v>9248</v>
      </c>
      <c r="C13" s="22" t="s">
        <v>11164</v>
      </c>
      <c r="D13" s="22" t="s">
        <v>11165</v>
      </c>
      <c r="E13" s="31" t="s">
        <v>19</v>
      </c>
      <c r="F13" s="22" t="s">
        <v>11166</v>
      </c>
      <c r="G13" s="22" t="s">
        <v>11167</v>
      </c>
      <c r="H13" s="22" t="s">
        <v>11168</v>
      </c>
      <c r="I13" s="22"/>
      <c r="J13" s="22"/>
      <c r="K13" s="22" t="s">
        <v>11169</v>
      </c>
      <c r="L13" s="22" t="s">
        <v>11170</v>
      </c>
      <c r="M13" s="22" t="s">
        <v>11171</v>
      </c>
      <c r="N13" s="22" t="s">
        <v>11172</v>
      </c>
      <c r="O13" s="22"/>
      <c r="P13" s="22" t="s">
        <v>10166</v>
      </c>
      <c r="Q13" s="22" t="s">
        <v>11062</v>
      </c>
      <c r="R13" s="22"/>
      <c r="S13" s="22"/>
      <c r="T13" s="22" t="s">
        <v>11173</v>
      </c>
      <c r="U13" s="22"/>
      <c r="V13" s="22"/>
      <c r="W13" s="22"/>
      <c r="X13" s="22" t="s">
        <v>10304</v>
      </c>
      <c r="Y13" s="32"/>
      <c r="Z13" s="22" t="s">
        <v>11174</v>
      </c>
      <c r="AA13" s="22" t="s">
        <v>11175</v>
      </c>
    </row>
    <row r="14" customFormat="false" ht="112.5" hidden="false" customHeight="true" outlineLevel="0" collapsed="false">
      <c r="A14" s="24" t="s">
        <v>11176</v>
      </c>
      <c r="B14" s="22" t="s">
        <v>9248</v>
      </c>
      <c r="C14" s="22" t="s">
        <v>11177</v>
      </c>
      <c r="D14" s="22" t="s">
        <v>11178</v>
      </c>
      <c r="E14" s="31" t="s">
        <v>19</v>
      </c>
      <c r="F14" s="22" t="s">
        <v>11179</v>
      </c>
      <c r="G14" s="22" t="s">
        <v>11180</v>
      </c>
      <c r="H14" s="22" t="s">
        <v>11181</v>
      </c>
      <c r="I14" s="22"/>
      <c r="J14" s="22"/>
      <c r="K14" s="22" t="s">
        <v>11182</v>
      </c>
      <c r="L14" s="22" t="s">
        <v>11183</v>
      </c>
      <c r="M14" s="22"/>
      <c r="N14" s="22"/>
      <c r="O14" s="22"/>
      <c r="P14" s="22" t="s">
        <v>10166</v>
      </c>
      <c r="Q14" s="22"/>
      <c r="R14" s="22"/>
      <c r="S14" s="22" t="s">
        <v>11184</v>
      </c>
      <c r="T14" s="22"/>
      <c r="U14" s="22"/>
      <c r="V14" s="22"/>
      <c r="W14" s="22" t="s">
        <v>11185</v>
      </c>
      <c r="X14" s="22" t="s">
        <v>10304</v>
      </c>
      <c r="Y14" s="32"/>
      <c r="Z14" s="22" t="s">
        <v>11186</v>
      </c>
      <c r="AA14" s="22" t="s">
        <v>11187</v>
      </c>
    </row>
  </sheetData>
  <autoFilter ref="A5:AA14"/>
  <mergeCells count="2">
    <mergeCell ref="A1:Z1"/>
    <mergeCell ref="A2:AA2"/>
  </mergeCells>
  <dataValidations count="1">
    <dataValidation allowBlank="true" errorStyle="stop" operator="between" showDropDown="false" showErrorMessage="false" showInputMessage="false" sqref="E6:E1014"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3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60</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11188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33</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174.75" hidden="false" customHeight="true" outlineLevel="0" collapsed="false">
      <c r="A6" s="24" t="s">
        <v>11189</v>
      </c>
      <c r="B6" s="22" t="s">
        <v>9248</v>
      </c>
      <c r="C6" s="22" t="s">
        <v>11190</v>
      </c>
      <c r="D6" s="22" t="s">
        <v>11191</v>
      </c>
      <c r="E6" s="34" t="s">
        <v>17</v>
      </c>
      <c r="F6" s="22" t="s">
        <v>11192</v>
      </c>
      <c r="G6" s="22" t="s">
        <v>11193</v>
      </c>
      <c r="H6" s="22" t="s">
        <v>11194</v>
      </c>
      <c r="I6" s="22" t="s">
        <v>11195</v>
      </c>
      <c r="J6" s="22" t="s">
        <v>11196</v>
      </c>
      <c r="K6" s="22" t="s">
        <v>11197</v>
      </c>
      <c r="L6" s="22" t="s">
        <v>11198</v>
      </c>
      <c r="M6" s="22" t="s">
        <v>11199</v>
      </c>
      <c r="N6" s="22" t="s">
        <v>2954</v>
      </c>
      <c r="O6" s="22" t="s">
        <v>11200</v>
      </c>
      <c r="P6" s="22" t="s">
        <v>2954</v>
      </c>
      <c r="Q6" s="22" t="s">
        <v>2954</v>
      </c>
      <c r="R6" s="22" t="s">
        <v>11201</v>
      </c>
      <c r="S6" s="22" t="s">
        <v>11202</v>
      </c>
      <c r="T6" s="22" t="s">
        <v>11203</v>
      </c>
      <c r="U6" s="22" t="s">
        <v>11204</v>
      </c>
      <c r="V6" s="22" t="s">
        <v>11205</v>
      </c>
      <c r="W6" s="22" t="s">
        <v>11206</v>
      </c>
      <c r="X6" s="22" t="s">
        <v>11207</v>
      </c>
      <c r="Y6" s="32" t="s">
        <v>11208</v>
      </c>
      <c r="Z6" s="22" t="s">
        <v>11209</v>
      </c>
      <c r="AA6" s="22" t="s">
        <v>11210</v>
      </c>
    </row>
    <row r="7" customFormat="false" ht="237" hidden="false" customHeight="true" outlineLevel="0" collapsed="false">
      <c r="A7" s="24" t="s">
        <v>11211</v>
      </c>
      <c r="B7" s="22" t="s">
        <v>9248</v>
      </c>
      <c r="C7" s="22" t="s">
        <v>11212</v>
      </c>
      <c r="D7" s="22" t="s">
        <v>11213</v>
      </c>
      <c r="E7" s="31" t="s">
        <v>19</v>
      </c>
      <c r="F7" s="22" t="s">
        <v>11214</v>
      </c>
      <c r="G7" s="22" t="s">
        <v>11215</v>
      </c>
      <c r="H7" s="22" t="s">
        <v>11216</v>
      </c>
      <c r="I7" s="22" t="s">
        <v>11217</v>
      </c>
      <c r="J7" s="22" t="s">
        <v>11218</v>
      </c>
      <c r="K7" s="22" t="s">
        <v>11219</v>
      </c>
      <c r="L7" s="22" t="s">
        <v>11220</v>
      </c>
      <c r="M7" s="22" t="s">
        <v>11221</v>
      </c>
      <c r="N7" s="22" t="s">
        <v>11222</v>
      </c>
      <c r="O7" s="22" t="s">
        <v>11223</v>
      </c>
      <c r="P7" s="22" t="s">
        <v>2954</v>
      </c>
      <c r="Q7" s="22" t="s">
        <v>11224</v>
      </c>
      <c r="R7" s="22" t="s">
        <v>11225</v>
      </c>
      <c r="S7" s="22" t="s">
        <v>11226</v>
      </c>
      <c r="T7" s="22" t="s">
        <v>11227</v>
      </c>
      <c r="U7" s="22" t="s">
        <v>11228</v>
      </c>
      <c r="V7" s="22" t="s">
        <v>11229</v>
      </c>
      <c r="W7" s="22" t="s">
        <v>11230</v>
      </c>
      <c r="X7" s="22" t="s">
        <v>10304</v>
      </c>
      <c r="Y7" s="32" t="s">
        <v>11231</v>
      </c>
      <c r="Z7" s="22" t="s">
        <v>11232</v>
      </c>
      <c r="AA7" s="22" t="s">
        <v>11233</v>
      </c>
    </row>
    <row r="8" customFormat="false" ht="199.5" hidden="false" customHeight="true" outlineLevel="0" collapsed="false">
      <c r="A8" s="24" t="s">
        <v>11234</v>
      </c>
      <c r="B8" s="22" t="s">
        <v>9248</v>
      </c>
      <c r="C8" s="22" t="s">
        <v>1107</v>
      </c>
      <c r="D8" s="22" t="s">
        <v>11235</v>
      </c>
      <c r="E8" s="31" t="s">
        <v>19</v>
      </c>
      <c r="F8" s="22" t="s">
        <v>11236</v>
      </c>
      <c r="G8" s="22" t="s">
        <v>11237</v>
      </c>
      <c r="H8" s="22" t="s">
        <v>11238</v>
      </c>
      <c r="I8" s="22" t="s">
        <v>11239</v>
      </c>
      <c r="J8" s="22" t="s">
        <v>11240</v>
      </c>
      <c r="K8" s="22" t="s">
        <v>11241</v>
      </c>
      <c r="L8" s="22" t="s">
        <v>11242</v>
      </c>
      <c r="M8" s="22" t="s">
        <v>11243</v>
      </c>
      <c r="N8" s="22" t="s">
        <v>11244</v>
      </c>
      <c r="O8" s="22" t="s">
        <v>11245</v>
      </c>
      <c r="P8" s="22" t="s">
        <v>11246</v>
      </c>
      <c r="Q8" s="22" t="s">
        <v>11247</v>
      </c>
      <c r="R8" s="22" t="s">
        <v>11248</v>
      </c>
      <c r="S8" s="22" t="s">
        <v>11249</v>
      </c>
      <c r="T8" s="22" t="s">
        <v>11250</v>
      </c>
      <c r="U8" s="22" t="s">
        <v>11251</v>
      </c>
      <c r="V8" s="22" t="s">
        <v>11252</v>
      </c>
      <c r="W8" s="22" t="s">
        <v>11253</v>
      </c>
      <c r="X8" s="22" t="s">
        <v>11254</v>
      </c>
      <c r="Y8" s="32" t="s">
        <v>11255</v>
      </c>
      <c r="Z8" s="22" t="s">
        <v>11256</v>
      </c>
      <c r="AA8" s="22" t="s">
        <v>11257</v>
      </c>
    </row>
    <row r="9" customFormat="false" ht="137.25" hidden="false" customHeight="true" outlineLevel="0" collapsed="false">
      <c r="A9" s="24" t="s">
        <v>11258</v>
      </c>
      <c r="B9" s="22" t="s">
        <v>9248</v>
      </c>
      <c r="C9" s="22" t="s">
        <v>11259</v>
      </c>
      <c r="D9" s="22" t="s">
        <v>11260</v>
      </c>
      <c r="E9" s="31" t="s">
        <v>19</v>
      </c>
      <c r="F9" s="22" t="s">
        <v>11261</v>
      </c>
      <c r="G9" s="22" t="s">
        <v>11262</v>
      </c>
      <c r="H9" s="22" t="s">
        <v>11263</v>
      </c>
      <c r="I9" s="22" t="s">
        <v>11264</v>
      </c>
      <c r="J9" s="22" t="s">
        <v>11265</v>
      </c>
      <c r="K9" s="22" t="s">
        <v>11266</v>
      </c>
      <c r="L9" s="22" t="s">
        <v>11267</v>
      </c>
      <c r="M9" s="22" t="s">
        <v>11268</v>
      </c>
      <c r="N9" s="22" t="s">
        <v>11269</v>
      </c>
      <c r="O9" s="22" t="s">
        <v>11270</v>
      </c>
      <c r="P9" s="22" t="s">
        <v>11271</v>
      </c>
      <c r="Q9" s="22" t="s">
        <v>11272</v>
      </c>
      <c r="R9" s="22" t="s">
        <v>11273</v>
      </c>
      <c r="S9" s="22" t="s">
        <v>11274</v>
      </c>
      <c r="T9" s="22" t="s">
        <v>11275</v>
      </c>
      <c r="U9" s="22" t="s">
        <v>11276</v>
      </c>
      <c r="V9" s="22" t="s">
        <v>11277</v>
      </c>
      <c r="W9" s="22" t="s">
        <v>11278</v>
      </c>
      <c r="X9" s="22" t="s">
        <v>10304</v>
      </c>
      <c r="Y9" s="32" t="s">
        <v>11279</v>
      </c>
      <c r="Z9" s="22" t="s">
        <v>11280</v>
      </c>
      <c r="AA9" s="22" t="s">
        <v>11281</v>
      </c>
    </row>
    <row r="10" customFormat="false" ht="408.75" hidden="false" customHeight="true" outlineLevel="0" collapsed="false">
      <c r="A10" s="24" t="s">
        <v>11282</v>
      </c>
      <c r="B10" s="22" t="s">
        <v>9248</v>
      </c>
      <c r="C10" s="22" t="s">
        <v>11283</v>
      </c>
      <c r="D10" s="22" t="s">
        <v>11284</v>
      </c>
      <c r="E10" s="35" t="s">
        <v>15</v>
      </c>
      <c r="F10" s="22" t="s">
        <v>11285</v>
      </c>
      <c r="G10" s="22" t="s">
        <v>11286</v>
      </c>
      <c r="H10" s="22" t="s">
        <v>11287</v>
      </c>
      <c r="I10" s="22" t="s">
        <v>11288</v>
      </c>
      <c r="J10" s="22" t="s">
        <v>11289</v>
      </c>
      <c r="K10" s="22" t="s">
        <v>11290</v>
      </c>
      <c r="L10" s="22" t="s">
        <v>11291</v>
      </c>
      <c r="M10" s="22" t="s">
        <v>11292</v>
      </c>
      <c r="N10" s="22" t="s">
        <v>11293</v>
      </c>
      <c r="O10" s="22" t="s">
        <v>11294</v>
      </c>
      <c r="P10" s="22" t="s">
        <v>11295</v>
      </c>
      <c r="Q10" s="22" t="s">
        <v>2954</v>
      </c>
      <c r="R10" s="22" t="s">
        <v>11296</v>
      </c>
      <c r="S10" s="22" t="s">
        <v>11297</v>
      </c>
      <c r="T10" s="22" t="s">
        <v>11298</v>
      </c>
      <c r="U10" s="22" t="s">
        <v>11299</v>
      </c>
      <c r="V10" s="22" t="s">
        <v>11300</v>
      </c>
      <c r="W10" s="22" t="s">
        <v>11301</v>
      </c>
      <c r="X10" s="22" t="s">
        <v>11302</v>
      </c>
      <c r="Y10" s="32" t="s">
        <v>11303</v>
      </c>
      <c r="Z10" s="22" t="s">
        <v>11304</v>
      </c>
      <c r="AA10" s="22" t="s">
        <v>11305</v>
      </c>
    </row>
    <row r="11" customFormat="false" ht="212.25" hidden="false" customHeight="true" outlineLevel="0" collapsed="false">
      <c r="A11" s="24" t="s">
        <v>11306</v>
      </c>
      <c r="B11" s="22" t="s">
        <v>9248</v>
      </c>
      <c r="C11" s="22" t="s">
        <v>11307</v>
      </c>
      <c r="D11" s="22" t="s">
        <v>11308</v>
      </c>
      <c r="E11" s="31" t="s">
        <v>19</v>
      </c>
      <c r="F11" s="22" t="s">
        <v>11309</v>
      </c>
      <c r="G11" s="22" t="s">
        <v>11310</v>
      </c>
      <c r="H11" s="22" t="s">
        <v>11311</v>
      </c>
      <c r="I11" s="22" t="s">
        <v>11312</v>
      </c>
      <c r="J11" s="22" t="s">
        <v>11313</v>
      </c>
      <c r="K11" s="22" t="s">
        <v>11314</v>
      </c>
      <c r="L11" s="22" t="s">
        <v>11315</v>
      </c>
      <c r="M11" s="22" t="s">
        <v>11316</v>
      </c>
      <c r="N11" s="22" t="s">
        <v>11317</v>
      </c>
      <c r="O11" s="22" t="s">
        <v>11318</v>
      </c>
      <c r="P11" s="22" t="s">
        <v>11246</v>
      </c>
      <c r="Q11" s="22" t="s">
        <v>2954</v>
      </c>
      <c r="R11" s="22" t="s">
        <v>11319</v>
      </c>
      <c r="S11" s="22" t="s">
        <v>11320</v>
      </c>
      <c r="T11" s="22" t="s">
        <v>11321</v>
      </c>
      <c r="U11" s="22" t="s">
        <v>11322</v>
      </c>
      <c r="V11" s="22" t="s">
        <v>11323</v>
      </c>
      <c r="W11" s="22" t="s">
        <v>11324</v>
      </c>
      <c r="X11" s="22" t="s">
        <v>10304</v>
      </c>
      <c r="Y11" s="32" t="s">
        <v>11325</v>
      </c>
      <c r="Z11" s="22" t="s">
        <v>11326</v>
      </c>
      <c r="AA11" s="22" t="s">
        <v>11327</v>
      </c>
    </row>
    <row r="12" customFormat="false" ht="199.5" hidden="false" customHeight="true" outlineLevel="0" collapsed="false">
      <c r="A12" s="24" t="s">
        <v>11328</v>
      </c>
      <c r="B12" s="22" t="s">
        <v>9248</v>
      </c>
      <c r="C12" s="22" t="s">
        <v>11329</v>
      </c>
      <c r="D12" s="22" t="s">
        <v>11330</v>
      </c>
      <c r="E12" s="31" t="s">
        <v>19</v>
      </c>
      <c r="F12" s="22" t="s">
        <v>11331</v>
      </c>
      <c r="G12" s="22" t="s">
        <v>11332</v>
      </c>
      <c r="H12" s="22" t="s">
        <v>11333</v>
      </c>
      <c r="I12" s="22" t="s">
        <v>11334</v>
      </c>
      <c r="J12" s="22" t="s">
        <v>11335</v>
      </c>
      <c r="K12" s="22" t="s">
        <v>11336</v>
      </c>
      <c r="L12" s="22" t="s">
        <v>11337</v>
      </c>
      <c r="M12" s="22" t="s">
        <v>11338</v>
      </c>
      <c r="N12" s="22" t="s">
        <v>11339</v>
      </c>
      <c r="O12" s="22" t="s">
        <v>11340</v>
      </c>
      <c r="P12" s="22" t="s">
        <v>11341</v>
      </c>
      <c r="Q12" s="22" t="s">
        <v>11342</v>
      </c>
      <c r="R12" s="22" t="s">
        <v>11343</v>
      </c>
      <c r="S12" s="22" t="s">
        <v>11344</v>
      </c>
      <c r="T12" s="22" t="s">
        <v>11345</v>
      </c>
      <c r="U12" s="22" t="s">
        <v>11346</v>
      </c>
      <c r="V12" s="22" t="s">
        <v>11347</v>
      </c>
      <c r="W12" s="22" t="s">
        <v>11348</v>
      </c>
      <c r="X12" s="22" t="s">
        <v>11349</v>
      </c>
      <c r="Y12" s="32" t="s">
        <v>11350</v>
      </c>
      <c r="Z12" s="22" t="s">
        <v>11351</v>
      </c>
      <c r="AA12" s="22" t="s">
        <v>11352</v>
      </c>
    </row>
    <row r="13" customFormat="false" ht="237" hidden="false" customHeight="true" outlineLevel="0" collapsed="false">
      <c r="A13" s="24" t="s">
        <v>11353</v>
      </c>
      <c r="B13" s="22" t="s">
        <v>9248</v>
      </c>
      <c r="C13" s="22" t="s">
        <v>11329</v>
      </c>
      <c r="D13" s="22" t="s">
        <v>11354</v>
      </c>
      <c r="E13" s="31" t="s">
        <v>19</v>
      </c>
      <c r="F13" s="22" t="s">
        <v>11355</v>
      </c>
      <c r="G13" s="22" t="s">
        <v>11356</v>
      </c>
      <c r="H13" s="22" t="s">
        <v>11357</v>
      </c>
      <c r="I13" s="22" t="s">
        <v>11358</v>
      </c>
      <c r="J13" s="22" t="s">
        <v>11359</v>
      </c>
      <c r="K13" s="22" t="s">
        <v>11360</v>
      </c>
      <c r="L13" s="22" t="s">
        <v>11361</v>
      </c>
      <c r="M13" s="22" t="s">
        <v>11362</v>
      </c>
      <c r="N13" s="22" t="s">
        <v>11363</v>
      </c>
      <c r="O13" s="22" t="s">
        <v>11364</v>
      </c>
      <c r="P13" s="22" t="s">
        <v>11246</v>
      </c>
      <c r="Q13" s="22" t="s">
        <v>11365</v>
      </c>
      <c r="R13" s="22" t="s">
        <v>11366</v>
      </c>
      <c r="S13" s="22" t="s">
        <v>11367</v>
      </c>
      <c r="T13" s="22" t="s">
        <v>11368</v>
      </c>
      <c r="U13" s="22" t="s">
        <v>11369</v>
      </c>
      <c r="V13" s="22" t="s">
        <v>11370</v>
      </c>
      <c r="W13" s="22" t="s">
        <v>11371</v>
      </c>
      <c r="X13" s="22" t="s">
        <v>11372</v>
      </c>
      <c r="Y13" s="32" t="s">
        <v>11373</v>
      </c>
      <c r="Z13" s="22" t="s">
        <v>11374</v>
      </c>
      <c r="AA13" s="22" t="s">
        <v>11375</v>
      </c>
    </row>
    <row r="14" customFormat="false" ht="162" hidden="false" customHeight="true" outlineLevel="0" collapsed="false">
      <c r="A14" s="24" t="s">
        <v>11376</v>
      </c>
      <c r="B14" s="22" t="s">
        <v>9248</v>
      </c>
      <c r="C14" s="22" t="s">
        <v>11377</v>
      </c>
      <c r="D14" s="22" t="s">
        <v>11378</v>
      </c>
      <c r="E14" s="31" t="s">
        <v>19</v>
      </c>
      <c r="F14" s="22" t="s">
        <v>11379</v>
      </c>
      <c r="G14" s="22" t="s">
        <v>11380</v>
      </c>
      <c r="H14" s="22" t="s">
        <v>11381</v>
      </c>
      <c r="I14" s="22" t="s">
        <v>11382</v>
      </c>
      <c r="J14" s="22" t="s">
        <v>11383</v>
      </c>
      <c r="K14" s="22" t="s">
        <v>11384</v>
      </c>
      <c r="L14" s="22" t="s">
        <v>11385</v>
      </c>
      <c r="M14" s="22" t="s">
        <v>11386</v>
      </c>
      <c r="N14" s="22" t="s">
        <v>11387</v>
      </c>
      <c r="O14" s="22" t="s">
        <v>11388</v>
      </c>
      <c r="P14" s="22" t="s">
        <v>2954</v>
      </c>
      <c r="Q14" s="22" t="s">
        <v>11389</v>
      </c>
      <c r="R14" s="22" t="s">
        <v>11390</v>
      </c>
      <c r="S14" s="22" t="s">
        <v>11391</v>
      </c>
      <c r="T14" s="22" t="s">
        <v>11392</v>
      </c>
      <c r="U14" s="22" t="s">
        <v>11393</v>
      </c>
      <c r="V14" s="22" t="s">
        <v>11394</v>
      </c>
      <c r="W14" s="22" t="s">
        <v>11395</v>
      </c>
      <c r="X14" s="22" t="s">
        <v>11396</v>
      </c>
      <c r="Y14" s="32" t="s">
        <v>11397</v>
      </c>
      <c r="Z14" s="22" t="s">
        <v>11398</v>
      </c>
      <c r="AA14" s="22" t="s">
        <v>11399</v>
      </c>
    </row>
    <row r="15" customFormat="false" ht="99.75" hidden="false" customHeight="true" outlineLevel="0" collapsed="false">
      <c r="A15" s="24" t="s">
        <v>11400</v>
      </c>
      <c r="B15" s="22" t="s">
        <v>9248</v>
      </c>
      <c r="C15" s="22" t="s">
        <v>11377</v>
      </c>
      <c r="D15" s="22" t="s">
        <v>11401</v>
      </c>
      <c r="E15" s="34" t="s">
        <v>17</v>
      </c>
      <c r="F15" s="22" t="s">
        <v>11402</v>
      </c>
      <c r="G15" s="22" t="s">
        <v>11403</v>
      </c>
      <c r="H15" s="22" t="s">
        <v>11404</v>
      </c>
      <c r="I15" s="22" t="s">
        <v>11405</v>
      </c>
      <c r="J15" s="22" t="s">
        <v>11406</v>
      </c>
      <c r="K15" s="22" t="s">
        <v>11407</v>
      </c>
      <c r="L15" s="22" t="s">
        <v>11408</v>
      </c>
      <c r="M15" s="22" t="s">
        <v>11409</v>
      </c>
      <c r="N15" s="22" t="s">
        <v>11410</v>
      </c>
      <c r="O15" s="22" t="s">
        <v>11411</v>
      </c>
      <c r="P15" s="22" t="s">
        <v>2954</v>
      </c>
      <c r="Q15" s="22" t="s">
        <v>11412</v>
      </c>
      <c r="R15" s="22" t="s">
        <v>11413</v>
      </c>
      <c r="S15" s="22" t="s">
        <v>11414</v>
      </c>
      <c r="T15" s="22" t="s">
        <v>11415</v>
      </c>
      <c r="U15" s="22" t="s">
        <v>11416</v>
      </c>
      <c r="V15" s="22" t="s">
        <v>11417</v>
      </c>
      <c r="W15" s="22" t="s">
        <v>11418</v>
      </c>
      <c r="X15" s="22" t="s">
        <v>10304</v>
      </c>
      <c r="Y15" s="32" t="s">
        <v>11419</v>
      </c>
      <c r="Z15" s="22" t="s">
        <v>11420</v>
      </c>
      <c r="AA15" s="22" t="s">
        <v>11421</v>
      </c>
    </row>
    <row r="16" customFormat="false" ht="212.25" hidden="false" customHeight="true" outlineLevel="0" collapsed="false">
      <c r="A16" s="24" t="s">
        <v>11422</v>
      </c>
      <c r="B16" s="22" t="s">
        <v>9248</v>
      </c>
      <c r="C16" s="22" t="s">
        <v>11423</v>
      </c>
      <c r="D16" s="22" t="s">
        <v>11424</v>
      </c>
      <c r="E16" s="31" t="s">
        <v>19</v>
      </c>
      <c r="F16" s="22" t="s">
        <v>11425</v>
      </c>
      <c r="G16" s="22" t="s">
        <v>11426</v>
      </c>
      <c r="H16" s="22" t="s">
        <v>11427</v>
      </c>
      <c r="I16" s="22" t="s">
        <v>11428</v>
      </c>
      <c r="J16" s="22" t="s">
        <v>11429</v>
      </c>
      <c r="K16" s="22" t="s">
        <v>11430</v>
      </c>
      <c r="L16" s="22" t="s">
        <v>11431</v>
      </c>
      <c r="M16" s="22" t="s">
        <v>11432</v>
      </c>
      <c r="N16" s="22" t="s">
        <v>11433</v>
      </c>
      <c r="O16" s="22" t="s">
        <v>11434</v>
      </c>
      <c r="P16" s="22" t="s">
        <v>11435</v>
      </c>
      <c r="Q16" s="22" t="s">
        <v>11436</v>
      </c>
      <c r="R16" s="22" t="s">
        <v>11437</v>
      </c>
      <c r="S16" s="22" t="s">
        <v>11438</v>
      </c>
      <c r="T16" s="22" t="s">
        <v>11439</v>
      </c>
      <c r="U16" s="22" t="s">
        <v>11440</v>
      </c>
      <c r="V16" s="22" t="s">
        <v>11441</v>
      </c>
      <c r="W16" s="22" t="s">
        <v>11442</v>
      </c>
      <c r="X16" s="22" t="s">
        <v>10304</v>
      </c>
      <c r="Y16" s="32" t="s">
        <v>11443</v>
      </c>
      <c r="Z16" s="22" t="s">
        <v>11444</v>
      </c>
      <c r="AA16" s="22" t="s">
        <v>11445</v>
      </c>
    </row>
    <row r="17" customFormat="false" ht="312" hidden="false" customHeight="true" outlineLevel="0" collapsed="false">
      <c r="A17" s="24" t="s">
        <v>11446</v>
      </c>
      <c r="B17" s="22" t="s">
        <v>9248</v>
      </c>
      <c r="C17" s="22" t="s">
        <v>11423</v>
      </c>
      <c r="D17" s="22" t="s">
        <v>11447</v>
      </c>
      <c r="E17" s="31" t="s">
        <v>19</v>
      </c>
      <c r="F17" s="22" t="s">
        <v>11448</v>
      </c>
      <c r="G17" s="22" t="s">
        <v>11449</v>
      </c>
      <c r="H17" s="22" t="s">
        <v>11450</v>
      </c>
      <c r="I17" s="22" t="s">
        <v>11451</v>
      </c>
      <c r="J17" s="22" t="s">
        <v>11452</v>
      </c>
      <c r="K17" s="22" t="s">
        <v>11453</v>
      </c>
      <c r="L17" s="22" t="s">
        <v>11454</v>
      </c>
      <c r="M17" s="22" t="s">
        <v>11455</v>
      </c>
      <c r="N17" s="22" t="s">
        <v>11456</v>
      </c>
      <c r="O17" s="22" t="s">
        <v>11457</v>
      </c>
      <c r="P17" s="22" t="s">
        <v>11458</v>
      </c>
      <c r="Q17" s="22" t="s">
        <v>11459</v>
      </c>
      <c r="R17" s="22" t="s">
        <v>11460</v>
      </c>
      <c r="S17" s="22" t="s">
        <v>11461</v>
      </c>
      <c r="T17" s="22" t="s">
        <v>11462</v>
      </c>
      <c r="U17" s="22" t="s">
        <v>11463</v>
      </c>
      <c r="V17" s="22" t="s">
        <v>11464</v>
      </c>
      <c r="W17" s="22" t="s">
        <v>11465</v>
      </c>
      <c r="X17" s="22" t="s">
        <v>11466</v>
      </c>
      <c r="Y17" s="32" t="s">
        <v>11467</v>
      </c>
      <c r="Z17" s="22" t="s">
        <v>11468</v>
      </c>
      <c r="AA17" s="22" t="s">
        <v>11469</v>
      </c>
    </row>
    <row r="18" customFormat="false" ht="137.25" hidden="false" customHeight="true" outlineLevel="0" collapsed="false">
      <c r="A18" s="24" t="s">
        <v>11470</v>
      </c>
      <c r="B18" s="22" t="s">
        <v>9248</v>
      </c>
      <c r="C18" s="22" t="s">
        <v>11423</v>
      </c>
      <c r="D18" s="22" t="s">
        <v>11471</v>
      </c>
      <c r="E18" s="33" t="s">
        <v>21</v>
      </c>
      <c r="F18" s="22" t="s">
        <v>11472</v>
      </c>
      <c r="G18" s="22" t="s">
        <v>11473</v>
      </c>
      <c r="H18" s="22" t="s">
        <v>11474</v>
      </c>
      <c r="I18" s="22" t="s">
        <v>11475</v>
      </c>
      <c r="J18" s="22" t="s">
        <v>11476</v>
      </c>
      <c r="K18" s="22" t="s">
        <v>11477</v>
      </c>
      <c r="L18" s="22" t="s">
        <v>11478</v>
      </c>
      <c r="M18" s="22" t="s">
        <v>11479</v>
      </c>
      <c r="N18" s="22" t="s">
        <v>11480</v>
      </c>
      <c r="O18" s="22" t="s">
        <v>11481</v>
      </c>
      <c r="P18" s="22" t="s">
        <v>11246</v>
      </c>
      <c r="Q18" s="22" t="s">
        <v>11482</v>
      </c>
      <c r="R18" s="22" t="s">
        <v>11483</v>
      </c>
      <c r="S18" s="22" t="s">
        <v>11484</v>
      </c>
      <c r="T18" s="22" t="s">
        <v>11485</v>
      </c>
      <c r="U18" s="22" t="s">
        <v>11486</v>
      </c>
      <c r="V18" s="22" t="s">
        <v>11487</v>
      </c>
      <c r="W18" s="22" t="s">
        <v>11488</v>
      </c>
      <c r="X18" s="22" t="s">
        <v>10325</v>
      </c>
      <c r="Y18" s="32" t="s">
        <v>11489</v>
      </c>
      <c r="Z18" s="22" t="s">
        <v>11490</v>
      </c>
      <c r="AA18" s="22" t="s">
        <v>11491</v>
      </c>
    </row>
    <row r="19" customFormat="false" ht="174.75" hidden="false" customHeight="true" outlineLevel="0" collapsed="false">
      <c r="A19" s="24" t="s">
        <v>11492</v>
      </c>
      <c r="B19" s="22" t="s">
        <v>9248</v>
      </c>
      <c r="C19" s="22" t="s">
        <v>11423</v>
      </c>
      <c r="D19" s="22" t="s">
        <v>11493</v>
      </c>
      <c r="E19" s="35" t="s">
        <v>15</v>
      </c>
      <c r="F19" s="22" t="s">
        <v>11494</v>
      </c>
      <c r="G19" s="22" t="s">
        <v>11495</v>
      </c>
      <c r="H19" s="22" t="s">
        <v>11496</v>
      </c>
      <c r="I19" s="22" t="s">
        <v>11497</v>
      </c>
      <c r="J19" s="22" t="s">
        <v>11498</v>
      </c>
      <c r="K19" s="22" t="s">
        <v>11499</v>
      </c>
      <c r="L19" s="22" t="s">
        <v>11500</v>
      </c>
      <c r="M19" s="22" t="s">
        <v>11501</v>
      </c>
      <c r="N19" s="22" t="s">
        <v>11502</v>
      </c>
      <c r="O19" s="22" t="s">
        <v>11503</v>
      </c>
      <c r="P19" s="22" t="s">
        <v>2954</v>
      </c>
      <c r="Q19" s="22" t="s">
        <v>11504</v>
      </c>
      <c r="R19" s="22" t="s">
        <v>11505</v>
      </c>
      <c r="S19" s="22" t="s">
        <v>11506</v>
      </c>
      <c r="T19" s="22" t="s">
        <v>11507</v>
      </c>
      <c r="U19" s="22" t="s">
        <v>11508</v>
      </c>
      <c r="V19" s="22" t="s">
        <v>11509</v>
      </c>
      <c r="W19" s="22" t="s">
        <v>11510</v>
      </c>
      <c r="X19" s="22" t="s">
        <v>10325</v>
      </c>
      <c r="Y19" s="32" t="s">
        <v>11511</v>
      </c>
      <c r="Z19" s="22" t="s">
        <v>11512</v>
      </c>
      <c r="AA19" s="22" t="s">
        <v>11513</v>
      </c>
    </row>
    <row r="20" customFormat="false" ht="225" hidden="false" customHeight="true" outlineLevel="0" collapsed="false">
      <c r="A20" s="24" t="s">
        <v>11514</v>
      </c>
      <c r="B20" s="22" t="s">
        <v>9248</v>
      </c>
      <c r="C20" s="22" t="s">
        <v>11515</v>
      </c>
      <c r="D20" s="22" t="s">
        <v>11516</v>
      </c>
      <c r="E20" s="35" t="s">
        <v>15</v>
      </c>
      <c r="F20" s="22" t="s">
        <v>11517</v>
      </c>
      <c r="G20" s="22" t="s">
        <v>11518</v>
      </c>
      <c r="H20" s="22" t="s">
        <v>11519</v>
      </c>
      <c r="I20" s="22" t="s">
        <v>11520</v>
      </c>
      <c r="J20" s="22" t="s">
        <v>11521</v>
      </c>
      <c r="K20" s="22" t="s">
        <v>11522</v>
      </c>
      <c r="L20" s="22" t="s">
        <v>11523</v>
      </c>
      <c r="M20" s="22" t="s">
        <v>11524</v>
      </c>
      <c r="N20" s="22" t="s">
        <v>11525</v>
      </c>
      <c r="O20" s="22" t="s">
        <v>11526</v>
      </c>
      <c r="P20" s="22" t="s">
        <v>11246</v>
      </c>
      <c r="Q20" s="22" t="s">
        <v>11527</v>
      </c>
      <c r="R20" s="22" t="s">
        <v>11528</v>
      </c>
      <c r="S20" s="22" t="s">
        <v>11529</v>
      </c>
      <c r="T20" s="22" t="s">
        <v>11530</v>
      </c>
      <c r="U20" s="22" t="s">
        <v>11531</v>
      </c>
      <c r="V20" s="22" t="s">
        <v>11532</v>
      </c>
      <c r="W20" s="22" t="s">
        <v>11533</v>
      </c>
      <c r="X20" s="22" t="s">
        <v>10304</v>
      </c>
      <c r="Y20" s="32" t="s">
        <v>11534</v>
      </c>
      <c r="Z20" s="22" t="s">
        <v>11535</v>
      </c>
      <c r="AA20" s="22" t="s">
        <v>11536</v>
      </c>
    </row>
    <row r="21" customFormat="false" ht="174.75" hidden="false" customHeight="true" outlineLevel="0" collapsed="false">
      <c r="A21" s="24" t="s">
        <v>11537</v>
      </c>
      <c r="B21" s="22" t="s">
        <v>9248</v>
      </c>
      <c r="C21" s="22" t="s">
        <v>11515</v>
      </c>
      <c r="D21" s="22" t="s">
        <v>11538</v>
      </c>
      <c r="E21" s="35" t="s">
        <v>15</v>
      </c>
      <c r="F21" s="22" t="s">
        <v>11539</v>
      </c>
      <c r="G21" s="22" t="s">
        <v>11540</v>
      </c>
      <c r="H21" s="22" t="s">
        <v>11541</v>
      </c>
      <c r="I21" s="22" t="s">
        <v>11542</v>
      </c>
      <c r="J21" s="22" t="s">
        <v>11543</v>
      </c>
      <c r="K21" s="22" t="s">
        <v>11544</v>
      </c>
      <c r="L21" s="22" t="s">
        <v>11545</v>
      </c>
      <c r="M21" s="22" t="s">
        <v>11546</v>
      </c>
      <c r="N21" s="22" t="s">
        <v>11547</v>
      </c>
      <c r="O21" s="22" t="s">
        <v>11548</v>
      </c>
      <c r="P21" s="22" t="s">
        <v>11246</v>
      </c>
      <c r="Q21" s="22" t="s">
        <v>11549</v>
      </c>
      <c r="R21" s="22" t="s">
        <v>11550</v>
      </c>
      <c r="S21" s="22" t="s">
        <v>11551</v>
      </c>
      <c r="T21" s="22" t="s">
        <v>11552</v>
      </c>
      <c r="U21" s="22" t="s">
        <v>11553</v>
      </c>
      <c r="V21" s="22" t="s">
        <v>11554</v>
      </c>
      <c r="W21" s="22" t="s">
        <v>11555</v>
      </c>
      <c r="X21" s="22" t="s">
        <v>10304</v>
      </c>
      <c r="Y21" s="32" t="s">
        <v>11556</v>
      </c>
      <c r="Z21" s="22" t="s">
        <v>11557</v>
      </c>
      <c r="AA21" s="22" t="s">
        <v>11558</v>
      </c>
    </row>
    <row r="22" customFormat="false" ht="137.25" hidden="false" customHeight="true" outlineLevel="0" collapsed="false">
      <c r="A22" s="24" t="s">
        <v>11559</v>
      </c>
      <c r="B22" s="22" t="s">
        <v>9248</v>
      </c>
      <c r="C22" s="22" t="s">
        <v>11515</v>
      </c>
      <c r="D22" s="22" t="s">
        <v>11560</v>
      </c>
      <c r="E22" s="31" t="s">
        <v>19</v>
      </c>
      <c r="F22" s="22" t="s">
        <v>11561</v>
      </c>
      <c r="G22" s="22" t="s">
        <v>11562</v>
      </c>
      <c r="H22" s="22" t="s">
        <v>11563</v>
      </c>
      <c r="I22" s="22" t="s">
        <v>11564</v>
      </c>
      <c r="J22" s="22" t="s">
        <v>11565</v>
      </c>
      <c r="K22" s="22" t="s">
        <v>11566</v>
      </c>
      <c r="L22" s="22" t="s">
        <v>11567</v>
      </c>
      <c r="M22" s="22" t="s">
        <v>11568</v>
      </c>
      <c r="N22" s="22" t="s">
        <v>2954</v>
      </c>
      <c r="O22" s="22" t="s">
        <v>11569</v>
      </c>
      <c r="P22" s="22" t="s">
        <v>11246</v>
      </c>
      <c r="Q22" s="22" t="s">
        <v>11482</v>
      </c>
      <c r="R22" s="22" t="s">
        <v>11570</v>
      </c>
      <c r="S22" s="22" t="s">
        <v>11571</v>
      </c>
      <c r="T22" s="22" t="s">
        <v>11572</v>
      </c>
      <c r="U22" s="22" t="s">
        <v>11573</v>
      </c>
      <c r="V22" s="22" t="s">
        <v>11574</v>
      </c>
      <c r="W22" s="22" t="s">
        <v>11575</v>
      </c>
      <c r="X22" s="22" t="s">
        <v>10325</v>
      </c>
      <c r="Y22" s="32" t="s">
        <v>11576</v>
      </c>
      <c r="Z22" s="22" t="s">
        <v>11577</v>
      </c>
      <c r="AA22" s="22" t="s">
        <v>11578</v>
      </c>
    </row>
    <row r="23" customFormat="false" ht="262.5" hidden="false" customHeight="true" outlineLevel="0" collapsed="false">
      <c r="A23" s="24" t="s">
        <v>11579</v>
      </c>
      <c r="B23" s="22" t="s">
        <v>9248</v>
      </c>
      <c r="C23" s="22" t="s">
        <v>11423</v>
      </c>
      <c r="D23" s="22" t="s">
        <v>11580</v>
      </c>
      <c r="E23" s="31" t="s">
        <v>19</v>
      </c>
      <c r="F23" s="22" t="s">
        <v>11581</v>
      </c>
      <c r="G23" s="22" t="s">
        <v>11582</v>
      </c>
      <c r="H23" s="22" t="s">
        <v>11583</v>
      </c>
      <c r="I23" s="22" t="s">
        <v>11584</v>
      </c>
      <c r="J23" s="22" t="s">
        <v>11585</v>
      </c>
      <c r="K23" s="22" t="s">
        <v>11586</v>
      </c>
      <c r="L23" s="22" t="s">
        <v>11587</v>
      </c>
      <c r="M23" s="22" t="s">
        <v>11588</v>
      </c>
      <c r="N23" s="22" t="s">
        <v>11589</v>
      </c>
      <c r="O23" s="22" t="s">
        <v>11590</v>
      </c>
      <c r="P23" s="22" t="s">
        <v>11246</v>
      </c>
      <c r="Q23" s="22" t="s">
        <v>11591</v>
      </c>
      <c r="R23" s="22" t="s">
        <v>11592</v>
      </c>
      <c r="S23" s="22" t="s">
        <v>11593</v>
      </c>
      <c r="T23" s="22" t="s">
        <v>11594</v>
      </c>
      <c r="U23" s="22" t="s">
        <v>11595</v>
      </c>
      <c r="V23" s="22" t="s">
        <v>11596</v>
      </c>
      <c r="W23" s="22" t="s">
        <v>11597</v>
      </c>
      <c r="X23" s="22" t="s">
        <v>10304</v>
      </c>
      <c r="Y23" s="32" t="s">
        <v>11598</v>
      </c>
      <c r="Z23" s="22" t="s">
        <v>11599</v>
      </c>
      <c r="AA23" s="22" t="s">
        <v>11600</v>
      </c>
    </row>
    <row r="24" customFormat="false" ht="150" hidden="false" customHeight="true" outlineLevel="0" collapsed="false">
      <c r="A24" s="24" t="s">
        <v>11601</v>
      </c>
      <c r="B24" s="22" t="s">
        <v>9248</v>
      </c>
      <c r="C24" s="22" t="s">
        <v>11515</v>
      </c>
      <c r="D24" s="22" t="s">
        <v>11602</v>
      </c>
      <c r="E24" s="35" t="s">
        <v>15</v>
      </c>
      <c r="F24" s="22" t="s">
        <v>11603</v>
      </c>
      <c r="G24" s="22" t="s">
        <v>11604</v>
      </c>
      <c r="H24" s="22" t="s">
        <v>11605</v>
      </c>
      <c r="I24" s="22" t="s">
        <v>11606</v>
      </c>
      <c r="J24" s="22" t="s">
        <v>11607</v>
      </c>
      <c r="K24" s="22" t="s">
        <v>11608</v>
      </c>
      <c r="L24" s="22" t="s">
        <v>11609</v>
      </c>
      <c r="M24" s="22" t="s">
        <v>11610</v>
      </c>
      <c r="N24" s="22" t="s">
        <v>11611</v>
      </c>
      <c r="O24" s="22" t="s">
        <v>11612</v>
      </c>
      <c r="P24" s="22" t="s">
        <v>11246</v>
      </c>
      <c r="Q24" s="22" t="s">
        <v>11613</v>
      </c>
      <c r="R24" s="22" t="s">
        <v>11614</v>
      </c>
      <c r="S24" s="22" t="s">
        <v>11615</v>
      </c>
      <c r="T24" s="22" t="s">
        <v>11616</v>
      </c>
      <c r="U24" s="22" t="s">
        <v>11617</v>
      </c>
      <c r="V24" s="22" t="s">
        <v>11618</v>
      </c>
      <c r="W24" s="22" t="s">
        <v>11619</v>
      </c>
      <c r="X24" s="22" t="s">
        <v>10304</v>
      </c>
      <c r="Y24" s="32" t="s">
        <v>11620</v>
      </c>
      <c r="Z24" s="22" t="s">
        <v>11621</v>
      </c>
      <c r="AA24" s="22" t="s">
        <v>11622</v>
      </c>
    </row>
    <row r="25" customFormat="false" ht="162" hidden="false" customHeight="true" outlineLevel="0" collapsed="false">
      <c r="A25" s="24" t="s">
        <v>11623</v>
      </c>
      <c r="B25" s="22" t="s">
        <v>9248</v>
      </c>
      <c r="C25" s="22" t="s">
        <v>11515</v>
      </c>
      <c r="D25" s="22" t="s">
        <v>11624</v>
      </c>
      <c r="E25" s="31" t="s">
        <v>19</v>
      </c>
      <c r="F25" s="22" t="s">
        <v>11625</v>
      </c>
      <c r="G25" s="22" t="s">
        <v>11626</v>
      </c>
      <c r="H25" s="22" t="s">
        <v>11627</v>
      </c>
      <c r="I25" s="22" t="s">
        <v>11628</v>
      </c>
      <c r="J25" s="22" t="s">
        <v>11629</v>
      </c>
      <c r="K25" s="22" t="s">
        <v>11630</v>
      </c>
      <c r="L25" s="22" t="s">
        <v>11631</v>
      </c>
      <c r="M25" s="22" t="s">
        <v>11632</v>
      </c>
      <c r="N25" s="22" t="s">
        <v>11633</v>
      </c>
      <c r="O25" s="22" t="s">
        <v>11634</v>
      </c>
      <c r="P25" s="22" t="s">
        <v>11246</v>
      </c>
      <c r="Q25" s="22" t="s">
        <v>11635</v>
      </c>
      <c r="R25" s="22" t="s">
        <v>11636</v>
      </c>
      <c r="S25" s="22" t="s">
        <v>11637</v>
      </c>
      <c r="T25" s="22" t="s">
        <v>11638</v>
      </c>
      <c r="U25" s="22" t="s">
        <v>11639</v>
      </c>
      <c r="V25" s="22" t="s">
        <v>11640</v>
      </c>
      <c r="W25" s="22" t="s">
        <v>11641</v>
      </c>
      <c r="X25" s="22" t="s">
        <v>10241</v>
      </c>
      <c r="Y25" s="32" t="s">
        <v>11642</v>
      </c>
      <c r="Z25" s="22" t="s">
        <v>11643</v>
      </c>
      <c r="AA25" s="22" t="s">
        <v>11644</v>
      </c>
    </row>
    <row r="26" customFormat="false" ht="225" hidden="false" customHeight="true" outlineLevel="0" collapsed="false">
      <c r="A26" s="24" t="s">
        <v>11645</v>
      </c>
      <c r="B26" s="22" t="s">
        <v>9248</v>
      </c>
      <c r="C26" s="22" t="s">
        <v>689</v>
      </c>
      <c r="D26" s="22" t="s">
        <v>11646</v>
      </c>
      <c r="E26" s="31" t="s">
        <v>19</v>
      </c>
      <c r="F26" s="22" t="s">
        <v>11647</v>
      </c>
      <c r="G26" s="22" t="s">
        <v>11648</v>
      </c>
      <c r="H26" s="22" t="s">
        <v>11649</v>
      </c>
      <c r="I26" s="22" t="s">
        <v>11650</v>
      </c>
      <c r="J26" s="22" t="s">
        <v>11651</v>
      </c>
      <c r="K26" s="22" t="s">
        <v>11652</v>
      </c>
      <c r="L26" s="22" t="s">
        <v>11653</v>
      </c>
      <c r="M26" s="22" t="s">
        <v>11654</v>
      </c>
      <c r="N26" s="22" t="s">
        <v>11655</v>
      </c>
      <c r="O26" s="22" t="s">
        <v>11656</v>
      </c>
      <c r="P26" s="22" t="s">
        <v>11246</v>
      </c>
      <c r="Q26" s="22" t="s">
        <v>11657</v>
      </c>
      <c r="R26" s="22" t="s">
        <v>11658</v>
      </c>
      <c r="S26" s="22" t="s">
        <v>11659</v>
      </c>
      <c r="T26" s="22" t="s">
        <v>11660</v>
      </c>
      <c r="U26" s="22" t="s">
        <v>11661</v>
      </c>
      <c r="V26" s="22" t="s">
        <v>11662</v>
      </c>
      <c r="W26" s="22" t="s">
        <v>11663</v>
      </c>
      <c r="X26" s="22" t="s">
        <v>10325</v>
      </c>
      <c r="Y26" s="32" t="s">
        <v>11664</v>
      </c>
      <c r="Z26" s="22" t="s">
        <v>11665</v>
      </c>
      <c r="AA26" s="22" t="s">
        <v>11666</v>
      </c>
    </row>
    <row r="27" customFormat="false" ht="408.75" hidden="false" customHeight="true" outlineLevel="0" collapsed="false">
      <c r="A27" s="24" t="s">
        <v>11667</v>
      </c>
      <c r="B27" s="22" t="s">
        <v>9248</v>
      </c>
      <c r="C27" s="22" t="s">
        <v>775</v>
      </c>
      <c r="D27" s="22" t="s">
        <v>11668</v>
      </c>
      <c r="E27" s="34" t="s">
        <v>17</v>
      </c>
      <c r="F27" s="22" t="s">
        <v>11669</v>
      </c>
      <c r="G27" s="22" t="s">
        <v>11670</v>
      </c>
      <c r="H27" s="22" t="s">
        <v>11671</v>
      </c>
      <c r="I27" s="22" t="s">
        <v>11672</v>
      </c>
      <c r="J27" s="22" t="s">
        <v>11673</v>
      </c>
      <c r="K27" s="22" t="s">
        <v>11674</v>
      </c>
      <c r="L27" s="22" t="s">
        <v>11675</v>
      </c>
      <c r="M27" s="22" t="s">
        <v>11676</v>
      </c>
      <c r="N27" s="22" t="s">
        <v>11677</v>
      </c>
      <c r="O27" s="22" t="s">
        <v>11678</v>
      </c>
      <c r="P27" s="22" t="s">
        <v>11679</v>
      </c>
      <c r="Q27" s="22" t="s">
        <v>11680</v>
      </c>
      <c r="R27" s="22" t="s">
        <v>11681</v>
      </c>
      <c r="S27" s="22" t="s">
        <v>11682</v>
      </c>
      <c r="T27" s="22" t="s">
        <v>11683</v>
      </c>
      <c r="U27" s="22" t="s">
        <v>11684</v>
      </c>
      <c r="V27" s="22" t="s">
        <v>11685</v>
      </c>
      <c r="W27" s="22" t="s">
        <v>11686</v>
      </c>
      <c r="X27" s="22" t="s">
        <v>10304</v>
      </c>
      <c r="Y27" s="32" t="s">
        <v>11687</v>
      </c>
      <c r="Z27" s="22" t="s">
        <v>11688</v>
      </c>
      <c r="AA27" s="22" t="s">
        <v>11689</v>
      </c>
    </row>
    <row r="28" customFormat="false" ht="199.5" hidden="false" customHeight="true" outlineLevel="0" collapsed="false">
      <c r="A28" s="24" t="s">
        <v>11690</v>
      </c>
      <c r="B28" s="22" t="s">
        <v>9248</v>
      </c>
      <c r="C28" s="22" t="s">
        <v>805</v>
      </c>
      <c r="D28" s="22" t="s">
        <v>11691</v>
      </c>
      <c r="E28" s="31" t="s">
        <v>19</v>
      </c>
      <c r="F28" s="22" t="s">
        <v>11692</v>
      </c>
      <c r="G28" s="22" t="s">
        <v>11693</v>
      </c>
      <c r="H28" s="22" t="s">
        <v>11694</v>
      </c>
      <c r="I28" s="22" t="s">
        <v>11695</v>
      </c>
      <c r="J28" s="22" t="s">
        <v>11696</v>
      </c>
      <c r="K28" s="22" t="s">
        <v>11697</v>
      </c>
      <c r="L28" s="22" t="s">
        <v>11698</v>
      </c>
      <c r="M28" s="22" t="s">
        <v>11699</v>
      </c>
      <c r="N28" s="22" t="s">
        <v>11700</v>
      </c>
      <c r="O28" s="22" t="s">
        <v>11701</v>
      </c>
      <c r="P28" s="22" t="s">
        <v>11702</v>
      </c>
      <c r="Q28" s="22" t="s">
        <v>11703</v>
      </c>
      <c r="R28" s="22" t="s">
        <v>11704</v>
      </c>
      <c r="S28" s="22" t="s">
        <v>11705</v>
      </c>
      <c r="T28" s="22" t="s">
        <v>11706</v>
      </c>
      <c r="U28" s="22" t="s">
        <v>11707</v>
      </c>
      <c r="V28" s="22" t="s">
        <v>9990</v>
      </c>
      <c r="W28" s="22" t="s">
        <v>11708</v>
      </c>
      <c r="X28" s="22" t="s">
        <v>10241</v>
      </c>
      <c r="Y28" s="32" t="s">
        <v>11709</v>
      </c>
      <c r="Z28" s="22" t="s">
        <v>11710</v>
      </c>
      <c r="AA28" s="22" t="s">
        <v>11711</v>
      </c>
    </row>
    <row r="29" customFormat="false" ht="249.75" hidden="false" customHeight="true" outlineLevel="0" collapsed="false">
      <c r="A29" s="24" t="s">
        <v>11712</v>
      </c>
      <c r="B29" s="22" t="s">
        <v>9248</v>
      </c>
      <c r="C29" s="22" t="s">
        <v>805</v>
      </c>
      <c r="D29" s="22" t="s">
        <v>11713</v>
      </c>
      <c r="E29" s="31" t="s">
        <v>19</v>
      </c>
      <c r="F29" s="22" t="s">
        <v>11714</v>
      </c>
      <c r="G29" s="22" t="s">
        <v>11715</v>
      </c>
      <c r="H29" s="22" t="s">
        <v>11716</v>
      </c>
      <c r="I29" s="22" t="s">
        <v>11717</v>
      </c>
      <c r="J29" s="22" t="s">
        <v>11718</v>
      </c>
      <c r="K29" s="22" t="s">
        <v>11719</v>
      </c>
      <c r="L29" s="22" t="s">
        <v>11720</v>
      </c>
      <c r="M29" s="22" t="s">
        <v>11721</v>
      </c>
      <c r="N29" s="22" t="s">
        <v>10074</v>
      </c>
      <c r="O29" s="22" t="s">
        <v>11722</v>
      </c>
      <c r="P29" s="22" t="s">
        <v>11723</v>
      </c>
      <c r="Q29" s="22" t="s">
        <v>11724</v>
      </c>
      <c r="R29" s="22" t="s">
        <v>11725</v>
      </c>
      <c r="S29" s="22" t="s">
        <v>11726</v>
      </c>
      <c r="T29" s="22" t="s">
        <v>11727</v>
      </c>
      <c r="U29" s="22" t="s">
        <v>11728</v>
      </c>
      <c r="V29" s="22" t="s">
        <v>11729</v>
      </c>
      <c r="W29" s="22" t="s">
        <v>11730</v>
      </c>
      <c r="X29" s="22" t="s">
        <v>10241</v>
      </c>
      <c r="Y29" s="32" t="s">
        <v>11731</v>
      </c>
      <c r="Z29" s="22" t="s">
        <v>11732</v>
      </c>
      <c r="AA29" s="22" t="s">
        <v>11733</v>
      </c>
    </row>
    <row r="30" customFormat="false" ht="187.5" hidden="false" customHeight="true" outlineLevel="0" collapsed="false">
      <c r="A30" s="24" t="s">
        <v>11734</v>
      </c>
      <c r="B30" s="22" t="s">
        <v>9248</v>
      </c>
      <c r="C30" s="22" t="s">
        <v>11735</v>
      </c>
      <c r="D30" s="22" t="s">
        <v>11736</v>
      </c>
      <c r="E30" s="31" t="s">
        <v>19</v>
      </c>
      <c r="F30" s="22" t="s">
        <v>11737</v>
      </c>
      <c r="G30" s="22" t="s">
        <v>11738</v>
      </c>
      <c r="H30" s="22" t="s">
        <v>11739</v>
      </c>
      <c r="I30" s="22" t="s">
        <v>11740</v>
      </c>
      <c r="J30" s="22" t="s">
        <v>11741</v>
      </c>
      <c r="K30" s="22" t="s">
        <v>11742</v>
      </c>
      <c r="L30" s="22" t="s">
        <v>11743</v>
      </c>
      <c r="M30" s="22" t="s">
        <v>11744</v>
      </c>
      <c r="N30" s="22" t="s">
        <v>11745</v>
      </c>
      <c r="O30" s="22" t="s">
        <v>11746</v>
      </c>
      <c r="P30" s="22" t="s">
        <v>2954</v>
      </c>
      <c r="Q30" s="22" t="s">
        <v>11747</v>
      </c>
      <c r="R30" s="22" t="s">
        <v>11748</v>
      </c>
      <c r="S30" s="22" t="s">
        <v>11749</v>
      </c>
      <c r="T30" s="22" t="s">
        <v>11750</v>
      </c>
      <c r="U30" s="22" t="s">
        <v>11751</v>
      </c>
      <c r="V30" s="22" t="s">
        <v>11752</v>
      </c>
      <c r="W30" s="22" t="s">
        <v>11753</v>
      </c>
      <c r="X30" s="22" t="s">
        <v>10241</v>
      </c>
      <c r="Y30" s="32" t="s">
        <v>11754</v>
      </c>
      <c r="Z30" s="22" t="s">
        <v>11755</v>
      </c>
      <c r="AA30" s="22" t="s">
        <v>11756</v>
      </c>
    </row>
    <row r="31" customFormat="false" ht="262.5" hidden="false" customHeight="true" outlineLevel="0" collapsed="false">
      <c r="A31" s="24" t="s">
        <v>11757</v>
      </c>
      <c r="B31" s="22" t="s">
        <v>9248</v>
      </c>
      <c r="C31" s="22" t="s">
        <v>835</v>
      </c>
      <c r="D31" s="22" t="s">
        <v>11758</v>
      </c>
      <c r="E31" s="31" t="s">
        <v>19</v>
      </c>
      <c r="F31" s="22" t="s">
        <v>11759</v>
      </c>
      <c r="G31" s="22" t="s">
        <v>11760</v>
      </c>
      <c r="H31" s="22" t="s">
        <v>11761</v>
      </c>
      <c r="I31" s="22" t="s">
        <v>11762</v>
      </c>
      <c r="J31" s="22" t="s">
        <v>11763</v>
      </c>
      <c r="K31" s="22" t="s">
        <v>11764</v>
      </c>
      <c r="L31" s="22" t="s">
        <v>11765</v>
      </c>
      <c r="M31" s="22" t="s">
        <v>11766</v>
      </c>
      <c r="N31" s="22" t="s">
        <v>11767</v>
      </c>
      <c r="O31" s="22" t="s">
        <v>11768</v>
      </c>
      <c r="P31" s="22" t="s">
        <v>11769</v>
      </c>
      <c r="Q31" s="22" t="s">
        <v>11724</v>
      </c>
      <c r="R31" s="22" t="s">
        <v>11770</v>
      </c>
      <c r="S31" s="22" t="s">
        <v>11771</v>
      </c>
      <c r="T31" s="22" t="s">
        <v>11772</v>
      </c>
      <c r="U31" s="22" t="s">
        <v>11773</v>
      </c>
      <c r="V31" s="22" t="s">
        <v>11774</v>
      </c>
      <c r="W31" s="22" t="s">
        <v>11775</v>
      </c>
      <c r="X31" s="22" t="s">
        <v>10304</v>
      </c>
      <c r="Y31" s="32" t="s">
        <v>11776</v>
      </c>
      <c r="Z31" s="22" t="s">
        <v>11777</v>
      </c>
      <c r="AA31" s="22" t="s">
        <v>11778</v>
      </c>
    </row>
    <row r="32" customFormat="false" ht="137.25" hidden="false" customHeight="true" outlineLevel="0" collapsed="false">
      <c r="A32" s="24" t="s">
        <v>11779</v>
      </c>
      <c r="B32" s="22" t="s">
        <v>9248</v>
      </c>
      <c r="C32" s="22" t="s">
        <v>11780</v>
      </c>
      <c r="D32" s="22" t="s">
        <v>11781</v>
      </c>
      <c r="E32" s="31" t="s">
        <v>19</v>
      </c>
      <c r="F32" s="22" t="s">
        <v>11782</v>
      </c>
      <c r="G32" s="22" t="s">
        <v>11783</v>
      </c>
      <c r="H32" s="22" t="s">
        <v>11784</v>
      </c>
      <c r="I32" s="22" t="s">
        <v>11785</v>
      </c>
      <c r="J32" s="22" t="s">
        <v>11786</v>
      </c>
      <c r="K32" s="22" t="s">
        <v>11787</v>
      </c>
      <c r="L32" s="22" t="s">
        <v>11788</v>
      </c>
      <c r="M32" s="22" t="s">
        <v>11789</v>
      </c>
      <c r="N32" s="22" t="s">
        <v>11790</v>
      </c>
      <c r="O32" s="22" t="s">
        <v>11791</v>
      </c>
      <c r="P32" s="22" t="s">
        <v>11246</v>
      </c>
      <c r="Q32" s="22" t="s">
        <v>11792</v>
      </c>
      <c r="R32" s="22" t="s">
        <v>11793</v>
      </c>
      <c r="S32" s="22" t="s">
        <v>11794</v>
      </c>
      <c r="T32" s="22" t="s">
        <v>11795</v>
      </c>
      <c r="U32" s="22" t="s">
        <v>11796</v>
      </c>
      <c r="V32" s="22" t="s">
        <v>11797</v>
      </c>
      <c r="W32" s="22" t="s">
        <v>11798</v>
      </c>
      <c r="X32" s="22" t="s">
        <v>10241</v>
      </c>
      <c r="Y32" s="32" t="s">
        <v>11799</v>
      </c>
      <c r="Z32" s="22" t="s">
        <v>11800</v>
      </c>
      <c r="AA32" s="22" t="s">
        <v>11801</v>
      </c>
    </row>
    <row r="33" customFormat="false" ht="225" hidden="false" customHeight="true" outlineLevel="0" collapsed="false">
      <c r="A33" s="24" t="s">
        <v>11802</v>
      </c>
      <c r="B33" s="22" t="s">
        <v>9248</v>
      </c>
      <c r="C33" s="22" t="s">
        <v>11803</v>
      </c>
      <c r="D33" s="22" t="s">
        <v>11804</v>
      </c>
      <c r="E33" s="31" t="s">
        <v>19</v>
      </c>
      <c r="F33" s="22" t="s">
        <v>11805</v>
      </c>
      <c r="G33" s="22" t="s">
        <v>11806</v>
      </c>
      <c r="H33" s="22" t="s">
        <v>11807</v>
      </c>
      <c r="I33" s="22" t="s">
        <v>11808</v>
      </c>
      <c r="J33" s="22" t="s">
        <v>11809</v>
      </c>
      <c r="K33" s="22" t="s">
        <v>11810</v>
      </c>
      <c r="L33" s="22" t="s">
        <v>11811</v>
      </c>
      <c r="M33" s="22" t="s">
        <v>11812</v>
      </c>
      <c r="N33" s="22" t="s">
        <v>2954</v>
      </c>
      <c r="O33" s="22" t="s">
        <v>11813</v>
      </c>
      <c r="P33" s="22" t="s">
        <v>11246</v>
      </c>
      <c r="Q33" s="22" t="s">
        <v>11814</v>
      </c>
      <c r="R33" s="22" t="s">
        <v>11815</v>
      </c>
      <c r="S33" s="22" t="s">
        <v>11816</v>
      </c>
      <c r="T33" s="22" t="s">
        <v>11817</v>
      </c>
      <c r="U33" s="22" t="s">
        <v>11818</v>
      </c>
      <c r="V33" s="22" t="s">
        <v>11819</v>
      </c>
      <c r="W33" s="22" t="s">
        <v>11820</v>
      </c>
      <c r="X33" s="22" t="s">
        <v>10304</v>
      </c>
      <c r="Y33" s="32" t="s">
        <v>11821</v>
      </c>
      <c r="Z33" s="22" t="s">
        <v>11822</v>
      </c>
      <c r="AA33" s="22" t="s">
        <v>11823</v>
      </c>
    </row>
    <row r="34" customFormat="false" ht="137.25" hidden="false" customHeight="true" outlineLevel="0" collapsed="false">
      <c r="A34" s="24" t="s">
        <v>11824</v>
      </c>
      <c r="B34" s="22" t="s">
        <v>9248</v>
      </c>
      <c r="C34" s="22" t="s">
        <v>11825</v>
      </c>
      <c r="D34" s="22" t="s">
        <v>11826</v>
      </c>
      <c r="E34" s="34" t="s">
        <v>17</v>
      </c>
      <c r="F34" s="22" t="s">
        <v>11827</v>
      </c>
      <c r="G34" s="22" t="s">
        <v>11828</v>
      </c>
      <c r="H34" s="22" t="s">
        <v>11474</v>
      </c>
      <c r="I34" s="22" t="s">
        <v>11829</v>
      </c>
      <c r="J34" s="22" t="s">
        <v>11830</v>
      </c>
      <c r="K34" s="22" t="s">
        <v>11831</v>
      </c>
      <c r="L34" s="22" t="s">
        <v>11832</v>
      </c>
      <c r="M34" s="22" t="s">
        <v>11833</v>
      </c>
      <c r="N34" s="22" t="s">
        <v>11834</v>
      </c>
      <c r="O34" s="22" t="s">
        <v>11835</v>
      </c>
      <c r="P34" s="22" t="s">
        <v>11246</v>
      </c>
      <c r="Q34" s="22" t="s">
        <v>11482</v>
      </c>
      <c r="R34" s="22" t="s">
        <v>11836</v>
      </c>
      <c r="S34" s="22" t="s">
        <v>11837</v>
      </c>
      <c r="T34" s="22" t="s">
        <v>11838</v>
      </c>
      <c r="U34" s="22" t="s">
        <v>11839</v>
      </c>
      <c r="V34" s="22" t="s">
        <v>11840</v>
      </c>
      <c r="W34" s="22" t="s">
        <v>11841</v>
      </c>
      <c r="X34" s="22" t="s">
        <v>10304</v>
      </c>
      <c r="Y34" s="32" t="s">
        <v>11842</v>
      </c>
      <c r="Z34" s="22" t="s">
        <v>11843</v>
      </c>
      <c r="AA34" s="22" t="s">
        <v>11844</v>
      </c>
    </row>
    <row r="35" customFormat="false" ht="225" hidden="false" customHeight="true" outlineLevel="0" collapsed="false">
      <c r="A35" s="24" t="s">
        <v>11845</v>
      </c>
      <c r="B35" s="22" t="s">
        <v>9248</v>
      </c>
      <c r="C35" s="22" t="s">
        <v>11846</v>
      </c>
      <c r="D35" s="22" t="s">
        <v>11847</v>
      </c>
      <c r="E35" s="35" t="s">
        <v>15</v>
      </c>
      <c r="F35" s="22" t="s">
        <v>11848</v>
      </c>
      <c r="G35" s="22" t="s">
        <v>11849</v>
      </c>
      <c r="H35" s="22" t="s">
        <v>11850</v>
      </c>
      <c r="I35" s="22" t="s">
        <v>11851</v>
      </c>
      <c r="J35" s="22" t="s">
        <v>11852</v>
      </c>
      <c r="K35" s="22" t="s">
        <v>11853</v>
      </c>
      <c r="L35" s="22" t="s">
        <v>11854</v>
      </c>
      <c r="M35" s="22" t="s">
        <v>11855</v>
      </c>
      <c r="N35" s="22" t="s">
        <v>11856</v>
      </c>
      <c r="O35" s="22" t="s">
        <v>11857</v>
      </c>
      <c r="P35" s="22" t="s">
        <v>2954</v>
      </c>
      <c r="Q35" s="22" t="s">
        <v>11858</v>
      </c>
      <c r="R35" s="22" t="s">
        <v>11859</v>
      </c>
      <c r="S35" s="22" t="s">
        <v>11860</v>
      </c>
      <c r="T35" s="22" t="s">
        <v>11861</v>
      </c>
      <c r="U35" s="22" t="s">
        <v>11862</v>
      </c>
      <c r="V35" s="22" t="s">
        <v>11863</v>
      </c>
      <c r="W35" s="22" t="s">
        <v>11864</v>
      </c>
      <c r="X35" s="22" t="s">
        <v>11396</v>
      </c>
      <c r="Y35" s="32" t="s">
        <v>11865</v>
      </c>
      <c r="Z35" s="22" t="s">
        <v>11866</v>
      </c>
      <c r="AA35" s="22" t="s">
        <v>11867</v>
      </c>
    </row>
    <row r="36" customFormat="false" ht="137.25" hidden="false" customHeight="true" outlineLevel="0" collapsed="false">
      <c r="A36" s="24" t="s">
        <v>11868</v>
      </c>
      <c r="B36" s="22" t="s">
        <v>9248</v>
      </c>
      <c r="C36" s="22" t="s">
        <v>11869</v>
      </c>
      <c r="D36" s="22" t="s">
        <v>11870</v>
      </c>
      <c r="E36" s="31" t="s">
        <v>19</v>
      </c>
      <c r="F36" s="22" t="s">
        <v>11871</v>
      </c>
      <c r="G36" s="22" t="s">
        <v>11872</v>
      </c>
      <c r="H36" s="22" t="s">
        <v>11873</v>
      </c>
      <c r="I36" s="22" t="s">
        <v>10313</v>
      </c>
      <c r="J36" s="22" t="s">
        <v>11874</v>
      </c>
      <c r="K36" s="22" t="s">
        <v>11875</v>
      </c>
      <c r="L36" s="22" t="s">
        <v>11876</v>
      </c>
      <c r="M36" s="22" t="s">
        <v>11877</v>
      </c>
      <c r="N36" s="22" t="s">
        <v>2954</v>
      </c>
      <c r="O36" s="22" t="s">
        <v>11878</v>
      </c>
      <c r="P36" s="22" t="s">
        <v>11879</v>
      </c>
      <c r="Q36" s="22" t="s">
        <v>11880</v>
      </c>
      <c r="R36" s="22" t="s">
        <v>11881</v>
      </c>
      <c r="S36" s="22" t="s">
        <v>11882</v>
      </c>
      <c r="T36" s="22" t="s">
        <v>11883</v>
      </c>
      <c r="U36" s="22" t="s">
        <v>11884</v>
      </c>
      <c r="V36" s="22" t="s">
        <v>11885</v>
      </c>
      <c r="W36" s="22" t="s">
        <v>11886</v>
      </c>
      <c r="X36" s="22" t="s">
        <v>10304</v>
      </c>
      <c r="Y36" s="32" t="s">
        <v>11887</v>
      </c>
      <c r="Z36" s="22" t="s">
        <v>11888</v>
      </c>
      <c r="AA36" s="22" t="s">
        <v>11889</v>
      </c>
    </row>
    <row r="37" customFormat="false" ht="75" hidden="false" customHeight="true" outlineLevel="0" collapsed="false">
      <c r="A37" s="24" t="s">
        <v>11890</v>
      </c>
      <c r="B37" s="22" t="s">
        <v>9248</v>
      </c>
      <c r="C37" s="22" t="s">
        <v>11891</v>
      </c>
      <c r="D37" s="22" t="s">
        <v>11892</v>
      </c>
      <c r="E37" s="34" t="s">
        <v>17</v>
      </c>
      <c r="F37" s="22" t="s">
        <v>11893</v>
      </c>
      <c r="G37" s="22" t="s">
        <v>11894</v>
      </c>
      <c r="H37" s="22" t="s">
        <v>11895</v>
      </c>
      <c r="I37" s="22" t="s">
        <v>11013</v>
      </c>
      <c r="J37" s="22" t="s">
        <v>11896</v>
      </c>
      <c r="K37" s="22" t="s">
        <v>11897</v>
      </c>
      <c r="L37" s="22" t="s">
        <v>11898</v>
      </c>
      <c r="M37" s="22" t="s">
        <v>11899</v>
      </c>
      <c r="N37" s="22" t="s">
        <v>11900</v>
      </c>
      <c r="O37" s="22" t="s">
        <v>11896</v>
      </c>
      <c r="P37" s="22" t="s">
        <v>11901</v>
      </c>
      <c r="Q37" s="22" t="s">
        <v>2954</v>
      </c>
      <c r="R37" s="22" t="s">
        <v>11902</v>
      </c>
      <c r="S37" s="22" t="s">
        <v>11903</v>
      </c>
      <c r="T37" s="22" t="s">
        <v>11904</v>
      </c>
      <c r="U37" s="22" t="s">
        <v>11905</v>
      </c>
      <c r="V37" s="22" t="s">
        <v>11906</v>
      </c>
      <c r="W37" s="22" t="s">
        <v>11907</v>
      </c>
      <c r="X37" s="22" t="s">
        <v>10438</v>
      </c>
      <c r="Y37" s="32" t="s">
        <v>11908</v>
      </c>
      <c r="Z37" s="22" t="s">
        <v>11909</v>
      </c>
      <c r="AA37" s="22" t="s">
        <v>11910</v>
      </c>
    </row>
    <row r="38" customFormat="false" ht="408.75" hidden="false" customHeight="true" outlineLevel="0" collapsed="false">
      <c r="A38" s="24" t="s">
        <v>11911</v>
      </c>
      <c r="B38" s="22" t="s">
        <v>9248</v>
      </c>
      <c r="C38" s="22" t="s">
        <v>11912</v>
      </c>
      <c r="D38" s="22" t="s">
        <v>11913</v>
      </c>
      <c r="E38" s="31" t="s">
        <v>19</v>
      </c>
      <c r="F38" s="22" t="s">
        <v>11914</v>
      </c>
      <c r="G38" s="22" t="s">
        <v>11915</v>
      </c>
      <c r="H38" s="22" t="s">
        <v>11916</v>
      </c>
      <c r="I38" s="22" t="s">
        <v>11917</v>
      </c>
      <c r="J38" s="22" t="s">
        <v>11896</v>
      </c>
      <c r="K38" s="22" t="s">
        <v>11918</v>
      </c>
      <c r="L38" s="22" t="s">
        <v>11919</v>
      </c>
      <c r="M38" s="22" t="s">
        <v>11920</v>
      </c>
      <c r="N38" s="22" t="s">
        <v>2954</v>
      </c>
      <c r="O38" s="22" t="s">
        <v>2954</v>
      </c>
      <c r="P38" s="22" t="s">
        <v>2954</v>
      </c>
      <c r="Q38" s="22" t="s">
        <v>2954</v>
      </c>
      <c r="R38" s="22" t="s">
        <v>11921</v>
      </c>
      <c r="S38" s="22" t="s">
        <v>11922</v>
      </c>
      <c r="T38" s="22" t="s">
        <v>11923</v>
      </c>
      <c r="U38" s="22" t="s">
        <v>11924</v>
      </c>
      <c r="V38" s="22" t="s">
        <v>11925</v>
      </c>
      <c r="W38" s="22" t="s">
        <v>11926</v>
      </c>
      <c r="X38" s="22" t="s">
        <v>10241</v>
      </c>
      <c r="Y38" s="32" t="s">
        <v>11927</v>
      </c>
      <c r="Z38" s="22" t="s">
        <v>11928</v>
      </c>
      <c r="AA38" s="22" t="s">
        <v>11929</v>
      </c>
    </row>
  </sheetData>
  <autoFilter ref="A5:AA38"/>
  <mergeCells count="2">
    <mergeCell ref="A1:Z1"/>
    <mergeCell ref="A2:AA2"/>
  </mergeCells>
  <dataValidations count="1">
    <dataValidation allowBlank="true" errorStyle="stop" operator="between" showDropDown="false" showErrorMessage="false" showInputMessage="false" sqref="E6:E1038"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4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62</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11930</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37</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408.75" hidden="false" customHeight="true" outlineLevel="0" collapsed="false">
      <c r="A6" s="24" t="s">
        <v>11931</v>
      </c>
      <c r="B6" s="22" t="s">
        <v>9248</v>
      </c>
      <c r="C6" s="22" t="s">
        <v>11932</v>
      </c>
      <c r="D6" s="22" t="s">
        <v>11933</v>
      </c>
      <c r="E6" s="35" t="s">
        <v>15</v>
      </c>
      <c r="F6" s="22" t="s">
        <v>11934</v>
      </c>
      <c r="G6" s="22" t="s">
        <v>11935</v>
      </c>
      <c r="H6" s="22" t="s">
        <v>11936</v>
      </c>
      <c r="I6" s="22" t="s">
        <v>11937</v>
      </c>
      <c r="J6" s="22" t="s">
        <v>11938</v>
      </c>
      <c r="K6" s="22" t="s">
        <v>11939</v>
      </c>
      <c r="L6" s="22" t="s">
        <v>11940</v>
      </c>
      <c r="M6" s="22" t="s">
        <v>11941</v>
      </c>
      <c r="N6" s="22" t="s">
        <v>10164</v>
      </c>
      <c r="O6" s="22" t="s">
        <v>11942</v>
      </c>
      <c r="P6" s="22" t="s">
        <v>2954</v>
      </c>
      <c r="Q6" s="22" t="s">
        <v>11943</v>
      </c>
      <c r="R6" s="22" t="s">
        <v>11944</v>
      </c>
      <c r="S6" s="22" t="s">
        <v>11945</v>
      </c>
      <c r="T6" s="22" t="s">
        <v>11946</v>
      </c>
      <c r="U6" s="22" t="s">
        <v>11947</v>
      </c>
      <c r="V6" s="22" t="s">
        <v>11948</v>
      </c>
      <c r="W6" s="22" t="s">
        <v>11949</v>
      </c>
      <c r="X6" s="22" t="s">
        <v>11950</v>
      </c>
      <c r="Y6" s="32" t="s">
        <v>11951</v>
      </c>
      <c r="Z6" s="22" t="s">
        <v>11952</v>
      </c>
      <c r="AA6" s="22" t="s">
        <v>11953</v>
      </c>
    </row>
    <row r="7" customFormat="false" ht="324.75" hidden="false" customHeight="true" outlineLevel="0" collapsed="false">
      <c r="A7" s="24" t="s">
        <v>11954</v>
      </c>
      <c r="B7" s="22" t="s">
        <v>9248</v>
      </c>
      <c r="C7" s="22" t="s">
        <v>11955</v>
      </c>
      <c r="D7" s="22" t="s">
        <v>11956</v>
      </c>
      <c r="E7" s="35" t="s">
        <v>15</v>
      </c>
      <c r="F7" s="22" t="s">
        <v>11957</v>
      </c>
      <c r="G7" s="22" t="s">
        <v>11958</v>
      </c>
      <c r="H7" s="22" t="s">
        <v>11959</v>
      </c>
      <c r="I7" s="22" t="s">
        <v>11960</v>
      </c>
      <c r="J7" s="22" t="s">
        <v>11961</v>
      </c>
      <c r="K7" s="22" t="s">
        <v>11962</v>
      </c>
      <c r="L7" s="22" t="s">
        <v>11963</v>
      </c>
      <c r="M7" s="22" t="s">
        <v>11964</v>
      </c>
      <c r="N7" s="22" t="s">
        <v>11965</v>
      </c>
      <c r="O7" s="22" t="s">
        <v>11966</v>
      </c>
      <c r="P7" s="22" t="s">
        <v>11967</v>
      </c>
      <c r="Q7" s="22" t="s">
        <v>11943</v>
      </c>
      <c r="R7" s="22" t="s">
        <v>11968</v>
      </c>
      <c r="S7" s="22" t="s">
        <v>11969</v>
      </c>
      <c r="T7" s="22" t="s">
        <v>11970</v>
      </c>
      <c r="U7" s="22" t="s">
        <v>11971</v>
      </c>
      <c r="V7" s="22" t="s">
        <v>11972</v>
      </c>
      <c r="W7" s="22" t="s">
        <v>11973</v>
      </c>
      <c r="X7" s="22" t="s">
        <v>11974</v>
      </c>
      <c r="Y7" s="32" t="s">
        <v>11975</v>
      </c>
      <c r="Z7" s="22" t="s">
        <v>11976</v>
      </c>
      <c r="AA7" s="22" t="s">
        <v>11977</v>
      </c>
    </row>
    <row r="8" customFormat="false" ht="408.75" hidden="false" customHeight="true" outlineLevel="0" collapsed="false">
      <c r="A8" s="24" t="s">
        <v>11978</v>
      </c>
      <c r="B8" s="22" t="s">
        <v>9248</v>
      </c>
      <c r="C8" s="22" t="s">
        <v>11979</v>
      </c>
      <c r="D8" s="22" t="s">
        <v>11980</v>
      </c>
      <c r="E8" s="35" t="s">
        <v>15</v>
      </c>
      <c r="F8" s="22" t="s">
        <v>11981</v>
      </c>
      <c r="G8" s="22" t="s">
        <v>11982</v>
      </c>
      <c r="H8" s="22" t="s">
        <v>11983</v>
      </c>
      <c r="I8" s="22" t="s">
        <v>11984</v>
      </c>
      <c r="J8" s="22" t="s">
        <v>11985</v>
      </c>
      <c r="K8" s="22" t="s">
        <v>11986</v>
      </c>
      <c r="L8" s="22" t="s">
        <v>11987</v>
      </c>
      <c r="M8" s="22" t="s">
        <v>11988</v>
      </c>
      <c r="N8" s="22" t="s">
        <v>11989</v>
      </c>
      <c r="O8" s="22" t="s">
        <v>11990</v>
      </c>
      <c r="P8" s="22" t="s">
        <v>2954</v>
      </c>
      <c r="Q8" s="22" t="s">
        <v>11991</v>
      </c>
      <c r="R8" s="22" t="s">
        <v>11992</v>
      </c>
      <c r="S8" s="22" t="s">
        <v>11993</v>
      </c>
      <c r="T8" s="22" t="s">
        <v>11994</v>
      </c>
      <c r="U8" s="22" t="s">
        <v>11995</v>
      </c>
      <c r="V8" s="22" t="s">
        <v>11996</v>
      </c>
      <c r="W8" s="22" t="s">
        <v>11997</v>
      </c>
      <c r="X8" s="22" t="s">
        <v>11998</v>
      </c>
      <c r="Y8" s="32" t="s">
        <v>11999</v>
      </c>
      <c r="Z8" s="22" t="s">
        <v>12000</v>
      </c>
      <c r="AA8" s="22" t="s">
        <v>12001</v>
      </c>
    </row>
    <row r="9" customFormat="false" ht="408.75" hidden="false" customHeight="true" outlineLevel="0" collapsed="false">
      <c r="A9" s="24" t="s">
        <v>12002</v>
      </c>
      <c r="B9" s="22" t="s">
        <v>9248</v>
      </c>
      <c r="C9" s="22" t="s">
        <v>12003</v>
      </c>
      <c r="D9" s="22" t="s">
        <v>12004</v>
      </c>
      <c r="E9" s="31" t="s">
        <v>19</v>
      </c>
      <c r="F9" s="22" t="s">
        <v>12005</v>
      </c>
      <c r="G9" s="22" t="s">
        <v>12006</v>
      </c>
      <c r="H9" s="22" t="s">
        <v>12007</v>
      </c>
      <c r="I9" s="22" t="s">
        <v>12008</v>
      </c>
      <c r="J9" s="22" t="s">
        <v>12009</v>
      </c>
      <c r="K9" s="22" t="s">
        <v>12010</v>
      </c>
      <c r="L9" s="22" t="s">
        <v>12011</v>
      </c>
      <c r="M9" s="22" t="s">
        <v>12012</v>
      </c>
      <c r="N9" s="22" t="s">
        <v>12013</v>
      </c>
      <c r="O9" s="22" t="s">
        <v>12014</v>
      </c>
      <c r="P9" s="22" t="s">
        <v>12015</v>
      </c>
      <c r="Q9" s="22" t="s">
        <v>12016</v>
      </c>
      <c r="R9" s="22" t="s">
        <v>12017</v>
      </c>
      <c r="S9" s="22" t="s">
        <v>12018</v>
      </c>
      <c r="T9" s="22" t="s">
        <v>12019</v>
      </c>
      <c r="U9" s="22" t="s">
        <v>12020</v>
      </c>
      <c r="V9" s="22" t="s">
        <v>12021</v>
      </c>
      <c r="W9" s="22" t="s">
        <v>12022</v>
      </c>
      <c r="X9" s="22" t="s">
        <v>12023</v>
      </c>
      <c r="Y9" s="32" t="s">
        <v>12024</v>
      </c>
      <c r="Z9" s="22" t="s">
        <v>12025</v>
      </c>
      <c r="AA9" s="22" t="s">
        <v>12026</v>
      </c>
    </row>
    <row r="10" customFormat="false" ht="399.75" hidden="false" customHeight="true" outlineLevel="0" collapsed="false">
      <c r="A10" s="24" t="s">
        <v>12027</v>
      </c>
      <c r="B10" s="22" t="s">
        <v>9248</v>
      </c>
      <c r="C10" s="22" t="s">
        <v>12003</v>
      </c>
      <c r="D10" s="22" t="s">
        <v>12028</v>
      </c>
      <c r="E10" s="35" t="s">
        <v>15</v>
      </c>
      <c r="F10" s="22" t="s">
        <v>12029</v>
      </c>
      <c r="G10" s="22" t="s">
        <v>12030</v>
      </c>
      <c r="H10" s="22" t="s">
        <v>12031</v>
      </c>
      <c r="I10" s="22" t="s">
        <v>12032</v>
      </c>
      <c r="J10" s="22" t="s">
        <v>12033</v>
      </c>
      <c r="K10" s="22" t="s">
        <v>12034</v>
      </c>
      <c r="L10" s="22" t="s">
        <v>12035</v>
      </c>
      <c r="M10" s="22" t="s">
        <v>12036</v>
      </c>
      <c r="N10" s="22" t="s">
        <v>12037</v>
      </c>
      <c r="O10" s="22" t="s">
        <v>12038</v>
      </c>
      <c r="P10" s="22" t="s">
        <v>12039</v>
      </c>
      <c r="Q10" s="22" t="s">
        <v>12040</v>
      </c>
      <c r="R10" s="22" t="s">
        <v>12041</v>
      </c>
      <c r="S10" s="22" t="s">
        <v>12042</v>
      </c>
      <c r="T10" s="22" t="s">
        <v>12043</v>
      </c>
      <c r="U10" s="22" t="s">
        <v>12044</v>
      </c>
      <c r="V10" s="22" t="s">
        <v>12045</v>
      </c>
      <c r="W10" s="22" t="s">
        <v>12046</v>
      </c>
      <c r="X10" s="22" t="s">
        <v>12047</v>
      </c>
      <c r="Y10" s="32" t="s">
        <v>12048</v>
      </c>
      <c r="Z10" s="22" t="s">
        <v>12049</v>
      </c>
      <c r="AA10" s="22" t="s">
        <v>12050</v>
      </c>
    </row>
    <row r="11" customFormat="false" ht="212.25" hidden="false" customHeight="true" outlineLevel="0" collapsed="false">
      <c r="A11" s="24" t="s">
        <v>12051</v>
      </c>
      <c r="B11" s="22" t="s">
        <v>9248</v>
      </c>
      <c r="C11" s="22" t="s">
        <v>12003</v>
      </c>
      <c r="D11" s="22" t="s">
        <v>12052</v>
      </c>
      <c r="E11" s="35" t="s">
        <v>15</v>
      </c>
      <c r="F11" s="22" t="s">
        <v>12053</v>
      </c>
      <c r="G11" s="22" t="s">
        <v>12054</v>
      </c>
      <c r="H11" s="22" t="s">
        <v>12055</v>
      </c>
      <c r="I11" s="22" t="s">
        <v>12056</v>
      </c>
      <c r="J11" s="22" t="s">
        <v>12057</v>
      </c>
      <c r="K11" s="22" t="s">
        <v>12058</v>
      </c>
      <c r="L11" s="22" t="s">
        <v>12059</v>
      </c>
      <c r="M11" s="22" t="s">
        <v>12060</v>
      </c>
      <c r="N11" s="22" t="s">
        <v>12061</v>
      </c>
      <c r="O11" s="22" t="s">
        <v>12062</v>
      </c>
      <c r="P11" s="22" t="s">
        <v>12063</v>
      </c>
      <c r="Q11" s="22" t="s">
        <v>12064</v>
      </c>
      <c r="R11" s="22" t="s">
        <v>12065</v>
      </c>
      <c r="S11" s="22" t="s">
        <v>12066</v>
      </c>
      <c r="T11" s="22" t="s">
        <v>12067</v>
      </c>
      <c r="U11" s="22" t="s">
        <v>12068</v>
      </c>
      <c r="V11" s="22" t="s">
        <v>12069</v>
      </c>
      <c r="W11" s="22" t="s">
        <v>12070</v>
      </c>
      <c r="X11" s="22" t="s">
        <v>10304</v>
      </c>
      <c r="Y11" s="32" t="s">
        <v>12071</v>
      </c>
      <c r="Z11" s="22" t="s">
        <v>12072</v>
      </c>
      <c r="AA11" s="22" t="s">
        <v>12073</v>
      </c>
    </row>
    <row r="12" customFormat="false" ht="187.5" hidden="false" customHeight="true" outlineLevel="0" collapsed="false">
      <c r="A12" s="24" t="s">
        <v>12074</v>
      </c>
      <c r="B12" s="22" t="s">
        <v>9248</v>
      </c>
      <c r="C12" s="22" t="s">
        <v>12075</v>
      </c>
      <c r="D12" s="22" t="s">
        <v>12076</v>
      </c>
      <c r="E12" s="31" t="s">
        <v>19</v>
      </c>
      <c r="F12" s="22" t="s">
        <v>12077</v>
      </c>
      <c r="G12" s="22" t="s">
        <v>12078</v>
      </c>
      <c r="H12" s="22" t="s">
        <v>12079</v>
      </c>
      <c r="I12" s="22" t="s">
        <v>12080</v>
      </c>
      <c r="J12" s="22" t="s">
        <v>12081</v>
      </c>
      <c r="K12" s="22" t="s">
        <v>12082</v>
      </c>
      <c r="L12" s="22" t="s">
        <v>12083</v>
      </c>
      <c r="M12" s="22" t="s">
        <v>12084</v>
      </c>
      <c r="N12" s="22" t="s">
        <v>12085</v>
      </c>
      <c r="O12" s="22" t="s">
        <v>12086</v>
      </c>
      <c r="P12" s="22" t="s">
        <v>11943</v>
      </c>
      <c r="Q12" s="22" t="s">
        <v>11943</v>
      </c>
      <c r="R12" s="22" t="s">
        <v>12087</v>
      </c>
      <c r="S12" s="22" t="s">
        <v>12088</v>
      </c>
      <c r="T12" s="22" t="s">
        <v>12089</v>
      </c>
      <c r="U12" s="22" t="s">
        <v>12090</v>
      </c>
      <c r="V12" s="22" t="s">
        <v>12091</v>
      </c>
      <c r="W12" s="22" t="s">
        <v>12092</v>
      </c>
      <c r="X12" s="22" t="s">
        <v>10304</v>
      </c>
      <c r="Y12" s="32" t="s">
        <v>12093</v>
      </c>
      <c r="Z12" s="22" t="s">
        <v>12094</v>
      </c>
      <c r="AA12" s="22" t="s">
        <v>12095</v>
      </c>
    </row>
    <row r="13" customFormat="false" ht="124.5" hidden="false" customHeight="true" outlineLevel="0" collapsed="false">
      <c r="A13" s="24" t="s">
        <v>12096</v>
      </c>
      <c r="B13" s="22" t="s">
        <v>9248</v>
      </c>
      <c r="C13" s="22" t="s">
        <v>12097</v>
      </c>
      <c r="D13" s="22" t="s">
        <v>12098</v>
      </c>
      <c r="E13" s="31" t="s">
        <v>19</v>
      </c>
      <c r="F13" s="22" t="s">
        <v>12099</v>
      </c>
      <c r="G13" s="22" t="s">
        <v>12100</v>
      </c>
      <c r="H13" s="22" t="s">
        <v>12101</v>
      </c>
      <c r="I13" s="22" t="s">
        <v>12102</v>
      </c>
      <c r="J13" s="22" t="s">
        <v>12103</v>
      </c>
      <c r="K13" s="22" t="s">
        <v>12104</v>
      </c>
      <c r="L13" s="22" t="s">
        <v>12105</v>
      </c>
      <c r="M13" s="22" t="s">
        <v>12106</v>
      </c>
      <c r="N13" s="22" t="s">
        <v>12107</v>
      </c>
      <c r="O13" s="22" t="s">
        <v>12108</v>
      </c>
      <c r="P13" s="22" t="s">
        <v>12109</v>
      </c>
      <c r="Q13" s="22" t="s">
        <v>12110</v>
      </c>
      <c r="R13" s="22" t="s">
        <v>12111</v>
      </c>
      <c r="S13" s="22" t="s">
        <v>12112</v>
      </c>
      <c r="T13" s="22" t="s">
        <v>12113</v>
      </c>
      <c r="U13" s="22" t="s">
        <v>12114</v>
      </c>
      <c r="V13" s="22" t="s">
        <v>12115</v>
      </c>
      <c r="W13" s="22" t="s">
        <v>12116</v>
      </c>
      <c r="X13" s="22" t="s">
        <v>12117</v>
      </c>
      <c r="Y13" s="32" t="s">
        <v>12118</v>
      </c>
      <c r="Z13" s="22" t="s">
        <v>12119</v>
      </c>
      <c r="AA13" s="22" t="s">
        <v>12120</v>
      </c>
    </row>
    <row r="14" customFormat="false" ht="349.5" hidden="false" customHeight="true" outlineLevel="0" collapsed="false">
      <c r="A14" s="24" t="s">
        <v>12121</v>
      </c>
      <c r="B14" s="22" t="s">
        <v>9248</v>
      </c>
      <c r="C14" s="22" t="s">
        <v>12122</v>
      </c>
      <c r="D14" s="22" t="s">
        <v>12123</v>
      </c>
      <c r="E14" s="31" t="s">
        <v>19</v>
      </c>
      <c r="F14" s="22" t="s">
        <v>12124</v>
      </c>
      <c r="G14" s="22" t="s">
        <v>12125</v>
      </c>
      <c r="H14" s="22" t="s">
        <v>12126</v>
      </c>
      <c r="I14" s="22" t="s">
        <v>12127</v>
      </c>
      <c r="J14" s="22" t="s">
        <v>12128</v>
      </c>
      <c r="K14" s="22" t="s">
        <v>12129</v>
      </c>
      <c r="L14" s="22" t="s">
        <v>12130</v>
      </c>
      <c r="M14" s="22" t="s">
        <v>12131</v>
      </c>
      <c r="N14" s="22" t="s">
        <v>12132</v>
      </c>
      <c r="O14" s="22" t="s">
        <v>12133</v>
      </c>
      <c r="P14" s="22" t="s">
        <v>12134</v>
      </c>
      <c r="Q14" s="22" t="s">
        <v>12135</v>
      </c>
      <c r="R14" s="22" t="s">
        <v>12136</v>
      </c>
      <c r="S14" s="22" t="s">
        <v>12137</v>
      </c>
      <c r="T14" s="22" t="s">
        <v>12138</v>
      </c>
      <c r="U14" s="22" t="s">
        <v>12139</v>
      </c>
      <c r="V14" s="22" t="s">
        <v>12140</v>
      </c>
      <c r="W14" s="22" t="s">
        <v>12141</v>
      </c>
      <c r="X14" s="22" t="s">
        <v>12142</v>
      </c>
      <c r="Y14" s="32" t="s">
        <v>12143</v>
      </c>
      <c r="Z14" s="22" t="s">
        <v>12144</v>
      </c>
      <c r="AA14" s="22" t="s">
        <v>12145</v>
      </c>
    </row>
    <row r="15" customFormat="false" ht="137.25" hidden="false" customHeight="true" outlineLevel="0" collapsed="false">
      <c r="A15" s="24" t="s">
        <v>12146</v>
      </c>
      <c r="B15" s="22" t="s">
        <v>9248</v>
      </c>
      <c r="C15" s="22" t="s">
        <v>12147</v>
      </c>
      <c r="D15" s="22" t="s">
        <v>12148</v>
      </c>
      <c r="E15" s="31" t="s">
        <v>19</v>
      </c>
      <c r="F15" s="22" t="s">
        <v>12149</v>
      </c>
      <c r="G15" s="22" t="s">
        <v>12150</v>
      </c>
      <c r="H15" s="22" t="s">
        <v>12151</v>
      </c>
      <c r="I15" s="22" t="s">
        <v>12152</v>
      </c>
      <c r="J15" s="22" t="s">
        <v>12153</v>
      </c>
      <c r="K15" s="22" t="s">
        <v>12154</v>
      </c>
      <c r="L15" s="22" t="s">
        <v>12155</v>
      </c>
      <c r="M15" s="22" t="s">
        <v>12156</v>
      </c>
      <c r="N15" s="22" t="s">
        <v>12157</v>
      </c>
      <c r="O15" s="22" t="s">
        <v>12158</v>
      </c>
      <c r="P15" s="22" t="s">
        <v>12159</v>
      </c>
      <c r="Q15" s="22" t="s">
        <v>12160</v>
      </c>
      <c r="R15" s="22" t="s">
        <v>12161</v>
      </c>
      <c r="S15" s="22" t="s">
        <v>12162</v>
      </c>
      <c r="T15" s="22" t="s">
        <v>12163</v>
      </c>
      <c r="U15" s="22" t="s">
        <v>12164</v>
      </c>
      <c r="V15" s="22" t="s">
        <v>12165</v>
      </c>
      <c r="W15" s="22" t="s">
        <v>12166</v>
      </c>
      <c r="X15" s="22" t="s">
        <v>12167</v>
      </c>
      <c r="Y15" s="32" t="s">
        <v>12168</v>
      </c>
      <c r="Z15" s="22" t="s">
        <v>12169</v>
      </c>
      <c r="AA15" s="22" t="s">
        <v>12170</v>
      </c>
    </row>
    <row r="16" customFormat="false" ht="150" hidden="false" customHeight="true" outlineLevel="0" collapsed="false">
      <c r="A16" s="24" t="s">
        <v>12171</v>
      </c>
      <c r="B16" s="22" t="s">
        <v>9248</v>
      </c>
      <c r="C16" s="22" t="s">
        <v>12172</v>
      </c>
      <c r="D16" s="22" t="s">
        <v>12173</v>
      </c>
      <c r="E16" s="34" t="s">
        <v>17</v>
      </c>
      <c r="F16" s="22" t="s">
        <v>12174</v>
      </c>
      <c r="G16" s="22" t="s">
        <v>12175</v>
      </c>
      <c r="H16" s="22" t="s">
        <v>12176</v>
      </c>
      <c r="I16" s="22" t="s">
        <v>12177</v>
      </c>
      <c r="J16" s="22" t="s">
        <v>12178</v>
      </c>
      <c r="K16" s="22" t="s">
        <v>12179</v>
      </c>
      <c r="L16" s="22" t="s">
        <v>12180</v>
      </c>
      <c r="M16" s="22" t="s">
        <v>12181</v>
      </c>
      <c r="N16" s="22" t="s">
        <v>12182</v>
      </c>
      <c r="O16" s="22" t="s">
        <v>12183</v>
      </c>
      <c r="P16" s="22" t="s">
        <v>9582</v>
      </c>
      <c r="Q16" s="22" t="s">
        <v>12184</v>
      </c>
      <c r="R16" s="22" t="s">
        <v>12185</v>
      </c>
      <c r="S16" s="22" t="s">
        <v>12186</v>
      </c>
      <c r="T16" s="22" t="s">
        <v>12187</v>
      </c>
      <c r="U16" s="22" t="s">
        <v>12188</v>
      </c>
      <c r="V16" s="22" t="s">
        <v>12189</v>
      </c>
      <c r="W16" s="22" t="s">
        <v>12190</v>
      </c>
      <c r="X16" s="22" t="s">
        <v>10304</v>
      </c>
      <c r="Y16" s="32" t="s">
        <v>12191</v>
      </c>
      <c r="Z16" s="22" t="s">
        <v>12192</v>
      </c>
      <c r="AA16" s="22" t="s">
        <v>12193</v>
      </c>
    </row>
    <row r="17" customFormat="false" ht="99.75" hidden="false" customHeight="true" outlineLevel="0" collapsed="false">
      <c r="A17" s="24" t="s">
        <v>12194</v>
      </c>
      <c r="B17" s="22" t="s">
        <v>9248</v>
      </c>
      <c r="C17" s="22" t="s">
        <v>12195</v>
      </c>
      <c r="D17" s="22" t="s">
        <v>12196</v>
      </c>
      <c r="E17" s="31" t="s">
        <v>19</v>
      </c>
      <c r="F17" s="22" t="s">
        <v>12197</v>
      </c>
      <c r="G17" s="22" t="s">
        <v>12198</v>
      </c>
      <c r="H17" s="22" t="s">
        <v>12199</v>
      </c>
      <c r="I17" s="22" t="s">
        <v>12200</v>
      </c>
      <c r="J17" s="22" t="s">
        <v>12201</v>
      </c>
      <c r="K17" s="22" t="s">
        <v>12202</v>
      </c>
      <c r="L17" s="22" t="s">
        <v>12203</v>
      </c>
      <c r="M17" s="22" t="s">
        <v>12204</v>
      </c>
      <c r="N17" s="22" t="s">
        <v>12205</v>
      </c>
      <c r="O17" s="22" t="s">
        <v>12206</v>
      </c>
      <c r="P17" s="22" t="s">
        <v>12207</v>
      </c>
      <c r="Q17" s="22" t="s">
        <v>12208</v>
      </c>
      <c r="R17" s="22" t="s">
        <v>12209</v>
      </c>
      <c r="S17" s="22" t="s">
        <v>12210</v>
      </c>
      <c r="T17" s="22" t="s">
        <v>12211</v>
      </c>
      <c r="U17" s="22" t="s">
        <v>12212</v>
      </c>
      <c r="V17" s="22" t="s">
        <v>12213</v>
      </c>
      <c r="W17" s="22" t="s">
        <v>12214</v>
      </c>
      <c r="X17" s="22" t="s">
        <v>12215</v>
      </c>
      <c r="Y17" s="32" t="s">
        <v>12216</v>
      </c>
      <c r="Z17" s="22" t="s">
        <v>12217</v>
      </c>
      <c r="AA17" s="22" t="s">
        <v>12218</v>
      </c>
    </row>
    <row r="18" customFormat="false" ht="274.5" hidden="false" customHeight="true" outlineLevel="0" collapsed="false">
      <c r="A18" s="24" t="s">
        <v>12219</v>
      </c>
      <c r="B18" s="22" t="s">
        <v>9248</v>
      </c>
      <c r="C18" s="22" t="s">
        <v>12220</v>
      </c>
      <c r="D18" s="22" t="s">
        <v>12221</v>
      </c>
      <c r="E18" s="35" t="s">
        <v>15</v>
      </c>
      <c r="F18" s="22" t="s">
        <v>12222</v>
      </c>
      <c r="G18" s="22" t="s">
        <v>12223</v>
      </c>
      <c r="H18" s="22" t="s">
        <v>12224</v>
      </c>
      <c r="I18" s="22" t="s">
        <v>12225</v>
      </c>
      <c r="J18" s="22" t="s">
        <v>12226</v>
      </c>
      <c r="K18" s="22" t="s">
        <v>12227</v>
      </c>
      <c r="L18" s="22" t="s">
        <v>12228</v>
      </c>
      <c r="M18" s="22" t="s">
        <v>12229</v>
      </c>
      <c r="N18" s="22" t="s">
        <v>12230</v>
      </c>
      <c r="O18" s="22" t="s">
        <v>12231</v>
      </c>
      <c r="P18" s="22" t="s">
        <v>2954</v>
      </c>
      <c r="Q18" s="22" t="s">
        <v>12232</v>
      </c>
      <c r="R18" s="22" t="s">
        <v>12233</v>
      </c>
      <c r="S18" s="22" t="s">
        <v>12234</v>
      </c>
      <c r="T18" s="22" t="s">
        <v>12235</v>
      </c>
      <c r="U18" s="22" t="s">
        <v>12236</v>
      </c>
      <c r="V18" s="22" t="s">
        <v>12237</v>
      </c>
      <c r="W18" s="22" t="s">
        <v>12238</v>
      </c>
      <c r="X18" s="22" t="s">
        <v>10304</v>
      </c>
      <c r="Y18" s="32" t="s">
        <v>12239</v>
      </c>
      <c r="Z18" s="22" t="s">
        <v>12240</v>
      </c>
      <c r="AA18" s="22" t="s">
        <v>12241</v>
      </c>
    </row>
    <row r="19" customFormat="false" ht="162" hidden="false" customHeight="true" outlineLevel="0" collapsed="false">
      <c r="A19" s="24" t="s">
        <v>12242</v>
      </c>
      <c r="B19" s="22" t="s">
        <v>9248</v>
      </c>
      <c r="C19" s="22" t="s">
        <v>12243</v>
      </c>
      <c r="D19" s="22" t="s">
        <v>12244</v>
      </c>
      <c r="E19" s="35" t="s">
        <v>15</v>
      </c>
      <c r="F19" s="22" t="s">
        <v>12245</v>
      </c>
      <c r="G19" s="22" t="s">
        <v>12246</v>
      </c>
      <c r="H19" s="22" t="s">
        <v>12247</v>
      </c>
      <c r="I19" s="22" t="s">
        <v>12248</v>
      </c>
      <c r="J19" s="22" t="s">
        <v>12249</v>
      </c>
      <c r="K19" s="22" t="s">
        <v>12250</v>
      </c>
      <c r="L19" s="22" t="s">
        <v>12251</v>
      </c>
      <c r="M19" s="22" t="s">
        <v>12252</v>
      </c>
      <c r="N19" s="22" t="s">
        <v>12253</v>
      </c>
      <c r="O19" s="22" t="s">
        <v>12254</v>
      </c>
      <c r="P19" s="22" t="s">
        <v>12255</v>
      </c>
      <c r="Q19" s="22" t="s">
        <v>12256</v>
      </c>
      <c r="R19" s="22" t="s">
        <v>12257</v>
      </c>
      <c r="S19" s="22" t="s">
        <v>12258</v>
      </c>
      <c r="T19" s="22" t="s">
        <v>12259</v>
      </c>
      <c r="U19" s="22" t="s">
        <v>12260</v>
      </c>
      <c r="V19" s="22" t="s">
        <v>12261</v>
      </c>
      <c r="W19" s="22" t="s">
        <v>12262</v>
      </c>
      <c r="X19" s="22" t="s">
        <v>12263</v>
      </c>
      <c r="Y19" s="32" t="s">
        <v>12264</v>
      </c>
      <c r="Z19" s="22" t="s">
        <v>12265</v>
      </c>
      <c r="AA19" s="22" t="s">
        <v>12266</v>
      </c>
    </row>
    <row r="20" customFormat="false" ht="150" hidden="false" customHeight="true" outlineLevel="0" collapsed="false">
      <c r="A20" s="24" t="s">
        <v>12267</v>
      </c>
      <c r="B20" s="22" t="s">
        <v>9248</v>
      </c>
      <c r="C20" s="22" t="s">
        <v>12268</v>
      </c>
      <c r="D20" s="22" t="s">
        <v>12269</v>
      </c>
      <c r="E20" s="35" t="s">
        <v>15</v>
      </c>
      <c r="F20" s="22" t="s">
        <v>12270</v>
      </c>
      <c r="G20" s="22" t="s">
        <v>12271</v>
      </c>
      <c r="H20" s="22" t="s">
        <v>12272</v>
      </c>
      <c r="I20" s="22" t="s">
        <v>12273</v>
      </c>
      <c r="J20" s="22" t="s">
        <v>12274</v>
      </c>
      <c r="K20" s="22" t="s">
        <v>12275</v>
      </c>
      <c r="L20" s="22" t="s">
        <v>12276</v>
      </c>
      <c r="M20" s="22" t="s">
        <v>12277</v>
      </c>
      <c r="N20" s="22" t="s">
        <v>12278</v>
      </c>
      <c r="O20" s="22" t="s">
        <v>12279</v>
      </c>
      <c r="P20" s="22" t="s">
        <v>12280</v>
      </c>
      <c r="Q20" s="22" t="s">
        <v>12281</v>
      </c>
      <c r="R20" s="22" t="s">
        <v>12282</v>
      </c>
      <c r="S20" s="22" t="s">
        <v>12283</v>
      </c>
      <c r="T20" s="22" t="s">
        <v>12284</v>
      </c>
      <c r="U20" s="22" t="s">
        <v>12285</v>
      </c>
      <c r="V20" s="22" t="s">
        <v>12286</v>
      </c>
      <c r="W20" s="22" t="s">
        <v>12287</v>
      </c>
      <c r="X20" s="22" t="s">
        <v>10304</v>
      </c>
      <c r="Y20" s="32" t="s">
        <v>12288</v>
      </c>
      <c r="Z20" s="22" t="s">
        <v>12289</v>
      </c>
      <c r="AA20" s="22" t="s">
        <v>12290</v>
      </c>
    </row>
    <row r="21" customFormat="false" ht="75" hidden="false" customHeight="true" outlineLevel="0" collapsed="false">
      <c r="A21" s="24" t="s">
        <v>12291</v>
      </c>
      <c r="B21" s="22" t="s">
        <v>9248</v>
      </c>
      <c r="C21" s="22" t="s">
        <v>12292</v>
      </c>
      <c r="D21" s="22" t="s">
        <v>12293</v>
      </c>
      <c r="E21" s="31" t="s">
        <v>19</v>
      </c>
      <c r="F21" s="22" t="s">
        <v>12294</v>
      </c>
      <c r="G21" s="22" t="s">
        <v>12295</v>
      </c>
      <c r="H21" s="22" t="s">
        <v>12296</v>
      </c>
      <c r="I21" s="22" t="s">
        <v>12152</v>
      </c>
      <c r="J21" s="22" t="s">
        <v>12297</v>
      </c>
      <c r="K21" s="22" t="s">
        <v>12298</v>
      </c>
      <c r="L21" s="22" t="s">
        <v>12299</v>
      </c>
      <c r="M21" s="22" t="s">
        <v>12300</v>
      </c>
      <c r="N21" s="22" t="s">
        <v>12301</v>
      </c>
      <c r="O21" s="22" t="s">
        <v>12302</v>
      </c>
      <c r="P21" s="22" t="s">
        <v>9582</v>
      </c>
      <c r="Q21" s="22" t="s">
        <v>12303</v>
      </c>
      <c r="R21" s="22" t="s">
        <v>12304</v>
      </c>
      <c r="S21" s="22" t="s">
        <v>12305</v>
      </c>
      <c r="T21" s="22" t="s">
        <v>12306</v>
      </c>
      <c r="U21" s="22" t="s">
        <v>12307</v>
      </c>
      <c r="V21" s="22" t="s">
        <v>12308</v>
      </c>
      <c r="W21" s="22" t="s">
        <v>12309</v>
      </c>
      <c r="X21" s="22" t="s">
        <v>10304</v>
      </c>
      <c r="Y21" s="32" t="s">
        <v>12310</v>
      </c>
      <c r="Z21" s="22" t="s">
        <v>12311</v>
      </c>
      <c r="AA21" s="22" t="s">
        <v>12312</v>
      </c>
    </row>
    <row r="22" customFormat="false" ht="49.5" hidden="false" customHeight="true" outlineLevel="0" collapsed="false">
      <c r="A22" s="24" t="s">
        <v>12313</v>
      </c>
      <c r="B22" s="22" t="s">
        <v>9248</v>
      </c>
      <c r="C22" s="22" t="s">
        <v>12314</v>
      </c>
      <c r="D22" s="22" t="s">
        <v>12315</v>
      </c>
      <c r="E22" s="31" t="s">
        <v>19</v>
      </c>
      <c r="F22" s="22" t="s">
        <v>12316</v>
      </c>
      <c r="G22" s="22" t="s">
        <v>12317</v>
      </c>
      <c r="H22" s="22" t="s">
        <v>12296</v>
      </c>
      <c r="I22" s="22" t="s">
        <v>12152</v>
      </c>
      <c r="J22" s="22" t="s">
        <v>12318</v>
      </c>
      <c r="K22" s="22" t="s">
        <v>12319</v>
      </c>
      <c r="L22" s="22" t="s">
        <v>12320</v>
      </c>
      <c r="M22" s="22" t="s">
        <v>12321</v>
      </c>
      <c r="N22" s="22" t="s">
        <v>12322</v>
      </c>
      <c r="O22" s="22" t="s">
        <v>12323</v>
      </c>
      <c r="P22" s="22" t="s">
        <v>12324</v>
      </c>
      <c r="Q22" s="22" t="s">
        <v>12325</v>
      </c>
      <c r="R22" s="22" t="s">
        <v>12326</v>
      </c>
      <c r="S22" s="22" t="s">
        <v>12327</v>
      </c>
      <c r="T22" s="22" t="s">
        <v>12328</v>
      </c>
      <c r="U22" s="22" t="s">
        <v>12329</v>
      </c>
      <c r="V22" s="22" t="s">
        <v>12330</v>
      </c>
      <c r="W22" s="22" t="s">
        <v>12331</v>
      </c>
      <c r="X22" s="22" t="s">
        <v>11396</v>
      </c>
      <c r="Y22" s="32" t="s">
        <v>12332</v>
      </c>
      <c r="Z22" s="22" t="s">
        <v>12333</v>
      </c>
      <c r="AA22" s="22" t="s">
        <v>12334</v>
      </c>
    </row>
    <row r="23" customFormat="false" ht="150" hidden="false" customHeight="true" outlineLevel="0" collapsed="false">
      <c r="A23" s="24" t="s">
        <v>12335</v>
      </c>
      <c r="B23" s="22" t="s">
        <v>9248</v>
      </c>
      <c r="C23" s="22" t="s">
        <v>12336</v>
      </c>
      <c r="D23" s="22" t="s">
        <v>12337</v>
      </c>
      <c r="E23" s="31" t="s">
        <v>19</v>
      </c>
      <c r="F23" s="22" t="s">
        <v>12338</v>
      </c>
      <c r="G23" s="22" t="s">
        <v>12339</v>
      </c>
      <c r="H23" s="22" t="s">
        <v>12340</v>
      </c>
      <c r="I23" s="22" t="s">
        <v>12341</v>
      </c>
      <c r="J23" s="22" t="s">
        <v>12342</v>
      </c>
      <c r="K23" s="22" t="s">
        <v>12343</v>
      </c>
      <c r="L23" s="22" t="s">
        <v>12344</v>
      </c>
      <c r="M23" s="22" t="s">
        <v>12345</v>
      </c>
      <c r="N23" s="22" t="s">
        <v>12346</v>
      </c>
      <c r="O23" s="22" t="s">
        <v>12347</v>
      </c>
      <c r="P23" s="22" t="s">
        <v>12348</v>
      </c>
      <c r="Q23" s="22" t="s">
        <v>12349</v>
      </c>
      <c r="R23" s="22" t="s">
        <v>12350</v>
      </c>
      <c r="S23" s="22" t="s">
        <v>12351</v>
      </c>
      <c r="T23" s="22" t="s">
        <v>12352</v>
      </c>
      <c r="U23" s="22" t="s">
        <v>12353</v>
      </c>
      <c r="V23" s="22" t="s">
        <v>12354</v>
      </c>
      <c r="W23" s="22" t="s">
        <v>12355</v>
      </c>
      <c r="X23" s="22" t="s">
        <v>11396</v>
      </c>
      <c r="Y23" s="32" t="s">
        <v>12356</v>
      </c>
      <c r="Z23" s="22" t="s">
        <v>12357</v>
      </c>
      <c r="AA23" s="22" t="s">
        <v>12358</v>
      </c>
    </row>
    <row r="24" customFormat="false" ht="87" hidden="false" customHeight="true" outlineLevel="0" collapsed="false">
      <c r="A24" s="24" t="s">
        <v>12359</v>
      </c>
      <c r="B24" s="22" t="s">
        <v>9248</v>
      </c>
      <c r="C24" s="22" t="s">
        <v>12360</v>
      </c>
      <c r="D24" s="22" t="s">
        <v>12361</v>
      </c>
      <c r="E24" s="34" t="s">
        <v>17</v>
      </c>
      <c r="F24" s="22" t="s">
        <v>12362</v>
      </c>
      <c r="G24" s="22" t="s">
        <v>12363</v>
      </c>
      <c r="H24" s="22" t="s">
        <v>12364</v>
      </c>
      <c r="I24" s="22" t="s">
        <v>12365</v>
      </c>
      <c r="J24" s="22" t="s">
        <v>12366</v>
      </c>
      <c r="K24" s="22" t="s">
        <v>12367</v>
      </c>
      <c r="L24" s="22" t="s">
        <v>12368</v>
      </c>
      <c r="M24" s="22" t="s">
        <v>12369</v>
      </c>
      <c r="N24" s="22" t="s">
        <v>12370</v>
      </c>
      <c r="O24" s="22" t="s">
        <v>12371</v>
      </c>
      <c r="P24" s="22" t="s">
        <v>11943</v>
      </c>
      <c r="Q24" s="22" t="s">
        <v>12372</v>
      </c>
      <c r="R24" s="22" t="s">
        <v>12373</v>
      </c>
      <c r="S24" s="22" t="s">
        <v>12374</v>
      </c>
      <c r="T24" s="22" t="s">
        <v>12375</v>
      </c>
      <c r="U24" s="22" t="s">
        <v>12376</v>
      </c>
      <c r="V24" s="22" t="s">
        <v>12377</v>
      </c>
      <c r="W24" s="22" t="s">
        <v>12378</v>
      </c>
      <c r="X24" s="22" t="s">
        <v>10304</v>
      </c>
      <c r="Y24" s="32" t="s">
        <v>12379</v>
      </c>
      <c r="Z24" s="22" t="s">
        <v>12380</v>
      </c>
      <c r="AA24" s="22" t="s">
        <v>12381</v>
      </c>
    </row>
    <row r="25" customFormat="false" ht="62.25" hidden="false" customHeight="true" outlineLevel="0" collapsed="false">
      <c r="A25" s="24" t="s">
        <v>12382</v>
      </c>
      <c r="B25" s="22" t="s">
        <v>9248</v>
      </c>
      <c r="C25" s="22" t="s">
        <v>12383</v>
      </c>
      <c r="D25" s="22" t="s">
        <v>12384</v>
      </c>
      <c r="E25" s="34" t="s">
        <v>17</v>
      </c>
      <c r="F25" s="22" t="s">
        <v>12385</v>
      </c>
      <c r="G25" s="22" t="s">
        <v>12386</v>
      </c>
      <c r="H25" s="22" t="s">
        <v>12387</v>
      </c>
      <c r="I25" s="22" t="s">
        <v>12388</v>
      </c>
      <c r="J25" s="22" t="s">
        <v>12389</v>
      </c>
      <c r="K25" s="22" t="s">
        <v>12390</v>
      </c>
      <c r="L25" s="22" t="s">
        <v>12391</v>
      </c>
      <c r="M25" s="22" t="s">
        <v>12392</v>
      </c>
      <c r="N25" s="22" t="s">
        <v>12393</v>
      </c>
      <c r="O25" s="22" t="s">
        <v>12394</v>
      </c>
      <c r="P25" s="22" t="s">
        <v>11943</v>
      </c>
      <c r="Q25" s="22" t="s">
        <v>12395</v>
      </c>
      <c r="R25" s="22" t="s">
        <v>12373</v>
      </c>
      <c r="S25" s="22" t="s">
        <v>12374</v>
      </c>
      <c r="T25" s="22" t="s">
        <v>12396</v>
      </c>
      <c r="U25" s="22" t="s">
        <v>12397</v>
      </c>
      <c r="V25" s="22" t="s">
        <v>12398</v>
      </c>
      <c r="W25" s="22" t="s">
        <v>12399</v>
      </c>
      <c r="X25" s="22" t="s">
        <v>10304</v>
      </c>
      <c r="Y25" s="32" t="s">
        <v>12400</v>
      </c>
      <c r="Z25" s="22" t="s">
        <v>12401</v>
      </c>
      <c r="AA25" s="22" t="s">
        <v>12402</v>
      </c>
    </row>
    <row r="26" customFormat="false" ht="49.5" hidden="false" customHeight="true" outlineLevel="0" collapsed="false">
      <c r="A26" s="24" t="s">
        <v>12403</v>
      </c>
      <c r="B26" s="22" t="s">
        <v>9248</v>
      </c>
      <c r="C26" s="22" t="s">
        <v>12404</v>
      </c>
      <c r="D26" s="22" t="s">
        <v>12405</v>
      </c>
      <c r="E26" s="34" t="s">
        <v>17</v>
      </c>
      <c r="F26" s="22" t="s">
        <v>12406</v>
      </c>
      <c r="G26" s="22" t="s">
        <v>12407</v>
      </c>
      <c r="H26" s="22" t="s">
        <v>12408</v>
      </c>
      <c r="I26" s="22" t="s">
        <v>12409</v>
      </c>
      <c r="J26" s="22" t="s">
        <v>12410</v>
      </c>
      <c r="K26" s="22" t="s">
        <v>12411</v>
      </c>
      <c r="L26" s="22" t="s">
        <v>12412</v>
      </c>
      <c r="M26" s="22" t="s">
        <v>12413</v>
      </c>
      <c r="N26" s="22" t="s">
        <v>12414</v>
      </c>
      <c r="O26" s="22" t="s">
        <v>12415</v>
      </c>
      <c r="P26" s="22" t="s">
        <v>11943</v>
      </c>
      <c r="Q26" s="22" t="s">
        <v>12416</v>
      </c>
      <c r="R26" s="22" t="s">
        <v>12373</v>
      </c>
      <c r="S26" s="22" t="s">
        <v>12417</v>
      </c>
      <c r="T26" s="22" t="s">
        <v>12418</v>
      </c>
      <c r="U26" s="22" t="s">
        <v>12419</v>
      </c>
      <c r="V26" s="22" t="s">
        <v>12420</v>
      </c>
      <c r="W26" s="22" t="s">
        <v>12421</v>
      </c>
      <c r="X26" s="22" t="s">
        <v>10304</v>
      </c>
      <c r="Y26" s="32" t="s">
        <v>12422</v>
      </c>
      <c r="Z26" s="22" t="s">
        <v>12423</v>
      </c>
      <c r="AA26" s="22" t="s">
        <v>12424</v>
      </c>
    </row>
    <row r="27" customFormat="false" ht="99.75" hidden="false" customHeight="true" outlineLevel="0" collapsed="false">
      <c r="A27" s="24" t="s">
        <v>12425</v>
      </c>
      <c r="B27" s="22" t="s">
        <v>9248</v>
      </c>
      <c r="C27" s="22" t="s">
        <v>12426</v>
      </c>
      <c r="D27" s="22" t="s">
        <v>12427</v>
      </c>
      <c r="E27" s="34" t="s">
        <v>17</v>
      </c>
      <c r="F27" s="22" t="s">
        <v>12428</v>
      </c>
      <c r="G27" s="22" t="s">
        <v>12429</v>
      </c>
      <c r="H27" s="22" t="s">
        <v>12430</v>
      </c>
      <c r="I27" s="22" t="s">
        <v>12431</v>
      </c>
      <c r="J27" s="22" t="s">
        <v>12432</v>
      </c>
      <c r="K27" s="22" t="s">
        <v>12390</v>
      </c>
      <c r="L27" s="22" t="s">
        <v>12433</v>
      </c>
      <c r="M27" s="22" t="s">
        <v>12434</v>
      </c>
      <c r="N27" s="22" t="s">
        <v>10074</v>
      </c>
      <c r="O27" s="22" t="s">
        <v>12394</v>
      </c>
      <c r="P27" s="22" t="s">
        <v>11943</v>
      </c>
      <c r="Q27" s="22" t="s">
        <v>12395</v>
      </c>
      <c r="R27" s="22" t="s">
        <v>12435</v>
      </c>
      <c r="S27" s="22" t="s">
        <v>12374</v>
      </c>
      <c r="T27" s="22" t="s">
        <v>12436</v>
      </c>
      <c r="U27" s="22" t="s">
        <v>12437</v>
      </c>
      <c r="V27" s="22" t="s">
        <v>12438</v>
      </c>
      <c r="W27" s="22" t="s">
        <v>12439</v>
      </c>
      <c r="X27" s="22" t="s">
        <v>10304</v>
      </c>
      <c r="Y27" s="32" t="s">
        <v>12440</v>
      </c>
      <c r="Z27" s="22" t="s">
        <v>12441</v>
      </c>
      <c r="AA27" s="22" t="s">
        <v>12442</v>
      </c>
    </row>
    <row r="28" customFormat="false" ht="37.5" hidden="false" customHeight="true" outlineLevel="0" collapsed="false">
      <c r="A28" s="24" t="s">
        <v>12443</v>
      </c>
      <c r="B28" s="22" t="s">
        <v>9248</v>
      </c>
      <c r="C28" s="22" t="s">
        <v>12444</v>
      </c>
      <c r="D28" s="22" t="s">
        <v>12445</v>
      </c>
      <c r="E28" s="34" t="s">
        <v>17</v>
      </c>
      <c r="F28" s="22" t="s">
        <v>12446</v>
      </c>
      <c r="G28" s="22" t="s">
        <v>12447</v>
      </c>
      <c r="H28" s="22" t="s">
        <v>12448</v>
      </c>
      <c r="I28" s="22" t="s">
        <v>12449</v>
      </c>
      <c r="J28" s="22" t="s">
        <v>12389</v>
      </c>
      <c r="K28" s="22" t="s">
        <v>12450</v>
      </c>
      <c r="L28" s="22" t="s">
        <v>12451</v>
      </c>
      <c r="M28" s="22" t="s">
        <v>12452</v>
      </c>
      <c r="N28" s="22" t="s">
        <v>12453</v>
      </c>
      <c r="O28" s="22" t="s">
        <v>12394</v>
      </c>
      <c r="P28" s="22" t="s">
        <v>11943</v>
      </c>
      <c r="Q28" s="22" t="s">
        <v>12454</v>
      </c>
      <c r="R28" s="22" t="s">
        <v>12373</v>
      </c>
      <c r="S28" s="22" t="s">
        <v>12374</v>
      </c>
      <c r="T28" s="22" t="s">
        <v>12455</v>
      </c>
      <c r="U28" s="22" t="s">
        <v>12456</v>
      </c>
      <c r="V28" s="22" t="s">
        <v>12457</v>
      </c>
      <c r="W28" s="22" t="s">
        <v>12458</v>
      </c>
      <c r="X28" s="22" t="s">
        <v>10304</v>
      </c>
      <c r="Y28" s="32" t="s">
        <v>12459</v>
      </c>
      <c r="Z28" s="22" t="s">
        <v>12460</v>
      </c>
      <c r="AA28" s="22" t="s">
        <v>12461</v>
      </c>
    </row>
    <row r="29" customFormat="false" ht="37.5" hidden="false" customHeight="true" outlineLevel="0" collapsed="false">
      <c r="A29" s="24" t="s">
        <v>12462</v>
      </c>
      <c r="B29" s="22" t="s">
        <v>9248</v>
      </c>
      <c r="C29" s="22" t="s">
        <v>12463</v>
      </c>
      <c r="D29" s="22" t="s">
        <v>12464</v>
      </c>
      <c r="E29" s="34" t="s">
        <v>17</v>
      </c>
      <c r="F29" s="22" t="s">
        <v>12465</v>
      </c>
      <c r="G29" s="22" t="s">
        <v>12466</v>
      </c>
      <c r="H29" s="22" t="s">
        <v>12467</v>
      </c>
      <c r="I29" s="22" t="s">
        <v>12468</v>
      </c>
      <c r="J29" s="22" t="s">
        <v>12389</v>
      </c>
      <c r="K29" s="22" t="s">
        <v>12450</v>
      </c>
      <c r="L29" s="22" t="s">
        <v>12469</v>
      </c>
      <c r="M29" s="22" t="s">
        <v>12470</v>
      </c>
      <c r="N29" s="22" t="s">
        <v>12471</v>
      </c>
      <c r="O29" s="22" t="s">
        <v>12394</v>
      </c>
      <c r="P29" s="22" t="s">
        <v>11943</v>
      </c>
      <c r="Q29" s="22" t="s">
        <v>12472</v>
      </c>
      <c r="R29" s="22" t="s">
        <v>12373</v>
      </c>
      <c r="S29" s="22" t="s">
        <v>12374</v>
      </c>
      <c r="T29" s="22" t="s">
        <v>12473</v>
      </c>
      <c r="U29" s="22" t="s">
        <v>12474</v>
      </c>
      <c r="V29" s="22" t="s">
        <v>12475</v>
      </c>
      <c r="W29" s="22" t="s">
        <v>12476</v>
      </c>
      <c r="X29" s="22" t="s">
        <v>10304</v>
      </c>
      <c r="Y29" s="32" t="s">
        <v>12477</v>
      </c>
      <c r="Z29" s="22" t="s">
        <v>12478</v>
      </c>
      <c r="AA29" s="22" t="s">
        <v>12479</v>
      </c>
    </row>
    <row r="30" customFormat="false" ht="112.5" hidden="false" customHeight="true" outlineLevel="0" collapsed="false">
      <c r="A30" s="24" t="s">
        <v>12480</v>
      </c>
      <c r="B30" s="22" t="s">
        <v>9248</v>
      </c>
      <c r="C30" s="22" t="s">
        <v>12481</v>
      </c>
      <c r="D30" s="22" t="s">
        <v>12482</v>
      </c>
      <c r="E30" s="33" t="s">
        <v>21</v>
      </c>
      <c r="F30" s="22" t="s">
        <v>12483</v>
      </c>
      <c r="G30" s="22" t="s">
        <v>12484</v>
      </c>
      <c r="H30" s="22" t="s">
        <v>12485</v>
      </c>
      <c r="I30" s="22" t="s">
        <v>12486</v>
      </c>
      <c r="J30" s="22" t="s">
        <v>12487</v>
      </c>
      <c r="K30" s="22" t="s">
        <v>12488</v>
      </c>
      <c r="L30" s="22" t="s">
        <v>12489</v>
      </c>
      <c r="M30" s="22" t="s">
        <v>12490</v>
      </c>
      <c r="N30" s="22" t="s">
        <v>12491</v>
      </c>
      <c r="O30" s="22" t="s">
        <v>12492</v>
      </c>
      <c r="P30" s="22" t="s">
        <v>11943</v>
      </c>
      <c r="Q30" s="22" t="s">
        <v>12491</v>
      </c>
      <c r="R30" s="22" t="s">
        <v>12493</v>
      </c>
      <c r="S30" s="22" t="s">
        <v>12494</v>
      </c>
      <c r="T30" s="22" t="s">
        <v>12495</v>
      </c>
      <c r="U30" s="22" t="s">
        <v>12496</v>
      </c>
      <c r="V30" s="22" t="s">
        <v>12497</v>
      </c>
      <c r="W30" s="22" t="s">
        <v>12498</v>
      </c>
      <c r="X30" s="22" t="s">
        <v>10241</v>
      </c>
      <c r="Y30" s="32" t="s">
        <v>12499</v>
      </c>
      <c r="Z30" s="22" t="s">
        <v>12500</v>
      </c>
      <c r="AA30" s="22" t="s">
        <v>12501</v>
      </c>
    </row>
    <row r="31" customFormat="false" ht="249.75" hidden="false" customHeight="true" outlineLevel="0" collapsed="false">
      <c r="A31" s="24" t="s">
        <v>12502</v>
      </c>
      <c r="B31" s="22" t="s">
        <v>9248</v>
      </c>
      <c r="C31" s="22" t="s">
        <v>12503</v>
      </c>
      <c r="D31" s="22" t="s">
        <v>12504</v>
      </c>
      <c r="E31" s="35" t="s">
        <v>15</v>
      </c>
      <c r="F31" s="22" t="s">
        <v>12505</v>
      </c>
      <c r="G31" s="22" t="s">
        <v>12506</v>
      </c>
      <c r="H31" s="22" t="s">
        <v>12507</v>
      </c>
      <c r="I31" s="22" t="s">
        <v>12508</v>
      </c>
      <c r="J31" s="22" t="s">
        <v>12509</v>
      </c>
      <c r="K31" s="22" t="s">
        <v>12510</v>
      </c>
      <c r="L31" s="22" t="s">
        <v>12511</v>
      </c>
      <c r="M31" s="22" t="s">
        <v>12512</v>
      </c>
      <c r="N31" s="22" t="s">
        <v>12513</v>
      </c>
      <c r="O31" s="22" t="s">
        <v>12514</v>
      </c>
      <c r="P31" s="22" t="s">
        <v>12515</v>
      </c>
      <c r="Q31" s="22" t="s">
        <v>12516</v>
      </c>
      <c r="R31" s="22" t="s">
        <v>12517</v>
      </c>
      <c r="S31" s="22" t="s">
        <v>12518</v>
      </c>
      <c r="T31" s="22" t="s">
        <v>12519</v>
      </c>
      <c r="U31" s="22" t="s">
        <v>12520</v>
      </c>
      <c r="V31" s="22" t="s">
        <v>12521</v>
      </c>
      <c r="W31" s="22" t="s">
        <v>12522</v>
      </c>
      <c r="X31" s="22" t="s">
        <v>10304</v>
      </c>
      <c r="Y31" s="32" t="s">
        <v>12523</v>
      </c>
      <c r="Z31" s="22" t="s">
        <v>12524</v>
      </c>
      <c r="AA31" s="22" t="s">
        <v>12525</v>
      </c>
    </row>
    <row r="32" customFormat="false" ht="249.75" hidden="false" customHeight="true" outlineLevel="0" collapsed="false">
      <c r="A32" s="24" t="s">
        <v>12526</v>
      </c>
      <c r="B32" s="22" t="s">
        <v>9248</v>
      </c>
      <c r="C32" s="22" t="s">
        <v>12527</v>
      </c>
      <c r="D32" s="22" t="s">
        <v>12528</v>
      </c>
      <c r="E32" s="35" t="s">
        <v>15</v>
      </c>
      <c r="F32" s="22" t="s">
        <v>12529</v>
      </c>
      <c r="G32" s="22" t="s">
        <v>12530</v>
      </c>
      <c r="H32" s="22" t="s">
        <v>12531</v>
      </c>
      <c r="I32" s="22" t="s">
        <v>11960</v>
      </c>
      <c r="J32" s="22" t="s">
        <v>12532</v>
      </c>
      <c r="K32" s="22" t="s">
        <v>12533</v>
      </c>
      <c r="L32" s="22" t="s">
        <v>12534</v>
      </c>
      <c r="M32" s="22" t="s">
        <v>12535</v>
      </c>
      <c r="N32" s="22" t="s">
        <v>12536</v>
      </c>
      <c r="O32" s="22" t="s">
        <v>12537</v>
      </c>
      <c r="P32" s="22" t="s">
        <v>12538</v>
      </c>
      <c r="Q32" s="22" t="s">
        <v>12539</v>
      </c>
      <c r="R32" s="22" t="s">
        <v>12540</v>
      </c>
      <c r="S32" s="22" t="s">
        <v>12541</v>
      </c>
      <c r="T32" s="22" t="s">
        <v>12542</v>
      </c>
      <c r="U32" s="22" t="s">
        <v>12543</v>
      </c>
      <c r="V32" s="22" t="s">
        <v>12544</v>
      </c>
      <c r="W32" s="22" t="s">
        <v>12545</v>
      </c>
      <c r="X32" s="22" t="s">
        <v>10304</v>
      </c>
      <c r="Y32" s="32" t="s">
        <v>12546</v>
      </c>
      <c r="Z32" s="22" t="s">
        <v>12547</v>
      </c>
      <c r="AA32" s="22" t="s">
        <v>12548</v>
      </c>
    </row>
    <row r="33" customFormat="false" ht="112.5" hidden="false" customHeight="true" outlineLevel="0" collapsed="false">
      <c r="A33" s="24" t="s">
        <v>12549</v>
      </c>
      <c r="B33" s="22" t="s">
        <v>9248</v>
      </c>
      <c r="C33" s="22" t="s">
        <v>12550</v>
      </c>
      <c r="D33" s="22" t="s">
        <v>12551</v>
      </c>
      <c r="E33" s="31" t="s">
        <v>19</v>
      </c>
      <c r="F33" s="22" t="s">
        <v>12552</v>
      </c>
      <c r="G33" s="22" t="s">
        <v>12553</v>
      </c>
      <c r="H33" s="22" t="s">
        <v>12554</v>
      </c>
      <c r="I33" s="22" t="s">
        <v>12555</v>
      </c>
      <c r="J33" s="22" t="s">
        <v>12556</v>
      </c>
      <c r="K33" s="22" t="s">
        <v>12557</v>
      </c>
      <c r="L33" s="22" t="s">
        <v>12558</v>
      </c>
      <c r="M33" s="22" t="s">
        <v>12559</v>
      </c>
      <c r="N33" s="22" t="s">
        <v>12560</v>
      </c>
      <c r="O33" s="22" t="s">
        <v>12561</v>
      </c>
      <c r="P33" s="22" t="s">
        <v>12562</v>
      </c>
      <c r="Q33" s="22" t="s">
        <v>12563</v>
      </c>
      <c r="R33" s="22" t="s">
        <v>12564</v>
      </c>
      <c r="S33" s="22" t="s">
        <v>12565</v>
      </c>
      <c r="T33" s="22" t="s">
        <v>12566</v>
      </c>
      <c r="U33" s="22" t="s">
        <v>12567</v>
      </c>
      <c r="V33" s="22" t="s">
        <v>12568</v>
      </c>
      <c r="W33" s="22" t="s">
        <v>12569</v>
      </c>
      <c r="X33" s="22" t="s">
        <v>10304</v>
      </c>
      <c r="Y33" s="32" t="s">
        <v>12570</v>
      </c>
      <c r="Z33" s="22" t="s">
        <v>12571</v>
      </c>
      <c r="AA33" s="22" t="s">
        <v>12572</v>
      </c>
    </row>
    <row r="34" customFormat="false" ht="112.5" hidden="false" customHeight="true" outlineLevel="0" collapsed="false">
      <c r="A34" s="24" t="s">
        <v>12573</v>
      </c>
      <c r="B34" s="22" t="s">
        <v>9248</v>
      </c>
      <c r="C34" s="22" t="s">
        <v>12574</v>
      </c>
      <c r="D34" s="22" t="s">
        <v>12575</v>
      </c>
      <c r="E34" s="34" t="s">
        <v>17</v>
      </c>
      <c r="F34" s="22" t="s">
        <v>12576</v>
      </c>
      <c r="G34" s="22" t="s">
        <v>12577</v>
      </c>
      <c r="H34" s="22" t="s">
        <v>12578</v>
      </c>
      <c r="I34" s="22" t="s">
        <v>12579</v>
      </c>
      <c r="J34" s="22" t="s">
        <v>12580</v>
      </c>
      <c r="K34" s="22" t="s">
        <v>12581</v>
      </c>
      <c r="L34" s="22" t="s">
        <v>12582</v>
      </c>
      <c r="M34" s="22" t="s">
        <v>12583</v>
      </c>
      <c r="N34" s="22" t="s">
        <v>12584</v>
      </c>
      <c r="O34" s="22" t="s">
        <v>12585</v>
      </c>
      <c r="P34" s="22" t="s">
        <v>11943</v>
      </c>
      <c r="Q34" s="22" t="s">
        <v>11943</v>
      </c>
      <c r="R34" s="22" t="s">
        <v>12586</v>
      </c>
      <c r="S34" s="22" t="s">
        <v>12587</v>
      </c>
      <c r="T34" s="22" t="s">
        <v>12588</v>
      </c>
      <c r="U34" s="22" t="s">
        <v>12589</v>
      </c>
      <c r="V34" s="22" t="s">
        <v>12590</v>
      </c>
      <c r="W34" s="22" t="s">
        <v>12591</v>
      </c>
      <c r="X34" s="22" t="s">
        <v>10304</v>
      </c>
      <c r="Y34" s="32" t="s">
        <v>12592</v>
      </c>
      <c r="Z34" s="22" t="s">
        <v>12593</v>
      </c>
      <c r="AA34" s="22" t="s">
        <v>12594</v>
      </c>
    </row>
    <row r="35" customFormat="false" ht="137.25" hidden="false" customHeight="true" outlineLevel="0" collapsed="false">
      <c r="A35" s="24" t="s">
        <v>12595</v>
      </c>
      <c r="B35" s="22" t="s">
        <v>9248</v>
      </c>
      <c r="C35" s="22" t="s">
        <v>12596</v>
      </c>
      <c r="D35" s="22" t="s">
        <v>12597</v>
      </c>
      <c r="E35" s="34" t="s">
        <v>17</v>
      </c>
      <c r="F35" s="22" t="s">
        <v>12598</v>
      </c>
      <c r="G35" s="22" t="s">
        <v>12599</v>
      </c>
      <c r="H35" s="22" t="s">
        <v>12600</v>
      </c>
      <c r="I35" s="22" t="s">
        <v>12601</v>
      </c>
      <c r="J35" s="22" t="s">
        <v>12602</v>
      </c>
      <c r="K35" s="22" t="s">
        <v>12603</v>
      </c>
      <c r="L35" s="22" t="s">
        <v>12604</v>
      </c>
      <c r="M35" s="22" t="s">
        <v>12605</v>
      </c>
      <c r="N35" s="22" t="s">
        <v>12606</v>
      </c>
      <c r="O35" s="22" t="s">
        <v>12607</v>
      </c>
      <c r="P35" s="22" t="s">
        <v>12608</v>
      </c>
      <c r="Q35" s="22" t="s">
        <v>12609</v>
      </c>
      <c r="R35" s="22" t="s">
        <v>12610</v>
      </c>
      <c r="S35" s="22" t="s">
        <v>12611</v>
      </c>
      <c r="T35" s="22" t="s">
        <v>12612</v>
      </c>
      <c r="U35" s="22" t="s">
        <v>12613</v>
      </c>
      <c r="V35" s="22" t="s">
        <v>12614</v>
      </c>
      <c r="W35" s="22" t="s">
        <v>12615</v>
      </c>
      <c r="X35" s="22" t="s">
        <v>10304</v>
      </c>
      <c r="Y35" s="32" t="s">
        <v>12616</v>
      </c>
      <c r="Z35" s="22" t="s">
        <v>12617</v>
      </c>
      <c r="AA35" s="22" t="s">
        <v>12618</v>
      </c>
    </row>
    <row r="36" customFormat="false" ht="162" hidden="false" customHeight="true" outlineLevel="0" collapsed="false">
      <c r="A36" s="24" t="s">
        <v>12619</v>
      </c>
      <c r="B36" s="22" t="s">
        <v>9248</v>
      </c>
      <c r="C36" s="22" t="s">
        <v>12620</v>
      </c>
      <c r="D36" s="22" t="s">
        <v>12621</v>
      </c>
      <c r="E36" s="31" t="s">
        <v>19</v>
      </c>
      <c r="F36" s="22" t="s">
        <v>12622</v>
      </c>
      <c r="G36" s="22" t="s">
        <v>12623</v>
      </c>
      <c r="H36" s="22" t="s">
        <v>12624</v>
      </c>
      <c r="I36" s="22" t="s">
        <v>12625</v>
      </c>
      <c r="J36" s="22" t="s">
        <v>12626</v>
      </c>
      <c r="K36" s="22" t="s">
        <v>12627</v>
      </c>
      <c r="L36" s="22" t="s">
        <v>12628</v>
      </c>
      <c r="M36" s="22" t="s">
        <v>12629</v>
      </c>
      <c r="N36" s="22" t="s">
        <v>12630</v>
      </c>
      <c r="O36" s="22" t="s">
        <v>12631</v>
      </c>
      <c r="P36" s="22" t="s">
        <v>12207</v>
      </c>
      <c r="Q36" s="22" t="s">
        <v>12632</v>
      </c>
      <c r="R36" s="22" t="s">
        <v>12633</v>
      </c>
      <c r="S36" s="22" t="s">
        <v>12634</v>
      </c>
      <c r="T36" s="22" t="s">
        <v>12635</v>
      </c>
      <c r="U36" s="22" t="s">
        <v>12636</v>
      </c>
      <c r="V36" s="22" t="s">
        <v>12637</v>
      </c>
      <c r="W36" s="22" t="s">
        <v>12638</v>
      </c>
      <c r="X36" s="22" t="s">
        <v>10325</v>
      </c>
      <c r="Y36" s="32" t="s">
        <v>12639</v>
      </c>
      <c r="Z36" s="22" t="s">
        <v>12640</v>
      </c>
      <c r="AA36" s="22" t="s">
        <v>12641</v>
      </c>
    </row>
    <row r="37" customFormat="false" ht="62.25" hidden="false" customHeight="true" outlineLevel="0" collapsed="false">
      <c r="A37" s="24" t="s">
        <v>12642</v>
      </c>
      <c r="B37" s="22" t="s">
        <v>9248</v>
      </c>
      <c r="C37" s="22" t="s">
        <v>12643</v>
      </c>
      <c r="D37" s="22" t="s">
        <v>12644</v>
      </c>
      <c r="E37" s="33" t="s">
        <v>21</v>
      </c>
      <c r="F37" s="22" t="s">
        <v>12645</v>
      </c>
      <c r="G37" s="22" t="s">
        <v>12646</v>
      </c>
      <c r="H37" s="22" t="s">
        <v>12647</v>
      </c>
      <c r="I37" s="22" t="s">
        <v>12152</v>
      </c>
      <c r="J37" s="22" t="s">
        <v>12648</v>
      </c>
      <c r="K37" s="22" t="s">
        <v>12649</v>
      </c>
      <c r="L37" s="22" t="s">
        <v>12650</v>
      </c>
      <c r="M37" s="22" t="s">
        <v>12651</v>
      </c>
      <c r="N37" s="22" t="s">
        <v>12652</v>
      </c>
      <c r="O37" s="22" t="s">
        <v>12652</v>
      </c>
      <c r="P37" s="22" t="s">
        <v>12653</v>
      </c>
      <c r="Q37" s="22" t="s">
        <v>12652</v>
      </c>
      <c r="R37" s="22" t="s">
        <v>12654</v>
      </c>
      <c r="S37" s="22" t="s">
        <v>12655</v>
      </c>
      <c r="T37" s="22" t="s">
        <v>12656</v>
      </c>
      <c r="U37" s="22" t="s">
        <v>12657</v>
      </c>
      <c r="V37" s="22" t="s">
        <v>12658</v>
      </c>
      <c r="W37" s="22" t="s">
        <v>12659</v>
      </c>
      <c r="X37" s="22" t="s">
        <v>10304</v>
      </c>
      <c r="Y37" s="32" t="s">
        <v>12660</v>
      </c>
      <c r="Z37" s="22" t="s">
        <v>12661</v>
      </c>
      <c r="AA37" s="22" t="s">
        <v>12662</v>
      </c>
    </row>
    <row r="38" customFormat="false" ht="62.25" hidden="false" customHeight="true" outlineLevel="0" collapsed="false">
      <c r="A38" s="24" t="s">
        <v>12663</v>
      </c>
      <c r="B38" s="22" t="s">
        <v>9248</v>
      </c>
      <c r="C38" s="22" t="s">
        <v>12664</v>
      </c>
      <c r="D38" s="22" t="s">
        <v>12665</v>
      </c>
      <c r="E38" s="31" t="s">
        <v>19</v>
      </c>
      <c r="F38" s="22" t="s">
        <v>12666</v>
      </c>
      <c r="G38" s="22" t="s">
        <v>12667</v>
      </c>
      <c r="H38" s="22" t="s">
        <v>12668</v>
      </c>
      <c r="I38" s="22" t="s">
        <v>12669</v>
      </c>
      <c r="J38" s="22" t="s">
        <v>12670</v>
      </c>
      <c r="K38" s="22" t="s">
        <v>12671</v>
      </c>
      <c r="L38" s="22" t="s">
        <v>12672</v>
      </c>
      <c r="M38" s="22" t="s">
        <v>12673</v>
      </c>
      <c r="N38" s="22" t="s">
        <v>12674</v>
      </c>
      <c r="O38" s="22"/>
      <c r="P38" s="22" t="s">
        <v>11943</v>
      </c>
      <c r="Q38" s="22" t="s">
        <v>12675</v>
      </c>
      <c r="R38" s="22" t="s">
        <v>12676</v>
      </c>
      <c r="S38" s="22" t="s">
        <v>12677</v>
      </c>
      <c r="T38" s="22" t="s">
        <v>12678</v>
      </c>
      <c r="U38" s="22" t="s">
        <v>12589</v>
      </c>
      <c r="V38" s="22" t="s">
        <v>12679</v>
      </c>
      <c r="W38" s="22" t="s">
        <v>12680</v>
      </c>
      <c r="X38" s="22" t="s">
        <v>10304</v>
      </c>
      <c r="Y38" s="32" t="s">
        <v>12681</v>
      </c>
      <c r="Z38" s="22" t="s">
        <v>12682</v>
      </c>
      <c r="AA38" s="22" t="s">
        <v>12683</v>
      </c>
    </row>
    <row r="39" customFormat="false" ht="75" hidden="false" customHeight="true" outlineLevel="0" collapsed="false">
      <c r="A39" s="24" t="s">
        <v>12684</v>
      </c>
      <c r="B39" s="22" t="s">
        <v>9248</v>
      </c>
      <c r="C39" s="22" t="s">
        <v>12685</v>
      </c>
      <c r="D39" s="22" t="s">
        <v>12686</v>
      </c>
      <c r="E39" s="35" t="s">
        <v>15</v>
      </c>
      <c r="F39" s="22" t="s">
        <v>12687</v>
      </c>
      <c r="G39" s="22" t="s">
        <v>12688</v>
      </c>
      <c r="H39" s="22" t="s">
        <v>12689</v>
      </c>
      <c r="I39" s="22" t="s">
        <v>12690</v>
      </c>
      <c r="J39" s="22" t="s">
        <v>12691</v>
      </c>
      <c r="K39" s="22" t="s">
        <v>12692</v>
      </c>
      <c r="L39" s="22" t="s">
        <v>12693</v>
      </c>
      <c r="M39" s="22" t="s">
        <v>12694</v>
      </c>
      <c r="N39" s="22" t="s">
        <v>12695</v>
      </c>
      <c r="O39" s="22"/>
      <c r="P39" s="22" t="s">
        <v>11943</v>
      </c>
      <c r="Q39" s="22" t="s">
        <v>12696</v>
      </c>
      <c r="R39" s="22" t="s">
        <v>12697</v>
      </c>
      <c r="S39" s="22" t="s">
        <v>12698</v>
      </c>
      <c r="T39" s="22" t="s">
        <v>12699</v>
      </c>
      <c r="U39" s="22" t="s">
        <v>12589</v>
      </c>
      <c r="V39" s="22" t="s">
        <v>12700</v>
      </c>
      <c r="W39" s="22" t="s">
        <v>12701</v>
      </c>
      <c r="X39" s="22" t="s">
        <v>12702</v>
      </c>
      <c r="Y39" s="32" t="s">
        <v>12703</v>
      </c>
      <c r="Z39" s="22" t="s">
        <v>12704</v>
      </c>
      <c r="AA39" s="22" t="s">
        <v>12705</v>
      </c>
    </row>
    <row r="40" customFormat="false" ht="124.5" hidden="false" customHeight="true" outlineLevel="0" collapsed="false">
      <c r="A40" s="24" t="s">
        <v>12706</v>
      </c>
      <c r="B40" s="22" t="s">
        <v>9248</v>
      </c>
      <c r="C40" s="22" t="s">
        <v>12707</v>
      </c>
      <c r="D40" s="22" t="s">
        <v>12708</v>
      </c>
      <c r="E40" s="31" t="s">
        <v>19</v>
      </c>
      <c r="F40" s="22" t="s">
        <v>12709</v>
      </c>
      <c r="G40" s="22" t="s">
        <v>12710</v>
      </c>
      <c r="H40" s="22" t="s">
        <v>12711</v>
      </c>
      <c r="I40" s="22" t="s">
        <v>12712</v>
      </c>
      <c r="J40" s="22" t="s">
        <v>12713</v>
      </c>
      <c r="K40" s="22" t="s">
        <v>12714</v>
      </c>
      <c r="L40" s="22" t="s">
        <v>12715</v>
      </c>
      <c r="M40" s="22" t="s">
        <v>12716</v>
      </c>
      <c r="N40" s="22" t="s">
        <v>11943</v>
      </c>
      <c r="O40" s="22" t="s">
        <v>12717</v>
      </c>
      <c r="P40" s="22" t="s">
        <v>11943</v>
      </c>
      <c r="Q40" s="22" t="s">
        <v>12718</v>
      </c>
      <c r="R40" s="22" t="s">
        <v>12719</v>
      </c>
      <c r="S40" s="22" t="s">
        <v>12720</v>
      </c>
      <c r="T40" s="22" t="s">
        <v>12721</v>
      </c>
      <c r="U40" s="22" t="s">
        <v>12722</v>
      </c>
      <c r="V40" s="22" t="s">
        <v>12723</v>
      </c>
      <c r="W40" s="22" t="s">
        <v>12724</v>
      </c>
      <c r="X40" s="22" t="s">
        <v>10304</v>
      </c>
      <c r="Y40" s="32" t="s">
        <v>12725</v>
      </c>
      <c r="Z40" s="22" t="s">
        <v>12726</v>
      </c>
      <c r="AA40" s="22" t="s">
        <v>12727</v>
      </c>
    </row>
    <row r="41" customFormat="false" ht="75" hidden="false" customHeight="true" outlineLevel="0" collapsed="false">
      <c r="A41" s="24" t="s">
        <v>12728</v>
      </c>
      <c r="B41" s="22" t="s">
        <v>9248</v>
      </c>
      <c r="C41" s="22" t="s">
        <v>12729</v>
      </c>
      <c r="D41" s="22" t="s">
        <v>12730</v>
      </c>
      <c r="E41" s="35" t="s">
        <v>15</v>
      </c>
      <c r="F41" s="22" t="s">
        <v>12731</v>
      </c>
      <c r="G41" s="22" t="s">
        <v>12732</v>
      </c>
      <c r="H41" s="22" t="s">
        <v>12733</v>
      </c>
      <c r="I41" s="22" t="s">
        <v>11960</v>
      </c>
      <c r="J41" s="22" t="s">
        <v>12734</v>
      </c>
      <c r="K41" s="22" t="s">
        <v>12735</v>
      </c>
      <c r="L41" s="22" t="s">
        <v>12736</v>
      </c>
      <c r="M41" s="22" t="s">
        <v>12737</v>
      </c>
      <c r="N41" s="22" t="s">
        <v>12738</v>
      </c>
      <c r="O41" s="22"/>
      <c r="P41" s="22" t="s">
        <v>11943</v>
      </c>
      <c r="Q41" s="22" t="s">
        <v>12738</v>
      </c>
      <c r="R41" s="22" t="s">
        <v>12739</v>
      </c>
      <c r="S41" s="22" t="s">
        <v>12740</v>
      </c>
      <c r="T41" s="22" t="s">
        <v>12741</v>
      </c>
      <c r="U41" s="22" t="s">
        <v>12742</v>
      </c>
      <c r="V41" s="22" t="s">
        <v>12743</v>
      </c>
      <c r="W41" s="22" t="s">
        <v>12744</v>
      </c>
      <c r="X41" s="22" t="s">
        <v>10241</v>
      </c>
      <c r="Y41" s="32" t="s">
        <v>12745</v>
      </c>
      <c r="Z41" s="22" t="s">
        <v>12746</v>
      </c>
      <c r="AA41" s="22" t="s">
        <v>12747</v>
      </c>
    </row>
    <row r="42" customFormat="false" ht="162" hidden="false" customHeight="true" outlineLevel="0" collapsed="false">
      <c r="A42" s="24" t="s">
        <v>12748</v>
      </c>
      <c r="B42" s="22" t="s">
        <v>9248</v>
      </c>
      <c r="C42" s="22" t="s">
        <v>12749</v>
      </c>
      <c r="D42" s="22" t="s">
        <v>12750</v>
      </c>
      <c r="E42" s="31" t="s">
        <v>19</v>
      </c>
      <c r="F42" s="22" t="s">
        <v>12751</v>
      </c>
      <c r="G42" s="22" t="s">
        <v>12752</v>
      </c>
      <c r="H42" s="22" t="s">
        <v>12753</v>
      </c>
      <c r="I42" s="22" t="s">
        <v>12152</v>
      </c>
      <c r="J42" s="22"/>
      <c r="K42" s="22" t="s">
        <v>12754</v>
      </c>
      <c r="L42" s="22" t="s">
        <v>12755</v>
      </c>
      <c r="M42" s="22"/>
      <c r="N42" s="22"/>
      <c r="O42" s="22"/>
      <c r="P42" s="22" t="s">
        <v>12756</v>
      </c>
      <c r="Q42" s="22"/>
      <c r="R42" s="22" t="s">
        <v>12757</v>
      </c>
      <c r="S42" s="22" t="s">
        <v>12758</v>
      </c>
      <c r="T42" s="22" t="s">
        <v>12759</v>
      </c>
      <c r="U42" s="22" t="s">
        <v>12589</v>
      </c>
      <c r="V42" s="22" t="s">
        <v>12760</v>
      </c>
      <c r="W42" s="22" t="s">
        <v>12761</v>
      </c>
      <c r="X42" s="22" t="s">
        <v>10438</v>
      </c>
      <c r="Y42" s="32" t="s">
        <v>12762</v>
      </c>
      <c r="Z42" s="22" t="s">
        <v>12763</v>
      </c>
      <c r="AA42" s="22" t="s">
        <v>12764</v>
      </c>
    </row>
  </sheetData>
  <autoFilter ref="A5:AA42"/>
  <mergeCells count="2">
    <mergeCell ref="A1:Z1"/>
    <mergeCell ref="A2:AA2"/>
  </mergeCells>
  <dataValidations count="1">
    <dataValidation allowBlank="true" errorStyle="stop" operator="between" showDropDown="false" showErrorMessage="false" showInputMessage="false" sqref="E6:E1042"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64</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12765</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5</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262.5" hidden="false" customHeight="true" outlineLevel="0" collapsed="false">
      <c r="A6" s="24" t="s">
        <v>12766</v>
      </c>
      <c r="B6" s="22" t="s">
        <v>9248</v>
      </c>
      <c r="C6" s="22" t="s">
        <v>12767</v>
      </c>
      <c r="D6" s="22" t="s">
        <v>12768</v>
      </c>
      <c r="E6" s="34" t="s">
        <v>17</v>
      </c>
      <c r="F6" s="22" t="s">
        <v>12769</v>
      </c>
      <c r="G6" s="22" t="s">
        <v>12770</v>
      </c>
      <c r="H6" s="22" t="s">
        <v>12771</v>
      </c>
      <c r="I6" s="22" t="s">
        <v>12772</v>
      </c>
      <c r="J6" s="22" t="s">
        <v>12773</v>
      </c>
      <c r="K6" s="22" t="s">
        <v>12774</v>
      </c>
      <c r="L6" s="22" t="s">
        <v>12775</v>
      </c>
      <c r="M6" s="22" t="s">
        <v>12776</v>
      </c>
      <c r="N6" s="22" t="s">
        <v>12777</v>
      </c>
      <c r="O6" s="22" t="s">
        <v>12778</v>
      </c>
      <c r="P6" s="22" t="s">
        <v>12779</v>
      </c>
      <c r="Q6" s="22" t="s">
        <v>12780</v>
      </c>
      <c r="R6" s="22" t="s">
        <v>12781</v>
      </c>
      <c r="S6" s="22" t="s">
        <v>12782</v>
      </c>
      <c r="T6" s="22" t="s">
        <v>12783</v>
      </c>
      <c r="U6" s="22" t="s">
        <v>12784</v>
      </c>
      <c r="V6" s="22" t="s">
        <v>12785</v>
      </c>
      <c r="W6" s="22" t="s">
        <v>12786</v>
      </c>
      <c r="X6" s="22" t="s">
        <v>12787</v>
      </c>
      <c r="Y6" s="32" t="s">
        <v>12788</v>
      </c>
      <c r="Z6" s="22" t="s">
        <v>12789</v>
      </c>
      <c r="AA6" s="22" t="s">
        <v>12790</v>
      </c>
    </row>
    <row r="7" customFormat="false" ht="225" hidden="false" customHeight="true" outlineLevel="0" collapsed="false">
      <c r="A7" s="24" t="s">
        <v>12791</v>
      </c>
      <c r="B7" s="22" t="s">
        <v>9248</v>
      </c>
      <c r="C7" s="22" t="s">
        <v>12792</v>
      </c>
      <c r="D7" s="22" t="s">
        <v>12793</v>
      </c>
      <c r="E7" s="34" t="s">
        <v>17</v>
      </c>
      <c r="F7" s="22" t="s">
        <v>12794</v>
      </c>
      <c r="G7" s="22" t="s">
        <v>12795</v>
      </c>
      <c r="H7" s="22" t="s">
        <v>12796</v>
      </c>
      <c r="I7" s="22" t="s">
        <v>12772</v>
      </c>
      <c r="J7" s="22" t="s">
        <v>12797</v>
      </c>
      <c r="K7" s="22" t="s">
        <v>12798</v>
      </c>
      <c r="L7" s="22" t="s">
        <v>12799</v>
      </c>
      <c r="M7" s="22" t="s">
        <v>12800</v>
      </c>
      <c r="N7" s="22" t="s">
        <v>12801</v>
      </c>
      <c r="O7" s="22" t="s">
        <v>12802</v>
      </c>
      <c r="P7" s="22" t="s">
        <v>12779</v>
      </c>
      <c r="Q7" s="22" t="s">
        <v>12803</v>
      </c>
      <c r="R7" s="22" t="s">
        <v>12804</v>
      </c>
      <c r="S7" s="22" t="s">
        <v>12805</v>
      </c>
      <c r="T7" s="22" t="s">
        <v>12806</v>
      </c>
      <c r="U7" s="22" t="s">
        <v>12807</v>
      </c>
      <c r="V7" s="22" t="s">
        <v>12808</v>
      </c>
      <c r="W7" s="22" t="s">
        <v>12809</v>
      </c>
      <c r="X7" s="22" t="s">
        <v>12810</v>
      </c>
      <c r="Y7" s="32" t="s">
        <v>12811</v>
      </c>
      <c r="Z7" s="22"/>
      <c r="AA7" s="22" t="s">
        <v>12812</v>
      </c>
    </row>
    <row r="8" customFormat="false" ht="112.5" hidden="false" customHeight="true" outlineLevel="0" collapsed="false">
      <c r="A8" s="24" t="s">
        <v>12813</v>
      </c>
      <c r="B8" s="22" t="s">
        <v>9248</v>
      </c>
      <c r="C8" s="22" t="s">
        <v>12814</v>
      </c>
      <c r="D8" s="22" t="s">
        <v>12815</v>
      </c>
      <c r="E8" s="34" t="s">
        <v>17</v>
      </c>
      <c r="F8" s="22" t="s">
        <v>12816</v>
      </c>
      <c r="G8" s="22" t="s">
        <v>12795</v>
      </c>
      <c r="H8" s="22" t="s">
        <v>12817</v>
      </c>
      <c r="I8" s="22" t="s">
        <v>12772</v>
      </c>
      <c r="J8" s="22" t="s">
        <v>12818</v>
      </c>
      <c r="K8" s="22" t="s">
        <v>12819</v>
      </c>
      <c r="L8" s="22" t="s">
        <v>12820</v>
      </c>
      <c r="M8" s="22" t="s">
        <v>12821</v>
      </c>
      <c r="N8" s="22" t="s">
        <v>12822</v>
      </c>
      <c r="O8" s="22" t="s">
        <v>12823</v>
      </c>
      <c r="P8" s="22" t="s">
        <v>12779</v>
      </c>
      <c r="Q8" s="22" t="s">
        <v>12824</v>
      </c>
      <c r="R8" s="22" t="s">
        <v>12825</v>
      </c>
      <c r="S8" s="22" t="s">
        <v>12826</v>
      </c>
      <c r="T8" s="22" t="s">
        <v>12827</v>
      </c>
      <c r="U8" s="22" t="s">
        <v>12828</v>
      </c>
      <c r="V8" s="22" t="s">
        <v>12829</v>
      </c>
      <c r="W8" s="22" t="s">
        <v>12830</v>
      </c>
      <c r="X8" s="22" t="s">
        <v>12831</v>
      </c>
      <c r="Y8" s="32" t="s">
        <v>12832</v>
      </c>
      <c r="Z8" s="22"/>
      <c r="AA8" s="22" t="s">
        <v>12833</v>
      </c>
    </row>
    <row r="9" customFormat="false" ht="99.75" hidden="false" customHeight="true" outlineLevel="0" collapsed="false">
      <c r="A9" s="24" t="s">
        <v>12834</v>
      </c>
      <c r="B9" s="22" t="s">
        <v>9248</v>
      </c>
      <c r="C9" s="22" t="s">
        <v>12835</v>
      </c>
      <c r="D9" s="22" t="s">
        <v>12836</v>
      </c>
      <c r="E9" s="35" t="s">
        <v>15</v>
      </c>
      <c r="F9" s="22" t="s">
        <v>12837</v>
      </c>
      <c r="G9" s="22" t="s">
        <v>12838</v>
      </c>
      <c r="H9" s="22" t="s">
        <v>12839</v>
      </c>
      <c r="I9" s="22" t="s">
        <v>12840</v>
      </c>
      <c r="J9" s="22" t="s">
        <v>12841</v>
      </c>
      <c r="K9" s="22" t="s">
        <v>12842</v>
      </c>
      <c r="L9" s="22" t="s">
        <v>12843</v>
      </c>
      <c r="M9" s="22" t="s">
        <v>12844</v>
      </c>
      <c r="N9" s="22" t="s">
        <v>12845</v>
      </c>
      <c r="O9" s="22" t="s">
        <v>12846</v>
      </c>
      <c r="P9" s="22" t="s">
        <v>2954</v>
      </c>
      <c r="Q9" s="22" t="s">
        <v>12847</v>
      </c>
      <c r="R9" s="22" t="s">
        <v>12848</v>
      </c>
      <c r="S9" s="22" t="s">
        <v>12849</v>
      </c>
      <c r="T9" s="22" t="s">
        <v>12850</v>
      </c>
      <c r="U9" s="22" t="s">
        <v>12851</v>
      </c>
      <c r="V9" s="22" t="s">
        <v>12852</v>
      </c>
      <c r="W9" s="22" t="s">
        <v>12853</v>
      </c>
      <c r="X9" s="22" t="s">
        <v>10304</v>
      </c>
      <c r="Y9" s="32" t="s">
        <v>12854</v>
      </c>
      <c r="Z9" s="22" t="s">
        <v>12789</v>
      </c>
      <c r="AA9" s="22" t="s">
        <v>12855</v>
      </c>
    </row>
    <row r="10" customFormat="false" ht="99.75" hidden="false" customHeight="true" outlineLevel="0" collapsed="false">
      <c r="A10" s="24" t="s">
        <v>12856</v>
      </c>
      <c r="B10" s="22" t="s">
        <v>9248</v>
      </c>
      <c r="C10" s="22" t="s">
        <v>12857</v>
      </c>
      <c r="D10" s="22" t="s">
        <v>12858</v>
      </c>
      <c r="E10" s="31" t="s">
        <v>19</v>
      </c>
      <c r="F10" s="22" t="s">
        <v>12859</v>
      </c>
      <c r="G10" s="22" t="s">
        <v>12860</v>
      </c>
      <c r="H10" s="22" t="s">
        <v>12861</v>
      </c>
      <c r="I10" s="22" t="s">
        <v>12862</v>
      </c>
      <c r="J10" s="22" t="s">
        <v>12863</v>
      </c>
      <c r="K10" s="22" t="s">
        <v>12864</v>
      </c>
      <c r="L10" s="22" t="s">
        <v>12865</v>
      </c>
      <c r="M10" s="22" t="s">
        <v>12866</v>
      </c>
      <c r="N10" s="22" t="s">
        <v>12867</v>
      </c>
      <c r="O10" s="22"/>
      <c r="P10" s="22" t="s">
        <v>12779</v>
      </c>
      <c r="Q10" s="22" t="s">
        <v>12868</v>
      </c>
      <c r="R10" s="22" t="s">
        <v>12869</v>
      </c>
      <c r="S10" s="22" t="s">
        <v>12870</v>
      </c>
      <c r="T10" s="22" t="s">
        <v>12871</v>
      </c>
      <c r="U10" s="22" t="s">
        <v>12872</v>
      </c>
      <c r="V10" s="22" t="s">
        <v>12873</v>
      </c>
      <c r="W10" s="22" t="s">
        <v>12874</v>
      </c>
      <c r="X10" s="22" t="s">
        <v>10304</v>
      </c>
      <c r="Y10" s="32" t="s">
        <v>12875</v>
      </c>
      <c r="Z10" s="22" t="s">
        <v>12876</v>
      </c>
      <c r="AA10" s="22" t="s">
        <v>12877</v>
      </c>
    </row>
  </sheetData>
  <autoFilter ref="A5:AA10"/>
  <mergeCells count="2">
    <mergeCell ref="A1:Z1"/>
    <mergeCell ref="A2:AA2"/>
  </mergeCells>
  <dataValidations count="1">
    <dataValidation allowBlank="true" errorStyle="stop" operator="between" showDropDown="false" showErrorMessage="false" showInputMessage="false" sqref="E6:E1010"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66</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12878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5</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87" hidden="false" customHeight="true" outlineLevel="0" collapsed="false">
      <c r="A6" s="24" t="s">
        <v>12879</v>
      </c>
      <c r="B6" s="22" t="s">
        <v>9248</v>
      </c>
      <c r="C6" s="22" t="s">
        <v>12880</v>
      </c>
      <c r="D6" s="22" t="s">
        <v>12881</v>
      </c>
      <c r="E6" s="34" t="s">
        <v>17</v>
      </c>
      <c r="F6" s="22" t="s">
        <v>12882</v>
      </c>
      <c r="G6" s="22" t="s">
        <v>12883</v>
      </c>
      <c r="H6" s="22" t="s">
        <v>12884</v>
      </c>
      <c r="I6" s="22" t="s">
        <v>12152</v>
      </c>
      <c r="J6" s="22" t="s">
        <v>12885</v>
      </c>
      <c r="K6" s="22" t="s">
        <v>12886</v>
      </c>
      <c r="L6" s="22" t="s">
        <v>12887</v>
      </c>
      <c r="M6" s="22" t="s">
        <v>12888</v>
      </c>
      <c r="N6" s="22" t="s">
        <v>12889</v>
      </c>
      <c r="O6" s="22"/>
      <c r="P6" s="22" t="s">
        <v>12779</v>
      </c>
      <c r="Q6" s="22" t="s">
        <v>12890</v>
      </c>
      <c r="R6" s="22" t="s">
        <v>12891</v>
      </c>
      <c r="S6" s="22" t="s">
        <v>12892</v>
      </c>
      <c r="T6" s="22" t="s">
        <v>12893</v>
      </c>
      <c r="U6" s="22" t="s">
        <v>12894</v>
      </c>
      <c r="V6" s="22" t="s">
        <v>12895</v>
      </c>
      <c r="W6" s="22" t="s">
        <v>12896</v>
      </c>
      <c r="X6" s="22" t="s">
        <v>10325</v>
      </c>
      <c r="Y6" s="32" t="s">
        <v>12897</v>
      </c>
      <c r="Z6" s="22"/>
      <c r="AA6" s="22" t="s">
        <v>12898</v>
      </c>
    </row>
    <row r="7" customFormat="false" ht="62.25" hidden="false" customHeight="true" outlineLevel="0" collapsed="false">
      <c r="A7" s="24" t="s">
        <v>12899</v>
      </c>
      <c r="B7" s="22" t="s">
        <v>9248</v>
      </c>
      <c r="C7" s="22" t="s">
        <v>12900</v>
      </c>
      <c r="D7" s="22" t="s">
        <v>12901</v>
      </c>
      <c r="E7" s="34" t="s">
        <v>17</v>
      </c>
      <c r="F7" s="22" t="s">
        <v>12902</v>
      </c>
      <c r="G7" s="22" t="s">
        <v>12795</v>
      </c>
      <c r="H7" s="22" t="s">
        <v>12884</v>
      </c>
      <c r="I7" s="22" t="s">
        <v>12152</v>
      </c>
      <c r="J7" s="22" t="s">
        <v>12903</v>
      </c>
      <c r="K7" s="22" t="s">
        <v>12904</v>
      </c>
      <c r="L7" s="22" t="s">
        <v>12905</v>
      </c>
      <c r="M7" s="22" t="s">
        <v>12906</v>
      </c>
      <c r="N7" s="22" t="s">
        <v>12907</v>
      </c>
      <c r="O7" s="22" t="s">
        <v>12908</v>
      </c>
      <c r="P7" s="22" t="s">
        <v>12779</v>
      </c>
      <c r="Q7" s="22" t="s">
        <v>12909</v>
      </c>
      <c r="R7" s="22" t="s">
        <v>12910</v>
      </c>
      <c r="S7" s="22" t="s">
        <v>12911</v>
      </c>
      <c r="T7" s="22" t="s">
        <v>12912</v>
      </c>
      <c r="U7" s="22" t="s">
        <v>12913</v>
      </c>
      <c r="V7" s="22" t="s">
        <v>12914</v>
      </c>
      <c r="W7" s="22" t="s">
        <v>12915</v>
      </c>
      <c r="X7" s="22" t="s">
        <v>10304</v>
      </c>
      <c r="Y7" s="32" t="s">
        <v>12916</v>
      </c>
      <c r="Z7" s="22"/>
      <c r="AA7" s="22"/>
    </row>
    <row r="8" customFormat="false" ht="75" hidden="false" customHeight="true" outlineLevel="0" collapsed="false">
      <c r="A8" s="24" t="s">
        <v>12917</v>
      </c>
      <c r="B8" s="22" t="s">
        <v>9248</v>
      </c>
      <c r="C8" s="22" t="s">
        <v>12918</v>
      </c>
      <c r="D8" s="22" t="s">
        <v>12919</v>
      </c>
      <c r="E8" s="31" t="s">
        <v>19</v>
      </c>
      <c r="F8" s="22" t="s">
        <v>12920</v>
      </c>
      <c r="G8" s="22" t="s">
        <v>12921</v>
      </c>
      <c r="H8" s="22" t="s">
        <v>12922</v>
      </c>
      <c r="I8" s="22" t="s">
        <v>12152</v>
      </c>
      <c r="J8" s="22" t="s">
        <v>12923</v>
      </c>
      <c r="K8" s="22" t="s">
        <v>12924</v>
      </c>
      <c r="L8" s="22" t="s">
        <v>12925</v>
      </c>
      <c r="M8" s="22" t="s">
        <v>12926</v>
      </c>
      <c r="N8" s="22" t="s">
        <v>12889</v>
      </c>
      <c r="O8" s="22" t="s">
        <v>12927</v>
      </c>
      <c r="P8" s="22" t="s">
        <v>12779</v>
      </c>
      <c r="Q8" s="22" t="s">
        <v>12928</v>
      </c>
      <c r="R8" s="22" t="s">
        <v>12929</v>
      </c>
      <c r="S8" s="22" t="s">
        <v>12930</v>
      </c>
      <c r="T8" s="22" t="s">
        <v>12931</v>
      </c>
      <c r="U8" s="22" t="s">
        <v>12932</v>
      </c>
      <c r="V8" s="22" t="s">
        <v>12933</v>
      </c>
      <c r="W8" s="22" t="s">
        <v>12934</v>
      </c>
      <c r="X8" s="22" t="s">
        <v>10304</v>
      </c>
      <c r="Y8" s="32" t="s">
        <v>12935</v>
      </c>
      <c r="Z8" s="22"/>
      <c r="AA8" s="22" t="s">
        <v>12936</v>
      </c>
    </row>
    <row r="9" customFormat="false" ht="75" hidden="false" customHeight="true" outlineLevel="0" collapsed="false">
      <c r="A9" s="24" t="s">
        <v>12937</v>
      </c>
      <c r="B9" s="22" t="s">
        <v>9248</v>
      </c>
      <c r="C9" s="22" t="s">
        <v>12938</v>
      </c>
      <c r="D9" s="22" t="s">
        <v>12939</v>
      </c>
      <c r="E9" s="34" t="s">
        <v>17</v>
      </c>
      <c r="F9" s="22" t="s">
        <v>12940</v>
      </c>
      <c r="G9" s="22" t="s">
        <v>12795</v>
      </c>
      <c r="H9" s="22" t="s">
        <v>12941</v>
      </c>
      <c r="I9" s="22" t="s">
        <v>12152</v>
      </c>
      <c r="J9" s="22" t="s">
        <v>12942</v>
      </c>
      <c r="K9" s="22" t="s">
        <v>12943</v>
      </c>
      <c r="L9" s="22" t="s">
        <v>12944</v>
      </c>
      <c r="M9" s="22" t="s">
        <v>12945</v>
      </c>
      <c r="N9" s="22" t="s">
        <v>12946</v>
      </c>
      <c r="O9" s="22"/>
      <c r="P9" s="22" t="s">
        <v>12779</v>
      </c>
      <c r="Q9" s="22" t="s">
        <v>12947</v>
      </c>
      <c r="R9" s="22" t="s">
        <v>12948</v>
      </c>
      <c r="S9" s="22" t="s">
        <v>12949</v>
      </c>
      <c r="T9" s="22" t="s">
        <v>12950</v>
      </c>
      <c r="U9" s="22" t="s">
        <v>12951</v>
      </c>
      <c r="V9" s="22" t="s">
        <v>12952</v>
      </c>
      <c r="W9" s="22" t="s">
        <v>12953</v>
      </c>
      <c r="X9" s="22" t="s">
        <v>10304</v>
      </c>
      <c r="Y9" s="32" t="s">
        <v>12954</v>
      </c>
      <c r="Z9" s="22"/>
      <c r="AA9" s="22"/>
    </row>
    <row r="10" customFormat="false" ht="124.5" hidden="false" customHeight="true" outlineLevel="0" collapsed="false">
      <c r="A10" s="24" t="s">
        <v>12955</v>
      </c>
      <c r="B10" s="22" t="s">
        <v>9248</v>
      </c>
      <c r="C10" s="22" t="s">
        <v>12956</v>
      </c>
      <c r="D10" s="22" t="s">
        <v>12957</v>
      </c>
      <c r="E10" s="34" t="s">
        <v>17</v>
      </c>
      <c r="F10" s="22" t="s">
        <v>12958</v>
      </c>
      <c r="G10" s="22" t="s">
        <v>12959</v>
      </c>
      <c r="H10" s="22" t="s">
        <v>12941</v>
      </c>
      <c r="I10" s="22" t="s">
        <v>12152</v>
      </c>
      <c r="J10" s="22" t="s">
        <v>12960</v>
      </c>
      <c r="K10" s="22" t="s">
        <v>12961</v>
      </c>
      <c r="L10" s="22" t="s">
        <v>12962</v>
      </c>
      <c r="M10" s="22" t="s">
        <v>12963</v>
      </c>
      <c r="N10" s="22" t="s">
        <v>12964</v>
      </c>
      <c r="O10" s="22" t="s">
        <v>12965</v>
      </c>
      <c r="P10" s="22" t="s">
        <v>12779</v>
      </c>
      <c r="Q10" s="22" t="s">
        <v>12966</v>
      </c>
      <c r="R10" s="22" t="s">
        <v>12967</v>
      </c>
      <c r="S10" s="22" t="s">
        <v>12968</v>
      </c>
      <c r="T10" s="22" t="s">
        <v>12969</v>
      </c>
      <c r="U10" s="22" t="s">
        <v>12970</v>
      </c>
      <c r="V10" s="22" t="s">
        <v>12971</v>
      </c>
      <c r="W10" s="22" t="s">
        <v>12972</v>
      </c>
      <c r="X10" s="22" t="s">
        <v>12973</v>
      </c>
      <c r="Y10" s="32" t="s">
        <v>12974</v>
      </c>
      <c r="Z10" s="22"/>
      <c r="AA10" s="22"/>
    </row>
  </sheetData>
  <autoFilter ref="A5:AA10"/>
  <mergeCells count="2">
    <mergeCell ref="A1:Z1"/>
    <mergeCell ref="A2:AA2"/>
  </mergeCells>
  <dataValidations count="1">
    <dataValidation allowBlank="true" errorStyle="stop" operator="between" showDropDown="false" showErrorMessage="false" showInputMessage="false" sqref="E6:E1010"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68</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12975</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14</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75" hidden="false" customHeight="true" outlineLevel="0" collapsed="false">
      <c r="A6" s="24" t="s">
        <v>12976</v>
      </c>
      <c r="B6" s="22" t="s">
        <v>9248</v>
      </c>
      <c r="C6" s="22" t="s">
        <v>12977</v>
      </c>
      <c r="D6" s="22" t="s">
        <v>12978</v>
      </c>
      <c r="E6" s="34" t="s">
        <v>17</v>
      </c>
      <c r="F6" s="22" t="s">
        <v>12979</v>
      </c>
      <c r="G6" s="22" t="s">
        <v>12980</v>
      </c>
      <c r="H6" s="22" t="s">
        <v>12981</v>
      </c>
      <c r="I6" s="22" t="s">
        <v>12152</v>
      </c>
      <c r="J6" s="22" t="s">
        <v>12982</v>
      </c>
      <c r="K6" s="22" t="s">
        <v>12983</v>
      </c>
      <c r="L6" s="22" t="s">
        <v>12984</v>
      </c>
      <c r="M6" s="22" t="s">
        <v>12985</v>
      </c>
      <c r="N6" s="22" t="s">
        <v>12986</v>
      </c>
      <c r="O6" s="22" t="s">
        <v>12987</v>
      </c>
      <c r="P6" s="22" t="s">
        <v>12779</v>
      </c>
      <c r="Q6" s="22" t="s">
        <v>12988</v>
      </c>
      <c r="R6" s="22" t="s">
        <v>12989</v>
      </c>
      <c r="S6" s="22" t="s">
        <v>12990</v>
      </c>
      <c r="T6" s="22" t="s">
        <v>12991</v>
      </c>
      <c r="U6" s="22" t="s">
        <v>12992</v>
      </c>
      <c r="V6" s="22" t="s">
        <v>12993</v>
      </c>
      <c r="W6" s="22" t="s">
        <v>12994</v>
      </c>
      <c r="X6" s="22" t="s">
        <v>10325</v>
      </c>
      <c r="Y6" s="32" t="s">
        <v>12995</v>
      </c>
      <c r="Z6" s="22"/>
      <c r="AA6" s="22"/>
    </row>
    <row r="7" customFormat="false" ht="212.25" hidden="false" customHeight="true" outlineLevel="0" collapsed="false">
      <c r="A7" s="24" t="s">
        <v>12996</v>
      </c>
      <c r="B7" s="22" t="s">
        <v>9248</v>
      </c>
      <c r="C7" s="22" t="s">
        <v>12997</v>
      </c>
      <c r="D7" s="22" t="s">
        <v>12998</v>
      </c>
      <c r="E7" s="31" t="s">
        <v>19</v>
      </c>
      <c r="F7" s="22" t="s">
        <v>12999</v>
      </c>
      <c r="G7" s="22" t="s">
        <v>13000</v>
      </c>
      <c r="H7" s="22" t="s">
        <v>13001</v>
      </c>
      <c r="I7" s="22" t="s">
        <v>13002</v>
      </c>
      <c r="J7" s="22" t="s">
        <v>13003</v>
      </c>
      <c r="K7" s="22" t="s">
        <v>13004</v>
      </c>
      <c r="L7" s="22" t="s">
        <v>13005</v>
      </c>
      <c r="M7" s="22" t="s">
        <v>13006</v>
      </c>
      <c r="N7" s="22" t="s">
        <v>13007</v>
      </c>
      <c r="O7" s="22" t="s">
        <v>13008</v>
      </c>
      <c r="P7" s="22" t="s">
        <v>13009</v>
      </c>
      <c r="Q7" s="22" t="s">
        <v>13010</v>
      </c>
      <c r="R7" s="22" t="s">
        <v>13011</v>
      </c>
      <c r="S7" s="22" t="s">
        <v>13012</v>
      </c>
      <c r="T7" s="22" t="s">
        <v>13013</v>
      </c>
      <c r="U7" s="22" t="s">
        <v>13014</v>
      </c>
      <c r="V7" s="22" t="s">
        <v>13015</v>
      </c>
      <c r="W7" s="22" t="s">
        <v>13016</v>
      </c>
      <c r="X7" s="22" t="s">
        <v>10304</v>
      </c>
      <c r="Y7" s="32" t="s">
        <v>13017</v>
      </c>
      <c r="Z7" s="22" t="s">
        <v>13018</v>
      </c>
      <c r="AA7" s="22" t="s">
        <v>13019</v>
      </c>
    </row>
    <row r="8" customFormat="false" ht="99.75" hidden="false" customHeight="true" outlineLevel="0" collapsed="false">
      <c r="A8" s="24" t="s">
        <v>13020</v>
      </c>
      <c r="B8" s="22" t="s">
        <v>9248</v>
      </c>
      <c r="C8" s="22" t="s">
        <v>13021</v>
      </c>
      <c r="D8" s="22" t="s">
        <v>13022</v>
      </c>
      <c r="E8" s="31" t="s">
        <v>19</v>
      </c>
      <c r="F8" s="22" t="s">
        <v>13023</v>
      </c>
      <c r="G8" s="22" t="s">
        <v>13024</v>
      </c>
      <c r="H8" s="22" t="s">
        <v>13025</v>
      </c>
      <c r="I8" s="22" t="s">
        <v>13026</v>
      </c>
      <c r="J8" s="22" t="s">
        <v>13027</v>
      </c>
      <c r="K8" s="22" t="s">
        <v>13028</v>
      </c>
      <c r="L8" s="22" t="s">
        <v>13029</v>
      </c>
      <c r="M8" s="22" t="s">
        <v>13030</v>
      </c>
      <c r="N8" s="22" t="s">
        <v>13031</v>
      </c>
      <c r="O8" s="22" t="s">
        <v>13032</v>
      </c>
      <c r="P8" s="22" t="s">
        <v>13033</v>
      </c>
      <c r="Q8" s="22" t="s">
        <v>13034</v>
      </c>
      <c r="R8" s="22" t="s">
        <v>13035</v>
      </c>
      <c r="S8" s="22" t="s">
        <v>13036</v>
      </c>
      <c r="T8" s="22" t="s">
        <v>13037</v>
      </c>
      <c r="U8" s="22" t="s">
        <v>13038</v>
      </c>
      <c r="V8" s="22" t="s">
        <v>13039</v>
      </c>
      <c r="W8" s="22" t="s">
        <v>13040</v>
      </c>
      <c r="X8" s="22" t="s">
        <v>10325</v>
      </c>
      <c r="Y8" s="32" t="s">
        <v>13041</v>
      </c>
      <c r="Z8" s="22" t="s">
        <v>13042</v>
      </c>
      <c r="AA8" s="22" t="s">
        <v>13043</v>
      </c>
    </row>
    <row r="9" customFormat="false" ht="112.5" hidden="false" customHeight="true" outlineLevel="0" collapsed="false">
      <c r="A9" s="24" t="s">
        <v>13044</v>
      </c>
      <c r="B9" s="22" t="s">
        <v>9248</v>
      </c>
      <c r="C9" s="22" t="s">
        <v>13045</v>
      </c>
      <c r="D9" s="22" t="s">
        <v>13046</v>
      </c>
      <c r="E9" s="31" t="s">
        <v>19</v>
      </c>
      <c r="F9" s="22" t="s">
        <v>13047</v>
      </c>
      <c r="G9" s="22" t="s">
        <v>13048</v>
      </c>
      <c r="H9" s="22" t="s">
        <v>13049</v>
      </c>
      <c r="I9" s="22" t="s">
        <v>13050</v>
      </c>
      <c r="J9" s="22" t="s">
        <v>13051</v>
      </c>
      <c r="K9" s="22" t="s">
        <v>13052</v>
      </c>
      <c r="L9" s="22" t="s">
        <v>13053</v>
      </c>
      <c r="M9" s="22" t="s">
        <v>13054</v>
      </c>
      <c r="N9" s="22" t="s">
        <v>13055</v>
      </c>
      <c r="O9" s="22" t="s">
        <v>13056</v>
      </c>
      <c r="P9" s="22" t="s">
        <v>13057</v>
      </c>
      <c r="Q9" s="22" t="s">
        <v>13058</v>
      </c>
      <c r="R9" s="22" t="s">
        <v>13059</v>
      </c>
      <c r="S9" s="22" t="s">
        <v>13060</v>
      </c>
      <c r="T9" s="22" t="s">
        <v>13061</v>
      </c>
      <c r="U9" s="22" t="s">
        <v>13062</v>
      </c>
      <c r="V9" s="22" t="s">
        <v>13063</v>
      </c>
      <c r="W9" s="22" t="s">
        <v>13064</v>
      </c>
      <c r="X9" s="22" t="s">
        <v>10325</v>
      </c>
      <c r="Y9" s="32" t="s">
        <v>13065</v>
      </c>
      <c r="Z9" s="22" t="s">
        <v>13066</v>
      </c>
      <c r="AA9" s="22" t="s">
        <v>13067</v>
      </c>
    </row>
    <row r="10" customFormat="false" ht="62.25" hidden="false" customHeight="true" outlineLevel="0" collapsed="false">
      <c r="A10" s="24" t="s">
        <v>13068</v>
      </c>
      <c r="B10" s="22" t="s">
        <v>9248</v>
      </c>
      <c r="C10" s="22" t="s">
        <v>13069</v>
      </c>
      <c r="D10" s="22" t="s">
        <v>13070</v>
      </c>
      <c r="E10" s="33" t="s">
        <v>21</v>
      </c>
      <c r="F10" s="22" t="s">
        <v>13071</v>
      </c>
      <c r="G10" s="22" t="s">
        <v>13072</v>
      </c>
      <c r="H10" s="22" t="s">
        <v>12941</v>
      </c>
      <c r="I10" s="22" t="s">
        <v>12152</v>
      </c>
      <c r="J10" s="22" t="s">
        <v>13073</v>
      </c>
      <c r="K10" s="22" t="s">
        <v>13074</v>
      </c>
      <c r="L10" s="22" t="s">
        <v>13075</v>
      </c>
      <c r="M10" s="22" t="s">
        <v>13076</v>
      </c>
      <c r="N10" s="22" t="s">
        <v>13077</v>
      </c>
      <c r="O10" s="22" t="s">
        <v>13078</v>
      </c>
      <c r="P10" s="22" t="s">
        <v>2954</v>
      </c>
      <c r="Q10" s="22"/>
      <c r="R10" s="22" t="s">
        <v>13079</v>
      </c>
      <c r="S10" s="22" t="s">
        <v>13080</v>
      </c>
      <c r="T10" s="22" t="s">
        <v>13081</v>
      </c>
      <c r="U10" s="22" t="s">
        <v>13082</v>
      </c>
      <c r="V10" s="22" t="s">
        <v>13083</v>
      </c>
      <c r="W10" s="22" t="s">
        <v>13084</v>
      </c>
      <c r="X10" s="22" t="s">
        <v>10241</v>
      </c>
      <c r="Y10" s="32" t="s">
        <v>13085</v>
      </c>
      <c r="Z10" s="22"/>
      <c r="AA10" s="22" t="s">
        <v>13086</v>
      </c>
    </row>
    <row r="11" customFormat="false" ht="87" hidden="false" customHeight="true" outlineLevel="0" collapsed="false">
      <c r="A11" s="24" t="s">
        <v>13087</v>
      </c>
      <c r="B11" s="22" t="s">
        <v>9248</v>
      </c>
      <c r="C11" s="22" t="s">
        <v>13088</v>
      </c>
      <c r="D11" s="22" t="s">
        <v>13089</v>
      </c>
      <c r="E11" s="34" t="s">
        <v>17</v>
      </c>
      <c r="F11" s="22" t="s">
        <v>13090</v>
      </c>
      <c r="G11" s="22" t="s">
        <v>12795</v>
      </c>
      <c r="H11" s="22" t="s">
        <v>12941</v>
      </c>
      <c r="I11" s="22" t="s">
        <v>12152</v>
      </c>
      <c r="J11" s="22" t="s">
        <v>13091</v>
      </c>
      <c r="K11" s="22" t="s">
        <v>13092</v>
      </c>
      <c r="L11" s="22" t="s">
        <v>13093</v>
      </c>
      <c r="M11" s="22" t="s">
        <v>13094</v>
      </c>
      <c r="N11" s="22" t="s">
        <v>13095</v>
      </c>
      <c r="O11" s="22" t="s">
        <v>13096</v>
      </c>
      <c r="P11" s="22" t="s">
        <v>13097</v>
      </c>
      <c r="Q11" s="22"/>
      <c r="R11" s="22" t="s">
        <v>13098</v>
      </c>
      <c r="S11" s="22" t="s">
        <v>13099</v>
      </c>
      <c r="T11" s="22" t="s">
        <v>13100</v>
      </c>
      <c r="U11" s="22" t="s">
        <v>13101</v>
      </c>
      <c r="V11" s="22" t="s">
        <v>13102</v>
      </c>
      <c r="W11" s="22" t="s">
        <v>13103</v>
      </c>
      <c r="X11" s="22" t="s">
        <v>10304</v>
      </c>
      <c r="Y11" s="32" t="s">
        <v>13104</v>
      </c>
      <c r="Z11" s="22"/>
      <c r="AA11" s="22"/>
    </row>
    <row r="12" customFormat="false" ht="49.5" hidden="false" customHeight="true" outlineLevel="0" collapsed="false">
      <c r="A12" s="24" t="s">
        <v>13105</v>
      </c>
      <c r="B12" s="22" t="s">
        <v>9248</v>
      </c>
      <c r="C12" s="22" t="s">
        <v>13106</v>
      </c>
      <c r="D12" s="22" t="s">
        <v>13107</v>
      </c>
      <c r="E12" s="33" t="s">
        <v>21</v>
      </c>
      <c r="F12" s="22" t="s">
        <v>13108</v>
      </c>
      <c r="G12" s="22" t="s">
        <v>13109</v>
      </c>
      <c r="H12" s="22" t="s">
        <v>12941</v>
      </c>
      <c r="I12" s="22" t="s">
        <v>12152</v>
      </c>
      <c r="J12" s="22" t="s">
        <v>13110</v>
      </c>
      <c r="K12" s="22" t="s">
        <v>13111</v>
      </c>
      <c r="L12" s="22" t="s">
        <v>13112</v>
      </c>
      <c r="M12" s="22" t="s">
        <v>13113</v>
      </c>
      <c r="N12" s="22"/>
      <c r="O12" s="22" t="s">
        <v>13114</v>
      </c>
      <c r="P12" s="22" t="s">
        <v>2954</v>
      </c>
      <c r="Q12" s="22"/>
      <c r="R12" s="22" t="s">
        <v>13115</v>
      </c>
      <c r="S12" s="22" t="s">
        <v>13116</v>
      </c>
      <c r="T12" s="22" t="s">
        <v>13117</v>
      </c>
      <c r="U12" s="22" t="s">
        <v>13118</v>
      </c>
      <c r="V12" s="22" t="s">
        <v>13119</v>
      </c>
      <c r="W12" s="22"/>
      <c r="X12" s="22" t="s">
        <v>13120</v>
      </c>
      <c r="Y12" s="32" t="s">
        <v>13121</v>
      </c>
      <c r="Z12" s="22"/>
      <c r="AA12" s="22" t="s">
        <v>13122</v>
      </c>
    </row>
    <row r="13" customFormat="false" ht="124.5" hidden="false" customHeight="true" outlineLevel="0" collapsed="false">
      <c r="A13" s="24" t="s">
        <v>13123</v>
      </c>
      <c r="B13" s="22" t="s">
        <v>9248</v>
      </c>
      <c r="C13" s="22" t="s">
        <v>13124</v>
      </c>
      <c r="D13" s="22" t="s">
        <v>13125</v>
      </c>
      <c r="E13" s="34" t="s">
        <v>17</v>
      </c>
      <c r="F13" s="22" t="s">
        <v>13126</v>
      </c>
      <c r="G13" s="22" t="s">
        <v>13127</v>
      </c>
      <c r="H13" s="22" t="s">
        <v>13128</v>
      </c>
      <c r="I13" s="22" t="s">
        <v>13129</v>
      </c>
      <c r="J13" s="22" t="s">
        <v>13130</v>
      </c>
      <c r="K13" s="22" t="s">
        <v>13131</v>
      </c>
      <c r="L13" s="22" t="s">
        <v>13132</v>
      </c>
      <c r="M13" s="22" t="s">
        <v>13133</v>
      </c>
      <c r="N13" s="22" t="s">
        <v>13134</v>
      </c>
      <c r="O13" s="22" t="s">
        <v>13135</v>
      </c>
      <c r="P13" s="22" t="s">
        <v>2954</v>
      </c>
      <c r="Q13" s="22"/>
      <c r="R13" s="22" t="s">
        <v>13098</v>
      </c>
      <c r="S13" s="22" t="s">
        <v>13136</v>
      </c>
      <c r="T13" s="22" t="s">
        <v>13137</v>
      </c>
      <c r="U13" s="22" t="s">
        <v>13138</v>
      </c>
      <c r="V13" s="22" t="s">
        <v>13139</v>
      </c>
      <c r="W13" s="22" t="s">
        <v>13140</v>
      </c>
      <c r="X13" s="22" t="s">
        <v>13141</v>
      </c>
      <c r="Y13" s="32" t="s">
        <v>13142</v>
      </c>
      <c r="Z13" s="22" t="s">
        <v>13143</v>
      </c>
      <c r="AA13" s="22" t="s">
        <v>13144</v>
      </c>
    </row>
    <row r="14" customFormat="false" ht="87" hidden="false" customHeight="true" outlineLevel="0" collapsed="false">
      <c r="A14" s="24" t="s">
        <v>13145</v>
      </c>
      <c r="B14" s="22" t="s">
        <v>9248</v>
      </c>
      <c r="C14" s="22" t="s">
        <v>13146</v>
      </c>
      <c r="D14" s="22" t="s">
        <v>13147</v>
      </c>
      <c r="E14" s="33" t="s">
        <v>21</v>
      </c>
      <c r="F14" s="22" t="s">
        <v>13148</v>
      </c>
      <c r="G14" s="22" t="s">
        <v>13149</v>
      </c>
      <c r="H14" s="22" t="s">
        <v>13150</v>
      </c>
      <c r="I14" s="22" t="s">
        <v>12152</v>
      </c>
      <c r="J14" s="22" t="s">
        <v>13151</v>
      </c>
      <c r="K14" s="22" t="s">
        <v>13152</v>
      </c>
      <c r="L14" s="22" t="s">
        <v>13153</v>
      </c>
      <c r="M14" s="22" t="s">
        <v>13154</v>
      </c>
      <c r="N14" s="22" t="s">
        <v>13155</v>
      </c>
      <c r="O14" s="22" t="s">
        <v>13156</v>
      </c>
      <c r="P14" s="22" t="s">
        <v>13097</v>
      </c>
      <c r="Q14" s="22"/>
      <c r="R14" s="22" t="s">
        <v>13157</v>
      </c>
      <c r="S14" s="22" t="s">
        <v>13158</v>
      </c>
      <c r="T14" s="22" t="s">
        <v>13159</v>
      </c>
      <c r="U14" s="22" t="s">
        <v>13160</v>
      </c>
      <c r="V14" s="22" t="s">
        <v>13161</v>
      </c>
      <c r="W14" s="22" t="s">
        <v>13162</v>
      </c>
      <c r="X14" s="22" t="s">
        <v>10304</v>
      </c>
      <c r="Y14" s="32" t="s">
        <v>13163</v>
      </c>
      <c r="Z14" s="22"/>
      <c r="AA14" s="22" t="s">
        <v>13164</v>
      </c>
    </row>
    <row r="15" customFormat="false" ht="112.5" hidden="false" customHeight="true" outlineLevel="0" collapsed="false">
      <c r="A15" s="24" t="s">
        <v>13165</v>
      </c>
      <c r="B15" s="22" t="s">
        <v>9248</v>
      </c>
      <c r="C15" s="22" t="s">
        <v>13166</v>
      </c>
      <c r="D15" s="22" t="s">
        <v>13167</v>
      </c>
      <c r="E15" s="31" t="s">
        <v>19</v>
      </c>
      <c r="F15" s="22" t="s">
        <v>13168</v>
      </c>
      <c r="G15" s="22" t="s">
        <v>13169</v>
      </c>
      <c r="H15" s="22" t="s">
        <v>13170</v>
      </c>
      <c r="I15" s="22" t="s">
        <v>13171</v>
      </c>
      <c r="J15" s="22" t="s">
        <v>13172</v>
      </c>
      <c r="K15" s="22" t="s">
        <v>13173</v>
      </c>
      <c r="L15" s="22" t="s">
        <v>13174</v>
      </c>
      <c r="M15" s="22" t="s">
        <v>13175</v>
      </c>
      <c r="N15" s="22" t="s">
        <v>13176</v>
      </c>
      <c r="O15" s="22" t="s">
        <v>13177</v>
      </c>
      <c r="P15" s="22" t="s">
        <v>13178</v>
      </c>
      <c r="Q15" s="22" t="s">
        <v>13179</v>
      </c>
      <c r="R15" s="22" t="s">
        <v>13180</v>
      </c>
      <c r="S15" s="22" t="s">
        <v>13181</v>
      </c>
      <c r="T15" s="22" t="s">
        <v>13182</v>
      </c>
      <c r="U15" s="22" t="s">
        <v>13183</v>
      </c>
      <c r="V15" s="22" t="s">
        <v>13184</v>
      </c>
      <c r="W15" s="22" t="s">
        <v>13185</v>
      </c>
      <c r="X15" s="22" t="s">
        <v>10304</v>
      </c>
      <c r="Y15" s="32" t="s">
        <v>13186</v>
      </c>
      <c r="Z15" s="22" t="s">
        <v>13187</v>
      </c>
      <c r="AA15" s="22" t="s">
        <v>13188</v>
      </c>
    </row>
    <row r="16" customFormat="false" ht="137.25" hidden="false" customHeight="true" outlineLevel="0" collapsed="false">
      <c r="A16" s="24" t="s">
        <v>13189</v>
      </c>
      <c r="B16" s="22" t="s">
        <v>9248</v>
      </c>
      <c r="C16" s="22" t="s">
        <v>13190</v>
      </c>
      <c r="D16" s="22" t="s">
        <v>13191</v>
      </c>
      <c r="E16" s="33" t="s">
        <v>21</v>
      </c>
      <c r="F16" s="22" t="s">
        <v>13192</v>
      </c>
      <c r="G16" s="22" t="s">
        <v>13193</v>
      </c>
      <c r="H16" s="22" t="s">
        <v>13194</v>
      </c>
      <c r="I16" s="22" t="s">
        <v>12152</v>
      </c>
      <c r="J16" s="22" t="s">
        <v>13195</v>
      </c>
      <c r="K16" s="22" t="s">
        <v>13196</v>
      </c>
      <c r="L16" s="22" t="s">
        <v>13197</v>
      </c>
      <c r="M16" s="22" t="s">
        <v>13198</v>
      </c>
      <c r="N16" s="22" t="s">
        <v>13199</v>
      </c>
      <c r="O16" s="22" t="s">
        <v>13200</v>
      </c>
      <c r="P16" s="22" t="s">
        <v>13201</v>
      </c>
      <c r="Q16" s="22" t="s">
        <v>13202</v>
      </c>
      <c r="R16" s="22" t="s">
        <v>13203</v>
      </c>
      <c r="S16" s="22" t="s">
        <v>13204</v>
      </c>
      <c r="T16" s="22" t="s">
        <v>13205</v>
      </c>
      <c r="U16" s="22" t="s">
        <v>13206</v>
      </c>
      <c r="V16" s="22" t="s">
        <v>13207</v>
      </c>
      <c r="W16" s="22" t="s">
        <v>13208</v>
      </c>
      <c r="X16" s="22" t="s">
        <v>10304</v>
      </c>
      <c r="Y16" s="32" t="s">
        <v>13209</v>
      </c>
      <c r="Z16" s="22"/>
      <c r="AA16" s="22" t="s">
        <v>13210</v>
      </c>
    </row>
    <row r="17" customFormat="false" ht="75" hidden="false" customHeight="true" outlineLevel="0" collapsed="false">
      <c r="A17" s="24" t="s">
        <v>13211</v>
      </c>
      <c r="B17" s="22" t="s">
        <v>9248</v>
      </c>
      <c r="C17" s="22" t="s">
        <v>13212</v>
      </c>
      <c r="D17" s="22" t="s">
        <v>13213</v>
      </c>
      <c r="E17" s="33" t="s">
        <v>21</v>
      </c>
      <c r="F17" s="22" t="s">
        <v>13214</v>
      </c>
      <c r="G17" s="22" t="s">
        <v>13215</v>
      </c>
      <c r="H17" s="22" t="s">
        <v>13194</v>
      </c>
      <c r="I17" s="22" t="s">
        <v>12152</v>
      </c>
      <c r="J17" s="22" t="s">
        <v>13216</v>
      </c>
      <c r="K17" s="22" t="s">
        <v>13217</v>
      </c>
      <c r="L17" s="22" t="s">
        <v>13218</v>
      </c>
      <c r="M17" s="22" t="s">
        <v>13219</v>
      </c>
      <c r="N17" s="22" t="s">
        <v>13220</v>
      </c>
      <c r="O17" s="22" t="s">
        <v>13221</v>
      </c>
      <c r="P17" s="22" t="s">
        <v>13222</v>
      </c>
      <c r="Q17" s="22" t="s">
        <v>13202</v>
      </c>
      <c r="R17" s="22" t="s">
        <v>13223</v>
      </c>
      <c r="S17" s="22" t="s">
        <v>13224</v>
      </c>
      <c r="T17" s="22" t="s">
        <v>13225</v>
      </c>
      <c r="U17" s="22" t="s">
        <v>13226</v>
      </c>
      <c r="V17" s="22" t="s">
        <v>13227</v>
      </c>
      <c r="W17" s="22" t="s">
        <v>13228</v>
      </c>
      <c r="X17" s="22" t="s">
        <v>10304</v>
      </c>
      <c r="Y17" s="32" t="s">
        <v>13229</v>
      </c>
      <c r="Z17" s="22"/>
      <c r="AA17" s="22" t="s">
        <v>13230</v>
      </c>
    </row>
    <row r="18" customFormat="false" ht="99.75" hidden="false" customHeight="true" outlineLevel="0" collapsed="false">
      <c r="A18" s="24" t="s">
        <v>13231</v>
      </c>
      <c r="B18" s="22" t="s">
        <v>9248</v>
      </c>
      <c r="C18" s="22" t="s">
        <v>13232</v>
      </c>
      <c r="D18" s="22" t="s">
        <v>13233</v>
      </c>
      <c r="E18" s="31" t="s">
        <v>19</v>
      </c>
      <c r="F18" s="22" t="s">
        <v>13234</v>
      </c>
      <c r="G18" s="22" t="s">
        <v>13235</v>
      </c>
      <c r="H18" s="22" t="s">
        <v>13236</v>
      </c>
      <c r="I18" s="22" t="s">
        <v>13237</v>
      </c>
      <c r="J18" s="22" t="s">
        <v>13238</v>
      </c>
      <c r="K18" s="22" t="s">
        <v>13239</v>
      </c>
      <c r="L18" s="22" t="s">
        <v>13240</v>
      </c>
      <c r="M18" s="22" t="s">
        <v>13241</v>
      </c>
      <c r="N18" s="22" t="s">
        <v>13242</v>
      </c>
      <c r="O18" s="22"/>
      <c r="P18" s="22" t="s">
        <v>13243</v>
      </c>
      <c r="Q18" s="22" t="s">
        <v>12868</v>
      </c>
      <c r="R18" s="22" t="s">
        <v>13244</v>
      </c>
      <c r="S18" s="22" t="s">
        <v>13245</v>
      </c>
      <c r="T18" s="22" t="s">
        <v>13246</v>
      </c>
      <c r="U18" s="22" t="s">
        <v>13247</v>
      </c>
      <c r="V18" s="22" t="s">
        <v>13248</v>
      </c>
      <c r="W18" s="22" t="s">
        <v>13249</v>
      </c>
      <c r="X18" s="22" t="s">
        <v>10241</v>
      </c>
      <c r="Y18" s="32" t="s">
        <v>13250</v>
      </c>
      <c r="Z18" s="22" t="s">
        <v>12876</v>
      </c>
      <c r="AA18" s="22" t="s">
        <v>13251</v>
      </c>
    </row>
    <row r="19" customFormat="false" ht="87" hidden="false" customHeight="true" outlineLevel="0" collapsed="false">
      <c r="A19" s="24" t="s">
        <v>13252</v>
      </c>
      <c r="B19" s="22" t="s">
        <v>9248</v>
      </c>
      <c r="C19" s="22" t="s">
        <v>13253</v>
      </c>
      <c r="D19" s="22" t="s">
        <v>13254</v>
      </c>
      <c r="E19" s="33" t="s">
        <v>21</v>
      </c>
      <c r="F19" s="22" t="s">
        <v>13255</v>
      </c>
      <c r="G19" s="22" t="s">
        <v>13256</v>
      </c>
      <c r="H19" s="22" t="s">
        <v>13257</v>
      </c>
      <c r="I19" s="22" t="s">
        <v>12152</v>
      </c>
      <c r="J19" s="22" t="s">
        <v>13258</v>
      </c>
      <c r="K19" s="22" t="s">
        <v>13259</v>
      </c>
      <c r="L19" s="22" t="s">
        <v>13260</v>
      </c>
      <c r="M19" s="22" t="s">
        <v>13261</v>
      </c>
      <c r="N19" s="22" t="s">
        <v>13077</v>
      </c>
      <c r="O19" s="22"/>
      <c r="P19" s="22" t="s">
        <v>13097</v>
      </c>
      <c r="Q19" s="22" t="s">
        <v>13262</v>
      </c>
      <c r="R19" s="22" t="s">
        <v>13263</v>
      </c>
      <c r="S19" s="22" t="s">
        <v>13264</v>
      </c>
      <c r="T19" s="22" t="s">
        <v>13265</v>
      </c>
      <c r="U19" s="22" t="s">
        <v>13266</v>
      </c>
      <c r="V19" s="22" t="s">
        <v>13267</v>
      </c>
      <c r="W19" s="22" t="s">
        <v>13268</v>
      </c>
      <c r="X19" s="22" t="s">
        <v>13269</v>
      </c>
      <c r="Y19" s="32" t="s">
        <v>13270</v>
      </c>
      <c r="Z19" s="22"/>
      <c r="AA19" s="22" t="s">
        <v>13271</v>
      </c>
    </row>
  </sheetData>
  <autoFilter ref="A5:AA19"/>
  <mergeCells count="2">
    <mergeCell ref="A1:Z1"/>
    <mergeCell ref="A2:AA2"/>
  </mergeCells>
  <dataValidations count="1">
    <dataValidation allowBlank="true" errorStyle="stop" operator="between" showDropDown="false" showErrorMessage="false" showInputMessage="false" sqref="E6:E1019"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70</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13272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7</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137.25" hidden="false" customHeight="true" outlineLevel="0" collapsed="false">
      <c r="A6" s="24" t="s">
        <v>13273</v>
      </c>
      <c r="B6" s="22" t="s">
        <v>9248</v>
      </c>
      <c r="C6" s="22" t="s">
        <v>13274</v>
      </c>
      <c r="D6" s="22" t="s">
        <v>13275</v>
      </c>
      <c r="E6" s="31" t="s">
        <v>19</v>
      </c>
      <c r="F6" s="22" t="s">
        <v>13276</v>
      </c>
      <c r="G6" s="22" t="s">
        <v>13277</v>
      </c>
      <c r="H6" s="22" t="s">
        <v>13278</v>
      </c>
      <c r="I6" s="22" t="s">
        <v>13279</v>
      </c>
      <c r="J6" s="22" t="s">
        <v>13280</v>
      </c>
      <c r="K6" s="22" t="s">
        <v>13281</v>
      </c>
      <c r="L6" s="22" t="s">
        <v>13282</v>
      </c>
      <c r="M6" s="22" t="s">
        <v>13283</v>
      </c>
      <c r="N6" s="22" t="s">
        <v>13284</v>
      </c>
      <c r="O6" s="22" t="s">
        <v>13285</v>
      </c>
      <c r="P6" s="22" t="s">
        <v>13286</v>
      </c>
      <c r="Q6" s="22" t="s">
        <v>12868</v>
      </c>
      <c r="R6" s="22" t="s">
        <v>13287</v>
      </c>
      <c r="S6" s="22" t="s">
        <v>13288</v>
      </c>
      <c r="T6" s="22" t="s">
        <v>13289</v>
      </c>
      <c r="U6" s="22" t="s">
        <v>13290</v>
      </c>
      <c r="V6" s="22" t="s">
        <v>13291</v>
      </c>
      <c r="W6" s="22" t="s">
        <v>13292</v>
      </c>
      <c r="X6" s="22" t="s">
        <v>10304</v>
      </c>
      <c r="Y6" s="32" t="s">
        <v>13293</v>
      </c>
      <c r="Z6" s="22" t="s">
        <v>12876</v>
      </c>
      <c r="AA6" s="22" t="s">
        <v>13294</v>
      </c>
    </row>
    <row r="7" customFormat="false" ht="137.25" hidden="false" customHeight="true" outlineLevel="0" collapsed="false">
      <c r="A7" s="24" t="s">
        <v>13295</v>
      </c>
      <c r="B7" s="22" t="s">
        <v>9248</v>
      </c>
      <c r="C7" s="22" t="s">
        <v>13296</v>
      </c>
      <c r="D7" s="22" t="s">
        <v>13297</v>
      </c>
      <c r="E7" s="31" t="s">
        <v>19</v>
      </c>
      <c r="F7" s="22" t="s">
        <v>13298</v>
      </c>
      <c r="G7" s="22" t="s">
        <v>13299</v>
      </c>
      <c r="H7" s="22" t="s">
        <v>13300</v>
      </c>
      <c r="I7" s="22" t="s">
        <v>13237</v>
      </c>
      <c r="J7" s="22" t="s">
        <v>13301</v>
      </c>
      <c r="K7" s="22" t="s">
        <v>13302</v>
      </c>
      <c r="L7" s="22" t="s">
        <v>13303</v>
      </c>
      <c r="M7" s="22" t="s">
        <v>13304</v>
      </c>
      <c r="N7" s="22" t="s">
        <v>13305</v>
      </c>
      <c r="O7" s="22" t="s">
        <v>13306</v>
      </c>
      <c r="P7" s="22" t="s">
        <v>13286</v>
      </c>
      <c r="Q7" s="22" t="s">
        <v>13307</v>
      </c>
      <c r="R7" s="22" t="s">
        <v>13308</v>
      </c>
      <c r="S7" s="22" t="s">
        <v>13309</v>
      </c>
      <c r="T7" s="22" t="s">
        <v>13310</v>
      </c>
      <c r="U7" s="22" t="s">
        <v>13311</v>
      </c>
      <c r="V7" s="22" t="s">
        <v>13312</v>
      </c>
      <c r="W7" s="22" t="s">
        <v>13313</v>
      </c>
      <c r="X7" s="22" t="s">
        <v>10304</v>
      </c>
      <c r="Y7" s="32" t="s">
        <v>13314</v>
      </c>
      <c r="Z7" s="22" t="s">
        <v>13315</v>
      </c>
      <c r="AA7" s="22" t="s">
        <v>13316</v>
      </c>
    </row>
    <row r="8" customFormat="false" ht="87" hidden="false" customHeight="true" outlineLevel="0" collapsed="false">
      <c r="A8" s="24" t="s">
        <v>13317</v>
      </c>
      <c r="B8" s="22" t="s">
        <v>9248</v>
      </c>
      <c r="C8" s="22" t="s">
        <v>13318</v>
      </c>
      <c r="D8" s="22" t="s">
        <v>13319</v>
      </c>
      <c r="E8" s="31" t="s">
        <v>19</v>
      </c>
      <c r="F8" s="22" t="s">
        <v>13320</v>
      </c>
      <c r="G8" s="22" t="s">
        <v>13321</v>
      </c>
      <c r="H8" s="22" t="s">
        <v>13278</v>
      </c>
      <c r="I8" s="22" t="s">
        <v>13237</v>
      </c>
      <c r="J8" s="22" t="s">
        <v>13231</v>
      </c>
      <c r="K8" s="22" t="s">
        <v>13322</v>
      </c>
      <c r="L8" s="22" t="s">
        <v>13323</v>
      </c>
      <c r="M8" s="22" t="s">
        <v>13324</v>
      </c>
      <c r="N8" s="22"/>
      <c r="O8" s="22" t="s">
        <v>13325</v>
      </c>
      <c r="P8" s="22" t="s">
        <v>13286</v>
      </c>
      <c r="Q8" s="22" t="s">
        <v>13307</v>
      </c>
      <c r="R8" s="22" t="s">
        <v>13326</v>
      </c>
      <c r="S8" s="22" t="s">
        <v>13327</v>
      </c>
      <c r="T8" s="22" t="s">
        <v>13328</v>
      </c>
      <c r="U8" s="22" t="s">
        <v>13329</v>
      </c>
      <c r="V8" s="22" t="s">
        <v>13330</v>
      </c>
      <c r="W8" s="22"/>
      <c r="X8" s="22" t="s">
        <v>10241</v>
      </c>
      <c r="Y8" s="32" t="s">
        <v>13331</v>
      </c>
      <c r="Z8" s="22" t="s">
        <v>12876</v>
      </c>
      <c r="AA8" s="22" t="s">
        <v>13332</v>
      </c>
    </row>
    <row r="9" customFormat="false" ht="162" hidden="false" customHeight="true" outlineLevel="0" collapsed="false">
      <c r="A9" s="24" t="s">
        <v>13333</v>
      </c>
      <c r="B9" s="22" t="s">
        <v>9248</v>
      </c>
      <c r="C9" s="22" t="s">
        <v>13334</v>
      </c>
      <c r="D9" s="22" t="s">
        <v>13335</v>
      </c>
      <c r="E9" s="37" t="s">
        <v>23</v>
      </c>
      <c r="F9" s="22" t="s">
        <v>13336</v>
      </c>
      <c r="G9" s="22" t="s">
        <v>13337</v>
      </c>
      <c r="H9" s="22" t="s">
        <v>13338</v>
      </c>
      <c r="I9" s="22" t="s">
        <v>13237</v>
      </c>
      <c r="J9" s="22" t="s">
        <v>13339</v>
      </c>
      <c r="K9" s="22" t="s">
        <v>13340</v>
      </c>
      <c r="L9" s="22" t="s">
        <v>13341</v>
      </c>
      <c r="M9" s="22" t="s">
        <v>13342</v>
      </c>
      <c r="N9" s="22" t="s">
        <v>13343</v>
      </c>
      <c r="O9" s="22" t="s">
        <v>13344</v>
      </c>
      <c r="P9" s="22" t="s">
        <v>13345</v>
      </c>
      <c r="Q9" s="22" t="s">
        <v>13307</v>
      </c>
      <c r="R9" s="22" t="s">
        <v>13346</v>
      </c>
      <c r="S9" s="22" t="s">
        <v>13347</v>
      </c>
      <c r="T9" s="22" t="s">
        <v>13348</v>
      </c>
      <c r="U9" s="22" t="s">
        <v>13349</v>
      </c>
      <c r="V9" s="22" t="s">
        <v>13350</v>
      </c>
      <c r="W9" s="22" t="s">
        <v>13351</v>
      </c>
      <c r="X9" s="22" t="s">
        <v>10304</v>
      </c>
      <c r="Y9" s="32" t="s">
        <v>13352</v>
      </c>
      <c r="Z9" s="22" t="s">
        <v>13353</v>
      </c>
      <c r="AA9" s="22" t="s">
        <v>13354</v>
      </c>
    </row>
    <row r="10" customFormat="false" ht="87" hidden="false" customHeight="true" outlineLevel="0" collapsed="false">
      <c r="A10" s="24" t="s">
        <v>13286</v>
      </c>
      <c r="B10" s="22" t="s">
        <v>9248</v>
      </c>
      <c r="C10" s="22" t="s">
        <v>13355</v>
      </c>
      <c r="D10" s="22" t="s">
        <v>13356</v>
      </c>
      <c r="E10" s="34" t="s">
        <v>17</v>
      </c>
      <c r="F10" s="22" t="s">
        <v>13357</v>
      </c>
      <c r="G10" s="22" t="s">
        <v>13358</v>
      </c>
      <c r="H10" s="22" t="s">
        <v>13359</v>
      </c>
      <c r="I10" s="22" t="s">
        <v>13237</v>
      </c>
      <c r="J10" s="22" t="s">
        <v>13360</v>
      </c>
      <c r="K10" s="22" t="s">
        <v>13361</v>
      </c>
      <c r="L10" s="22" t="s">
        <v>13362</v>
      </c>
      <c r="M10" s="22" t="s">
        <v>13363</v>
      </c>
      <c r="N10" s="22" t="s">
        <v>13364</v>
      </c>
      <c r="O10" s="22"/>
      <c r="P10" s="22" t="s">
        <v>13365</v>
      </c>
      <c r="Q10" s="22"/>
      <c r="R10" s="22" t="s">
        <v>13366</v>
      </c>
      <c r="S10" s="22" t="s">
        <v>13367</v>
      </c>
      <c r="T10" s="22" t="s">
        <v>13368</v>
      </c>
      <c r="U10" s="22" t="s">
        <v>13369</v>
      </c>
      <c r="V10" s="22" t="s">
        <v>13370</v>
      </c>
      <c r="W10" s="22" t="s">
        <v>13371</v>
      </c>
      <c r="X10" s="22" t="s">
        <v>10241</v>
      </c>
      <c r="Y10" s="32" t="s">
        <v>13372</v>
      </c>
      <c r="Z10" s="22" t="s">
        <v>13373</v>
      </c>
      <c r="AA10" s="22" t="s">
        <v>13374</v>
      </c>
    </row>
    <row r="11" customFormat="false" ht="150" hidden="false" customHeight="true" outlineLevel="0" collapsed="false">
      <c r="A11" s="24" t="s">
        <v>13375</v>
      </c>
      <c r="B11" s="22" t="s">
        <v>9248</v>
      </c>
      <c r="C11" s="22" t="s">
        <v>13334</v>
      </c>
      <c r="D11" s="22" t="s">
        <v>13376</v>
      </c>
      <c r="E11" s="31" t="s">
        <v>19</v>
      </c>
      <c r="F11" s="22" t="s">
        <v>13377</v>
      </c>
      <c r="G11" s="22" t="s">
        <v>13321</v>
      </c>
      <c r="H11" s="22" t="s">
        <v>13278</v>
      </c>
      <c r="I11" s="22" t="s">
        <v>13237</v>
      </c>
      <c r="J11" s="22" t="s">
        <v>13378</v>
      </c>
      <c r="K11" s="22" t="s">
        <v>13379</v>
      </c>
      <c r="L11" s="22" t="s">
        <v>13380</v>
      </c>
      <c r="M11" s="22"/>
      <c r="N11" s="22"/>
      <c r="O11" s="22"/>
      <c r="P11" s="22" t="s">
        <v>13286</v>
      </c>
      <c r="Q11" s="22" t="s">
        <v>3031</v>
      </c>
      <c r="R11" s="22" t="s">
        <v>13381</v>
      </c>
      <c r="S11" s="22" t="s">
        <v>13382</v>
      </c>
      <c r="T11" s="22" t="s">
        <v>13383</v>
      </c>
      <c r="U11" s="22"/>
      <c r="V11" s="22"/>
      <c r="W11" s="22"/>
      <c r="X11" s="22" t="s">
        <v>10304</v>
      </c>
      <c r="Y11" s="32"/>
      <c r="Z11" s="22" t="s">
        <v>13353</v>
      </c>
      <c r="AA11" s="22" t="s">
        <v>13384</v>
      </c>
    </row>
    <row r="12" customFormat="false" ht="137.25" hidden="false" customHeight="true" outlineLevel="0" collapsed="false">
      <c r="A12" s="24" t="s">
        <v>13385</v>
      </c>
      <c r="B12" s="22" t="s">
        <v>9248</v>
      </c>
      <c r="C12" s="22" t="s">
        <v>13386</v>
      </c>
      <c r="D12" s="22" t="s">
        <v>13387</v>
      </c>
      <c r="E12" s="31" t="s">
        <v>19</v>
      </c>
      <c r="F12" s="22" t="s">
        <v>13388</v>
      </c>
      <c r="G12" s="22" t="s">
        <v>13389</v>
      </c>
      <c r="H12" s="22" t="s">
        <v>13390</v>
      </c>
      <c r="I12" s="22" t="s">
        <v>13391</v>
      </c>
      <c r="J12" s="22" t="s">
        <v>13392</v>
      </c>
      <c r="K12" s="22" t="s">
        <v>13393</v>
      </c>
      <c r="L12" s="22" t="s">
        <v>13394</v>
      </c>
      <c r="M12" s="22" t="s">
        <v>13395</v>
      </c>
      <c r="N12" s="22" t="s">
        <v>13396</v>
      </c>
      <c r="O12" s="22" t="s">
        <v>13397</v>
      </c>
      <c r="P12" s="22" t="s">
        <v>13097</v>
      </c>
      <c r="Q12" s="22" t="s">
        <v>13398</v>
      </c>
      <c r="R12" s="22" t="s">
        <v>13399</v>
      </c>
      <c r="S12" s="22" t="s">
        <v>13400</v>
      </c>
      <c r="T12" s="22" t="s">
        <v>13401</v>
      </c>
      <c r="U12" s="22" t="s">
        <v>13402</v>
      </c>
      <c r="V12" s="22" t="s">
        <v>13403</v>
      </c>
      <c r="W12" s="22" t="s">
        <v>13404</v>
      </c>
      <c r="X12" s="22" t="s">
        <v>10304</v>
      </c>
      <c r="Y12" s="32" t="s">
        <v>13405</v>
      </c>
      <c r="Z12" s="22" t="s">
        <v>13406</v>
      </c>
      <c r="AA12" s="22" t="s">
        <v>13407</v>
      </c>
    </row>
  </sheetData>
  <autoFilter ref="A5:AA12"/>
  <mergeCells count="2">
    <mergeCell ref="A1:Z1"/>
    <mergeCell ref="A2:AA2"/>
  </mergeCells>
  <dataValidations count="1">
    <dataValidation allowBlank="true" errorStyle="stop" operator="between" showDropDown="false" showErrorMessage="false" showInputMessage="false" sqref="E6:E1012"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72</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13408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4</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137.25" hidden="false" customHeight="true" outlineLevel="0" collapsed="false">
      <c r="A6" s="24" t="s">
        <v>13409</v>
      </c>
      <c r="B6" s="22" t="s">
        <v>9248</v>
      </c>
      <c r="C6" s="22" t="s">
        <v>13410</v>
      </c>
      <c r="D6" s="22" t="s">
        <v>13411</v>
      </c>
      <c r="E6" s="35" t="s">
        <v>15</v>
      </c>
      <c r="F6" s="22" t="s">
        <v>13412</v>
      </c>
      <c r="G6" s="22" t="s">
        <v>13413</v>
      </c>
      <c r="H6" s="22" t="s">
        <v>13414</v>
      </c>
      <c r="I6" s="22" t="s">
        <v>13415</v>
      </c>
      <c r="J6" s="22" t="s">
        <v>13416</v>
      </c>
      <c r="K6" s="22" t="s">
        <v>13417</v>
      </c>
      <c r="L6" s="22" t="s">
        <v>13418</v>
      </c>
      <c r="M6" s="22" t="s">
        <v>13419</v>
      </c>
      <c r="N6" s="22" t="s">
        <v>13420</v>
      </c>
      <c r="O6" s="22" t="s">
        <v>13421</v>
      </c>
      <c r="P6" s="22" t="s">
        <v>2954</v>
      </c>
      <c r="Q6" s="22"/>
      <c r="R6" s="22" t="s">
        <v>13422</v>
      </c>
      <c r="S6" s="22" t="s">
        <v>13423</v>
      </c>
      <c r="T6" s="22" t="s">
        <v>13424</v>
      </c>
      <c r="U6" s="22" t="s">
        <v>13425</v>
      </c>
      <c r="V6" s="22" t="s">
        <v>13426</v>
      </c>
      <c r="W6" s="22" t="s">
        <v>13427</v>
      </c>
      <c r="X6" s="22" t="s">
        <v>10241</v>
      </c>
      <c r="Y6" s="32" t="s">
        <v>13428</v>
      </c>
      <c r="Z6" s="22" t="s">
        <v>13429</v>
      </c>
      <c r="AA6" s="22" t="s">
        <v>13430</v>
      </c>
    </row>
    <row r="7" customFormat="false" ht="137.25" hidden="false" customHeight="true" outlineLevel="0" collapsed="false">
      <c r="A7" s="24" t="s">
        <v>13431</v>
      </c>
      <c r="B7" s="22" t="s">
        <v>9248</v>
      </c>
      <c r="C7" s="22" t="s">
        <v>13432</v>
      </c>
      <c r="D7" s="22" t="s">
        <v>13433</v>
      </c>
      <c r="E7" s="31" t="s">
        <v>19</v>
      </c>
      <c r="F7" s="22" t="s">
        <v>13434</v>
      </c>
      <c r="G7" s="22" t="s">
        <v>13435</v>
      </c>
      <c r="H7" s="22" t="s">
        <v>13436</v>
      </c>
      <c r="I7" s="22" t="s">
        <v>13437</v>
      </c>
      <c r="J7" s="22" t="s">
        <v>13438</v>
      </c>
      <c r="K7" s="22" t="s">
        <v>13439</v>
      </c>
      <c r="L7" s="22" t="s">
        <v>13440</v>
      </c>
      <c r="M7" s="22" t="s">
        <v>13441</v>
      </c>
      <c r="N7" s="22" t="s">
        <v>13442</v>
      </c>
      <c r="O7" s="22" t="s">
        <v>13443</v>
      </c>
      <c r="P7" s="22" t="s">
        <v>13444</v>
      </c>
      <c r="Q7" s="22" t="s">
        <v>13445</v>
      </c>
      <c r="R7" s="22" t="s">
        <v>13446</v>
      </c>
      <c r="S7" s="22" t="s">
        <v>13447</v>
      </c>
      <c r="T7" s="22" t="s">
        <v>13448</v>
      </c>
      <c r="U7" s="22" t="s">
        <v>13449</v>
      </c>
      <c r="V7" s="22" t="s">
        <v>13450</v>
      </c>
      <c r="W7" s="22" t="s">
        <v>13451</v>
      </c>
      <c r="X7" s="22" t="s">
        <v>10304</v>
      </c>
      <c r="Y7" s="32" t="s">
        <v>13452</v>
      </c>
      <c r="Z7" s="22" t="s">
        <v>13453</v>
      </c>
      <c r="AA7" s="22" t="s">
        <v>13454</v>
      </c>
    </row>
    <row r="8" customFormat="false" ht="99.75" hidden="false" customHeight="true" outlineLevel="0" collapsed="false">
      <c r="A8" s="24" t="s">
        <v>13455</v>
      </c>
      <c r="B8" s="22" t="s">
        <v>9248</v>
      </c>
      <c r="C8" s="22" t="s">
        <v>13456</v>
      </c>
      <c r="D8" s="22" t="s">
        <v>13457</v>
      </c>
      <c r="E8" s="31" t="s">
        <v>19</v>
      </c>
      <c r="F8" s="22" t="s">
        <v>13458</v>
      </c>
      <c r="G8" s="22" t="s">
        <v>13459</v>
      </c>
      <c r="H8" s="22" t="s">
        <v>13460</v>
      </c>
      <c r="I8" s="22" t="s">
        <v>13461</v>
      </c>
      <c r="J8" s="22" t="s">
        <v>13462</v>
      </c>
      <c r="K8" s="22" t="s">
        <v>13463</v>
      </c>
      <c r="L8" s="22" t="s">
        <v>13464</v>
      </c>
      <c r="M8" s="22" t="s">
        <v>13465</v>
      </c>
      <c r="N8" s="22" t="s">
        <v>13466</v>
      </c>
      <c r="O8" s="22" t="s">
        <v>13467</v>
      </c>
      <c r="P8" s="22" t="s">
        <v>13097</v>
      </c>
      <c r="Q8" s="22" t="s">
        <v>13468</v>
      </c>
      <c r="R8" s="22" t="s">
        <v>13469</v>
      </c>
      <c r="S8" s="22" t="s">
        <v>13470</v>
      </c>
      <c r="T8" s="22" t="s">
        <v>13471</v>
      </c>
      <c r="U8" s="22" t="s">
        <v>13472</v>
      </c>
      <c r="V8" s="22" t="s">
        <v>13473</v>
      </c>
      <c r="W8" s="22" t="s">
        <v>13474</v>
      </c>
      <c r="X8" s="22" t="s">
        <v>10304</v>
      </c>
      <c r="Y8" s="32" t="s">
        <v>13475</v>
      </c>
      <c r="Z8" s="22" t="s">
        <v>13476</v>
      </c>
      <c r="AA8" s="22" t="s">
        <v>13477</v>
      </c>
    </row>
    <row r="9" customFormat="false" ht="137.25" hidden="false" customHeight="true" outlineLevel="0" collapsed="false">
      <c r="A9" s="24" t="s">
        <v>13478</v>
      </c>
      <c r="B9" s="22" t="s">
        <v>9248</v>
      </c>
      <c r="C9" s="22" t="s">
        <v>13479</v>
      </c>
      <c r="D9" s="22" t="s">
        <v>13480</v>
      </c>
      <c r="E9" s="31" t="s">
        <v>19</v>
      </c>
      <c r="F9" s="22" t="s">
        <v>13481</v>
      </c>
      <c r="G9" s="22" t="s">
        <v>13482</v>
      </c>
      <c r="H9" s="22" t="s">
        <v>13483</v>
      </c>
      <c r="I9" s="22" t="s">
        <v>13484</v>
      </c>
      <c r="J9" s="22" t="s">
        <v>13485</v>
      </c>
      <c r="K9" s="22" t="s">
        <v>13486</v>
      </c>
      <c r="L9" s="22" t="s">
        <v>13487</v>
      </c>
      <c r="M9" s="22" t="s">
        <v>13488</v>
      </c>
      <c r="N9" s="22" t="s">
        <v>13489</v>
      </c>
      <c r="O9" s="22" t="s">
        <v>13490</v>
      </c>
      <c r="P9" s="22" t="s">
        <v>13491</v>
      </c>
      <c r="Q9" s="22" t="s">
        <v>13492</v>
      </c>
      <c r="R9" s="22" t="s">
        <v>13493</v>
      </c>
      <c r="S9" s="22" t="s">
        <v>13494</v>
      </c>
      <c r="T9" s="22" t="s">
        <v>13495</v>
      </c>
      <c r="U9" s="22" t="s">
        <v>13496</v>
      </c>
      <c r="V9" s="22" t="s">
        <v>13497</v>
      </c>
      <c r="W9" s="22" t="s">
        <v>13498</v>
      </c>
      <c r="X9" s="22" t="s">
        <v>10304</v>
      </c>
      <c r="Y9" s="32" t="s">
        <v>13499</v>
      </c>
      <c r="Z9" s="22" t="s">
        <v>13500</v>
      </c>
      <c r="AA9" s="22" t="s">
        <v>13501</v>
      </c>
    </row>
  </sheetData>
  <autoFilter ref="A5:AA9"/>
  <mergeCells count="2">
    <mergeCell ref="A1:Z1"/>
    <mergeCell ref="A2:AA2"/>
  </mergeCells>
  <dataValidations count="1">
    <dataValidation allowBlank="true" errorStyle="stop" operator="between" showDropDown="false" showErrorMessage="false" showInputMessage="false" sqref="E6:E1009"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74</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13502</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4</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87" hidden="false" customHeight="true" outlineLevel="0" collapsed="false">
      <c r="A6" s="24" t="s">
        <v>13503</v>
      </c>
      <c r="B6" s="22" t="s">
        <v>9248</v>
      </c>
      <c r="C6" s="22" t="s">
        <v>13504</v>
      </c>
      <c r="D6" s="22" t="s">
        <v>13505</v>
      </c>
      <c r="E6" s="34" t="s">
        <v>17</v>
      </c>
      <c r="F6" s="22" t="s">
        <v>13506</v>
      </c>
      <c r="G6" s="22" t="s">
        <v>13507</v>
      </c>
      <c r="H6" s="22" t="s">
        <v>13508</v>
      </c>
      <c r="I6" s="22" t="s">
        <v>12152</v>
      </c>
      <c r="J6" s="22" t="s">
        <v>13509</v>
      </c>
      <c r="K6" s="22" t="s">
        <v>13510</v>
      </c>
      <c r="L6" s="22" t="s">
        <v>13511</v>
      </c>
      <c r="M6" s="22" t="s">
        <v>13512</v>
      </c>
      <c r="N6" s="22"/>
      <c r="O6" s="22" t="s">
        <v>13513</v>
      </c>
      <c r="P6" s="22" t="s">
        <v>2954</v>
      </c>
      <c r="Q6" s="22" t="s">
        <v>13514</v>
      </c>
      <c r="R6" s="22" t="s">
        <v>13515</v>
      </c>
      <c r="S6" s="22" t="s">
        <v>13516</v>
      </c>
      <c r="T6" s="22" t="s">
        <v>13517</v>
      </c>
      <c r="U6" s="22" t="s">
        <v>13518</v>
      </c>
      <c r="V6" s="22" t="s">
        <v>13519</v>
      </c>
      <c r="W6" s="22"/>
      <c r="X6" s="22" t="s">
        <v>10304</v>
      </c>
      <c r="Y6" s="32" t="s">
        <v>13520</v>
      </c>
      <c r="Z6" s="22" t="s">
        <v>13521</v>
      </c>
      <c r="AA6" s="22" t="s">
        <v>13522</v>
      </c>
    </row>
    <row r="7" customFormat="false" ht="199.5" hidden="false" customHeight="true" outlineLevel="0" collapsed="false">
      <c r="A7" s="24" t="s">
        <v>13523</v>
      </c>
      <c r="B7" s="22" t="s">
        <v>9248</v>
      </c>
      <c r="C7" s="22" t="s">
        <v>13524</v>
      </c>
      <c r="D7" s="22" t="s">
        <v>13525</v>
      </c>
      <c r="E7" s="31" t="s">
        <v>19</v>
      </c>
      <c r="F7" s="22" t="s">
        <v>13526</v>
      </c>
      <c r="G7" s="22" t="s">
        <v>13527</v>
      </c>
      <c r="H7" s="22" t="s">
        <v>13528</v>
      </c>
      <c r="I7" s="22" t="s">
        <v>13529</v>
      </c>
      <c r="J7" s="22" t="s">
        <v>13530</v>
      </c>
      <c r="K7" s="22" t="s">
        <v>13531</v>
      </c>
      <c r="L7" s="22" t="s">
        <v>13532</v>
      </c>
      <c r="M7" s="22" t="s">
        <v>13533</v>
      </c>
      <c r="N7" s="22"/>
      <c r="O7" s="22"/>
      <c r="P7" s="22" t="s">
        <v>2954</v>
      </c>
      <c r="Q7" s="22" t="s">
        <v>13534</v>
      </c>
      <c r="R7" s="22" t="s">
        <v>13535</v>
      </c>
      <c r="S7" s="22" t="s">
        <v>13536</v>
      </c>
      <c r="T7" s="22" t="s">
        <v>13537</v>
      </c>
      <c r="U7" s="22"/>
      <c r="V7" s="22" t="s">
        <v>13538</v>
      </c>
      <c r="W7" s="22" t="s">
        <v>13539</v>
      </c>
      <c r="X7" s="22" t="s">
        <v>10304</v>
      </c>
      <c r="Y7" s="32"/>
      <c r="Z7" s="22" t="s">
        <v>13540</v>
      </c>
      <c r="AA7" s="22" t="s">
        <v>13541</v>
      </c>
    </row>
    <row r="8" customFormat="false" ht="150" hidden="false" customHeight="true" outlineLevel="0" collapsed="false">
      <c r="A8" s="24" t="s">
        <v>13542</v>
      </c>
      <c r="B8" s="22" t="s">
        <v>9248</v>
      </c>
      <c r="C8" s="22" t="s">
        <v>13543</v>
      </c>
      <c r="D8" s="22" t="s">
        <v>13544</v>
      </c>
      <c r="E8" s="31" t="s">
        <v>19</v>
      </c>
      <c r="F8" s="22" t="s">
        <v>13545</v>
      </c>
      <c r="G8" s="22" t="s">
        <v>13546</v>
      </c>
      <c r="H8" s="22" t="s">
        <v>13547</v>
      </c>
      <c r="I8" s="22" t="s">
        <v>13548</v>
      </c>
      <c r="J8" s="22" t="s">
        <v>13549</v>
      </c>
      <c r="K8" s="22" t="s">
        <v>13550</v>
      </c>
      <c r="L8" s="22" t="s">
        <v>13551</v>
      </c>
      <c r="M8" s="22" t="s">
        <v>13552</v>
      </c>
      <c r="N8" s="22" t="s">
        <v>11747</v>
      </c>
      <c r="O8" s="22" t="s">
        <v>13553</v>
      </c>
      <c r="P8" s="22" t="s">
        <v>2954</v>
      </c>
      <c r="Q8" s="22"/>
      <c r="R8" s="22"/>
      <c r="S8" s="22" t="s">
        <v>13554</v>
      </c>
      <c r="T8" s="22" t="s">
        <v>13555</v>
      </c>
      <c r="U8" s="22" t="s">
        <v>13556</v>
      </c>
      <c r="V8" s="22" t="s">
        <v>13557</v>
      </c>
      <c r="W8" s="22"/>
      <c r="X8" s="22" t="s">
        <v>12702</v>
      </c>
      <c r="Y8" s="32" t="s">
        <v>13558</v>
      </c>
      <c r="Z8" s="22" t="s">
        <v>13559</v>
      </c>
      <c r="AA8" s="22" t="s">
        <v>13560</v>
      </c>
    </row>
    <row r="9" customFormat="false" ht="87" hidden="false" customHeight="true" outlineLevel="0" collapsed="false">
      <c r="A9" s="24" t="s">
        <v>13561</v>
      </c>
      <c r="B9" s="22" t="s">
        <v>9248</v>
      </c>
      <c r="C9" s="22" t="s">
        <v>13562</v>
      </c>
      <c r="D9" s="22" t="s">
        <v>13563</v>
      </c>
      <c r="E9" s="35" t="s">
        <v>15</v>
      </c>
      <c r="F9" s="22" t="s">
        <v>13564</v>
      </c>
      <c r="G9" s="22" t="s">
        <v>13565</v>
      </c>
      <c r="H9" s="22" t="s">
        <v>13566</v>
      </c>
      <c r="I9" s="22" t="s">
        <v>13567</v>
      </c>
      <c r="J9" s="22" t="s">
        <v>13568</v>
      </c>
      <c r="K9" s="22" t="s">
        <v>13569</v>
      </c>
      <c r="L9" s="22" t="s">
        <v>13570</v>
      </c>
      <c r="M9" s="22" t="s">
        <v>13571</v>
      </c>
      <c r="N9" s="22" t="s">
        <v>13572</v>
      </c>
      <c r="O9" s="22"/>
      <c r="P9" s="22" t="s">
        <v>2954</v>
      </c>
      <c r="Q9" s="22"/>
      <c r="R9" s="22"/>
      <c r="S9" s="22" t="s">
        <v>13573</v>
      </c>
      <c r="T9" s="22" t="s">
        <v>13574</v>
      </c>
      <c r="U9" s="22"/>
      <c r="V9" s="22" t="s">
        <v>13575</v>
      </c>
      <c r="W9" s="22"/>
      <c r="X9" s="22" t="s">
        <v>10438</v>
      </c>
      <c r="Y9" s="32" t="s">
        <v>13428</v>
      </c>
      <c r="Z9" s="22" t="s">
        <v>13576</v>
      </c>
      <c r="AA9" s="22" t="s">
        <v>13577</v>
      </c>
    </row>
  </sheetData>
  <autoFilter ref="A5:AA9"/>
  <mergeCells count="2">
    <mergeCell ref="A1:Z1"/>
    <mergeCell ref="A2:AA2"/>
  </mergeCells>
  <dataValidations count="1">
    <dataValidation allowBlank="true" errorStyle="stop" operator="between" showDropDown="false" showErrorMessage="false" showInputMessage="false" sqref="E6:E1009"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AD31A"/>
    <pageSetUpPr fitToPage="false"/>
  </sheetPr>
  <dimension ref="A1:AA1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6"/>
    <col collapsed="false" customWidth="true" hidden="false" outlineLevel="0" max="4" min="4" style="0" width="28"/>
    <col collapsed="false" customWidth="true" hidden="false" outlineLevel="0" max="5" min="5" style="0" width="16"/>
    <col collapsed="false" customWidth="true" hidden="false" outlineLevel="0" max="6" min="6" style="0" width="30"/>
    <col collapsed="false" customWidth="true" hidden="false" outlineLevel="0" max="7" min="7" style="0" width="34"/>
    <col collapsed="false" customWidth="true" hidden="false" outlineLevel="0" max="8" min="8" style="0" width="26"/>
    <col collapsed="false" customWidth="true" hidden="false" outlineLevel="0" max="9" min="9" style="0" width="16"/>
    <col collapsed="false" customWidth="true" hidden="false" outlineLevel="0" max="10" min="10" style="0" width="24"/>
    <col collapsed="false" customWidth="true" hidden="false" outlineLevel="0" max="11" min="11" style="0" width="28"/>
    <col collapsed="false" customWidth="true" hidden="false" outlineLevel="0" max="12" min="12" style="0" width="55"/>
    <col collapsed="false" customWidth="true" hidden="false" outlineLevel="0" max="13" min="13" style="0" width="40"/>
    <col collapsed="false" customWidth="true" hidden="false" outlineLevel="0" max="14" min="14" style="0" width="34"/>
    <col collapsed="false" customWidth="true" hidden="false" outlineLevel="0" max="15" min="15" style="0" width="28"/>
    <col collapsed="false" customWidth="true" hidden="false" outlineLevel="0" max="16" min="16" style="0" width="30"/>
    <col collapsed="false" customWidth="true" hidden="false" outlineLevel="0" max="17" min="17" style="0" width="28"/>
    <col collapsed="false" customWidth="true" hidden="false" outlineLevel="0" max="18" min="18" style="0" width="38"/>
    <col collapsed="false" customWidth="true" hidden="false" outlineLevel="0" max="19" min="19" style="0" width="26"/>
    <col collapsed="false" customWidth="true" hidden="false" outlineLevel="0" max="20" min="20" style="0" width="50"/>
    <col collapsed="false" customWidth="true" hidden="false" outlineLevel="0" max="22" min="21" style="0" width="32"/>
    <col collapsed="false" customWidth="true" hidden="false" outlineLevel="0" max="23" min="23" style="0" width="28"/>
    <col collapsed="false" customWidth="true" hidden="false" outlineLevel="0" max="24" min="24" style="0" width="26"/>
    <col collapsed="false" customWidth="true" hidden="false" outlineLevel="0" max="25" min="25" style="0" width="50"/>
    <col collapsed="false" customWidth="true" hidden="false" outlineLevel="0" max="26" min="26" style="0" width="60"/>
    <col collapsed="false" customWidth="true" hidden="false" outlineLevel="0" max="27" min="27" style="0" width="48"/>
  </cols>
  <sheetData>
    <row r="1" customFormat="false" ht="30" hidden="false" customHeight="true" outlineLevel="0" collapsed="false">
      <c r="A1" s="18" t="s">
        <v>76</v>
      </c>
      <c r="B1" s="18"/>
      <c r="C1" s="18"/>
      <c r="D1" s="18"/>
      <c r="E1" s="18"/>
      <c r="F1" s="18"/>
      <c r="G1" s="18"/>
      <c r="H1" s="18"/>
      <c r="I1" s="18"/>
      <c r="J1" s="18"/>
      <c r="K1" s="18"/>
      <c r="L1" s="18"/>
      <c r="M1" s="18"/>
      <c r="N1" s="18"/>
      <c r="O1" s="18"/>
      <c r="P1" s="18"/>
      <c r="Q1" s="18"/>
      <c r="R1" s="18"/>
      <c r="S1" s="18"/>
      <c r="T1" s="18"/>
      <c r="U1" s="18"/>
      <c r="V1" s="18"/>
      <c r="W1" s="18"/>
      <c r="X1" s="18"/>
      <c r="Y1" s="18"/>
      <c r="Z1" s="18"/>
      <c r="AA1" s="19" t="s">
        <v>29</v>
      </c>
    </row>
    <row r="2" customFormat="false" ht="31.5" hidden="false" customHeight="true" outlineLevel="0" collapsed="false">
      <c r="A2" s="20" t="s">
        <v>13578</v>
      </c>
      <c r="B2" s="20"/>
      <c r="C2" s="20"/>
      <c r="D2" s="20"/>
      <c r="E2" s="20"/>
      <c r="F2" s="20"/>
      <c r="G2" s="20"/>
      <c r="H2" s="20"/>
      <c r="I2" s="20"/>
      <c r="J2" s="20"/>
      <c r="K2" s="20"/>
      <c r="L2" s="20"/>
      <c r="M2" s="20"/>
      <c r="N2" s="20"/>
      <c r="O2" s="20"/>
      <c r="P2" s="20"/>
      <c r="Q2" s="20"/>
      <c r="R2" s="20"/>
      <c r="S2" s="20"/>
      <c r="T2" s="20"/>
      <c r="U2" s="20"/>
      <c r="V2" s="20"/>
      <c r="W2" s="20"/>
      <c r="X2" s="20"/>
      <c r="Y2" s="20"/>
      <c r="Z2" s="20"/>
      <c r="AA2" s="20"/>
    </row>
    <row r="3" customFormat="false" ht="15" hidden="false" customHeight="false" outlineLevel="0" collapsed="false">
      <c r="A3" s="6" t="s">
        <v>109</v>
      </c>
      <c r="C3" s="6" t="n">
        <f aca="false">COUNTA(A6:A2000)</f>
        <v>7</v>
      </c>
    </row>
    <row r="4" customFormat="false" ht="33.75" hidden="false" customHeight="true" outlineLevel="0" collapsed="false">
      <c r="A4" s="21" t="s">
        <v>110</v>
      </c>
      <c r="B4" s="21" t="s">
        <v>111</v>
      </c>
      <c r="C4" s="21" t="s">
        <v>112</v>
      </c>
      <c r="D4" s="21" t="s">
        <v>113</v>
      </c>
      <c r="E4" s="21" t="s">
        <v>114</v>
      </c>
      <c r="F4" s="21" t="s">
        <v>115</v>
      </c>
      <c r="G4" s="21" t="s">
        <v>9226</v>
      </c>
      <c r="H4" s="21" t="s">
        <v>121</v>
      </c>
      <c r="I4" s="21" t="s">
        <v>9227</v>
      </c>
      <c r="J4" s="21" t="s">
        <v>124</v>
      </c>
      <c r="K4" s="21" t="s">
        <v>9228</v>
      </c>
      <c r="L4" s="21" t="s">
        <v>9229</v>
      </c>
      <c r="M4" s="21" t="s">
        <v>9230</v>
      </c>
      <c r="N4" s="21" t="s">
        <v>9231</v>
      </c>
      <c r="O4" s="21" t="s">
        <v>9232</v>
      </c>
      <c r="P4" s="21" t="s">
        <v>9233</v>
      </c>
      <c r="Q4" s="21" t="s">
        <v>9234</v>
      </c>
      <c r="R4" s="21" t="s">
        <v>9235</v>
      </c>
      <c r="S4" s="21" t="s">
        <v>9236</v>
      </c>
      <c r="T4" s="21" t="s">
        <v>9237</v>
      </c>
      <c r="U4" s="21" t="s">
        <v>138</v>
      </c>
      <c r="V4" s="21" t="s">
        <v>139</v>
      </c>
      <c r="W4" s="21" t="s">
        <v>9238</v>
      </c>
      <c r="X4" s="21" t="s">
        <v>9239</v>
      </c>
      <c r="Y4" s="21" t="s">
        <v>142</v>
      </c>
      <c r="Z4" s="21" t="s">
        <v>143</v>
      </c>
      <c r="AA4" s="21" t="s">
        <v>144</v>
      </c>
    </row>
    <row r="5" customFormat="false" ht="15" hidden="false" customHeight="false" outlineLevel="0" collapsed="false">
      <c r="A5" s="30" t="s">
        <v>145</v>
      </c>
      <c r="B5" s="30" t="s">
        <v>146</v>
      </c>
      <c r="C5" s="30" t="s">
        <v>147</v>
      </c>
      <c r="D5" s="30" t="s">
        <v>148</v>
      </c>
      <c r="E5" s="30" t="s">
        <v>149</v>
      </c>
      <c r="F5" s="30" t="s">
        <v>150</v>
      </c>
      <c r="G5" s="30" t="s">
        <v>155</v>
      </c>
      <c r="H5" s="30" t="s">
        <v>156</v>
      </c>
      <c r="I5" s="30" t="s">
        <v>9240</v>
      </c>
      <c r="J5" s="30" t="s">
        <v>159</v>
      </c>
      <c r="K5" s="30" t="s">
        <v>9241</v>
      </c>
      <c r="L5" s="30" t="s">
        <v>166</v>
      </c>
      <c r="M5" s="30" t="s">
        <v>165</v>
      </c>
      <c r="N5" s="30" t="s">
        <v>9242</v>
      </c>
      <c r="O5" s="30" t="s">
        <v>9243</v>
      </c>
      <c r="P5" s="30" t="s">
        <v>9244</v>
      </c>
      <c r="Q5" s="30" t="s">
        <v>9245</v>
      </c>
      <c r="R5" s="30" t="s">
        <v>170</v>
      </c>
      <c r="S5" s="30" t="s">
        <v>171</v>
      </c>
      <c r="T5" s="30" t="s">
        <v>9246</v>
      </c>
      <c r="U5" s="30" t="s">
        <v>173</v>
      </c>
      <c r="V5" s="30" t="s">
        <v>174</v>
      </c>
      <c r="W5" s="30" t="s">
        <v>175</v>
      </c>
      <c r="X5" s="30" t="s">
        <v>176</v>
      </c>
      <c r="Y5" s="30" t="s">
        <v>177</v>
      </c>
      <c r="Z5" s="30" t="s">
        <v>178</v>
      </c>
      <c r="AA5" s="30" t="s">
        <v>179</v>
      </c>
    </row>
    <row r="6" customFormat="false" ht="237" hidden="false" customHeight="true" outlineLevel="0" collapsed="false">
      <c r="A6" s="24" t="s">
        <v>13579</v>
      </c>
      <c r="B6" s="22" t="s">
        <v>9248</v>
      </c>
      <c r="C6" s="22" t="s">
        <v>13580</v>
      </c>
      <c r="D6" s="22" t="s">
        <v>13581</v>
      </c>
      <c r="E6" s="34" t="s">
        <v>17</v>
      </c>
      <c r="F6" s="22" t="s">
        <v>13582</v>
      </c>
      <c r="G6" s="22" t="s">
        <v>13583</v>
      </c>
      <c r="H6" s="22" t="s">
        <v>13584</v>
      </c>
      <c r="I6" s="22" t="s">
        <v>13129</v>
      </c>
      <c r="J6" s="22" t="s">
        <v>13585</v>
      </c>
      <c r="K6" s="22" t="s">
        <v>13586</v>
      </c>
      <c r="L6" s="22" t="s">
        <v>13587</v>
      </c>
      <c r="M6" s="22" t="s">
        <v>13588</v>
      </c>
      <c r="N6" s="22" t="s">
        <v>13589</v>
      </c>
      <c r="O6" s="22" t="s">
        <v>13590</v>
      </c>
      <c r="P6" s="22" t="s">
        <v>2954</v>
      </c>
      <c r="Q6" s="22" t="s">
        <v>12988</v>
      </c>
      <c r="R6" s="22" t="s">
        <v>13591</v>
      </c>
      <c r="S6" s="22" t="s">
        <v>13592</v>
      </c>
      <c r="T6" s="22" t="s">
        <v>13593</v>
      </c>
      <c r="U6" s="22" t="s">
        <v>13594</v>
      </c>
      <c r="V6" s="22" t="s">
        <v>13595</v>
      </c>
      <c r="W6" s="22" t="s">
        <v>13596</v>
      </c>
      <c r="X6" s="22" t="s">
        <v>11396</v>
      </c>
      <c r="Y6" s="32" t="s">
        <v>13597</v>
      </c>
      <c r="Z6" s="22" t="s">
        <v>13598</v>
      </c>
      <c r="AA6" s="22" t="s">
        <v>13599</v>
      </c>
    </row>
    <row r="7" customFormat="false" ht="137.25" hidden="false" customHeight="true" outlineLevel="0" collapsed="false">
      <c r="A7" s="24" t="s">
        <v>13600</v>
      </c>
      <c r="B7" s="22" t="s">
        <v>9248</v>
      </c>
      <c r="C7" s="22" t="s">
        <v>13601</v>
      </c>
      <c r="D7" s="22" t="s">
        <v>13602</v>
      </c>
      <c r="E7" s="31" t="s">
        <v>19</v>
      </c>
      <c r="F7" s="22" t="s">
        <v>13603</v>
      </c>
      <c r="G7" s="22" t="s">
        <v>13604</v>
      </c>
      <c r="H7" s="22" t="s">
        <v>13605</v>
      </c>
      <c r="I7" s="22" t="s">
        <v>13237</v>
      </c>
      <c r="J7" s="22" t="s">
        <v>13606</v>
      </c>
      <c r="K7" s="22" t="s">
        <v>13607</v>
      </c>
      <c r="L7" s="22" t="s">
        <v>13608</v>
      </c>
      <c r="M7" s="22" t="s">
        <v>13609</v>
      </c>
      <c r="N7" s="22" t="s">
        <v>13610</v>
      </c>
      <c r="O7" s="22" t="s">
        <v>13611</v>
      </c>
      <c r="P7" s="22" t="s">
        <v>13286</v>
      </c>
      <c r="Q7" s="22" t="s">
        <v>13612</v>
      </c>
      <c r="R7" s="22"/>
      <c r="S7" s="22" t="s">
        <v>13613</v>
      </c>
      <c r="T7" s="22" t="s">
        <v>13614</v>
      </c>
      <c r="U7" s="22"/>
      <c r="V7" s="22"/>
      <c r="W7" s="22"/>
      <c r="X7" s="22" t="s">
        <v>10304</v>
      </c>
      <c r="Y7" s="32"/>
      <c r="Z7" s="22" t="s">
        <v>13615</v>
      </c>
      <c r="AA7" s="22" t="s">
        <v>13616</v>
      </c>
    </row>
    <row r="8" customFormat="false" ht="287.25" hidden="false" customHeight="true" outlineLevel="0" collapsed="false">
      <c r="A8" s="24" t="s">
        <v>13617</v>
      </c>
      <c r="B8" s="22" t="s">
        <v>9248</v>
      </c>
      <c r="C8" s="22" t="s">
        <v>13618</v>
      </c>
      <c r="D8" s="22" t="s">
        <v>13619</v>
      </c>
      <c r="E8" s="31" t="s">
        <v>19</v>
      </c>
      <c r="F8" s="22" t="s">
        <v>13620</v>
      </c>
      <c r="G8" s="22" t="s">
        <v>13621</v>
      </c>
      <c r="H8" s="22" t="s">
        <v>13622</v>
      </c>
      <c r="I8" s="22" t="s">
        <v>13623</v>
      </c>
      <c r="J8" s="22" t="s">
        <v>13624</v>
      </c>
      <c r="K8" s="22" t="s">
        <v>13625</v>
      </c>
      <c r="L8" s="22" t="s">
        <v>13626</v>
      </c>
      <c r="M8" s="22"/>
      <c r="N8" s="22"/>
      <c r="O8" s="22"/>
      <c r="P8" s="22"/>
      <c r="Q8" s="22" t="s">
        <v>13627</v>
      </c>
      <c r="R8" s="22"/>
      <c r="S8" s="22" t="s">
        <v>13628</v>
      </c>
      <c r="T8" s="22"/>
      <c r="U8" s="22"/>
      <c r="V8" s="22"/>
      <c r="W8" s="22" t="s">
        <v>13629</v>
      </c>
      <c r="X8" s="22" t="s">
        <v>10304</v>
      </c>
      <c r="Y8" s="32"/>
      <c r="Z8" s="22" t="s">
        <v>13630</v>
      </c>
      <c r="AA8" s="22" t="s">
        <v>13631</v>
      </c>
    </row>
    <row r="9" customFormat="false" ht="162" hidden="false" customHeight="true" outlineLevel="0" collapsed="false">
      <c r="A9" s="24" t="s">
        <v>13632</v>
      </c>
      <c r="B9" s="22" t="s">
        <v>9248</v>
      </c>
      <c r="C9" s="22" t="s">
        <v>13633</v>
      </c>
      <c r="D9" s="22" t="s">
        <v>13634</v>
      </c>
      <c r="E9" s="31" t="s">
        <v>19</v>
      </c>
      <c r="F9" s="22" t="s">
        <v>13635</v>
      </c>
      <c r="G9" s="22" t="s">
        <v>13636</v>
      </c>
      <c r="H9" s="22" t="s">
        <v>13637</v>
      </c>
      <c r="I9" s="22" t="s">
        <v>13638</v>
      </c>
      <c r="J9" s="22" t="s">
        <v>13639</v>
      </c>
      <c r="K9" s="22" t="s">
        <v>13640</v>
      </c>
      <c r="L9" s="22" t="s">
        <v>13641</v>
      </c>
      <c r="M9" s="22" t="s">
        <v>13642</v>
      </c>
      <c r="N9" s="22" t="s">
        <v>13643</v>
      </c>
      <c r="O9" s="22" t="s">
        <v>13644</v>
      </c>
      <c r="P9" s="22" t="s">
        <v>13097</v>
      </c>
      <c r="Q9" s="22"/>
      <c r="R9" s="22" t="s">
        <v>13645</v>
      </c>
      <c r="S9" s="22" t="s">
        <v>13646</v>
      </c>
      <c r="T9" s="22" t="s">
        <v>13647</v>
      </c>
      <c r="U9" s="22"/>
      <c r="V9" s="22" t="s">
        <v>13648</v>
      </c>
      <c r="W9" s="22"/>
      <c r="X9" s="22" t="s">
        <v>10241</v>
      </c>
      <c r="Y9" s="32" t="s">
        <v>13649</v>
      </c>
      <c r="Z9" s="22" t="s">
        <v>13650</v>
      </c>
      <c r="AA9" s="22" t="s">
        <v>13651</v>
      </c>
    </row>
    <row r="10" customFormat="false" ht="62.25" hidden="false" customHeight="true" outlineLevel="0" collapsed="false">
      <c r="A10" s="24" t="s">
        <v>13652</v>
      </c>
      <c r="B10" s="22" t="s">
        <v>9248</v>
      </c>
      <c r="C10" s="22" t="s">
        <v>13653</v>
      </c>
      <c r="D10" s="22" t="s">
        <v>13654</v>
      </c>
      <c r="E10" s="34" t="s">
        <v>17</v>
      </c>
      <c r="F10" s="22" t="s">
        <v>13655</v>
      </c>
      <c r="G10" s="22" t="s">
        <v>13656</v>
      </c>
      <c r="H10" s="22" t="s">
        <v>13657</v>
      </c>
      <c r="I10" s="22" t="s">
        <v>13658</v>
      </c>
      <c r="J10" s="22" t="s">
        <v>13659</v>
      </c>
      <c r="K10" s="22" t="s">
        <v>13660</v>
      </c>
      <c r="L10" s="22" t="s">
        <v>13661</v>
      </c>
      <c r="M10" s="22" t="s">
        <v>13662</v>
      </c>
      <c r="N10" s="22"/>
      <c r="O10" s="22" t="s">
        <v>13663</v>
      </c>
      <c r="P10" s="22" t="s">
        <v>13664</v>
      </c>
      <c r="Q10" s="22" t="s">
        <v>13665</v>
      </c>
      <c r="R10" s="22" t="s">
        <v>13666</v>
      </c>
      <c r="S10" s="22" t="s">
        <v>13667</v>
      </c>
      <c r="T10" s="22" t="s">
        <v>13668</v>
      </c>
      <c r="U10" s="22"/>
      <c r="V10" s="22"/>
      <c r="W10" s="22"/>
      <c r="X10" s="22" t="s">
        <v>10241</v>
      </c>
      <c r="Y10" s="32"/>
      <c r="Z10" s="22" t="s">
        <v>13669</v>
      </c>
      <c r="AA10" s="22" t="s">
        <v>1924</v>
      </c>
    </row>
    <row r="11" customFormat="false" ht="112.5" hidden="false" customHeight="true" outlineLevel="0" collapsed="false">
      <c r="A11" s="24" t="s">
        <v>13670</v>
      </c>
      <c r="B11" s="22" t="s">
        <v>9248</v>
      </c>
      <c r="C11" s="22" t="s">
        <v>13671</v>
      </c>
      <c r="D11" s="22" t="s">
        <v>13672</v>
      </c>
      <c r="E11" s="34" t="s">
        <v>17</v>
      </c>
      <c r="F11" s="22" t="s">
        <v>13673</v>
      </c>
      <c r="G11" s="22" t="s">
        <v>13674</v>
      </c>
      <c r="H11" s="22" t="s">
        <v>13278</v>
      </c>
      <c r="I11" s="22" t="s">
        <v>13675</v>
      </c>
      <c r="J11" s="22" t="s">
        <v>13676</v>
      </c>
      <c r="K11" s="22" t="s">
        <v>13677</v>
      </c>
      <c r="L11" s="22" t="s">
        <v>13678</v>
      </c>
      <c r="M11" s="22"/>
      <c r="N11" s="22" t="s">
        <v>13679</v>
      </c>
      <c r="O11" s="22" t="s">
        <v>13680</v>
      </c>
      <c r="P11" s="22" t="s">
        <v>2954</v>
      </c>
      <c r="Q11" s="22"/>
      <c r="R11" s="22"/>
      <c r="S11" s="22" t="s">
        <v>13681</v>
      </c>
      <c r="T11" s="22" t="s">
        <v>13682</v>
      </c>
      <c r="U11" s="22"/>
      <c r="V11" s="22" t="s">
        <v>13683</v>
      </c>
      <c r="W11" s="22"/>
      <c r="X11" s="22" t="s">
        <v>10438</v>
      </c>
      <c r="Y11" s="32"/>
      <c r="Z11" s="22" t="s">
        <v>13684</v>
      </c>
      <c r="AA11" s="22"/>
    </row>
    <row r="12" customFormat="false" ht="187.5" hidden="false" customHeight="true" outlineLevel="0" collapsed="false">
      <c r="A12" s="24" t="s">
        <v>13685</v>
      </c>
      <c r="B12" s="22" t="s">
        <v>9248</v>
      </c>
      <c r="C12" s="22" t="s">
        <v>13686</v>
      </c>
      <c r="D12" s="22" t="s">
        <v>13687</v>
      </c>
      <c r="E12" s="31" t="s">
        <v>19</v>
      </c>
      <c r="F12" s="22" t="s">
        <v>13688</v>
      </c>
      <c r="G12" s="22" t="s">
        <v>13689</v>
      </c>
      <c r="H12" s="22" t="s">
        <v>13690</v>
      </c>
      <c r="I12" s="22" t="s">
        <v>13691</v>
      </c>
      <c r="J12" s="22" t="s">
        <v>13692</v>
      </c>
      <c r="K12" s="22" t="s">
        <v>13693</v>
      </c>
      <c r="L12" s="22" t="s">
        <v>13694</v>
      </c>
      <c r="M12" s="22"/>
      <c r="N12" s="22" t="s">
        <v>13695</v>
      </c>
      <c r="O12" s="22"/>
      <c r="P12" s="22"/>
      <c r="Q12" s="22"/>
      <c r="R12" s="22"/>
      <c r="S12" s="22" t="s">
        <v>13696</v>
      </c>
      <c r="T12" s="22"/>
      <c r="U12" s="22"/>
      <c r="V12" s="22"/>
      <c r="W12" s="22"/>
      <c r="X12" s="22" t="s">
        <v>10438</v>
      </c>
      <c r="Y12" s="32" t="s">
        <v>13697</v>
      </c>
      <c r="Z12" s="22" t="s">
        <v>13698</v>
      </c>
      <c r="AA12" s="22" t="s">
        <v>13699</v>
      </c>
    </row>
  </sheetData>
  <autoFilter ref="A5:AA12"/>
  <mergeCells count="2">
    <mergeCell ref="A1:Z1"/>
    <mergeCell ref="A2:AA2"/>
  </mergeCells>
  <dataValidations count="1">
    <dataValidation allowBlank="true" errorStyle="stop" operator="between" showDropDown="false" showErrorMessage="false" showInputMessage="false" sqref="E6:E1012" type="list">
      <formula1>"Verified – official source,Verified – secondary source only,Partially verified,Unverified – needs CA review,Ambiguous / conflicting – needs CA review"</formula1>
      <formula2>0</formula2>
    </dataValidation>
  </dataValidations>
  <hyperlinks>
    <hyperlink ref="AA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E4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40"/>
    <col collapsed="false" customWidth="true" hidden="false" outlineLevel="0" max="4" min="4" style="0" width="30"/>
    <col collapsed="false" customWidth="true" hidden="false" outlineLevel="0" max="5" min="5" style="0" width="60"/>
  </cols>
  <sheetData>
    <row r="1" customFormat="false" ht="30" hidden="false" customHeight="true" outlineLevel="0" collapsed="false">
      <c r="A1" s="18" t="s">
        <v>13700</v>
      </c>
      <c r="B1" s="18"/>
      <c r="C1" s="18"/>
      <c r="D1" s="18"/>
      <c r="E1" s="19" t="s">
        <v>29</v>
      </c>
    </row>
    <row r="2" customFormat="false" ht="31.5" hidden="false" customHeight="true" outlineLevel="0" collapsed="false">
      <c r="A2" s="20" t="s">
        <v>13701</v>
      </c>
      <c r="B2" s="20"/>
      <c r="C2" s="20"/>
      <c r="D2" s="20"/>
      <c r="E2" s="20"/>
    </row>
    <row r="4" customFormat="false" ht="33.75" hidden="false" customHeight="true" outlineLevel="0" collapsed="false">
      <c r="A4" s="21" t="s">
        <v>13702</v>
      </c>
      <c r="B4" s="21" t="s">
        <v>13703</v>
      </c>
      <c r="C4" s="21" t="s">
        <v>13704</v>
      </c>
      <c r="D4" s="21" t="s">
        <v>13705</v>
      </c>
      <c r="E4" s="21" t="s">
        <v>3430</v>
      </c>
    </row>
    <row r="5" customFormat="false" ht="24.75" hidden="false" customHeight="true" outlineLevel="0" collapsed="false">
      <c r="A5" s="22" t="s">
        <v>13706</v>
      </c>
      <c r="B5" s="22" t="s">
        <v>13707</v>
      </c>
      <c r="C5" s="22" t="s">
        <v>13708</v>
      </c>
      <c r="D5" s="35" t="s">
        <v>13709</v>
      </c>
      <c r="E5" s="23" t="s">
        <v>13710</v>
      </c>
    </row>
    <row r="6" customFormat="false" ht="24.75" hidden="false" customHeight="true" outlineLevel="0" collapsed="false">
      <c r="A6" s="22" t="s">
        <v>13711</v>
      </c>
      <c r="B6" s="22" t="s">
        <v>13712</v>
      </c>
      <c r="C6" s="22" t="s">
        <v>13713</v>
      </c>
      <c r="D6" s="35" t="s">
        <v>13714</v>
      </c>
      <c r="E6" s="22"/>
    </row>
    <row r="7" customFormat="false" ht="24.75" hidden="false" customHeight="true" outlineLevel="0" collapsed="false">
      <c r="A7" s="22" t="s">
        <v>13715</v>
      </c>
      <c r="B7" s="22" t="s">
        <v>13716</v>
      </c>
      <c r="C7" s="22" t="s">
        <v>13717</v>
      </c>
      <c r="D7" s="35" t="s">
        <v>13714</v>
      </c>
      <c r="E7" s="23" t="s">
        <v>13718</v>
      </c>
    </row>
    <row r="8" customFormat="false" ht="24.75" hidden="false" customHeight="true" outlineLevel="0" collapsed="false">
      <c r="A8" s="22" t="s">
        <v>13719</v>
      </c>
      <c r="B8" s="22" t="s">
        <v>13720</v>
      </c>
      <c r="C8" s="22" t="s">
        <v>13721</v>
      </c>
      <c r="D8" s="35" t="s">
        <v>13714</v>
      </c>
      <c r="E8" s="22"/>
    </row>
    <row r="9" customFormat="false" ht="24.75" hidden="false" customHeight="true" outlineLevel="0" collapsed="false">
      <c r="A9" s="22" t="s">
        <v>13722</v>
      </c>
      <c r="B9" s="22" t="s">
        <v>13723</v>
      </c>
      <c r="C9" s="22" t="s">
        <v>13724</v>
      </c>
      <c r="D9" s="35" t="s">
        <v>13714</v>
      </c>
      <c r="E9" s="23" t="s">
        <v>13725</v>
      </c>
    </row>
    <row r="10" customFormat="false" ht="24.75" hidden="false" customHeight="true" outlineLevel="0" collapsed="false">
      <c r="A10" s="22" t="s">
        <v>13665</v>
      </c>
      <c r="B10" s="22" t="s">
        <v>13726</v>
      </c>
      <c r="C10" s="22" t="s">
        <v>13727</v>
      </c>
      <c r="D10" s="35" t="s">
        <v>13714</v>
      </c>
      <c r="E10" s="23" t="s">
        <v>13728</v>
      </c>
    </row>
    <row r="11" customFormat="false" ht="24.75" hidden="false" customHeight="true" outlineLevel="0" collapsed="false">
      <c r="A11" s="22" t="s">
        <v>13729</v>
      </c>
      <c r="B11" s="22" t="s">
        <v>13730</v>
      </c>
      <c r="C11" s="22" t="s">
        <v>13731</v>
      </c>
      <c r="D11" s="35" t="s">
        <v>13714</v>
      </c>
      <c r="E11" s="23" t="s">
        <v>13732</v>
      </c>
    </row>
    <row r="12" customFormat="false" ht="24.75" hidden="false" customHeight="true" outlineLevel="0" collapsed="false">
      <c r="A12" s="22" t="s">
        <v>13733</v>
      </c>
      <c r="B12" s="22" t="s">
        <v>13734</v>
      </c>
      <c r="C12" s="22" t="s">
        <v>13735</v>
      </c>
      <c r="D12" s="35" t="s">
        <v>13714</v>
      </c>
      <c r="E12" s="23" t="s">
        <v>13736</v>
      </c>
    </row>
    <row r="13" customFormat="false" ht="24.75" hidden="false" customHeight="true" outlineLevel="0" collapsed="false">
      <c r="A13" s="22" t="s">
        <v>13737</v>
      </c>
      <c r="B13" s="22" t="s">
        <v>13738</v>
      </c>
      <c r="C13" s="22" t="s">
        <v>13739</v>
      </c>
      <c r="D13" s="35" t="s">
        <v>13714</v>
      </c>
      <c r="E13" s="22"/>
    </row>
    <row r="14" customFormat="false" ht="24.75" hidden="false" customHeight="true" outlineLevel="0" collapsed="false">
      <c r="A14" s="22" t="s">
        <v>13740</v>
      </c>
      <c r="B14" s="22" t="s">
        <v>13741</v>
      </c>
      <c r="C14" s="22" t="s">
        <v>13742</v>
      </c>
      <c r="D14" s="35" t="s">
        <v>13714</v>
      </c>
      <c r="E14" s="22"/>
    </row>
    <row r="15" customFormat="false" ht="24.75" hidden="false" customHeight="true" outlineLevel="0" collapsed="false">
      <c r="A15" s="22" t="s">
        <v>13743</v>
      </c>
      <c r="B15" s="22" t="s">
        <v>13744</v>
      </c>
      <c r="C15" s="22" t="s">
        <v>13745</v>
      </c>
      <c r="D15" s="35" t="s">
        <v>13714</v>
      </c>
      <c r="E15" s="22"/>
    </row>
    <row r="16" customFormat="false" ht="24.75" hidden="false" customHeight="true" outlineLevel="0" collapsed="false">
      <c r="A16" s="22" t="s">
        <v>13746</v>
      </c>
      <c r="B16" s="22" t="s">
        <v>13747</v>
      </c>
      <c r="C16" s="22" t="s">
        <v>13748</v>
      </c>
      <c r="D16" s="35" t="s">
        <v>13714</v>
      </c>
      <c r="E16" s="22"/>
    </row>
    <row r="17" customFormat="false" ht="24.75" hidden="false" customHeight="true" outlineLevel="0" collapsed="false">
      <c r="A17" s="22" t="s">
        <v>13749</v>
      </c>
      <c r="B17" s="22" t="s">
        <v>13750</v>
      </c>
      <c r="C17" s="22" t="s">
        <v>13751</v>
      </c>
      <c r="D17" s="35" t="s">
        <v>13714</v>
      </c>
      <c r="E17" s="23" t="s">
        <v>13752</v>
      </c>
    </row>
    <row r="18" customFormat="false" ht="24.75" hidden="false" customHeight="true" outlineLevel="0" collapsed="false">
      <c r="A18" s="22" t="s">
        <v>6619</v>
      </c>
      <c r="B18" s="22" t="s">
        <v>13753</v>
      </c>
      <c r="C18" s="22" t="s">
        <v>13754</v>
      </c>
      <c r="D18" s="35" t="s">
        <v>13714</v>
      </c>
      <c r="E18" s="22"/>
    </row>
    <row r="19" customFormat="false" ht="24.75" hidden="false" customHeight="true" outlineLevel="0" collapsed="false">
      <c r="A19" s="22" t="s">
        <v>13755</v>
      </c>
      <c r="B19" s="22" t="s">
        <v>13756</v>
      </c>
      <c r="C19" s="22" t="s">
        <v>13757</v>
      </c>
      <c r="D19" s="35" t="s">
        <v>13714</v>
      </c>
      <c r="E19" s="22"/>
    </row>
    <row r="20" customFormat="false" ht="24.75" hidden="false" customHeight="true" outlineLevel="0" collapsed="false">
      <c r="A20" s="22" t="s">
        <v>13758</v>
      </c>
      <c r="B20" s="22" t="s">
        <v>13759</v>
      </c>
      <c r="C20" s="22" t="s">
        <v>13760</v>
      </c>
      <c r="D20" s="35" t="s">
        <v>13714</v>
      </c>
      <c r="E20" s="23" t="s">
        <v>13761</v>
      </c>
    </row>
    <row r="21" customFormat="false" ht="24.75" hidden="false" customHeight="true" outlineLevel="0" collapsed="false">
      <c r="A21" s="22" t="s">
        <v>13762</v>
      </c>
      <c r="B21" s="22" t="s">
        <v>13763</v>
      </c>
      <c r="C21" s="22" t="s">
        <v>13764</v>
      </c>
      <c r="D21" s="35" t="s">
        <v>13714</v>
      </c>
      <c r="E21" s="23" t="s">
        <v>13765</v>
      </c>
    </row>
    <row r="22" customFormat="false" ht="24.75" hidden="false" customHeight="true" outlineLevel="0" collapsed="false">
      <c r="A22" s="22" t="s">
        <v>13766</v>
      </c>
      <c r="B22" s="22" t="s">
        <v>13767</v>
      </c>
      <c r="C22" s="22" t="s">
        <v>13768</v>
      </c>
      <c r="D22" s="31" t="s">
        <v>13769</v>
      </c>
      <c r="E22" s="22"/>
    </row>
    <row r="23" customFormat="false" ht="24.75" hidden="false" customHeight="true" outlineLevel="0" collapsed="false">
      <c r="A23" s="22" t="s">
        <v>13770</v>
      </c>
      <c r="B23" s="22" t="s">
        <v>13771</v>
      </c>
      <c r="C23" s="22" t="s">
        <v>13772</v>
      </c>
      <c r="D23" s="31" t="s">
        <v>13769</v>
      </c>
      <c r="E23" s="22"/>
    </row>
    <row r="24" customFormat="false" ht="24.75" hidden="false" customHeight="true" outlineLevel="0" collapsed="false">
      <c r="A24" s="22" t="s">
        <v>13773</v>
      </c>
      <c r="B24" s="22" t="s">
        <v>13774</v>
      </c>
      <c r="C24" s="22" t="s">
        <v>13775</v>
      </c>
      <c r="D24" s="35" t="s">
        <v>13714</v>
      </c>
      <c r="E24" s="22"/>
    </row>
    <row r="25" customFormat="false" ht="24.75" hidden="false" customHeight="true" outlineLevel="0" collapsed="false">
      <c r="A25" s="22" t="s">
        <v>13776</v>
      </c>
      <c r="B25" s="22" t="s">
        <v>13777</v>
      </c>
      <c r="C25" s="22" t="s">
        <v>13778</v>
      </c>
      <c r="D25" s="35" t="s">
        <v>13714</v>
      </c>
      <c r="E25" s="22"/>
    </row>
    <row r="26" customFormat="false" ht="49.5" hidden="false" customHeight="true" outlineLevel="0" collapsed="false">
      <c r="A26" s="22" t="s">
        <v>13779</v>
      </c>
      <c r="B26" s="22" t="s">
        <v>13780</v>
      </c>
      <c r="C26" s="22" t="s">
        <v>13781</v>
      </c>
      <c r="D26" s="31" t="s">
        <v>13782</v>
      </c>
      <c r="E26" s="23" t="s">
        <v>13783</v>
      </c>
    </row>
    <row r="27" customFormat="false" ht="24.75" hidden="false" customHeight="true" outlineLevel="0" collapsed="false">
      <c r="A27" s="22" t="s">
        <v>13784</v>
      </c>
      <c r="B27" s="22" t="s">
        <v>13785</v>
      </c>
      <c r="C27" s="22" t="s">
        <v>13786</v>
      </c>
      <c r="D27" s="31" t="s">
        <v>13787</v>
      </c>
      <c r="E27" s="23" t="s">
        <v>13783</v>
      </c>
    </row>
    <row r="28" customFormat="false" ht="24.75" hidden="false" customHeight="true" outlineLevel="0" collapsed="false">
      <c r="A28" s="22" t="s">
        <v>13788</v>
      </c>
      <c r="B28" s="22" t="s">
        <v>13789</v>
      </c>
      <c r="C28" s="22" t="s">
        <v>13790</v>
      </c>
      <c r="D28" s="31" t="s">
        <v>13787</v>
      </c>
      <c r="E28" s="23" t="s">
        <v>13783</v>
      </c>
    </row>
    <row r="29" customFormat="false" ht="24.75" hidden="false" customHeight="true" outlineLevel="0" collapsed="false">
      <c r="A29" s="22" t="s">
        <v>13791</v>
      </c>
      <c r="B29" s="22" t="s">
        <v>13792</v>
      </c>
      <c r="C29" s="22" t="s">
        <v>13793</v>
      </c>
      <c r="D29" s="35" t="s">
        <v>13714</v>
      </c>
      <c r="E29" s="22"/>
    </row>
    <row r="30" customFormat="false" ht="24.75" hidden="false" customHeight="true" outlineLevel="0" collapsed="false">
      <c r="A30" s="22" t="s">
        <v>58</v>
      </c>
      <c r="B30" s="22" t="s">
        <v>13794</v>
      </c>
      <c r="C30" s="22" t="s">
        <v>13795</v>
      </c>
      <c r="D30" s="35" t="s">
        <v>13714</v>
      </c>
      <c r="E30" s="22"/>
    </row>
    <row r="31" customFormat="false" ht="24.75" hidden="false" customHeight="true" outlineLevel="0" collapsed="false">
      <c r="A31" s="22" t="s">
        <v>13796</v>
      </c>
      <c r="B31" s="22" t="s">
        <v>13739</v>
      </c>
      <c r="C31" s="22" t="s">
        <v>13797</v>
      </c>
      <c r="D31" s="35" t="s">
        <v>13714</v>
      </c>
      <c r="E31" s="22"/>
    </row>
    <row r="32" customFormat="false" ht="24.75" hidden="false" customHeight="true" outlineLevel="0" collapsed="false">
      <c r="A32" s="22" t="s">
        <v>13798</v>
      </c>
      <c r="B32" s="22" t="s">
        <v>13799</v>
      </c>
      <c r="C32" s="22" t="s">
        <v>13800</v>
      </c>
      <c r="D32" s="35" t="s">
        <v>13714</v>
      </c>
      <c r="E32" s="22"/>
    </row>
    <row r="33" customFormat="false" ht="24.75" hidden="false" customHeight="true" outlineLevel="0" collapsed="false">
      <c r="A33" s="22" t="s">
        <v>13801</v>
      </c>
      <c r="B33" s="22" t="s">
        <v>13802</v>
      </c>
      <c r="C33" s="22" t="s">
        <v>13803</v>
      </c>
      <c r="D33" s="35" t="s">
        <v>13714</v>
      </c>
      <c r="E33" s="22"/>
    </row>
    <row r="34" customFormat="false" ht="24.75" hidden="false" customHeight="true" outlineLevel="0" collapsed="false">
      <c r="A34" s="22" t="s">
        <v>13804</v>
      </c>
      <c r="B34" s="22" t="s">
        <v>13805</v>
      </c>
      <c r="C34" s="22" t="s">
        <v>13806</v>
      </c>
      <c r="D34" s="35" t="s">
        <v>13714</v>
      </c>
      <c r="E34" s="22"/>
    </row>
    <row r="35" customFormat="false" ht="24.75" hidden="false" customHeight="true" outlineLevel="0" collapsed="false">
      <c r="A35" s="22" t="s">
        <v>13807</v>
      </c>
      <c r="B35" s="22" t="s">
        <v>13808</v>
      </c>
      <c r="C35" s="22" t="s">
        <v>13809</v>
      </c>
      <c r="D35" s="35" t="s">
        <v>13714</v>
      </c>
      <c r="E35" s="22"/>
    </row>
    <row r="36" customFormat="false" ht="24.75" hidden="false" customHeight="true" outlineLevel="0" collapsed="false">
      <c r="A36" s="22" t="s">
        <v>13810</v>
      </c>
      <c r="B36" s="22" t="s">
        <v>13811</v>
      </c>
      <c r="C36" s="22" t="s">
        <v>13812</v>
      </c>
      <c r="D36" s="35" t="s">
        <v>13714</v>
      </c>
      <c r="E36" s="22"/>
    </row>
    <row r="37" customFormat="false" ht="24.75" hidden="false" customHeight="true" outlineLevel="0" collapsed="false">
      <c r="A37" s="22" t="s">
        <v>13813</v>
      </c>
      <c r="B37" s="22" t="s">
        <v>13814</v>
      </c>
      <c r="C37" s="22" t="s">
        <v>13815</v>
      </c>
      <c r="D37" s="35" t="s">
        <v>13714</v>
      </c>
      <c r="E37" s="22"/>
    </row>
    <row r="38" customFormat="false" ht="24.75" hidden="false" customHeight="true" outlineLevel="0" collapsed="false">
      <c r="A38" s="22" t="s">
        <v>13816</v>
      </c>
      <c r="B38" s="22" t="s">
        <v>13817</v>
      </c>
      <c r="C38" s="22" t="s">
        <v>13818</v>
      </c>
      <c r="D38" s="35" t="s">
        <v>13714</v>
      </c>
      <c r="E38" s="22"/>
    </row>
    <row r="39" customFormat="false" ht="37.5" hidden="false" customHeight="true" outlineLevel="0" collapsed="false">
      <c r="A39" s="22" t="s">
        <v>13819</v>
      </c>
      <c r="B39" s="22" t="s">
        <v>13820</v>
      </c>
      <c r="C39" s="22" t="s">
        <v>13821</v>
      </c>
      <c r="D39" s="35" t="s">
        <v>13822</v>
      </c>
      <c r="E39" s="22"/>
    </row>
    <row r="40" customFormat="false" ht="24.75" hidden="false" customHeight="true" outlineLevel="0" collapsed="false">
      <c r="A40" s="22" t="s">
        <v>13823</v>
      </c>
      <c r="B40" s="22" t="s">
        <v>13824</v>
      </c>
      <c r="C40" s="22" t="s">
        <v>13825</v>
      </c>
      <c r="D40" s="35" t="s">
        <v>13714</v>
      </c>
      <c r="E40" s="22"/>
    </row>
    <row r="41" customFormat="false" ht="49.5" hidden="false" customHeight="true" outlineLevel="0" collapsed="false">
      <c r="A41" s="22" t="s">
        <v>13826</v>
      </c>
      <c r="B41" s="22" t="s">
        <v>13707</v>
      </c>
      <c r="C41" s="22" t="s">
        <v>13827</v>
      </c>
      <c r="D41" s="35" t="s">
        <v>13828</v>
      </c>
      <c r="E41" s="22"/>
    </row>
    <row r="42" customFormat="false" ht="24.75" hidden="false" customHeight="true" outlineLevel="0" collapsed="false">
      <c r="A42" s="22" t="s">
        <v>13829</v>
      </c>
      <c r="B42" s="22" t="s">
        <v>13830</v>
      </c>
      <c r="C42" s="22" t="s">
        <v>13831</v>
      </c>
      <c r="D42" s="31" t="s">
        <v>19</v>
      </c>
      <c r="E42" s="22"/>
    </row>
    <row r="43" customFormat="false" ht="24.75" hidden="false" customHeight="true" outlineLevel="0" collapsed="false">
      <c r="A43" s="22" t="s">
        <v>13832</v>
      </c>
      <c r="B43" s="22" t="s">
        <v>13833</v>
      </c>
      <c r="C43" s="22" t="s">
        <v>13834</v>
      </c>
      <c r="D43" s="31" t="s">
        <v>13835</v>
      </c>
      <c r="E43" s="22"/>
    </row>
  </sheetData>
  <mergeCells count="2">
    <mergeCell ref="A1:D1"/>
    <mergeCell ref="A2:E2"/>
  </mergeCells>
  <hyperlinks>
    <hyperlink ref="E1" r:id="rId1" location="'Contents'!A1" display="← Contents"/>
    <hyperlink ref="E5" r:id="rId2" display="https://www.incometaxindia.gov.in/documents/d/guest/press-release-income-tax-act-2025-comes-into-force-from-01-april-2026-pdf"/>
    <hyperlink ref="E7" r:id="rId3" display="https://www.incometaxindia.gov.in/w/section-19-206"/>
    <hyperlink ref="E9" r:id="rId4" display="https://www.incometaxindia.gov.in/w/section-37-169"/>
    <hyperlink ref="E10" r:id="rId5" display="https://www.incometaxindia.gov.in/w/section-63-134"/>
    <hyperlink ref="E11" r:id="rId6" display="https://www.incometaxindia.gov.in/w/section-58-144"/>
    <hyperlink ref="E12" r:id="rId7" display="https://www.incometaxindia.gov.in/w/section-156-84"/>
    <hyperlink ref="E17" r:id="rId8" display="https://www.incometaxindia.gov.in/w/section-424-5"/>
    <hyperlink ref="E20" r:id="rId9" display="https://www.incometaxindia.gov.in/w/section-516-3"/>
    <hyperlink ref="E21" r:id="rId10" display="https://www.incometaxindia.gov.in/w/rule-269-1"/>
    <hyperlink ref="E26" r:id="rId11" display="https://www.incometaxindia.gov.in/w/section-393-6"/>
    <hyperlink ref="E27" r:id="rId12" display="https://www.incometaxindia.gov.in/w/section-393-6"/>
    <hyperlink ref="E28" r:id="rId13" display="https://www.incometaxindia.gov.in/w/section-393-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F1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8"/>
    <col collapsed="false" customWidth="true" hidden="false" outlineLevel="0" max="3" min="3" style="0" width="22"/>
    <col collapsed="false" customWidth="true" hidden="false" outlineLevel="0" max="5" min="4" style="0" width="14"/>
    <col collapsed="false" customWidth="true" hidden="false" outlineLevel="0" max="6" min="6" style="0" width="52"/>
  </cols>
  <sheetData>
    <row r="1" customFormat="false" ht="30" hidden="false" customHeight="true" outlineLevel="0" collapsed="false">
      <c r="A1" s="18" t="s">
        <v>13836</v>
      </c>
      <c r="B1" s="18"/>
      <c r="C1" s="18"/>
      <c r="D1" s="18"/>
      <c r="E1" s="18"/>
      <c r="F1" s="19" t="s">
        <v>29</v>
      </c>
    </row>
    <row r="2" customFormat="false" ht="31.5" hidden="false" customHeight="true" outlineLevel="0" collapsed="false">
      <c r="A2" s="20" t="s">
        <v>13837</v>
      </c>
      <c r="B2" s="20"/>
      <c r="C2" s="20"/>
      <c r="D2" s="20"/>
      <c r="E2" s="20"/>
      <c r="F2" s="20"/>
    </row>
    <row r="5" customFormat="false" ht="15" hidden="false" customHeight="false" outlineLevel="0" collapsed="false">
      <c r="A5" s="38" t="s">
        <v>13838</v>
      </c>
      <c r="B5" s="1"/>
      <c r="C5" s="1"/>
      <c r="D5" s="1"/>
      <c r="E5" s="1"/>
      <c r="F5" s="1"/>
    </row>
    <row r="6" customFormat="false" ht="15" hidden="false" customHeight="false" outlineLevel="0" collapsed="false">
      <c r="A6" s="39" t="s">
        <v>13839</v>
      </c>
      <c r="B6" s="40" t="n">
        <v>1300000</v>
      </c>
    </row>
    <row r="7" customFormat="false" ht="15" hidden="false" customHeight="false" outlineLevel="0" collapsed="false">
      <c r="A7" s="39" t="s">
        <v>13840</v>
      </c>
      <c r="B7" s="40" t="n">
        <v>75000</v>
      </c>
      <c r="F7" s="41" t="s">
        <v>13841</v>
      </c>
    </row>
    <row r="8" customFormat="false" ht="15" hidden="false" customHeight="false" outlineLevel="0" collapsed="false">
      <c r="A8" s="39" t="s">
        <v>13842</v>
      </c>
      <c r="B8" s="42" t="n">
        <f aca="false">MAX(0,B6-B7)</f>
        <v>1225000</v>
      </c>
    </row>
    <row r="9" customFormat="false" ht="15" hidden="false" customHeight="false" outlineLevel="0" collapsed="false">
      <c r="A9" s="39" t="s">
        <v>13843</v>
      </c>
      <c r="B9" s="42" t="n">
        <f aca="false">ROUND(B8,-1)</f>
        <v>1225000</v>
      </c>
    </row>
    <row r="10" customFormat="false" ht="15" hidden="false" customHeight="false" outlineLevel="0" collapsed="false">
      <c r="A10" s="39" t="s">
        <v>13844</v>
      </c>
      <c r="B10" s="42" t="n">
        <f aca="false">0.05*MIN(MAX(B9-400000,0),400000)+0.1*MIN(MAX(B9-800000,0),400000)+0.15*MIN(MAX(B9-1200000,0),400000)+0.2*MIN(MAX(B9-1600000,0),400000)+0.25*MIN(MAX(B9-2000000,0),400000)+0.3*MAX(B9-2400000,0)</f>
        <v>63750</v>
      </c>
    </row>
    <row r="11" customFormat="false" ht="15" hidden="false" customHeight="false" outlineLevel="0" collapsed="false">
      <c r="A11" s="39" t="s">
        <v>13845</v>
      </c>
      <c r="B11" s="42" t="n">
        <f aca="false">IF(B9&lt;=1200000,MIN(B10,60000),MAX(0,B10-(B9-1200000)))</f>
        <v>38750</v>
      </c>
      <c r="F11" s="41" t="s">
        <v>13846</v>
      </c>
    </row>
    <row r="12" customFormat="false" ht="15" hidden="false" customHeight="false" outlineLevel="0" collapsed="false">
      <c r="A12" s="39" t="s">
        <v>13847</v>
      </c>
      <c r="B12" s="42" t="n">
        <f aca="false">B10-B11</f>
        <v>25000</v>
      </c>
    </row>
    <row r="13" customFormat="false" ht="15" hidden="false" customHeight="false" outlineLevel="0" collapsed="false">
      <c r="A13" s="39" t="s">
        <v>13848</v>
      </c>
      <c r="B13" s="42" t="n">
        <f aca="false">B12*0.04</f>
        <v>1000</v>
      </c>
    </row>
    <row r="14" customFormat="false" ht="15" hidden="false" customHeight="false" outlineLevel="0" collapsed="false">
      <c r="A14" s="43" t="s">
        <v>13849</v>
      </c>
      <c r="B14" s="44" t="n">
        <f aca="false">ROUND(B12+B13,-1)</f>
        <v>26000</v>
      </c>
    </row>
    <row r="15" customFormat="false" ht="15" hidden="false" customHeight="false" outlineLevel="0" collapsed="false">
      <c r="A15" s="41" t="s">
        <v>13850</v>
      </c>
      <c r="B15" s="45" t="n">
        <v>26000</v>
      </c>
      <c r="C15" s="6" t="str">
        <f aca="false">IF(ABS(B14-B15)&lt;=0.5,"✓ matches rule book","✗ check")</f>
        <v>✓ matches rule book</v>
      </c>
    </row>
    <row r="17" customFormat="false" ht="15" hidden="false" customHeight="false" outlineLevel="0" collapsed="false">
      <c r="A17" s="38" t="s">
        <v>13851</v>
      </c>
      <c r="B17" s="1"/>
      <c r="C17" s="1"/>
      <c r="D17" s="1"/>
      <c r="E17" s="1"/>
      <c r="F17" s="1"/>
    </row>
    <row r="18" customFormat="false" ht="15" hidden="false" customHeight="false" outlineLevel="0" collapsed="false">
      <c r="A18" s="39" t="s">
        <v>13852</v>
      </c>
      <c r="B18" s="40" t="n">
        <v>200000</v>
      </c>
    </row>
    <row r="19" customFormat="false" ht="15" hidden="false" customHeight="false" outlineLevel="0" collapsed="false">
      <c r="A19" s="39" t="s">
        <v>13853</v>
      </c>
      <c r="B19" s="40" t="n">
        <v>20000</v>
      </c>
    </row>
    <row r="20" customFormat="false" ht="15" hidden="false" customHeight="false" outlineLevel="0" collapsed="false">
      <c r="A20" s="39" t="s">
        <v>13854</v>
      </c>
      <c r="B20" s="40" t="n">
        <v>80000</v>
      </c>
    </row>
    <row r="21" customFormat="false" ht="15" hidden="false" customHeight="false" outlineLevel="0" collapsed="false">
      <c r="A21" s="39" t="s">
        <v>13855</v>
      </c>
      <c r="B21" s="40" t="n">
        <v>130000</v>
      </c>
    </row>
    <row r="22" customFormat="false" ht="15" hidden="false" customHeight="false" outlineLevel="0" collapsed="false">
      <c r="A22" s="39" t="s">
        <v>13856</v>
      </c>
      <c r="B22" s="40" t="n">
        <v>180000</v>
      </c>
    </row>
    <row r="23" customFormat="false" ht="15" hidden="false" customHeight="false" outlineLevel="0" collapsed="false">
      <c r="A23" s="39" t="s">
        <v>13857</v>
      </c>
      <c r="B23" s="42" t="n">
        <f aca="false">IF(B19&lt;0.12*B18,FLOOR(MAX(0,0.15*B18-B19),100)*0.03,0)</f>
        <v>300</v>
      </c>
      <c r="F23" s="41" t="s">
        <v>13858</v>
      </c>
    </row>
    <row r="24" customFormat="false" ht="15" hidden="false" customHeight="false" outlineLevel="0" collapsed="false">
      <c r="A24" s="39" t="s">
        <v>13859</v>
      </c>
      <c r="B24" s="42" t="n">
        <f aca="false">IF(B20&lt;0.36*B18,FLOOR(MAX(0,0.45*B18-B20),100)*0.03,0)</f>
        <v>0</v>
      </c>
    </row>
    <row r="25" customFormat="false" ht="15" hidden="false" customHeight="false" outlineLevel="0" collapsed="false">
      <c r="A25" s="39" t="s">
        <v>13860</v>
      </c>
      <c r="B25" s="42" t="n">
        <f aca="false">IF(B21&lt;0.75*B18,FLOOR(MAX(0,0.75*B18-B21),100)*0.03,0)</f>
        <v>600</v>
      </c>
    </row>
    <row r="26" customFormat="false" ht="15" hidden="false" customHeight="false" outlineLevel="0" collapsed="false">
      <c r="A26" s="39" t="s">
        <v>13861</v>
      </c>
      <c r="B26" s="42" t="n">
        <f aca="false">IF(B22&lt;B18,FLOOR(MAX(0,B18-B22),100)*0.01,0)</f>
        <v>200</v>
      </c>
    </row>
    <row r="27" customFormat="false" ht="15" hidden="false" customHeight="false" outlineLevel="0" collapsed="false">
      <c r="A27" s="43" t="s">
        <v>13862</v>
      </c>
      <c r="B27" s="44" t="n">
        <f aca="false">B23+B24+B25+B26</f>
        <v>1100</v>
      </c>
    </row>
    <row r="28" customFormat="false" ht="15" hidden="false" customHeight="false" outlineLevel="0" collapsed="false">
      <c r="A28" s="41" t="s">
        <v>13863</v>
      </c>
      <c r="B28" s="45" t="n">
        <v>1100</v>
      </c>
      <c r="C28" s="6" t="str">
        <f aca="false">IF(ABS(B27-B28)&lt;=0.5,"✓ matches rule book","✗ check")</f>
        <v>✓ matches rule book</v>
      </c>
    </row>
    <row r="30" customFormat="false" ht="15" hidden="false" customHeight="false" outlineLevel="0" collapsed="false">
      <c r="A30" s="38" t="s">
        <v>13864</v>
      </c>
      <c r="B30" s="1"/>
      <c r="C30" s="1"/>
      <c r="D30" s="1"/>
      <c r="E30" s="1"/>
      <c r="F30" s="1"/>
    </row>
    <row r="31" customFormat="false" ht="15" hidden="false" customHeight="false" outlineLevel="0" collapsed="false">
      <c r="A31" s="39" t="s">
        <v>13865</v>
      </c>
      <c r="B31" s="40" t="n">
        <v>10000</v>
      </c>
    </row>
    <row r="32" customFormat="false" ht="15" hidden="false" customHeight="false" outlineLevel="0" collapsed="false">
      <c r="A32" s="39" t="s">
        <v>13866</v>
      </c>
      <c r="B32" s="46" t="n">
        <f aca="false">DATE(2025,5,15)</f>
        <v>45792</v>
      </c>
    </row>
    <row r="33" customFormat="false" ht="15" hidden="false" customHeight="false" outlineLevel="0" collapsed="false">
      <c r="A33" s="39" t="s">
        <v>13867</v>
      </c>
      <c r="B33" s="46" t="n">
        <f aca="false">DATE(2025,6,20)</f>
        <v>45828</v>
      </c>
    </row>
    <row r="34" customFormat="false" ht="15" hidden="false" customHeight="false" outlineLevel="0" collapsed="false">
      <c r="A34" s="39" t="s">
        <v>13868</v>
      </c>
      <c r="B34" s="46" t="n">
        <f aca="false">DATE(2025,8,10)</f>
        <v>45879</v>
      </c>
    </row>
    <row r="35" customFormat="false" ht="15" hidden="false" customHeight="false" outlineLevel="0" collapsed="false">
      <c r="A35" s="39" t="s">
        <v>13869</v>
      </c>
      <c r="B35" s="47" t="n">
        <f aca="false">IF(B33&gt;B32,(YEAR(B33)-YEAR(B32))*12+MONTH(B33)-MONTH(B32)+1,0)</f>
        <v>2</v>
      </c>
      <c r="F35" s="41" t="s">
        <v>13870</v>
      </c>
    </row>
    <row r="36" customFormat="false" ht="15" hidden="false" customHeight="false" outlineLevel="0" collapsed="false">
      <c r="A36" s="39" t="s">
        <v>13871</v>
      </c>
      <c r="B36" s="47" t="n">
        <f aca="false">(YEAR(B34)-YEAR(B33))*12+MONTH(B34)-MONTH(B33)+1</f>
        <v>3</v>
      </c>
      <c r="F36" s="41" t="s">
        <v>13872</v>
      </c>
    </row>
    <row r="37" customFormat="false" ht="15" hidden="false" customHeight="false" outlineLevel="0" collapsed="false">
      <c r="A37" s="39" t="s">
        <v>13873</v>
      </c>
      <c r="B37" s="42" t="n">
        <f aca="false">B31*1%*B35</f>
        <v>200</v>
      </c>
    </row>
    <row r="38" customFormat="false" ht="15" hidden="false" customHeight="false" outlineLevel="0" collapsed="false">
      <c r="A38" s="39" t="s">
        <v>13874</v>
      </c>
      <c r="B38" s="42" t="n">
        <f aca="false">B31*1.5%*B36</f>
        <v>450</v>
      </c>
    </row>
    <row r="39" customFormat="false" ht="15" hidden="false" customHeight="false" outlineLevel="0" collapsed="false">
      <c r="A39" s="43" t="s">
        <v>13875</v>
      </c>
      <c r="B39" s="44" t="n">
        <f aca="false">B37+B38</f>
        <v>650</v>
      </c>
    </row>
    <row r="40" customFormat="false" ht="15" hidden="false" customHeight="false" outlineLevel="0" collapsed="false">
      <c r="A40" s="41" t="s">
        <v>13876</v>
      </c>
      <c r="B40" s="45" t="n">
        <v>650</v>
      </c>
      <c r="C40" s="6" t="str">
        <f aca="false">IF(ABS(B39-B40)&lt;=0.5,"✓ matches rule book","✗ check")</f>
        <v>✓ matches rule book</v>
      </c>
    </row>
    <row r="42" customFormat="false" ht="15" hidden="false" customHeight="false" outlineLevel="0" collapsed="false">
      <c r="A42" s="38" t="s">
        <v>13877</v>
      </c>
      <c r="B42" s="1"/>
      <c r="C42" s="1"/>
      <c r="D42" s="1"/>
      <c r="E42" s="1"/>
      <c r="F42" s="1"/>
    </row>
    <row r="43" customFormat="false" ht="15" hidden="false" customHeight="false" outlineLevel="0" collapsed="false">
      <c r="A43" s="39" t="s">
        <v>13878</v>
      </c>
      <c r="B43" s="40" t="n">
        <v>40000</v>
      </c>
    </row>
    <row r="44" customFormat="false" ht="15" hidden="false" customHeight="false" outlineLevel="0" collapsed="false">
      <c r="A44" s="39" t="s">
        <v>13879</v>
      </c>
      <c r="B44" s="46" t="n">
        <f aca="false">DATE(2025,11,20)</f>
        <v>45981</v>
      </c>
    </row>
    <row r="45" customFormat="false" ht="15" hidden="false" customHeight="false" outlineLevel="0" collapsed="false">
      <c r="A45" s="39" t="s">
        <v>13880</v>
      </c>
      <c r="B45" s="46" t="n">
        <f aca="false">DATE(2025,12,15)</f>
        <v>46006</v>
      </c>
    </row>
    <row r="46" customFormat="false" ht="15" hidden="false" customHeight="false" outlineLevel="0" collapsed="false">
      <c r="A46" s="39" t="s">
        <v>13881</v>
      </c>
      <c r="B46" s="48" t="n">
        <v>0.18</v>
      </c>
    </row>
    <row r="47" customFormat="false" ht="15" hidden="false" customHeight="false" outlineLevel="0" collapsed="false">
      <c r="A47" s="39" t="s">
        <v>13882</v>
      </c>
      <c r="B47" s="47" t="n">
        <f aca="false">MAX(0,B45-B44)</f>
        <v>25</v>
      </c>
    </row>
    <row r="48" customFormat="false" ht="15" hidden="false" customHeight="false" outlineLevel="0" collapsed="false">
      <c r="A48" s="43" t="s">
        <v>13883</v>
      </c>
      <c r="B48" s="44" t="n">
        <f aca="false">ROUND(B43*B46*B47/365,0)</f>
        <v>493</v>
      </c>
    </row>
    <row r="49" customFormat="false" ht="15" hidden="false" customHeight="false" outlineLevel="0" collapsed="false">
      <c r="A49" s="41" t="s">
        <v>13884</v>
      </c>
      <c r="B49" s="45" t="n">
        <v>493</v>
      </c>
      <c r="C49" s="6" t="str">
        <f aca="false">IF(ABS(B48-B49)&lt;=0.5,"✓ matches rule book","✗ check")</f>
        <v>✓ matches rule book</v>
      </c>
    </row>
    <row r="51" customFormat="false" ht="15" hidden="false" customHeight="false" outlineLevel="0" collapsed="false">
      <c r="A51" s="38" t="s">
        <v>13885</v>
      </c>
      <c r="B51" s="1"/>
      <c r="C51" s="1"/>
      <c r="D51" s="1"/>
      <c r="E51" s="1"/>
      <c r="F51" s="1"/>
    </row>
    <row r="52" customFormat="false" ht="15" hidden="false" customHeight="false" outlineLevel="0" collapsed="false">
      <c r="A52" s="39" t="s">
        <v>13886</v>
      </c>
      <c r="B52" s="40" t="n">
        <v>100000</v>
      </c>
    </row>
    <row r="53" customFormat="false" ht="15" hidden="false" customHeight="false" outlineLevel="0" collapsed="false">
      <c r="A53" s="39" t="s">
        <v>13887</v>
      </c>
      <c r="B53" s="40" t="n">
        <v>2000</v>
      </c>
    </row>
    <row r="54" customFormat="false" ht="15" hidden="false" customHeight="false" outlineLevel="0" collapsed="false">
      <c r="A54" s="39" t="s">
        <v>13888</v>
      </c>
      <c r="B54" s="40" t="n">
        <v>8000</v>
      </c>
    </row>
    <row r="55" customFormat="false" ht="15" hidden="false" customHeight="false" outlineLevel="0" collapsed="false">
      <c r="A55" s="39" t="s">
        <v>13889</v>
      </c>
      <c r="B55" s="40" t="n">
        <v>5000</v>
      </c>
    </row>
    <row r="56" customFormat="false" ht="15" hidden="false" customHeight="false" outlineLevel="0" collapsed="false">
      <c r="A56" s="39" t="s">
        <v>13890</v>
      </c>
      <c r="B56" s="40" t="n">
        <v>35000</v>
      </c>
    </row>
    <row r="57" customFormat="false" ht="15" hidden="false" customHeight="false" outlineLevel="0" collapsed="false">
      <c r="A57" s="39" t="s">
        <v>13891</v>
      </c>
      <c r="B57" s="40" t="n">
        <v>2000000</v>
      </c>
    </row>
    <row r="58" customFormat="false" ht="15" hidden="false" customHeight="false" outlineLevel="0" collapsed="false">
      <c r="A58" s="39" t="s">
        <v>13892</v>
      </c>
      <c r="B58" s="40" t="n">
        <v>10000000</v>
      </c>
    </row>
    <row r="59" customFormat="false" ht="15" hidden="false" customHeight="false" outlineLevel="0" collapsed="false">
      <c r="A59" s="39" t="s">
        <v>13893</v>
      </c>
      <c r="B59" s="42" t="n">
        <f aca="false">B52-(B53+B54+B55)</f>
        <v>85000</v>
      </c>
    </row>
    <row r="60" customFormat="false" ht="15" hidden="false" customHeight="false" outlineLevel="0" collapsed="false">
      <c r="A60" s="39" t="s">
        <v>13894</v>
      </c>
      <c r="B60" s="42" t="n">
        <f aca="false">B59-B56</f>
        <v>50000</v>
      </c>
    </row>
    <row r="61" customFormat="false" ht="15" hidden="false" customHeight="false" outlineLevel="0" collapsed="false">
      <c r="A61" s="39" t="s">
        <v>13895</v>
      </c>
      <c r="B61" s="42" t="n">
        <f aca="false">IF(B58=0,0,B57/B58*B60)</f>
        <v>10000</v>
      </c>
    </row>
    <row r="62" customFormat="false" ht="15" hidden="false" customHeight="false" outlineLevel="0" collapsed="false">
      <c r="A62" s="39" t="s">
        <v>13896</v>
      </c>
      <c r="B62" s="42" t="n">
        <f aca="false">0.05*B60</f>
        <v>2500</v>
      </c>
    </row>
    <row r="63" customFormat="false" ht="15" hidden="false" customHeight="false" outlineLevel="0" collapsed="false">
      <c r="A63" s="43" t="s">
        <v>13897</v>
      </c>
      <c r="B63" s="44" t="n">
        <f aca="false">B60-(B61+B62)</f>
        <v>37500</v>
      </c>
    </row>
    <row r="64" customFormat="false" ht="15" hidden="false" customHeight="false" outlineLevel="0" collapsed="false">
      <c r="A64" s="41" t="s">
        <v>13898</v>
      </c>
      <c r="B64" s="45" t="n">
        <v>37500</v>
      </c>
      <c r="C64" s="6" t="str">
        <f aca="false">IF(ABS(B63-B64)&lt;=0.5,"✓ matches rule book","✗ check")</f>
        <v>✓ matches rule book</v>
      </c>
    </row>
    <row r="66" customFormat="false" ht="15" hidden="false" customHeight="false" outlineLevel="0" collapsed="false">
      <c r="A66" s="38" t="s">
        <v>13899</v>
      </c>
      <c r="B66" s="1"/>
      <c r="C66" s="1"/>
      <c r="D66" s="1"/>
      <c r="E66" s="1"/>
      <c r="F66" s="1"/>
    </row>
    <row r="67" customFormat="false" ht="15" hidden="false" customHeight="false" outlineLevel="0" collapsed="false">
      <c r="A67" s="39" t="s">
        <v>13900</v>
      </c>
      <c r="B67" s="40" t="n">
        <v>25000</v>
      </c>
    </row>
    <row r="68" customFormat="false" ht="15" hidden="false" customHeight="false" outlineLevel="0" collapsed="false">
      <c r="A68" s="39" t="s">
        <v>13901</v>
      </c>
      <c r="B68" s="40" t="n">
        <v>15000</v>
      </c>
      <c r="F68" s="41" t="s">
        <v>13902</v>
      </c>
    </row>
    <row r="69" customFormat="false" ht="15" hidden="false" customHeight="false" outlineLevel="0" collapsed="false">
      <c r="A69" s="39" t="s">
        <v>13903</v>
      </c>
      <c r="B69" s="42" t="n">
        <f aca="false">MIN(B67,B68)</f>
        <v>15000</v>
      </c>
    </row>
    <row r="70" customFormat="false" ht="15" hidden="false" customHeight="false" outlineLevel="0" collapsed="false">
      <c r="A70" s="39" t="s">
        <v>13904</v>
      </c>
      <c r="B70" s="42" t="n">
        <f aca="false">ROUND(0.12*B69,0)</f>
        <v>1800</v>
      </c>
    </row>
    <row r="71" customFormat="false" ht="15" hidden="false" customHeight="false" outlineLevel="0" collapsed="false">
      <c r="A71" s="39" t="s">
        <v>13905</v>
      </c>
      <c r="B71" s="42" t="n">
        <f aca="false">ROUND(0.0833*MIN(B67,B68),0)</f>
        <v>1250</v>
      </c>
    </row>
    <row r="72" customFormat="false" ht="15" hidden="false" customHeight="false" outlineLevel="0" collapsed="false">
      <c r="A72" s="39" t="s">
        <v>13906</v>
      </c>
      <c r="B72" s="42" t="n">
        <f aca="false">ROUND(0.12*B69,0)-B71</f>
        <v>550</v>
      </c>
    </row>
    <row r="73" customFormat="false" ht="15" hidden="false" customHeight="false" outlineLevel="0" collapsed="false">
      <c r="A73" s="39" t="s">
        <v>13907</v>
      </c>
      <c r="B73" s="42" t="n">
        <f aca="false">ROUND(0.005*MIN(B67,B68),0)</f>
        <v>75</v>
      </c>
    </row>
    <row r="74" customFormat="false" ht="15" hidden="false" customHeight="false" outlineLevel="0" collapsed="false">
      <c r="A74" s="39" t="s">
        <v>13908</v>
      </c>
      <c r="B74" s="42" t="n">
        <f aca="false">ROUND(0.005*B69,0)</f>
        <v>75</v>
      </c>
    </row>
    <row r="75" customFormat="false" ht="15" hidden="false" customHeight="false" outlineLevel="0" collapsed="false">
      <c r="A75" s="43" t="s">
        <v>13909</v>
      </c>
      <c r="B75" s="44" t="n">
        <f aca="false">B70+B71+B72+B73+B74</f>
        <v>3750</v>
      </c>
    </row>
    <row r="76" customFormat="false" ht="15" hidden="false" customHeight="false" outlineLevel="0" collapsed="false">
      <c r="A76" s="41" t="s">
        <v>13910</v>
      </c>
      <c r="B76" s="45" t="n">
        <v>3750</v>
      </c>
      <c r="C76" s="6" t="str">
        <f aca="false">IF(ABS(B75-B76)&lt;=0.5,"✓ matches rule book","✗ check")</f>
        <v>✓ matches rule book</v>
      </c>
    </row>
    <row r="78" customFormat="false" ht="15" hidden="false" customHeight="false" outlineLevel="0" collapsed="false">
      <c r="A78" s="38" t="s">
        <v>13911</v>
      </c>
      <c r="B78" s="1"/>
      <c r="C78" s="1"/>
      <c r="D78" s="1"/>
      <c r="E78" s="1"/>
      <c r="F78" s="1"/>
    </row>
    <row r="79" customFormat="false" ht="15" hidden="false" customHeight="false" outlineLevel="0" collapsed="false">
      <c r="A79" s="39" t="s">
        <v>13912</v>
      </c>
      <c r="B79" s="40" t="n">
        <v>100000</v>
      </c>
    </row>
    <row r="80" customFormat="false" ht="15" hidden="false" customHeight="false" outlineLevel="0" collapsed="false">
      <c r="A80" s="39" t="s">
        <v>13882</v>
      </c>
      <c r="B80" s="49" t="n">
        <v>25</v>
      </c>
    </row>
    <row r="81" customFormat="false" ht="15" hidden="false" customHeight="false" outlineLevel="0" collapsed="false">
      <c r="A81" s="39" t="s">
        <v>13913</v>
      </c>
      <c r="B81" s="50" t="n">
        <f aca="false">B80*12/365</f>
        <v>0.821917808219178</v>
      </c>
    </row>
    <row r="82" customFormat="false" ht="15" hidden="false" customHeight="false" outlineLevel="0" collapsed="false">
      <c r="A82" s="39" t="s">
        <v>13914</v>
      </c>
      <c r="B82" s="51" t="n">
        <f aca="false">IF(B81&lt;=2,0.0025,IF(B81&lt;=4,0.005,0.01))</f>
        <v>0.0025</v>
      </c>
    </row>
    <row r="83" customFormat="false" ht="15" hidden="false" customHeight="false" outlineLevel="0" collapsed="false">
      <c r="A83" s="43" t="s">
        <v>13915</v>
      </c>
      <c r="B83" s="44" t="n">
        <f aca="false">ROUND(MIN(B79,B79*B82*B81),0)</f>
        <v>205</v>
      </c>
    </row>
    <row r="84" customFormat="false" ht="15" hidden="false" customHeight="false" outlineLevel="0" collapsed="false">
      <c r="A84" s="39" t="s">
        <v>13916</v>
      </c>
      <c r="B84" s="42" t="n">
        <f aca="false">ROUND(B79*0.12*B80/365,0)</f>
        <v>822</v>
      </c>
    </row>
    <row r="85" customFormat="false" ht="15" hidden="false" customHeight="false" outlineLevel="0" collapsed="false">
      <c r="A85" s="41" t="s">
        <v>13917</v>
      </c>
      <c r="B85" s="45" t="n">
        <v>205</v>
      </c>
      <c r="C85" s="6" t="str">
        <f aca="false">IF(ABS(B83-B85)&lt;=0.5,"✓ matches rule book","✗ check")</f>
        <v>✓ matches rule book</v>
      </c>
    </row>
    <row r="87" customFormat="false" ht="15" hidden="false" customHeight="false" outlineLevel="0" collapsed="false">
      <c r="A87" s="38" t="s">
        <v>13918</v>
      </c>
      <c r="B87" s="1"/>
      <c r="C87" s="1"/>
      <c r="D87" s="1"/>
      <c r="E87" s="1"/>
      <c r="F87" s="1"/>
    </row>
    <row r="88" customFormat="false" ht="15" hidden="false" customHeight="false" outlineLevel="0" collapsed="false">
      <c r="A88" s="39" t="s">
        <v>13919</v>
      </c>
      <c r="B88" s="40" t="n">
        <v>20000</v>
      </c>
    </row>
    <row r="89" customFormat="false" ht="15" hidden="false" customHeight="false" outlineLevel="0" collapsed="false">
      <c r="A89" s="39" t="s">
        <v>13920</v>
      </c>
      <c r="B89" s="49" t="n">
        <v>26</v>
      </c>
    </row>
    <row r="90" customFormat="false" ht="15" hidden="false" customHeight="false" outlineLevel="0" collapsed="false">
      <c r="A90" s="39" t="s">
        <v>13921</v>
      </c>
      <c r="B90" s="47" t="n">
        <f aca="false">IF(B88&lt;=21000,1,0)</f>
        <v>1</v>
      </c>
      <c r="F90" s="41" t="s">
        <v>13922</v>
      </c>
    </row>
    <row r="91" customFormat="false" ht="15" hidden="false" customHeight="false" outlineLevel="0" collapsed="false">
      <c r="A91" s="39" t="s">
        <v>13923</v>
      </c>
      <c r="B91" s="42" t="n">
        <f aca="false">IF(B88/B89&lt;=176,0,ROUNDUP(0.0075*B88,0))</f>
        <v>150</v>
      </c>
    </row>
    <row r="92" customFormat="false" ht="15" hidden="false" customHeight="false" outlineLevel="0" collapsed="false">
      <c r="A92" s="39" t="s">
        <v>13924</v>
      </c>
      <c r="B92" s="42" t="n">
        <f aca="false">ROUNDUP(0.0325*B88,0)</f>
        <v>650</v>
      </c>
    </row>
    <row r="93" customFormat="false" ht="15" hidden="false" customHeight="false" outlineLevel="0" collapsed="false">
      <c r="A93" s="43" t="s">
        <v>13925</v>
      </c>
      <c r="B93" s="44" t="n">
        <f aca="false">B91+B92</f>
        <v>800</v>
      </c>
    </row>
    <row r="94" customFormat="false" ht="15" hidden="false" customHeight="false" outlineLevel="0" collapsed="false">
      <c r="A94" s="41" t="s">
        <v>13926</v>
      </c>
      <c r="B94" s="45" t="n">
        <v>650</v>
      </c>
      <c r="C94" s="6" t="str">
        <f aca="false">IF(ABS(B92-B94)&lt;=0.5,"✓ matches rule book","✗ check")</f>
        <v>✓ matches rule book</v>
      </c>
    </row>
    <row r="96" customFormat="false" ht="15" hidden="false" customHeight="false" outlineLevel="0" collapsed="false">
      <c r="A96" s="38" t="s">
        <v>13927</v>
      </c>
      <c r="B96" s="1"/>
      <c r="C96" s="1"/>
      <c r="D96" s="1"/>
      <c r="E96" s="1"/>
      <c r="F96" s="1"/>
    </row>
    <row r="97" customFormat="false" ht="15" hidden="false" customHeight="false" outlineLevel="0" collapsed="false">
      <c r="A97" s="39" t="s">
        <v>13928</v>
      </c>
      <c r="B97" s="40" t="n">
        <v>52000</v>
      </c>
    </row>
    <row r="98" customFormat="false" ht="15" hidden="false" customHeight="false" outlineLevel="0" collapsed="false">
      <c r="A98" s="39" t="s">
        <v>13929</v>
      </c>
      <c r="B98" s="49" t="n">
        <v>10</v>
      </c>
    </row>
    <row r="99" customFormat="false" ht="15" hidden="false" customHeight="false" outlineLevel="0" collapsed="false">
      <c r="A99" s="39" t="s">
        <v>13930</v>
      </c>
      <c r="B99" s="49" t="n">
        <v>7</v>
      </c>
    </row>
    <row r="100" customFormat="false" ht="15" hidden="false" customHeight="false" outlineLevel="0" collapsed="false">
      <c r="A100" s="39" t="s">
        <v>13931</v>
      </c>
      <c r="B100" s="47" t="n">
        <f aca="false">B98+IF(B99&gt;6,1,0)</f>
        <v>11</v>
      </c>
    </row>
    <row r="101" customFormat="false" ht="15" hidden="false" customHeight="false" outlineLevel="0" collapsed="false">
      <c r="A101" s="39" t="s">
        <v>13932</v>
      </c>
      <c r="B101" s="40" t="n">
        <v>2000000</v>
      </c>
      <c r="F101" s="41" t="s">
        <v>13933</v>
      </c>
    </row>
    <row r="102" customFormat="false" ht="15" hidden="false" customHeight="false" outlineLevel="0" collapsed="false">
      <c r="A102" s="43" t="s">
        <v>13934</v>
      </c>
      <c r="B102" s="44" t="n">
        <f aca="false">ROUND(MIN(B97*15/26*B100,B101),0)</f>
        <v>330000</v>
      </c>
    </row>
    <row r="103" customFormat="false" ht="15" hidden="false" customHeight="false" outlineLevel="0" collapsed="false">
      <c r="A103" s="41" t="s">
        <v>13935</v>
      </c>
      <c r="B103" s="45" t="n">
        <v>330000</v>
      </c>
      <c r="C103" s="6" t="str">
        <f aca="false">IF(ABS(B102-B103)&lt;=0.5,"✓ matches rule book","✗ check")</f>
        <v>✓ matches rule book</v>
      </c>
    </row>
    <row r="105" customFormat="false" ht="15" hidden="false" customHeight="false" outlineLevel="0" collapsed="false">
      <c r="A105" s="38" t="s">
        <v>13936</v>
      </c>
      <c r="B105" s="1"/>
      <c r="C105" s="1"/>
      <c r="D105" s="1"/>
      <c r="E105" s="1"/>
      <c r="F105" s="1"/>
    </row>
    <row r="106" customFormat="false" ht="15" hidden="false" customHeight="false" outlineLevel="0" collapsed="false">
      <c r="A106" s="39" t="s">
        <v>13937</v>
      </c>
      <c r="B106" s="40" t="n">
        <v>1000000</v>
      </c>
    </row>
    <row r="107" customFormat="false" ht="15" hidden="false" customHeight="false" outlineLevel="0" collapsed="false">
      <c r="A107" s="39" t="s">
        <v>13938</v>
      </c>
      <c r="B107" s="48" t="n">
        <v>0.0575</v>
      </c>
      <c r="F107" s="41" t="s">
        <v>13939</v>
      </c>
    </row>
    <row r="108" customFormat="false" ht="15" hidden="false" customHeight="false" outlineLevel="0" collapsed="false">
      <c r="A108" s="39" t="s">
        <v>13940</v>
      </c>
      <c r="B108" s="49" t="n">
        <v>3</v>
      </c>
    </row>
    <row r="109" customFormat="false" ht="15" hidden="false" customHeight="false" outlineLevel="0" collapsed="false">
      <c r="A109" s="43" t="s">
        <v>13941</v>
      </c>
      <c r="B109" s="44" t="n">
        <f aca="false">ROUND(B106*((1+3*B107/12)^B108-1),0)</f>
        <v>43748</v>
      </c>
    </row>
    <row r="110" customFormat="false" ht="15" hidden="false" customHeight="false" outlineLevel="0" collapsed="false">
      <c r="A110" s="41" t="s">
        <v>13942</v>
      </c>
      <c r="B110" s="45" t="n">
        <v>43748</v>
      </c>
      <c r="C110" s="6" t="str">
        <f aca="false">IF(ABS(B109-B110)&lt;=0.5,"✓ matches rule book","✗ check")</f>
        <v>✓ matches rule book</v>
      </c>
    </row>
    <row r="112" customFormat="false" ht="15" hidden="false" customHeight="false" outlineLevel="0" collapsed="false">
      <c r="A112" s="38" t="s">
        <v>13943</v>
      </c>
      <c r="B112" s="1"/>
      <c r="C112" s="1"/>
      <c r="D112" s="1"/>
      <c r="E112" s="1"/>
      <c r="F112" s="1"/>
    </row>
    <row r="113" customFormat="false" ht="15" hidden="false" customHeight="false" outlineLevel="0" collapsed="false">
      <c r="A113" s="39" t="s">
        <v>13944</v>
      </c>
      <c r="B113" s="40" t="n">
        <v>500000</v>
      </c>
    </row>
    <row r="114" customFormat="false" ht="15" hidden="false" customHeight="false" outlineLevel="0" collapsed="false">
      <c r="A114" s="39" t="s">
        <v>13945</v>
      </c>
      <c r="B114" s="40" t="n">
        <v>80000</v>
      </c>
    </row>
    <row r="115" customFormat="false" ht="15" hidden="false" customHeight="false" outlineLevel="0" collapsed="false">
      <c r="A115" s="39" t="s">
        <v>13946</v>
      </c>
      <c r="B115" s="40" t="n">
        <v>120000</v>
      </c>
    </row>
    <row r="116" customFormat="false" ht="15" hidden="false" customHeight="false" outlineLevel="0" collapsed="false">
      <c r="A116" s="39" t="s">
        <v>13947</v>
      </c>
      <c r="B116" s="40" t="n">
        <v>1180</v>
      </c>
    </row>
    <row r="117" customFormat="false" ht="15" hidden="false" customHeight="false" outlineLevel="0" collapsed="false">
      <c r="A117" s="39" t="s">
        <v>13948</v>
      </c>
      <c r="B117" s="40" t="n">
        <v>3500</v>
      </c>
    </row>
    <row r="118" customFormat="false" ht="15" hidden="false" customHeight="false" outlineLevel="0" collapsed="false">
      <c r="A118" s="39" t="s">
        <v>13949</v>
      </c>
      <c r="B118" s="40" t="n">
        <v>45000</v>
      </c>
    </row>
    <row r="119" customFormat="false" ht="15" hidden="false" customHeight="false" outlineLevel="0" collapsed="false">
      <c r="A119" s="43" t="s">
        <v>13950</v>
      </c>
      <c r="B119" s="44" t="n">
        <f aca="false">B113+B114-B115-B116+B117+B118</f>
        <v>507320</v>
      </c>
    </row>
    <row r="120" customFormat="false" ht="15" hidden="false" customHeight="false" outlineLevel="0" collapsed="false">
      <c r="A120" s="39" t="s">
        <v>13951</v>
      </c>
      <c r="B120" s="42" t="n">
        <f aca="false">B113-B116+B117+B118</f>
        <v>547320</v>
      </c>
    </row>
    <row r="121" customFormat="false" ht="15" hidden="false" customHeight="false" outlineLevel="0" collapsed="false">
      <c r="A121" s="39" t="s">
        <v>13952</v>
      </c>
      <c r="B121" s="42" t="n">
        <f aca="false">B120-(B119+B115-B114)</f>
        <v>0</v>
      </c>
    </row>
    <row r="122" customFormat="false" ht="15" hidden="false" customHeight="false" outlineLevel="0" collapsed="false">
      <c r="A122" s="41" t="s">
        <v>13953</v>
      </c>
      <c r="B122" s="45" t="n">
        <v>507320</v>
      </c>
      <c r="C122" s="6" t="str">
        <f aca="false">IF(ABS(B119-B122)&lt;=0.5,"✓ matches rule book","✗ check")</f>
        <v>✓ matches rule book</v>
      </c>
    </row>
  </sheetData>
  <mergeCells count="2">
    <mergeCell ref="A1:E1"/>
    <mergeCell ref="A2:F2"/>
  </mergeCells>
  <hyperlinks>
    <hyperlink ref="F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H23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0"/>
    <col collapsed="false" customWidth="true" hidden="false" outlineLevel="0" max="4" min="4" style="0" width="34"/>
    <col collapsed="false" customWidth="true" hidden="false" outlineLevel="0" max="5" min="5" style="0" width="22"/>
    <col collapsed="false" customWidth="true" hidden="false" outlineLevel="0" max="6" min="6" style="0" width="80"/>
    <col collapsed="false" customWidth="true" hidden="false" outlineLevel="0" max="7" min="7" style="0" width="18"/>
    <col collapsed="false" customWidth="true" hidden="false" outlineLevel="0" max="8" min="8" style="0" width="22"/>
  </cols>
  <sheetData>
    <row r="1" customFormat="false" ht="30" hidden="false" customHeight="true" outlineLevel="0" collapsed="false">
      <c r="A1" s="18" t="s">
        <v>13954</v>
      </c>
      <c r="B1" s="18"/>
      <c r="C1" s="18"/>
      <c r="D1" s="18"/>
      <c r="E1" s="18"/>
      <c r="F1" s="18"/>
      <c r="G1" s="18"/>
      <c r="H1" s="19" t="s">
        <v>29</v>
      </c>
    </row>
    <row r="2" customFormat="false" ht="31.5" hidden="false" customHeight="true" outlineLevel="0" collapsed="false">
      <c r="A2" s="20" t="s">
        <v>13955</v>
      </c>
      <c r="B2" s="20"/>
      <c r="C2" s="20"/>
      <c r="D2" s="20"/>
      <c r="E2" s="20"/>
      <c r="F2" s="20"/>
      <c r="G2" s="20"/>
      <c r="H2" s="20"/>
    </row>
    <row r="4" customFormat="false" ht="33.75" hidden="false" customHeight="true" outlineLevel="0" collapsed="false">
      <c r="A4" s="21" t="s">
        <v>110</v>
      </c>
      <c r="B4" s="21" t="s">
        <v>111</v>
      </c>
      <c r="C4" s="21" t="s">
        <v>13956</v>
      </c>
      <c r="D4" s="21" t="s">
        <v>113</v>
      </c>
      <c r="E4" s="21" t="s">
        <v>114</v>
      </c>
      <c r="F4" s="21" t="s">
        <v>13957</v>
      </c>
      <c r="G4" s="21" t="s">
        <v>13958</v>
      </c>
      <c r="H4" s="21" t="s">
        <v>13959</v>
      </c>
    </row>
    <row r="5" customFormat="false" ht="24.75" hidden="false" customHeight="true" outlineLevel="0" collapsed="false">
      <c r="A5" s="22" t="s">
        <v>13333</v>
      </c>
      <c r="B5" s="22" t="s">
        <v>9248</v>
      </c>
      <c r="C5" s="22" t="s">
        <v>13960</v>
      </c>
      <c r="D5" s="22" t="s">
        <v>13335</v>
      </c>
      <c r="E5" s="37" t="s">
        <v>23</v>
      </c>
      <c r="F5" s="22" t="s">
        <v>13354</v>
      </c>
      <c r="G5" s="52"/>
      <c r="H5" s="52"/>
    </row>
    <row r="6" customFormat="false" ht="300" hidden="false" customHeight="true" outlineLevel="0" collapsed="false">
      <c r="A6" s="22" t="s">
        <v>10039</v>
      </c>
      <c r="B6" s="22" t="s">
        <v>9248</v>
      </c>
      <c r="C6" s="22" t="s">
        <v>50</v>
      </c>
      <c r="D6" s="22" t="s">
        <v>10041</v>
      </c>
      <c r="E6" s="37" t="s">
        <v>23</v>
      </c>
      <c r="F6" s="22" t="s">
        <v>10061</v>
      </c>
      <c r="G6" s="52"/>
      <c r="H6" s="52"/>
    </row>
    <row r="7" customFormat="false" ht="37.5" hidden="false" customHeight="true" outlineLevel="0" collapsed="false">
      <c r="A7" s="22" t="s">
        <v>11470</v>
      </c>
      <c r="B7" s="22" t="s">
        <v>9248</v>
      </c>
      <c r="C7" s="22" t="s">
        <v>60</v>
      </c>
      <c r="D7" s="22" t="s">
        <v>11471</v>
      </c>
      <c r="E7" s="33" t="s">
        <v>21</v>
      </c>
      <c r="F7" s="22" t="s">
        <v>11491</v>
      </c>
      <c r="G7" s="52"/>
      <c r="H7" s="52"/>
    </row>
    <row r="8" customFormat="false" ht="37.5" hidden="false" customHeight="true" outlineLevel="0" collapsed="false">
      <c r="A8" s="22" t="s">
        <v>10109</v>
      </c>
      <c r="B8" s="22" t="s">
        <v>9248</v>
      </c>
      <c r="C8" s="22" t="s">
        <v>50</v>
      </c>
      <c r="D8" s="22" t="s">
        <v>10110</v>
      </c>
      <c r="E8" s="33" t="s">
        <v>21</v>
      </c>
      <c r="F8" s="22" t="s">
        <v>10128</v>
      </c>
      <c r="G8" s="52"/>
      <c r="H8" s="52"/>
    </row>
    <row r="9" customFormat="false" ht="24.75" hidden="false" customHeight="true" outlineLevel="0" collapsed="false">
      <c r="A9" s="22" t="s">
        <v>13068</v>
      </c>
      <c r="B9" s="22" t="s">
        <v>9248</v>
      </c>
      <c r="C9" s="22" t="s">
        <v>13960</v>
      </c>
      <c r="D9" s="22" t="s">
        <v>13070</v>
      </c>
      <c r="E9" s="33" t="s">
        <v>21</v>
      </c>
      <c r="F9" s="22" t="s">
        <v>13086</v>
      </c>
      <c r="G9" s="52"/>
      <c r="H9" s="52"/>
    </row>
    <row r="10" customFormat="false" ht="24.75" hidden="false" customHeight="true" outlineLevel="0" collapsed="false">
      <c r="A10" s="22" t="s">
        <v>13105</v>
      </c>
      <c r="B10" s="22" t="s">
        <v>9248</v>
      </c>
      <c r="C10" s="22" t="s">
        <v>13960</v>
      </c>
      <c r="D10" s="22" t="s">
        <v>13107</v>
      </c>
      <c r="E10" s="33" t="s">
        <v>21</v>
      </c>
      <c r="F10" s="22" t="s">
        <v>13122</v>
      </c>
      <c r="G10" s="52"/>
      <c r="H10" s="52"/>
    </row>
    <row r="11" customFormat="false" ht="24.75" hidden="false" customHeight="true" outlineLevel="0" collapsed="false">
      <c r="A11" s="22" t="s">
        <v>13145</v>
      </c>
      <c r="B11" s="22" t="s">
        <v>9248</v>
      </c>
      <c r="C11" s="22" t="s">
        <v>13960</v>
      </c>
      <c r="D11" s="22" t="s">
        <v>13147</v>
      </c>
      <c r="E11" s="33" t="s">
        <v>21</v>
      </c>
      <c r="F11" s="22" t="s">
        <v>13164</v>
      </c>
      <c r="G11" s="52"/>
      <c r="H11" s="52"/>
    </row>
    <row r="12" customFormat="false" ht="24.75" hidden="false" customHeight="true" outlineLevel="0" collapsed="false">
      <c r="A12" s="22" t="s">
        <v>13252</v>
      </c>
      <c r="B12" s="22" t="s">
        <v>9248</v>
      </c>
      <c r="C12" s="22" t="s">
        <v>13960</v>
      </c>
      <c r="D12" s="22" t="s">
        <v>13254</v>
      </c>
      <c r="E12" s="33" t="s">
        <v>21</v>
      </c>
      <c r="F12" s="22" t="s">
        <v>13271</v>
      </c>
      <c r="G12" s="52"/>
      <c r="H12" s="52"/>
    </row>
    <row r="13" customFormat="false" ht="24.75" hidden="false" customHeight="true" outlineLevel="0" collapsed="false">
      <c r="A13" s="22" t="s">
        <v>12480</v>
      </c>
      <c r="B13" s="22" t="s">
        <v>9248</v>
      </c>
      <c r="C13" s="22" t="s">
        <v>13961</v>
      </c>
      <c r="D13" s="22" t="s">
        <v>12482</v>
      </c>
      <c r="E13" s="33" t="s">
        <v>21</v>
      </c>
      <c r="F13" s="22" t="s">
        <v>12501</v>
      </c>
      <c r="G13" s="52"/>
      <c r="H13" s="52"/>
    </row>
    <row r="14" customFormat="false" ht="24.75" hidden="false" customHeight="true" outlineLevel="0" collapsed="false">
      <c r="A14" s="22" t="s">
        <v>12642</v>
      </c>
      <c r="B14" s="22" t="s">
        <v>9248</v>
      </c>
      <c r="C14" s="22" t="s">
        <v>13961</v>
      </c>
      <c r="D14" s="22" t="s">
        <v>12644</v>
      </c>
      <c r="E14" s="33" t="s">
        <v>21</v>
      </c>
      <c r="F14" s="22" t="s">
        <v>12662</v>
      </c>
      <c r="G14" s="52"/>
      <c r="H14" s="52"/>
    </row>
    <row r="15" customFormat="false" ht="24.75" hidden="false" customHeight="true" outlineLevel="0" collapsed="false">
      <c r="A15" s="22" t="s">
        <v>13211</v>
      </c>
      <c r="B15" s="22" t="s">
        <v>9248</v>
      </c>
      <c r="C15" s="22" t="s">
        <v>13960</v>
      </c>
      <c r="D15" s="22" t="s">
        <v>13213</v>
      </c>
      <c r="E15" s="33" t="s">
        <v>21</v>
      </c>
      <c r="F15" s="22" t="s">
        <v>13230</v>
      </c>
      <c r="G15" s="52"/>
      <c r="H15" s="52"/>
    </row>
    <row r="16" customFormat="false" ht="24.75" hidden="false" customHeight="true" outlineLevel="0" collapsed="false">
      <c r="A16" s="22" t="s">
        <v>2425</v>
      </c>
      <c r="B16" s="22" t="s">
        <v>181</v>
      </c>
      <c r="C16" s="22" t="s">
        <v>13962</v>
      </c>
      <c r="D16" s="22" t="s">
        <v>2427</v>
      </c>
      <c r="E16" s="33" t="s">
        <v>21</v>
      </c>
      <c r="F16" s="22" t="s">
        <v>2447</v>
      </c>
      <c r="G16" s="52"/>
      <c r="H16" s="52"/>
    </row>
    <row r="17" customFormat="false" ht="24.75" hidden="false" customHeight="true" outlineLevel="0" collapsed="false">
      <c r="A17" s="22" t="s">
        <v>2501</v>
      </c>
      <c r="B17" s="22" t="s">
        <v>181</v>
      </c>
      <c r="C17" s="22" t="s">
        <v>13962</v>
      </c>
      <c r="D17" s="22" t="s">
        <v>2503</v>
      </c>
      <c r="E17" s="33" t="s">
        <v>21</v>
      </c>
      <c r="F17" s="22" t="s">
        <v>2527</v>
      </c>
      <c r="G17" s="52"/>
      <c r="H17" s="52"/>
    </row>
    <row r="18" customFormat="false" ht="37.5" hidden="false" customHeight="true" outlineLevel="0" collapsed="false">
      <c r="A18" s="22" t="s">
        <v>2612</v>
      </c>
      <c r="B18" s="22" t="s">
        <v>181</v>
      </c>
      <c r="C18" s="22" t="s">
        <v>13962</v>
      </c>
      <c r="D18" s="22" t="s">
        <v>2614</v>
      </c>
      <c r="E18" s="33" t="s">
        <v>21</v>
      </c>
      <c r="F18" s="22" t="s">
        <v>2637</v>
      </c>
      <c r="G18" s="52"/>
      <c r="H18" s="52"/>
    </row>
    <row r="19" customFormat="false" ht="24.75" hidden="false" customHeight="true" outlineLevel="0" collapsed="false">
      <c r="A19" s="22" t="s">
        <v>2265</v>
      </c>
      <c r="B19" s="22" t="s">
        <v>181</v>
      </c>
      <c r="C19" s="22" t="s">
        <v>13962</v>
      </c>
      <c r="D19" s="22" t="s">
        <v>2267</v>
      </c>
      <c r="E19" s="33" t="s">
        <v>21</v>
      </c>
      <c r="F19" s="22" t="s">
        <v>2291</v>
      </c>
      <c r="G19" s="52"/>
      <c r="H19" s="52"/>
    </row>
    <row r="20" customFormat="false" ht="49.5" hidden="false" customHeight="true" outlineLevel="0" collapsed="false">
      <c r="A20" s="22" t="s">
        <v>241</v>
      </c>
      <c r="B20" s="22" t="s">
        <v>181</v>
      </c>
      <c r="C20" s="22" t="s">
        <v>13963</v>
      </c>
      <c r="D20" s="22" t="s">
        <v>242</v>
      </c>
      <c r="E20" s="33" t="s">
        <v>21</v>
      </c>
      <c r="F20" s="22" t="s">
        <v>265</v>
      </c>
      <c r="G20" s="52"/>
      <c r="H20" s="52"/>
    </row>
    <row r="21" customFormat="false" ht="37.5" hidden="false" customHeight="true" outlineLevel="0" collapsed="false">
      <c r="A21" s="22" t="s">
        <v>266</v>
      </c>
      <c r="B21" s="22" t="s">
        <v>181</v>
      </c>
      <c r="C21" s="22" t="s">
        <v>13963</v>
      </c>
      <c r="D21" s="22" t="s">
        <v>268</v>
      </c>
      <c r="E21" s="33" t="s">
        <v>21</v>
      </c>
      <c r="F21" s="22" t="s">
        <v>294</v>
      </c>
      <c r="G21" s="52"/>
      <c r="H21" s="52"/>
    </row>
    <row r="22" customFormat="false" ht="24.75" hidden="false" customHeight="true" outlineLevel="0" collapsed="false">
      <c r="A22" s="22" t="s">
        <v>607</v>
      </c>
      <c r="B22" s="22" t="s">
        <v>181</v>
      </c>
      <c r="C22" s="22" t="s">
        <v>13963</v>
      </c>
      <c r="D22" s="22" t="s">
        <v>608</v>
      </c>
      <c r="E22" s="33" t="s">
        <v>21</v>
      </c>
      <c r="F22" s="22" t="s">
        <v>632</v>
      </c>
      <c r="G22" s="52"/>
      <c r="H22" s="52"/>
    </row>
    <row r="23" customFormat="false" ht="24.75" hidden="false" customHeight="true" outlineLevel="0" collapsed="false">
      <c r="A23" s="22" t="s">
        <v>943</v>
      </c>
      <c r="B23" s="22" t="s">
        <v>181</v>
      </c>
      <c r="C23" s="22" t="s">
        <v>13963</v>
      </c>
      <c r="D23" s="22" t="s">
        <v>945</v>
      </c>
      <c r="E23" s="33" t="s">
        <v>21</v>
      </c>
      <c r="F23" s="22" t="s">
        <v>968</v>
      </c>
      <c r="G23" s="52"/>
      <c r="H23" s="52"/>
    </row>
    <row r="24" customFormat="false" ht="37.5" hidden="false" customHeight="true" outlineLevel="0" collapsed="false">
      <c r="A24" s="22" t="s">
        <v>1244</v>
      </c>
      <c r="B24" s="22" t="s">
        <v>181</v>
      </c>
      <c r="C24" s="22" t="s">
        <v>13963</v>
      </c>
      <c r="D24" s="22" t="s">
        <v>1246</v>
      </c>
      <c r="E24" s="33" t="s">
        <v>21</v>
      </c>
      <c r="F24" s="22" t="s">
        <v>1269</v>
      </c>
      <c r="G24" s="52"/>
      <c r="H24" s="52"/>
    </row>
    <row r="25" customFormat="false" ht="24.75" hidden="false" customHeight="true" outlineLevel="0" collapsed="false">
      <c r="A25" s="22" t="s">
        <v>1270</v>
      </c>
      <c r="B25" s="22" t="s">
        <v>181</v>
      </c>
      <c r="C25" s="22" t="s">
        <v>13963</v>
      </c>
      <c r="D25" s="22" t="s">
        <v>1272</v>
      </c>
      <c r="E25" s="33" t="s">
        <v>21</v>
      </c>
      <c r="F25" s="22" t="s">
        <v>1300</v>
      </c>
      <c r="G25" s="52"/>
      <c r="H25" s="52"/>
    </row>
    <row r="26" customFormat="false" ht="24.75" hidden="false" customHeight="true" outlineLevel="0" collapsed="false">
      <c r="A26" s="22" t="s">
        <v>1790</v>
      </c>
      <c r="B26" s="22" t="s">
        <v>181</v>
      </c>
      <c r="C26" s="22" t="s">
        <v>13962</v>
      </c>
      <c r="D26" s="22" t="s">
        <v>1792</v>
      </c>
      <c r="E26" s="33" t="s">
        <v>21</v>
      </c>
      <c r="F26" s="22" t="s">
        <v>1815</v>
      </c>
      <c r="G26" s="52"/>
      <c r="H26" s="52"/>
    </row>
    <row r="27" customFormat="false" ht="24.75" hidden="false" customHeight="true" outlineLevel="0" collapsed="false">
      <c r="A27" s="22" t="s">
        <v>13189</v>
      </c>
      <c r="B27" s="22" t="s">
        <v>9248</v>
      </c>
      <c r="C27" s="22" t="s">
        <v>13960</v>
      </c>
      <c r="D27" s="22" t="s">
        <v>13191</v>
      </c>
      <c r="E27" s="33" t="s">
        <v>21</v>
      </c>
      <c r="F27" s="22" t="s">
        <v>13210</v>
      </c>
      <c r="G27" s="52"/>
      <c r="H27" s="52"/>
    </row>
    <row r="28" customFormat="false" ht="24.75" hidden="false" customHeight="true" outlineLevel="0" collapsed="false">
      <c r="A28" s="22" t="s">
        <v>10959</v>
      </c>
      <c r="B28" s="22" t="s">
        <v>9248</v>
      </c>
      <c r="C28" s="22" t="s">
        <v>13964</v>
      </c>
      <c r="D28" s="22" t="s">
        <v>10960</v>
      </c>
      <c r="E28" s="33" t="s">
        <v>21</v>
      </c>
      <c r="F28" s="22" t="s">
        <v>10973</v>
      </c>
      <c r="G28" s="52"/>
      <c r="H28" s="52"/>
    </row>
    <row r="29" customFormat="false" ht="24.75" hidden="false" customHeight="true" outlineLevel="0" collapsed="false">
      <c r="A29" s="22" t="s">
        <v>10989</v>
      </c>
      <c r="B29" s="22" t="s">
        <v>9248</v>
      </c>
      <c r="C29" s="22" t="s">
        <v>13964</v>
      </c>
      <c r="D29" s="22" t="s">
        <v>10991</v>
      </c>
      <c r="E29" s="33" t="s">
        <v>21</v>
      </c>
      <c r="F29" s="22" t="s">
        <v>11006</v>
      </c>
      <c r="G29" s="52"/>
      <c r="H29" s="52"/>
    </row>
    <row r="30" customFormat="false" ht="24.75" hidden="false" customHeight="true" outlineLevel="0" collapsed="false">
      <c r="A30" s="22" t="s">
        <v>11035</v>
      </c>
      <c r="B30" s="22" t="s">
        <v>9248</v>
      </c>
      <c r="C30" s="22" t="s">
        <v>13964</v>
      </c>
      <c r="D30" s="22" t="s">
        <v>11037</v>
      </c>
      <c r="E30" s="33" t="s">
        <v>21</v>
      </c>
      <c r="F30" s="22" t="s">
        <v>11048</v>
      </c>
      <c r="G30" s="52"/>
      <c r="H30" s="52"/>
    </row>
    <row r="31" customFormat="false" ht="62.25" hidden="false" customHeight="true" outlineLevel="0" collapsed="false">
      <c r="A31" s="22" t="s">
        <v>9880</v>
      </c>
      <c r="B31" s="22" t="s">
        <v>9248</v>
      </c>
      <c r="C31" s="22" t="s">
        <v>50</v>
      </c>
      <c r="D31" s="22" t="s">
        <v>9882</v>
      </c>
      <c r="E31" s="31" t="s">
        <v>19</v>
      </c>
      <c r="F31" s="22" t="s">
        <v>9903</v>
      </c>
      <c r="G31" s="52"/>
      <c r="H31" s="52"/>
    </row>
    <row r="32" customFormat="false" ht="37.5" hidden="false" customHeight="true" outlineLevel="0" collapsed="false">
      <c r="A32" s="22" t="s">
        <v>13600</v>
      </c>
      <c r="B32" s="22" t="s">
        <v>9248</v>
      </c>
      <c r="C32" s="22" t="s">
        <v>13960</v>
      </c>
      <c r="D32" s="22" t="s">
        <v>13602</v>
      </c>
      <c r="E32" s="31" t="s">
        <v>19</v>
      </c>
      <c r="F32" s="22" t="s">
        <v>13616</v>
      </c>
      <c r="G32" s="52"/>
      <c r="H32" s="52"/>
    </row>
    <row r="33" customFormat="false" ht="37.5" hidden="false" customHeight="true" outlineLevel="0" collapsed="false">
      <c r="A33" s="22" t="s">
        <v>13617</v>
      </c>
      <c r="B33" s="22" t="s">
        <v>9248</v>
      </c>
      <c r="C33" s="22" t="s">
        <v>13960</v>
      </c>
      <c r="D33" s="22" t="s">
        <v>13619</v>
      </c>
      <c r="E33" s="31" t="s">
        <v>19</v>
      </c>
      <c r="F33" s="22" t="s">
        <v>13631</v>
      </c>
      <c r="G33" s="52"/>
      <c r="H33" s="52"/>
    </row>
    <row r="34" customFormat="false" ht="37.5" hidden="false" customHeight="true" outlineLevel="0" collapsed="false">
      <c r="A34" s="22" t="s">
        <v>13632</v>
      </c>
      <c r="B34" s="22" t="s">
        <v>9248</v>
      </c>
      <c r="C34" s="22" t="s">
        <v>13960</v>
      </c>
      <c r="D34" s="22" t="s">
        <v>13634</v>
      </c>
      <c r="E34" s="31" t="s">
        <v>19</v>
      </c>
      <c r="F34" s="22" t="s">
        <v>13651</v>
      </c>
      <c r="G34" s="52"/>
      <c r="H34" s="52"/>
    </row>
    <row r="35" customFormat="false" ht="37.5" hidden="false" customHeight="true" outlineLevel="0" collapsed="false">
      <c r="A35" s="22" t="s">
        <v>13685</v>
      </c>
      <c r="B35" s="22" t="s">
        <v>9248</v>
      </c>
      <c r="C35" s="22" t="s">
        <v>13960</v>
      </c>
      <c r="D35" s="22" t="s">
        <v>13687</v>
      </c>
      <c r="E35" s="31" t="s">
        <v>19</v>
      </c>
      <c r="F35" s="22" t="s">
        <v>13699</v>
      </c>
      <c r="G35" s="52"/>
      <c r="H35" s="52"/>
    </row>
    <row r="36" customFormat="false" ht="37.5" hidden="false" customHeight="true" outlineLevel="0" collapsed="false">
      <c r="A36" s="22" t="s">
        <v>12856</v>
      </c>
      <c r="B36" s="22" t="s">
        <v>9248</v>
      </c>
      <c r="C36" s="22" t="s">
        <v>13960</v>
      </c>
      <c r="D36" s="22" t="s">
        <v>12858</v>
      </c>
      <c r="E36" s="31" t="s">
        <v>19</v>
      </c>
      <c r="F36" s="22" t="s">
        <v>12877</v>
      </c>
      <c r="G36" s="52"/>
      <c r="H36" s="52"/>
    </row>
    <row r="37" customFormat="false" ht="24.75" hidden="false" customHeight="true" outlineLevel="0" collapsed="false">
      <c r="A37" s="22" t="s">
        <v>13273</v>
      </c>
      <c r="B37" s="22" t="s">
        <v>9248</v>
      </c>
      <c r="C37" s="22" t="s">
        <v>13960</v>
      </c>
      <c r="D37" s="22" t="s">
        <v>13275</v>
      </c>
      <c r="E37" s="31" t="s">
        <v>19</v>
      </c>
      <c r="F37" s="22" t="s">
        <v>13294</v>
      </c>
      <c r="G37" s="52"/>
      <c r="H37" s="52"/>
    </row>
    <row r="38" customFormat="false" ht="24.75" hidden="false" customHeight="true" outlineLevel="0" collapsed="false">
      <c r="A38" s="22" t="s">
        <v>13295</v>
      </c>
      <c r="B38" s="22" t="s">
        <v>9248</v>
      </c>
      <c r="C38" s="22" t="s">
        <v>13960</v>
      </c>
      <c r="D38" s="22" t="s">
        <v>13297</v>
      </c>
      <c r="E38" s="31" t="s">
        <v>19</v>
      </c>
      <c r="F38" s="22" t="s">
        <v>13316</v>
      </c>
      <c r="G38" s="52"/>
      <c r="H38" s="52"/>
    </row>
    <row r="39" customFormat="false" ht="15" hidden="false" customHeight="true" outlineLevel="0" collapsed="false">
      <c r="A39" s="22" t="s">
        <v>13317</v>
      </c>
      <c r="B39" s="22" t="s">
        <v>9248</v>
      </c>
      <c r="C39" s="22" t="s">
        <v>13960</v>
      </c>
      <c r="D39" s="22" t="s">
        <v>13319</v>
      </c>
      <c r="E39" s="31" t="s">
        <v>19</v>
      </c>
      <c r="F39" s="22" t="s">
        <v>13332</v>
      </c>
      <c r="G39" s="52"/>
      <c r="H39" s="52"/>
    </row>
    <row r="40" customFormat="false" ht="49.5" hidden="false" customHeight="true" outlineLevel="0" collapsed="false">
      <c r="A40" s="22" t="s">
        <v>13375</v>
      </c>
      <c r="B40" s="22" t="s">
        <v>9248</v>
      </c>
      <c r="C40" s="22" t="s">
        <v>13960</v>
      </c>
      <c r="D40" s="22" t="s">
        <v>13376</v>
      </c>
      <c r="E40" s="31" t="s">
        <v>19</v>
      </c>
      <c r="F40" s="22" t="s">
        <v>13384</v>
      </c>
      <c r="G40" s="52"/>
      <c r="H40" s="52"/>
    </row>
    <row r="41" customFormat="false" ht="24.75" hidden="false" customHeight="true" outlineLevel="0" collapsed="false">
      <c r="A41" s="22" t="s">
        <v>13385</v>
      </c>
      <c r="B41" s="22" t="s">
        <v>9248</v>
      </c>
      <c r="C41" s="22" t="s">
        <v>13960</v>
      </c>
      <c r="D41" s="22" t="s">
        <v>13387</v>
      </c>
      <c r="E41" s="31" t="s">
        <v>19</v>
      </c>
      <c r="F41" s="22" t="s">
        <v>13407</v>
      </c>
      <c r="G41" s="52"/>
      <c r="H41" s="52"/>
    </row>
    <row r="42" customFormat="false" ht="137.25" hidden="false" customHeight="true" outlineLevel="0" collapsed="false">
      <c r="A42" s="22" t="s">
        <v>11211</v>
      </c>
      <c r="B42" s="22" t="s">
        <v>9248</v>
      </c>
      <c r="C42" s="22" t="s">
        <v>60</v>
      </c>
      <c r="D42" s="22" t="s">
        <v>11213</v>
      </c>
      <c r="E42" s="31" t="s">
        <v>19</v>
      </c>
      <c r="F42" s="22" t="s">
        <v>11233</v>
      </c>
      <c r="G42" s="52"/>
      <c r="H42" s="52"/>
    </row>
    <row r="43" customFormat="false" ht="37.5" hidden="false" customHeight="true" outlineLevel="0" collapsed="false">
      <c r="A43" s="22" t="s">
        <v>11234</v>
      </c>
      <c r="B43" s="22" t="s">
        <v>9248</v>
      </c>
      <c r="C43" s="22" t="s">
        <v>60</v>
      </c>
      <c r="D43" s="22" t="s">
        <v>11235</v>
      </c>
      <c r="E43" s="31" t="s">
        <v>19</v>
      </c>
      <c r="F43" s="22" t="s">
        <v>11257</v>
      </c>
      <c r="G43" s="52"/>
      <c r="H43" s="52"/>
    </row>
    <row r="44" customFormat="false" ht="49.5" hidden="false" customHeight="true" outlineLevel="0" collapsed="false">
      <c r="A44" s="22" t="s">
        <v>11258</v>
      </c>
      <c r="B44" s="22" t="s">
        <v>9248</v>
      </c>
      <c r="C44" s="22" t="s">
        <v>60</v>
      </c>
      <c r="D44" s="22" t="s">
        <v>11260</v>
      </c>
      <c r="E44" s="31" t="s">
        <v>19</v>
      </c>
      <c r="F44" s="22" t="s">
        <v>11281</v>
      </c>
      <c r="G44" s="52"/>
      <c r="H44" s="52"/>
    </row>
    <row r="45" customFormat="false" ht="49.5" hidden="false" customHeight="true" outlineLevel="0" collapsed="false">
      <c r="A45" s="22" t="s">
        <v>11306</v>
      </c>
      <c r="B45" s="22" t="s">
        <v>9248</v>
      </c>
      <c r="C45" s="22" t="s">
        <v>60</v>
      </c>
      <c r="D45" s="22" t="s">
        <v>11308</v>
      </c>
      <c r="E45" s="31" t="s">
        <v>19</v>
      </c>
      <c r="F45" s="22" t="s">
        <v>11327</v>
      </c>
      <c r="G45" s="52"/>
      <c r="H45" s="52"/>
    </row>
    <row r="46" customFormat="false" ht="37.5" hidden="false" customHeight="true" outlineLevel="0" collapsed="false">
      <c r="A46" s="22" t="s">
        <v>11328</v>
      </c>
      <c r="B46" s="22" t="s">
        <v>9248</v>
      </c>
      <c r="C46" s="22" t="s">
        <v>60</v>
      </c>
      <c r="D46" s="22" t="s">
        <v>11330</v>
      </c>
      <c r="E46" s="31" t="s">
        <v>19</v>
      </c>
      <c r="F46" s="22" t="s">
        <v>11352</v>
      </c>
      <c r="G46" s="52"/>
      <c r="H46" s="52"/>
    </row>
    <row r="47" customFormat="false" ht="112.5" hidden="false" customHeight="true" outlineLevel="0" collapsed="false">
      <c r="A47" s="22" t="s">
        <v>11353</v>
      </c>
      <c r="B47" s="22" t="s">
        <v>9248</v>
      </c>
      <c r="C47" s="22" t="s">
        <v>60</v>
      </c>
      <c r="D47" s="22" t="s">
        <v>11354</v>
      </c>
      <c r="E47" s="31" t="s">
        <v>19</v>
      </c>
      <c r="F47" s="22" t="s">
        <v>11375</v>
      </c>
      <c r="G47" s="52"/>
      <c r="H47" s="52"/>
    </row>
    <row r="48" customFormat="false" ht="37.5" hidden="false" customHeight="true" outlineLevel="0" collapsed="false">
      <c r="A48" s="22" t="s">
        <v>11376</v>
      </c>
      <c r="B48" s="22" t="s">
        <v>9248</v>
      </c>
      <c r="C48" s="22" t="s">
        <v>60</v>
      </c>
      <c r="D48" s="22" t="s">
        <v>11378</v>
      </c>
      <c r="E48" s="31" t="s">
        <v>19</v>
      </c>
      <c r="F48" s="22" t="s">
        <v>11399</v>
      </c>
      <c r="G48" s="52"/>
      <c r="H48" s="52"/>
    </row>
    <row r="49" customFormat="false" ht="87" hidden="false" customHeight="true" outlineLevel="0" collapsed="false">
      <c r="A49" s="22" t="s">
        <v>11422</v>
      </c>
      <c r="B49" s="22" t="s">
        <v>9248</v>
      </c>
      <c r="C49" s="22" t="s">
        <v>60</v>
      </c>
      <c r="D49" s="22" t="s">
        <v>11424</v>
      </c>
      <c r="E49" s="31" t="s">
        <v>19</v>
      </c>
      <c r="F49" s="22" t="s">
        <v>11445</v>
      </c>
      <c r="G49" s="52"/>
      <c r="H49" s="52"/>
    </row>
    <row r="50" customFormat="false" ht="37.5" hidden="false" customHeight="true" outlineLevel="0" collapsed="false">
      <c r="A50" s="22" t="s">
        <v>11446</v>
      </c>
      <c r="B50" s="22" t="s">
        <v>9248</v>
      </c>
      <c r="C50" s="22" t="s">
        <v>60</v>
      </c>
      <c r="D50" s="22" t="s">
        <v>11447</v>
      </c>
      <c r="E50" s="31" t="s">
        <v>19</v>
      </c>
      <c r="F50" s="22" t="s">
        <v>11469</v>
      </c>
      <c r="G50" s="52"/>
      <c r="H50" s="52"/>
    </row>
    <row r="51" customFormat="false" ht="37.5" hidden="false" customHeight="true" outlineLevel="0" collapsed="false">
      <c r="A51" s="22" t="s">
        <v>11559</v>
      </c>
      <c r="B51" s="22" t="s">
        <v>9248</v>
      </c>
      <c r="C51" s="22" t="s">
        <v>60</v>
      </c>
      <c r="D51" s="22" t="s">
        <v>11560</v>
      </c>
      <c r="E51" s="31" t="s">
        <v>19</v>
      </c>
      <c r="F51" s="22" t="s">
        <v>11578</v>
      </c>
      <c r="G51" s="52"/>
      <c r="H51" s="52"/>
    </row>
    <row r="52" customFormat="false" ht="49.5" hidden="false" customHeight="true" outlineLevel="0" collapsed="false">
      <c r="A52" s="22" t="s">
        <v>11579</v>
      </c>
      <c r="B52" s="22" t="s">
        <v>9248</v>
      </c>
      <c r="C52" s="22" t="s">
        <v>60</v>
      </c>
      <c r="D52" s="22" t="s">
        <v>11580</v>
      </c>
      <c r="E52" s="31" t="s">
        <v>19</v>
      </c>
      <c r="F52" s="22" t="s">
        <v>11600</v>
      </c>
      <c r="G52" s="52"/>
      <c r="H52" s="52"/>
    </row>
    <row r="53" customFormat="false" ht="99.75" hidden="false" customHeight="true" outlineLevel="0" collapsed="false">
      <c r="A53" s="22" t="s">
        <v>11623</v>
      </c>
      <c r="B53" s="22" t="s">
        <v>9248</v>
      </c>
      <c r="C53" s="22" t="s">
        <v>60</v>
      </c>
      <c r="D53" s="22" t="s">
        <v>11624</v>
      </c>
      <c r="E53" s="31" t="s">
        <v>19</v>
      </c>
      <c r="F53" s="22" t="s">
        <v>11644</v>
      </c>
      <c r="G53" s="52"/>
      <c r="H53" s="52"/>
    </row>
    <row r="54" customFormat="false" ht="37.5" hidden="false" customHeight="true" outlineLevel="0" collapsed="false">
      <c r="A54" s="22" t="s">
        <v>11645</v>
      </c>
      <c r="B54" s="22" t="s">
        <v>9248</v>
      </c>
      <c r="C54" s="22" t="s">
        <v>60</v>
      </c>
      <c r="D54" s="22" t="s">
        <v>11646</v>
      </c>
      <c r="E54" s="31" t="s">
        <v>19</v>
      </c>
      <c r="F54" s="22" t="s">
        <v>11666</v>
      </c>
      <c r="G54" s="52"/>
      <c r="H54" s="52"/>
    </row>
    <row r="55" customFormat="false" ht="124.5" hidden="false" customHeight="true" outlineLevel="0" collapsed="false">
      <c r="A55" s="22" t="s">
        <v>11690</v>
      </c>
      <c r="B55" s="22" t="s">
        <v>9248</v>
      </c>
      <c r="C55" s="22" t="s">
        <v>60</v>
      </c>
      <c r="D55" s="22" t="s">
        <v>11691</v>
      </c>
      <c r="E55" s="31" t="s">
        <v>19</v>
      </c>
      <c r="F55" s="22" t="s">
        <v>11711</v>
      </c>
      <c r="G55" s="52"/>
      <c r="H55" s="52"/>
    </row>
    <row r="56" customFormat="false" ht="150" hidden="false" customHeight="true" outlineLevel="0" collapsed="false">
      <c r="A56" s="22" t="s">
        <v>11712</v>
      </c>
      <c r="B56" s="22" t="s">
        <v>9248</v>
      </c>
      <c r="C56" s="22" t="s">
        <v>60</v>
      </c>
      <c r="D56" s="22" t="s">
        <v>11713</v>
      </c>
      <c r="E56" s="31" t="s">
        <v>19</v>
      </c>
      <c r="F56" s="22" t="s">
        <v>11733</v>
      </c>
      <c r="G56" s="52"/>
      <c r="H56" s="52"/>
    </row>
    <row r="57" customFormat="false" ht="37.5" hidden="false" customHeight="true" outlineLevel="0" collapsed="false">
      <c r="A57" s="22" t="s">
        <v>11734</v>
      </c>
      <c r="B57" s="22" t="s">
        <v>9248</v>
      </c>
      <c r="C57" s="22" t="s">
        <v>60</v>
      </c>
      <c r="D57" s="22" t="s">
        <v>11736</v>
      </c>
      <c r="E57" s="31" t="s">
        <v>19</v>
      </c>
      <c r="F57" s="22" t="s">
        <v>11756</v>
      </c>
      <c r="G57" s="52"/>
      <c r="H57" s="52"/>
    </row>
    <row r="58" customFormat="false" ht="75" hidden="false" customHeight="true" outlineLevel="0" collapsed="false">
      <c r="A58" s="22" t="s">
        <v>11757</v>
      </c>
      <c r="B58" s="22" t="s">
        <v>9248</v>
      </c>
      <c r="C58" s="22" t="s">
        <v>60</v>
      </c>
      <c r="D58" s="22" t="s">
        <v>11758</v>
      </c>
      <c r="E58" s="31" t="s">
        <v>19</v>
      </c>
      <c r="F58" s="22" t="s">
        <v>11778</v>
      </c>
      <c r="G58" s="52"/>
      <c r="H58" s="52"/>
    </row>
    <row r="59" customFormat="false" ht="49.5" hidden="false" customHeight="true" outlineLevel="0" collapsed="false">
      <c r="A59" s="22" t="s">
        <v>11779</v>
      </c>
      <c r="B59" s="22" t="s">
        <v>9248</v>
      </c>
      <c r="C59" s="22" t="s">
        <v>60</v>
      </c>
      <c r="D59" s="22" t="s">
        <v>11781</v>
      </c>
      <c r="E59" s="31" t="s">
        <v>19</v>
      </c>
      <c r="F59" s="22" t="s">
        <v>11801</v>
      </c>
      <c r="G59" s="52"/>
      <c r="H59" s="52"/>
    </row>
    <row r="60" customFormat="false" ht="37.5" hidden="false" customHeight="true" outlineLevel="0" collapsed="false">
      <c r="A60" s="22" t="s">
        <v>11802</v>
      </c>
      <c r="B60" s="22" t="s">
        <v>9248</v>
      </c>
      <c r="C60" s="22" t="s">
        <v>60</v>
      </c>
      <c r="D60" s="22" t="s">
        <v>11804</v>
      </c>
      <c r="E60" s="31" t="s">
        <v>19</v>
      </c>
      <c r="F60" s="22" t="s">
        <v>11823</v>
      </c>
      <c r="G60" s="52"/>
      <c r="H60" s="52"/>
    </row>
    <row r="61" customFormat="false" ht="37.5" hidden="false" customHeight="true" outlineLevel="0" collapsed="false">
      <c r="A61" s="22" t="s">
        <v>11868</v>
      </c>
      <c r="B61" s="22" t="s">
        <v>9248</v>
      </c>
      <c r="C61" s="22" t="s">
        <v>60</v>
      </c>
      <c r="D61" s="22" t="s">
        <v>11870</v>
      </c>
      <c r="E61" s="31" t="s">
        <v>19</v>
      </c>
      <c r="F61" s="22" t="s">
        <v>11889</v>
      </c>
      <c r="G61" s="52"/>
      <c r="H61" s="52"/>
    </row>
    <row r="62" customFormat="false" ht="99.75" hidden="false" customHeight="true" outlineLevel="0" collapsed="false">
      <c r="A62" s="22" t="s">
        <v>11911</v>
      </c>
      <c r="B62" s="22" t="s">
        <v>9248</v>
      </c>
      <c r="C62" s="22" t="s">
        <v>60</v>
      </c>
      <c r="D62" s="22" t="s">
        <v>11913</v>
      </c>
      <c r="E62" s="31" t="s">
        <v>19</v>
      </c>
      <c r="F62" s="22" t="s">
        <v>11929</v>
      </c>
      <c r="G62" s="52"/>
      <c r="H62" s="52"/>
    </row>
    <row r="63" customFormat="false" ht="87" hidden="false" customHeight="true" outlineLevel="0" collapsed="false">
      <c r="A63" s="22" t="s">
        <v>9247</v>
      </c>
      <c r="B63" s="22" t="s">
        <v>9248</v>
      </c>
      <c r="C63" s="22" t="s">
        <v>50</v>
      </c>
      <c r="D63" s="22" t="s">
        <v>9250</v>
      </c>
      <c r="E63" s="31" t="s">
        <v>19</v>
      </c>
      <c r="F63" s="22" t="s">
        <v>9271</v>
      </c>
      <c r="G63" s="52"/>
      <c r="H63" s="52"/>
    </row>
    <row r="64" customFormat="false" ht="37.5" hidden="false" customHeight="true" outlineLevel="0" collapsed="false">
      <c r="A64" s="22" t="s">
        <v>9319</v>
      </c>
      <c r="B64" s="22" t="s">
        <v>9248</v>
      </c>
      <c r="C64" s="22" t="s">
        <v>50</v>
      </c>
      <c r="D64" s="22" t="s">
        <v>9321</v>
      </c>
      <c r="E64" s="31" t="s">
        <v>19</v>
      </c>
      <c r="F64" s="22" t="s">
        <v>9341</v>
      </c>
      <c r="G64" s="52"/>
      <c r="H64" s="52"/>
    </row>
    <row r="65" customFormat="false" ht="37.5" hidden="false" customHeight="true" outlineLevel="0" collapsed="false">
      <c r="A65" s="22" t="s">
        <v>9434</v>
      </c>
      <c r="B65" s="22" t="s">
        <v>9248</v>
      </c>
      <c r="C65" s="22" t="s">
        <v>50</v>
      </c>
      <c r="D65" s="22" t="s">
        <v>9435</v>
      </c>
      <c r="E65" s="31" t="s">
        <v>19</v>
      </c>
      <c r="F65" s="22" t="s">
        <v>9455</v>
      </c>
      <c r="G65" s="52"/>
      <c r="H65" s="52"/>
    </row>
    <row r="66" customFormat="false" ht="37.5" hidden="false" customHeight="true" outlineLevel="0" collapsed="false">
      <c r="A66" s="22" t="s">
        <v>9499</v>
      </c>
      <c r="B66" s="22" t="s">
        <v>9248</v>
      </c>
      <c r="C66" s="22" t="s">
        <v>50</v>
      </c>
      <c r="D66" s="22" t="s">
        <v>9500</v>
      </c>
      <c r="E66" s="31" t="s">
        <v>19</v>
      </c>
      <c r="F66" s="22" t="s">
        <v>9519</v>
      </c>
      <c r="G66" s="52"/>
      <c r="H66" s="52"/>
    </row>
    <row r="67" customFormat="false" ht="49.5" hidden="false" customHeight="true" outlineLevel="0" collapsed="false">
      <c r="A67" s="22" t="s">
        <v>9592</v>
      </c>
      <c r="B67" s="22" t="s">
        <v>9248</v>
      </c>
      <c r="C67" s="22" t="s">
        <v>50</v>
      </c>
      <c r="D67" s="22" t="s">
        <v>9594</v>
      </c>
      <c r="E67" s="31" t="s">
        <v>19</v>
      </c>
      <c r="F67" s="22" t="s">
        <v>9614</v>
      </c>
      <c r="G67" s="52"/>
      <c r="H67" s="52"/>
    </row>
    <row r="68" customFormat="false" ht="62.25" hidden="false" customHeight="true" outlineLevel="0" collapsed="false">
      <c r="A68" s="22" t="s">
        <v>9615</v>
      </c>
      <c r="B68" s="22" t="s">
        <v>9248</v>
      </c>
      <c r="C68" s="22" t="s">
        <v>50</v>
      </c>
      <c r="D68" s="22" t="s">
        <v>9616</v>
      </c>
      <c r="E68" s="31" t="s">
        <v>19</v>
      </c>
      <c r="F68" s="22" t="s">
        <v>9637</v>
      </c>
      <c r="G68" s="52"/>
      <c r="H68" s="52"/>
    </row>
    <row r="69" customFormat="false" ht="37.5" hidden="false" customHeight="true" outlineLevel="0" collapsed="false">
      <c r="A69" s="22" t="s">
        <v>9659</v>
      </c>
      <c r="B69" s="22" t="s">
        <v>9248</v>
      </c>
      <c r="C69" s="22" t="s">
        <v>50</v>
      </c>
      <c r="D69" s="22" t="s">
        <v>9661</v>
      </c>
      <c r="E69" s="31" t="s">
        <v>19</v>
      </c>
      <c r="F69" s="22" t="s">
        <v>9680</v>
      </c>
      <c r="G69" s="52"/>
      <c r="H69" s="52"/>
    </row>
    <row r="70" customFormat="false" ht="37.5" hidden="false" customHeight="true" outlineLevel="0" collapsed="false">
      <c r="A70" s="22" t="s">
        <v>9681</v>
      </c>
      <c r="B70" s="22" t="s">
        <v>9248</v>
      </c>
      <c r="C70" s="22" t="s">
        <v>50</v>
      </c>
      <c r="D70" s="22" t="s">
        <v>9682</v>
      </c>
      <c r="E70" s="31" t="s">
        <v>19</v>
      </c>
      <c r="F70" s="22" t="s">
        <v>9700</v>
      </c>
      <c r="G70" s="52"/>
      <c r="H70" s="52"/>
    </row>
    <row r="71" customFormat="false" ht="37.5" hidden="false" customHeight="true" outlineLevel="0" collapsed="false">
      <c r="A71" s="22" t="s">
        <v>9701</v>
      </c>
      <c r="B71" s="22" t="s">
        <v>9248</v>
      </c>
      <c r="C71" s="22" t="s">
        <v>50</v>
      </c>
      <c r="D71" s="22" t="s">
        <v>9702</v>
      </c>
      <c r="E71" s="31" t="s">
        <v>19</v>
      </c>
      <c r="F71" s="22" t="s">
        <v>9719</v>
      </c>
      <c r="G71" s="52"/>
      <c r="H71" s="52"/>
    </row>
    <row r="72" customFormat="false" ht="37.5" hidden="false" customHeight="true" outlineLevel="0" collapsed="false">
      <c r="A72" s="22" t="s">
        <v>9720</v>
      </c>
      <c r="B72" s="22" t="s">
        <v>9248</v>
      </c>
      <c r="C72" s="22" t="s">
        <v>50</v>
      </c>
      <c r="D72" s="22" t="s">
        <v>9722</v>
      </c>
      <c r="E72" s="31" t="s">
        <v>19</v>
      </c>
      <c r="F72" s="22" t="s">
        <v>9742</v>
      </c>
      <c r="G72" s="52"/>
      <c r="H72" s="52"/>
    </row>
    <row r="73" customFormat="false" ht="49.5" hidden="false" customHeight="true" outlineLevel="0" collapsed="false">
      <c r="A73" s="22" t="s">
        <v>9763</v>
      </c>
      <c r="B73" s="22" t="s">
        <v>9248</v>
      </c>
      <c r="C73" s="22" t="s">
        <v>50</v>
      </c>
      <c r="D73" s="22" t="s">
        <v>9765</v>
      </c>
      <c r="E73" s="31" t="s">
        <v>19</v>
      </c>
      <c r="F73" s="22" t="s">
        <v>9786</v>
      </c>
      <c r="G73" s="52"/>
      <c r="H73" s="52"/>
    </row>
    <row r="74" customFormat="false" ht="124.5" hidden="false" customHeight="true" outlineLevel="0" collapsed="false">
      <c r="A74" s="22" t="s">
        <v>10018</v>
      </c>
      <c r="B74" s="22" t="s">
        <v>9248</v>
      </c>
      <c r="C74" s="22" t="s">
        <v>50</v>
      </c>
      <c r="D74" s="22" t="s">
        <v>10019</v>
      </c>
      <c r="E74" s="31" t="s">
        <v>19</v>
      </c>
      <c r="F74" s="22" t="s">
        <v>10038</v>
      </c>
      <c r="G74" s="52"/>
      <c r="H74" s="52"/>
    </row>
    <row r="75" customFormat="false" ht="49.5" hidden="false" customHeight="true" outlineLevel="0" collapsed="false">
      <c r="A75" s="22" t="s">
        <v>10062</v>
      </c>
      <c r="B75" s="22" t="s">
        <v>9248</v>
      </c>
      <c r="C75" s="22" t="s">
        <v>50</v>
      </c>
      <c r="D75" s="22" t="s">
        <v>10064</v>
      </c>
      <c r="E75" s="31" t="s">
        <v>19</v>
      </c>
      <c r="F75" s="22" t="s">
        <v>10085</v>
      </c>
      <c r="G75" s="52"/>
      <c r="H75" s="52"/>
    </row>
    <row r="76" customFormat="false" ht="37.5" hidden="false" customHeight="true" outlineLevel="0" collapsed="false">
      <c r="A76" s="22" t="s">
        <v>10086</v>
      </c>
      <c r="B76" s="22" t="s">
        <v>9248</v>
      </c>
      <c r="C76" s="22" t="s">
        <v>50</v>
      </c>
      <c r="D76" s="22" t="s">
        <v>10088</v>
      </c>
      <c r="E76" s="31" t="s">
        <v>19</v>
      </c>
      <c r="F76" s="22" t="s">
        <v>10108</v>
      </c>
      <c r="G76" s="52"/>
      <c r="H76" s="52"/>
    </row>
    <row r="77" customFormat="false" ht="150" hidden="false" customHeight="true" outlineLevel="0" collapsed="false">
      <c r="A77" s="22" t="s">
        <v>10129</v>
      </c>
      <c r="B77" s="22" t="s">
        <v>9248</v>
      </c>
      <c r="C77" s="22" t="s">
        <v>50</v>
      </c>
      <c r="D77" s="22" t="s">
        <v>10131</v>
      </c>
      <c r="E77" s="31" t="s">
        <v>19</v>
      </c>
      <c r="F77" s="22" t="s">
        <v>10151</v>
      </c>
      <c r="G77" s="52"/>
      <c r="H77" s="52"/>
    </row>
    <row r="78" customFormat="false" ht="37.5" hidden="false" customHeight="true" outlineLevel="0" collapsed="false">
      <c r="A78" s="22" t="s">
        <v>12996</v>
      </c>
      <c r="B78" s="22" t="s">
        <v>9248</v>
      </c>
      <c r="C78" s="22" t="s">
        <v>13960</v>
      </c>
      <c r="D78" s="22" t="s">
        <v>12998</v>
      </c>
      <c r="E78" s="31" t="s">
        <v>19</v>
      </c>
      <c r="F78" s="22" t="s">
        <v>13019</v>
      </c>
      <c r="G78" s="52"/>
      <c r="H78" s="52"/>
    </row>
    <row r="79" customFormat="false" ht="24.75" hidden="false" customHeight="true" outlineLevel="0" collapsed="false">
      <c r="A79" s="22" t="s">
        <v>13020</v>
      </c>
      <c r="B79" s="22" t="s">
        <v>9248</v>
      </c>
      <c r="C79" s="22" t="s">
        <v>13960</v>
      </c>
      <c r="D79" s="22" t="s">
        <v>13022</v>
      </c>
      <c r="E79" s="31" t="s">
        <v>19</v>
      </c>
      <c r="F79" s="22" t="s">
        <v>13043</v>
      </c>
      <c r="G79" s="52"/>
      <c r="H79" s="52"/>
    </row>
    <row r="80" customFormat="false" ht="37.5" hidden="false" customHeight="true" outlineLevel="0" collapsed="false">
      <c r="A80" s="22" t="s">
        <v>13044</v>
      </c>
      <c r="B80" s="22" t="s">
        <v>9248</v>
      </c>
      <c r="C80" s="22" t="s">
        <v>13960</v>
      </c>
      <c r="D80" s="22" t="s">
        <v>13046</v>
      </c>
      <c r="E80" s="31" t="s">
        <v>19</v>
      </c>
      <c r="F80" s="22" t="s">
        <v>13067</v>
      </c>
      <c r="G80" s="52"/>
      <c r="H80" s="52"/>
    </row>
    <row r="81" customFormat="false" ht="24.75" hidden="false" customHeight="true" outlineLevel="0" collapsed="false">
      <c r="A81" s="22" t="s">
        <v>13165</v>
      </c>
      <c r="B81" s="22" t="s">
        <v>9248</v>
      </c>
      <c r="C81" s="22" t="s">
        <v>13960</v>
      </c>
      <c r="D81" s="22" t="s">
        <v>13167</v>
      </c>
      <c r="E81" s="31" t="s">
        <v>19</v>
      </c>
      <c r="F81" s="22" t="s">
        <v>13188</v>
      </c>
      <c r="G81" s="52"/>
      <c r="H81" s="52"/>
    </row>
    <row r="82" customFormat="false" ht="24.75" hidden="false" customHeight="true" outlineLevel="0" collapsed="false">
      <c r="A82" s="22" t="s">
        <v>13231</v>
      </c>
      <c r="B82" s="22" t="s">
        <v>9248</v>
      </c>
      <c r="C82" s="22" t="s">
        <v>13960</v>
      </c>
      <c r="D82" s="22" t="s">
        <v>13233</v>
      </c>
      <c r="E82" s="31" t="s">
        <v>19</v>
      </c>
      <c r="F82" s="22" t="s">
        <v>13251</v>
      </c>
      <c r="G82" s="52"/>
      <c r="H82" s="52"/>
    </row>
    <row r="83" customFormat="false" ht="124.5" hidden="false" customHeight="true" outlineLevel="0" collapsed="false">
      <c r="A83" s="22" t="s">
        <v>13523</v>
      </c>
      <c r="B83" s="22" t="s">
        <v>9248</v>
      </c>
      <c r="C83" s="22" t="s">
        <v>13960</v>
      </c>
      <c r="D83" s="22" t="s">
        <v>13525</v>
      </c>
      <c r="E83" s="31" t="s">
        <v>19</v>
      </c>
      <c r="F83" s="22" t="s">
        <v>13541</v>
      </c>
      <c r="G83" s="52"/>
      <c r="H83" s="52"/>
    </row>
    <row r="84" customFormat="false" ht="24.75" hidden="false" customHeight="true" outlineLevel="0" collapsed="false">
      <c r="A84" s="22" t="s">
        <v>13542</v>
      </c>
      <c r="B84" s="22" t="s">
        <v>9248</v>
      </c>
      <c r="C84" s="22" t="s">
        <v>13960</v>
      </c>
      <c r="D84" s="22" t="s">
        <v>13544</v>
      </c>
      <c r="E84" s="31" t="s">
        <v>19</v>
      </c>
      <c r="F84" s="22" t="s">
        <v>13560</v>
      </c>
      <c r="G84" s="52"/>
      <c r="H84" s="52"/>
    </row>
    <row r="85" customFormat="false" ht="49.5" hidden="false" customHeight="true" outlineLevel="0" collapsed="false">
      <c r="A85" s="22" t="s">
        <v>13431</v>
      </c>
      <c r="B85" s="22" t="s">
        <v>9248</v>
      </c>
      <c r="C85" s="22" t="s">
        <v>13960</v>
      </c>
      <c r="D85" s="22" t="s">
        <v>13433</v>
      </c>
      <c r="E85" s="31" t="s">
        <v>19</v>
      </c>
      <c r="F85" s="22" t="s">
        <v>13454</v>
      </c>
      <c r="G85" s="52"/>
      <c r="H85" s="52"/>
    </row>
    <row r="86" customFormat="false" ht="24.75" hidden="false" customHeight="true" outlineLevel="0" collapsed="false">
      <c r="A86" s="22" t="s">
        <v>13455</v>
      </c>
      <c r="B86" s="22" t="s">
        <v>9248</v>
      </c>
      <c r="C86" s="22" t="s">
        <v>13960</v>
      </c>
      <c r="D86" s="22" t="s">
        <v>13457</v>
      </c>
      <c r="E86" s="31" t="s">
        <v>19</v>
      </c>
      <c r="F86" s="22" t="s">
        <v>13477</v>
      </c>
      <c r="G86" s="52"/>
      <c r="H86" s="52"/>
    </row>
    <row r="87" customFormat="false" ht="37.5" hidden="false" customHeight="true" outlineLevel="0" collapsed="false">
      <c r="A87" s="22" t="s">
        <v>13478</v>
      </c>
      <c r="B87" s="22" t="s">
        <v>9248</v>
      </c>
      <c r="C87" s="22" t="s">
        <v>13960</v>
      </c>
      <c r="D87" s="22" t="s">
        <v>13480</v>
      </c>
      <c r="E87" s="31" t="s">
        <v>19</v>
      </c>
      <c r="F87" s="22" t="s">
        <v>13501</v>
      </c>
      <c r="G87" s="52"/>
      <c r="H87" s="52"/>
    </row>
    <row r="88" customFormat="false" ht="237" hidden="false" customHeight="true" outlineLevel="0" collapsed="false">
      <c r="A88" s="22" t="s">
        <v>12002</v>
      </c>
      <c r="B88" s="22" t="s">
        <v>9248</v>
      </c>
      <c r="C88" s="22" t="s">
        <v>13961</v>
      </c>
      <c r="D88" s="22" t="s">
        <v>12004</v>
      </c>
      <c r="E88" s="31" t="s">
        <v>19</v>
      </c>
      <c r="F88" s="22" t="s">
        <v>12026</v>
      </c>
      <c r="G88" s="52"/>
      <c r="H88" s="52"/>
    </row>
    <row r="89" customFormat="false" ht="37.5" hidden="false" customHeight="true" outlineLevel="0" collapsed="false">
      <c r="A89" s="22" t="s">
        <v>12074</v>
      </c>
      <c r="B89" s="22" t="s">
        <v>9248</v>
      </c>
      <c r="C89" s="22" t="s">
        <v>13961</v>
      </c>
      <c r="D89" s="22" t="s">
        <v>12076</v>
      </c>
      <c r="E89" s="31" t="s">
        <v>19</v>
      </c>
      <c r="F89" s="22" t="s">
        <v>12095</v>
      </c>
      <c r="G89" s="52"/>
      <c r="H89" s="52"/>
    </row>
    <row r="90" customFormat="false" ht="37.5" hidden="false" customHeight="true" outlineLevel="0" collapsed="false">
      <c r="A90" s="22" t="s">
        <v>12096</v>
      </c>
      <c r="B90" s="22" t="s">
        <v>9248</v>
      </c>
      <c r="C90" s="22" t="s">
        <v>13961</v>
      </c>
      <c r="D90" s="22" t="s">
        <v>12098</v>
      </c>
      <c r="E90" s="31" t="s">
        <v>19</v>
      </c>
      <c r="F90" s="22" t="s">
        <v>12120</v>
      </c>
      <c r="G90" s="52"/>
      <c r="H90" s="52"/>
    </row>
    <row r="91" customFormat="false" ht="212.25" hidden="false" customHeight="true" outlineLevel="0" collapsed="false">
      <c r="A91" s="22" t="s">
        <v>12121</v>
      </c>
      <c r="B91" s="22" t="s">
        <v>9248</v>
      </c>
      <c r="C91" s="22" t="s">
        <v>13961</v>
      </c>
      <c r="D91" s="22" t="s">
        <v>12123</v>
      </c>
      <c r="E91" s="31" t="s">
        <v>19</v>
      </c>
      <c r="F91" s="22" t="s">
        <v>12145</v>
      </c>
      <c r="G91" s="52"/>
      <c r="H91" s="52"/>
    </row>
    <row r="92" customFormat="false" ht="37.5" hidden="false" customHeight="true" outlineLevel="0" collapsed="false">
      <c r="A92" s="22" t="s">
        <v>12146</v>
      </c>
      <c r="B92" s="22" t="s">
        <v>9248</v>
      </c>
      <c r="C92" s="22" t="s">
        <v>13961</v>
      </c>
      <c r="D92" s="22" t="s">
        <v>12148</v>
      </c>
      <c r="E92" s="31" t="s">
        <v>19</v>
      </c>
      <c r="F92" s="22" t="s">
        <v>12170</v>
      </c>
      <c r="G92" s="52"/>
      <c r="H92" s="52"/>
    </row>
    <row r="93" customFormat="false" ht="37.5" hidden="false" customHeight="true" outlineLevel="0" collapsed="false">
      <c r="A93" s="22" t="s">
        <v>12194</v>
      </c>
      <c r="B93" s="22" t="s">
        <v>9248</v>
      </c>
      <c r="C93" s="22" t="s">
        <v>13961</v>
      </c>
      <c r="D93" s="22" t="s">
        <v>12196</v>
      </c>
      <c r="E93" s="31" t="s">
        <v>19</v>
      </c>
      <c r="F93" s="22" t="s">
        <v>12218</v>
      </c>
      <c r="G93" s="52"/>
      <c r="H93" s="52"/>
    </row>
    <row r="94" customFormat="false" ht="24.75" hidden="false" customHeight="true" outlineLevel="0" collapsed="false">
      <c r="A94" s="22" t="s">
        <v>12291</v>
      </c>
      <c r="B94" s="22" t="s">
        <v>9248</v>
      </c>
      <c r="C94" s="22" t="s">
        <v>13961</v>
      </c>
      <c r="D94" s="22" t="s">
        <v>12293</v>
      </c>
      <c r="E94" s="31" t="s">
        <v>19</v>
      </c>
      <c r="F94" s="22" t="s">
        <v>12312</v>
      </c>
      <c r="G94" s="52"/>
      <c r="H94" s="52"/>
    </row>
    <row r="95" customFormat="false" ht="24.75" hidden="false" customHeight="true" outlineLevel="0" collapsed="false">
      <c r="A95" s="22" t="s">
        <v>12313</v>
      </c>
      <c r="B95" s="22" t="s">
        <v>9248</v>
      </c>
      <c r="C95" s="22" t="s">
        <v>13961</v>
      </c>
      <c r="D95" s="22" t="s">
        <v>12315</v>
      </c>
      <c r="E95" s="31" t="s">
        <v>19</v>
      </c>
      <c r="F95" s="22" t="s">
        <v>12334</v>
      </c>
      <c r="G95" s="52"/>
      <c r="H95" s="52"/>
    </row>
    <row r="96" customFormat="false" ht="37.5" hidden="false" customHeight="true" outlineLevel="0" collapsed="false">
      <c r="A96" s="22" t="s">
        <v>12335</v>
      </c>
      <c r="B96" s="22" t="s">
        <v>9248</v>
      </c>
      <c r="C96" s="22" t="s">
        <v>13961</v>
      </c>
      <c r="D96" s="22" t="s">
        <v>12337</v>
      </c>
      <c r="E96" s="31" t="s">
        <v>19</v>
      </c>
      <c r="F96" s="22" t="s">
        <v>12358</v>
      </c>
      <c r="G96" s="52"/>
      <c r="H96" s="52"/>
    </row>
    <row r="97" customFormat="false" ht="37.5" hidden="false" customHeight="true" outlineLevel="0" collapsed="false">
      <c r="A97" s="22" t="s">
        <v>12549</v>
      </c>
      <c r="B97" s="22" t="s">
        <v>9248</v>
      </c>
      <c r="C97" s="22" t="s">
        <v>13961</v>
      </c>
      <c r="D97" s="22" t="s">
        <v>12551</v>
      </c>
      <c r="E97" s="31" t="s">
        <v>19</v>
      </c>
      <c r="F97" s="22" t="s">
        <v>12572</v>
      </c>
      <c r="G97" s="52"/>
      <c r="H97" s="52"/>
    </row>
    <row r="98" customFormat="false" ht="37.5" hidden="false" customHeight="true" outlineLevel="0" collapsed="false">
      <c r="A98" s="22" t="s">
        <v>12619</v>
      </c>
      <c r="B98" s="22" t="s">
        <v>9248</v>
      </c>
      <c r="C98" s="22" t="s">
        <v>13961</v>
      </c>
      <c r="D98" s="22" t="s">
        <v>12621</v>
      </c>
      <c r="E98" s="31" t="s">
        <v>19</v>
      </c>
      <c r="F98" s="22" t="s">
        <v>12641</v>
      </c>
      <c r="G98" s="52"/>
      <c r="H98" s="52"/>
    </row>
    <row r="99" customFormat="false" ht="37.5" hidden="false" customHeight="true" outlineLevel="0" collapsed="false">
      <c r="A99" s="22" t="s">
        <v>12663</v>
      </c>
      <c r="B99" s="22" t="s">
        <v>9248</v>
      </c>
      <c r="C99" s="22" t="s">
        <v>13961</v>
      </c>
      <c r="D99" s="22" t="s">
        <v>12665</v>
      </c>
      <c r="E99" s="31" t="s">
        <v>19</v>
      </c>
      <c r="F99" s="22" t="s">
        <v>12683</v>
      </c>
      <c r="G99" s="52"/>
      <c r="H99" s="52"/>
    </row>
    <row r="100" customFormat="false" ht="37.5" hidden="false" customHeight="true" outlineLevel="0" collapsed="false">
      <c r="A100" s="22" t="s">
        <v>12706</v>
      </c>
      <c r="B100" s="22" t="s">
        <v>9248</v>
      </c>
      <c r="C100" s="22" t="s">
        <v>13961</v>
      </c>
      <c r="D100" s="22" t="s">
        <v>12708</v>
      </c>
      <c r="E100" s="31" t="s">
        <v>19</v>
      </c>
      <c r="F100" s="22" t="s">
        <v>12727</v>
      </c>
      <c r="G100" s="52"/>
      <c r="H100" s="52"/>
    </row>
    <row r="101" customFormat="false" ht="75" hidden="false" customHeight="true" outlineLevel="0" collapsed="false">
      <c r="A101" s="22" t="s">
        <v>12748</v>
      </c>
      <c r="B101" s="22" t="s">
        <v>9248</v>
      </c>
      <c r="C101" s="22" t="s">
        <v>13961</v>
      </c>
      <c r="D101" s="22" t="s">
        <v>12750</v>
      </c>
      <c r="E101" s="31" t="s">
        <v>19</v>
      </c>
      <c r="F101" s="22" t="s">
        <v>12764</v>
      </c>
      <c r="G101" s="52"/>
      <c r="H101" s="52"/>
    </row>
    <row r="102" customFormat="false" ht="24.75" hidden="false" customHeight="true" outlineLevel="0" collapsed="false">
      <c r="A102" s="22" t="s">
        <v>2448</v>
      </c>
      <c r="B102" s="22" t="s">
        <v>181</v>
      </c>
      <c r="C102" s="22" t="s">
        <v>13962</v>
      </c>
      <c r="D102" s="22" t="s">
        <v>2450</v>
      </c>
      <c r="E102" s="31" t="s">
        <v>19</v>
      </c>
      <c r="F102" s="22" t="s">
        <v>2473</v>
      </c>
      <c r="G102" s="52"/>
      <c r="H102" s="52"/>
    </row>
    <row r="103" customFormat="false" ht="24.75" hidden="false" customHeight="true" outlineLevel="0" collapsed="false">
      <c r="A103" s="22" t="s">
        <v>2474</v>
      </c>
      <c r="B103" s="22" t="s">
        <v>181</v>
      </c>
      <c r="C103" s="22" t="s">
        <v>13962</v>
      </c>
      <c r="D103" s="22" t="s">
        <v>2476</v>
      </c>
      <c r="E103" s="31" t="s">
        <v>19</v>
      </c>
      <c r="F103" s="22" t="s">
        <v>2500</v>
      </c>
      <c r="G103" s="52"/>
      <c r="H103" s="52"/>
    </row>
    <row r="104" customFormat="false" ht="37.5" hidden="false" customHeight="true" outlineLevel="0" collapsed="false">
      <c r="A104" s="22" t="s">
        <v>2528</v>
      </c>
      <c r="B104" s="22" t="s">
        <v>181</v>
      </c>
      <c r="C104" s="22" t="s">
        <v>13962</v>
      </c>
      <c r="D104" s="22" t="s">
        <v>2530</v>
      </c>
      <c r="E104" s="31" t="s">
        <v>19</v>
      </c>
      <c r="F104" s="22" t="s">
        <v>2555</v>
      </c>
      <c r="G104" s="52"/>
      <c r="H104" s="52"/>
    </row>
    <row r="105" customFormat="false" ht="37.5" hidden="false" customHeight="true" outlineLevel="0" collapsed="false">
      <c r="A105" s="22" t="s">
        <v>2556</v>
      </c>
      <c r="B105" s="22" t="s">
        <v>181</v>
      </c>
      <c r="C105" s="22" t="s">
        <v>13962</v>
      </c>
      <c r="D105" s="22" t="s">
        <v>2558</v>
      </c>
      <c r="E105" s="31" t="s">
        <v>19</v>
      </c>
      <c r="F105" s="22" t="s">
        <v>2585</v>
      </c>
      <c r="G105" s="52"/>
      <c r="H105" s="52"/>
    </row>
    <row r="106" customFormat="false" ht="37.5" hidden="false" customHeight="true" outlineLevel="0" collapsed="false">
      <c r="A106" s="22" t="s">
        <v>2586</v>
      </c>
      <c r="B106" s="22" t="s">
        <v>181</v>
      </c>
      <c r="C106" s="22" t="s">
        <v>13962</v>
      </c>
      <c r="D106" s="22" t="s">
        <v>2588</v>
      </c>
      <c r="E106" s="31" t="s">
        <v>19</v>
      </c>
      <c r="F106" s="22" t="s">
        <v>2611</v>
      </c>
      <c r="G106" s="52"/>
      <c r="H106" s="52"/>
    </row>
    <row r="107" customFormat="false" ht="37.5" hidden="false" customHeight="true" outlineLevel="0" collapsed="false">
      <c r="A107" s="22" t="s">
        <v>2237</v>
      </c>
      <c r="B107" s="22" t="s">
        <v>181</v>
      </c>
      <c r="C107" s="22" t="s">
        <v>13962</v>
      </c>
      <c r="D107" s="22" t="s">
        <v>2239</v>
      </c>
      <c r="E107" s="31" t="s">
        <v>19</v>
      </c>
      <c r="F107" s="22" t="s">
        <v>2264</v>
      </c>
      <c r="G107" s="52"/>
      <c r="H107" s="52"/>
    </row>
    <row r="108" customFormat="false" ht="24.75" hidden="false" customHeight="true" outlineLevel="0" collapsed="false">
      <c r="A108" s="22" t="s">
        <v>2292</v>
      </c>
      <c r="B108" s="22" t="s">
        <v>181</v>
      </c>
      <c r="C108" s="22" t="s">
        <v>13962</v>
      </c>
      <c r="D108" s="22" t="s">
        <v>2294</v>
      </c>
      <c r="E108" s="31" t="s">
        <v>19</v>
      </c>
      <c r="F108" s="22" t="s">
        <v>2319</v>
      </c>
      <c r="G108" s="52"/>
      <c r="H108" s="52"/>
    </row>
    <row r="109" customFormat="false" ht="24.75" hidden="false" customHeight="true" outlineLevel="0" collapsed="false">
      <c r="A109" s="22" t="s">
        <v>2320</v>
      </c>
      <c r="B109" s="22" t="s">
        <v>181</v>
      </c>
      <c r="C109" s="22" t="s">
        <v>13962</v>
      </c>
      <c r="D109" s="22" t="s">
        <v>2322</v>
      </c>
      <c r="E109" s="31" t="s">
        <v>19</v>
      </c>
      <c r="F109" s="22" t="s">
        <v>2346</v>
      </c>
      <c r="G109" s="52"/>
      <c r="H109" s="52"/>
    </row>
    <row r="110" customFormat="false" ht="24.75" hidden="false" customHeight="true" outlineLevel="0" collapsed="false">
      <c r="A110" s="22" t="s">
        <v>2347</v>
      </c>
      <c r="B110" s="22" t="s">
        <v>181</v>
      </c>
      <c r="C110" s="22" t="s">
        <v>13962</v>
      </c>
      <c r="D110" s="22" t="s">
        <v>2349</v>
      </c>
      <c r="E110" s="31" t="s">
        <v>19</v>
      </c>
      <c r="F110" s="22" t="s">
        <v>2373</v>
      </c>
      <c r="G110" s="52"/>
      <c r="H110" s="52"/>
    </row>
    <row r="111" customFormat="false" ht="62.25" hidden="false" customHeight="true" outlineLevel="0" collapsed="false">
      <c r="A111" s="22" t="s">
        <v>180</v>
      </c>
      <c r="B111" s="22" t="s">
        <v>181</v>
      </c>
      <c r="C111" s="22" t="s">
        <v>13963</v>
      </c>
      <c r="D111" s="22" t="s">
        <v>183</v>
      </c>
      <c r="E111" s="31" t="s">
        <v>19</v>
      </c>
      <c r="F111" s="22" t="s">
        <v>212</v>
      </c>
      <c r="G111" s="52"/>
      <c r="H111" s="52"/>
    </row>
    <row r="112" customFormat="false" ht="62.25" hidden="false" customHeight="true" outlineLevel="0" collapsed="false">
      <c r="A112" s="22" t="s">
        <v>213</v>
      </c>
      <c r="B112" s="22" t="s">
        <v>181</v>
      </c>
      <c r="C112" s="22" t="s">
        <v>13963</v>
      </c>
      <c r="D112" s="22" t="s">
        <v>214</v>
      </c>
      <c r="E112" s="31" t="s">
        <v>19</v>
      </c>
      <c r="F112" s="22" t="s">
        <v>240</v>
      </c>
      <c r="G112" s="52"/>
      <c r="H112" s="52"/>
    </row>
    <row r="113" customFormat="false" ht="37.5" hidden="false" customHeight="true" outlineLevel="0" collapsed="false">
      <c r="A113" s="22" t="s">
        <v>295</v>
      </c>
      <c r="B113" s="22" t="s">
        <v>181</v>
      </c>
      <c r="C113" s="22" t="s">
        <v>13963</v>
      </c>
      <c r="D113" s="22" t="s">
        <v>297</v>
      </c>
      <c r="E113" s="31" t="s">
        <v>19</v>
      </c>
      <c r="F113" s="22" t="s">
        <v>322</v>
      </c>
      <c r="G113" s="52"/>
      <c r="H113" s="52"/>
    </row>
    <row r="114" customFormat="false" ht="37.5" hidden="false" customHeight="true" outlineLevel="0" collapsed="false">
      <c r="A114" s="22" t="s">
        <v>323</v>
      </c>
      <c r="B114" s="22" t="s">
        <v>181</v>
      </c>
      <c r="C114" s="22" t="s">
        <v>13963</v>
      </c>
      <c r="D114" s="22" t="s">
        <v>325</v>
      </c>
      <c r="E114" s="31" t="s">
        <v>19</v>
      </c>
      <c r="F114" s="22" t="s">
        <v>351</v>
      </c>
      <c r="G114" s="52"/>
      <c r="H114" s="52"/>
    </row>
    <row r="115" customFormat="false" ht="62.25" hidden="false" customHeight="true" outlineLevel="0" collapsed="false">
      <c r="A115" s="22" t="s">
        <v>352</v>
      </c>
      <c r="B115" s="22" t="s">
        <v>181</v>
      </c>
      <c r="C115" s="22" t="s">
        <v>13963</v>
      </c>
      <c r="D115" s="22" t="s">
        <v>354</v>
      </c>
      <c r="E115" s="31" t="s">
        <v>19</v>
      </c>
      <c r="F115" s="22" t="s">
        <v>380</v>
      </c>
      <c r="G115" s="52"/>
      <c r="H115" s="52"/>
    </row>
    <row r="116" customFormat="false" ht="37.5" hidden="false" customHeight="true" outlineLevel="0" collapsed="false">
      <c r="A116" s="22" t="s">
        <v>381</v>
      </c>
      <c r="B116" s="22" t="s">
        <v>181</v>
      </c>
      <c r="C116" s="22" t="s">
        <v>13963</v>
      </c>
      <c r="D116" s="22" t="s">
        <v>383</v>
      </c>
      <c r="E116" s="31" t="s">
        <v>19</v>
      </c>
      <c r="F116" s="22" t="s">
        <v>409</v>
      </c>
      <c r="G116" s="52"/>
      <c r="H116" s="52"/>
    </row>
    <row r="117" customFormat="false" ht="37.5" hidden="false" customHeight="true" outlineLevel="0" collapsed="false">
      <c r="A117" s="22" t="s">
        <v>464</v>
      </c>
      <c r="B117" s="22" t="s">
        <v>181</v>
      </c>
      <c r="C117" s="22" t="s">
        <v>13963</v>
      </c>
      <c r="D117" s="22" t="s">
        <v>466</v>
      </c>
      <c r="E117" s="31" t="s">
        <v>19</v>
      </c>
      <c r="F117" s="22" t="s">
        <v>491</v>
      </c>
      <c r="G117" s="52"/>
      <c r="H117" s="52"/>
    </row>
    <row r="118" customFormat="false" ht="37.5" hidden="false" customHeight="true" outlineLevel="0" collapsed="false">
      <c r="A118" s="22" t="s">
        <v>492</v>
      </c>
      <c r="B118" s="22" t="s">
        <v>181</v>
      </c>
      <c r="C118" s="22" t="s">
        <v>13963</v>
      </c>
      <c r="D118" s="22" t="s">
        <v>494</v>
      </c>
      <c r="E118" s="31" t="s">
        <v>19</v>
      </c>
      <c r="F118" s="22" t="s">
        <v>518</v>
      </c>
      <c r="G118" s="52"/>
      <c r="H118" s="52"/>
    </row>
    <row r="119" customFormat="false" ht="49.5" hidden="false" customHeight="true" outlineLevel="0" collapsed="false">
      <c r="A119" s="22" t="s">
        <v>519</v>
      </c>
      <c r="B119" s="22" t="s">
        <v>181</v>
      </c>
      <c r="C119" s="22" t="s">
        <v>13963</v>
      </c>
      <c r="D119" s="22" t="s">
        <v>521</v>
      </c>
      <c r="E119" s="31" t="s">
        <v>19</v>
      </c>
      <c r="F119" s="22" t="s">
        <v>550</v>
      </c>
      <c r="G119" s="52"/>
      <c r="H119" s="52"/>
    </row>
    <row r="120" customFormat="false" ht="49.5" hidden="false" customHeight="true" outlineLevel="0" collapsed="false">
      <c r="A120" s="22" t="s">
        <v>551</v>
      </c>
      <c r="B120" s="22" t="s">
        <v>181</v>
      </c>
      <c r="C120" s="22" t="s">
        <v>13963</v>
      </c>
      <c r="D120" s="22" t="s">
        <v>553</v>
      </c>
      <c r="E120" s="31" t="s">
        <v>19</v>
      </c>
      <c r="F120" s="22" t="s">
        <v>580</v>
      </c>
      <c r="G120" s="52"/>
      <c r="H120" s="52"/>
    </row>
    <row r="121" customFormat="false" ht="37.5" hidden="false" customHeight="true" outlineLevel="0" collapsed="false">
      <c r="A121" s="22" t="s">
        <v>581</v>
      </c>
      <c r="B121" s="22" t="s">
        <v>181</v>
      </c>
      <c r="C121" s="22" t="s">
        <v>13963</v>
      </c>
      <c r="D121" s="22" t="s">
        <v>583</v>
      </c>
      <c r="E121" s="31" t="s">
        <v>19</v>
      </c>
      <c r="F121" s="22" t="s">
        <v>606</v>
      </c>
      <c r="G121" s="52"/>
      <c r="H121" s="52"/>
    </row>
    <row r="122" customFormat="false" ht="37.5" hidden="false" customHeight="true" outlineLevel="0" collapsed="false">
      <c r="A122" s="22" t="s">
        <v>633</v>
      </c>
      <c r="B122" s="22" t="s">
        <v>181</v>
      </c>
      <c r="C122" s="22" t="s">
        <v>13963</v>
      </c>
      <c r="D122" s="22" t="s">
        <v>635</v>
      </c>
      <c r="E122" s="31" t="s">
        <v>19</v>
      </c>
      <c r="F122" s="22" t="s">
        <v>661</v>
      </c>
      <c r="G122" s="52"/>
      <c r="H122" s="52"/>
    </row>
    <row r="123" customFormat="false" ht="37.5" hidden="false" customHeight="true" outlineLevel="0" collapsed="false">
      <c r="A123" s="22" t="s">
        <v>662</v>
      </c>
      <c r="B123" s="22" t="s">
        <v>181</v>
      </c>
      <c r="C123" s="22" t="s">
        <v>13963</v>
      </c>
      <c r="D123" s="22" t="s">
        <v>664</v>
      </c>
      <c r="E123" s="31" t="s">
        <v>19</v>
      </c>
      <c r="F123" s="22" t="s">
        <v>687</v>
      </c>
      <c r="G123" s="52"/>
      <c r="H123" s="52"/>
    </row>
    <row r="124" customFormat="false" ht="49.5" hidden="false" customHeight="true" outlineLevel="0" collapsed="false">
      <c r="A124" s="22" t="s">
        <v>688</v>
      </c>
      <c r="B124" s="22" t="s">
        <v>181</v>
      </c>
      <c r="C124" s="22" t="s">
        <v>13963</v>
      </c>
      <c r="D124" s="22" t="s">
        <v>690</v>
      </c>
      <c r="E124" s="31" t="s">
        <v>19</v>
      </c>
      <c r="F124" s="22" t="s">
        <v>716</v>
      </c>
      <c r="G124" s="52"/>
      <c r="H124" s="52"/>
    </row>
    <row r="125" customFormat="false" ht="49.5" hidden="false" customHeight="true" outlineLevel="0" collapsed="false">
      <c r="A125" s="22" t="s">
        <v>774</v>
      </c>
      <c r="B125" s="22" t="s">
        <v>181</v>
      </c>
      <c r="C125" s="22" t="s">
        <v>13963</v>
      </c>
      <c r="D125" s="22" t="s">
        <v>776</v>
      </c>
      <c r="E125" s="31" t="s">
        <v>19</v>
      </c>
      <c r="F125" s="22" t="s">
        <v>803</v>
      </c>
      <c r="G125" s="52"/>
      <c r="H125" s="52"/>
    </row>
    <row r="126" customFormat="false" ht="37.5" hidden="false" customHeight="true" outlineLevel="0" collapsed="false">
      <c r="A126" s="22" t="s">
        <v>804</v>
      </c>
      <c r="B126" s="22" t="s">
        <v>181</v>
      </c>
      <c r="C126" s="22" t="s">
        <v>13963</v>
      </c>
      <c r="D126" s="22" t="s">
        <v>806</v>
      </c>
      <c r="E126" s="31" t="s">
        <v>19</v>
      </c>
      <c r="F126" s="22" t="s">
        <v>833</v>
      </c>
      <c r="G126" s="52"/>
      <c r="H126" s="52"/>
    </row>
    <row r="127" customFormat="false" ht="24.75" hidden="false" customHeight="true" outlineLevel="0" collapsed="false">
      <c r="A127" s="22" t="s">
        <v>834</v>
      </c>
      <c r="B127" s="22" t="s">
        <v>181</v>
      </c>
      <c r="C127" s="22" t="s">
        <v>13963</v>
      </c>
      <c r="D127" s="22" t="s">
        <v>836</v>
      </c>
      <c r="E127" s="31" t="s">
        <v>19</v>
      </c>
      <c r="F127" s="22" t="s">
        <v>861</v>
      </c>
      <c r="G127" s="52"/>
      <c r="H127" s="52"/>
    </row>
    <row r="128" customFormat="false" ht="24.75" hidden="false" customHeight="true" outlineLevel="0" collapsed="false">
      <c r="A128" s="22" t="s">
        <v>862</v>
      </c>
      <c r="B128" s="22" t="s">
        <v>181</v>
      </c>
      <c r="C128" s="22" t="s">
        <v>13963</v>
      </c>
      <c r="D128" s="22" t="s">
        <v>864</v>
      </c>
      <c r="E128" s="31" t="s">
        <v>19</v>
      </c>
      <c r="F128" s="22" t="s">
        <v>887</v>
      </c>
      <c r="G128" s="52"/>
      <c r="H128" s="52"/>
    </row>
    <row r="129" customFormat="false" ht="37.5" hidden="false" customHeight="true" outlineLevel="0" collapsed="false">
      <c r="A129" s="22" t="s">
        <v>888</v>
      </c>
      <c r="B129" s="22" t="s">
        <v>181</v>
      </c>
      <c r="C129" s="22" t="s">
        <v>13963</v>
      </c>
      <c r="D129" s="22" t="s">
        <v>890</v>
      </c>
      <c r="E129" s="31" t="s">
        <v>19</v>
      </c>
      <c r="F129" s="22" t="s">
        <v>917</v>
      </c>
      <c r="G129" s="52"/>
      <c r="H129" s="52"/>
    </row>
    <row r="130" customFormat="false" ht="37.5" hidden="false" customHeight="true" outlineLevel="0" collapsed="false">
      <c r="A130" s="22" t="s">
        <v>918</v>
      </c>
      <c r="B130" s="22" t="s">
        <v>181</v>
      </c>
      <c r="C130" s="22" t="s">
        <v>13963</v>
      </c>
      <c r="D130" s="22" t="s">
        <v>919</v>
      </c>
      <c r="E130" s="31" t="s">
        <v>19</v>
      </c>
      <c r="F130" s="22" t="s">
        <v>942</v>
      </c>
      <c r="G130" s="52"/>
      <c r="H130" s="52"/>
    </row>
    <row r="131" customFormat="false" ht="37.5" hidden="false" customHeight="true" outlineLevel="0" collapsed="false">
      <c r="A131" s="22" t="s">
        <v>969</v>
      </c>
      <c r="B131" s="22" t="s">
        <v>181</v>
      </c>
      <c r="C131" s="22" t="s">
        <v>13963</v>
      </c>
      <c r="D131" s="22" t="s">
        <v>971</v>
      </c>
      <c r="E131" s="31" t="s">
        <v>19</v>
      </c>
      <c r="F131" s="22" t="s">
        <v>996</v>
      </c>
      <c r="G131" s="52"/>
      <c r="H131" s="52"/>
    </row>
    <row r="132" customFormat="false" ht="49.5" hidden="false" customHeight="true" outlineLevel="0" collapsed="false">
      <c r="A132" s="22" t="s">
        <v>997</v>
      </c>
      <c r="B132" s="22" t="s">
        <v>181</v>
      </c>
      <c r="C132" s="22" t="s">
        <v>13963</v>
      </c>
      <c r="D132" s="22" t="s">
        <v>999</v>
      </c>
      <c r="E132" s="31" t="s">
        <v>19</v>
      </c>
      <c r="F132" s="22" t="s">
        <v>1022</v>
      </c>
      <c r="G132" s="52"/>
      <c r="H132" s="52"/>
    </row>
    <row r="133" customFormat="false" ht="37.5" hidden="false" customHeight="true" outlineLevel="0" collapsed="false">
      <c r="A133" s="22" t="s">
        <v>1023</v>
      </c>
      <c r="B133" s="22" t="s">
        <v>181</v>
      </c>
      <c r="C133" s="22" t="s">
        <v>13963</v>
      </c>
      <c r="D133" s="22" t="s">
        <v>1025</v>
      </c>
      <c r="E133" s="31" t="s">
        <v>19</v>
      </c>
      <c r="F133" s="22" t="s">
        <v>1048</v>
      </c>
      <c r="G133" s="52"/>
      <c r="H133" s="52"/>
    </row>
    <row r="134" customFormat="false" ht="37.5" hidden="false" customHeight="true" outlineLevel="0" collapsed="false">
      <c r="A134" s="22" t="s">
        <v>1049</v>
      </c>
      <c r="B134" s="22" t="s">
        <v>181</v>
      </c>
      <c r="C134" s="22" t="s">
        <v>13963</v>
      </c>
      <c r="D134" s="22" t="s">
        <v>1050</v>
      </c>
      <c r="E134" s="31" t="s">
        <v>19</v>
      </c>
      <c r="F134" s="22" t="s">
        <v>1076</v>
      </c>
      <c r="G134" s="52"/>
      <c r="H134" s="52"/>
    </row>
    <row r="135" customFormat="false" ht="49.5" hidden="false" customHeight="true" outlineLevel="0" collapsed="false">
      <c r="A135" s="22" t="s">
        <v>1077</v>
      </c>
      <c r="B135" s="22" t="s">
        <v>181</v>
      </c>
      <c r="C135" s="22" t="s">
        <v>13963</v>
      </c>
      <c r="D135" s="22" t="s">
        <v>1079</v>
      </c>
      <c r="E135" s="31" t="s">
        <v>19</v>
      </c>
      <c r="F135" s="22" t="s">
        <v>1105</v>
      </c>
      <c r="G135" s="52"/>
      <c r="H135" s="52"/>
    </row>
    <row r="136" customFormat="false" ht="24.75" hidden="false" customHeight="true" outlineLevel="0" collapsed="false">
      <c r="A136" s="22" t="s">
        <v>1106</v>
      </c>
      <c r="B136" s="22" t="s">
        <v>181</v>
      </c>
      <c r="C136" s="22" t="s">
        <v>13963</v>
      </c>
      <c r="D136" s="22" t="s">
        <v>1108</v>
      </c>
      <c r="E136" s="31" t="s">
        <v>19</v>
      </c>
      <c r="F136" s="22" t="s">
        <v>1133</v>
      </c>
      <c r="G136" s="52"/>
      <c r="H136" s="52"/>
    </row>
    <row r="137" customFormat="false" ht="37.5" hidden="false" customHeight="true" outlineLevel="0" collapsed="false">
      <c r="A137" s="22" t="s">
        <v>1134</v>
      </c>
      <c r="B137" s="22" t="s">
        <v>181</v>
      </c>
      <c r="C137" s="22" t="s">
        <v>13963</v>
      </c>
      <c r="D137" s="22" t="s">
        <v>1136</v>
      </c>
      <c r="E137" s="31" t="s">
        <v>19</v>
      </c>
      <c r="F137" s="22" t="s">
        <v>1161</v>
      </c>
      <c r="G137" s="52"/>
      <c r="H137" s="52"/>
    </row>
    <row r="138" customFormat="false" ht="24.75" hidden="false" customHeight="true" outlineLevel="0" collapsed="false">
      <c r="A138" s="22" t="s">
        <v>1162</v>
      </c>
      <c r="B138" s="22" t="s">
        <v>181</v>
      </c>
      <c r="C138" s="22" t="s">
        <v>13963</v>
      </c>
      <c r="D138" s="22" t="s">
        <v>1163</v>
      </c>
      <c r="E138" s="31" t="s">
        <v>19</v>
      </c>
      <c r="F138" s="22" t="s">
        <v>1188</v>
      </c>
      <c r="G138" s="52"/>
      <c r="H138" s="52"/>
    </row>
    <row r="139" customFormat="false" ht="37.5" hidden="false" customHeight="true" outlineLevel="0" collapsed="false">
      <c r="A139" s="22" t="s">
        <v>1189</v>
      </c>
      <c r="B139" s="22" t="s">
        <v>181</v>
      </c>
      <c r="C139" s="22" t="s">
        <v>13963</v>
      </c>
      <c r="D139" s="22" t="s">
        <v>1191</v>
      </c>
      <c r="E139" s="31" t="s">
        <v>19</v>
      </c>
      <c r="F139" s="22" t="s">
        <v>1214</v>
      </c>
      <c r="G139" s="52"/>
      <c r="H139" s="52"/>
    </row>
    <row r="140" customFormat="false" ht="37.5" hidden="false" customHeight="true" outlineLevel="0" collapsed="false">
      <c r="A140" s="22" t="s">
        <v>1215</v>
      </c>
      <c r="B140" s="22" t="s">
        <v>181</v>
      </c>
      <c r="C140" s="22" t="s">
        <v>13963</v>
      </c>
      <c r="D140" s="22" t="s">
        <v>1217</v>
      </c>
      <c r="E140" s="31" t="s">
        <v>19</v>
      </c>
      <c r="F140" s="22" t="s">
        <v>1243</v>
      </c>
      <c r="G140" s="52"/>
      <c r="H140" s="52"/>
    </row>
    <row r="141" customFormat="false" ht="24.75" hidden="false" customHeight="true" outlineLevel="0" collapsed="false">
      <c r="A141" s="22" t="s">
        <v>1646</v>
      </c>
      <c r="B141" s="22" t="s">
        <v>181</v>
      </c>
      <c r="C141" s="22" t="s">
        <v>13962</v>
      </c>
      <c r="D141" s="22" t="s">
        <v>1648</v>
      </c>
      <c r="E141" s="31" t="s">
        <v>19</v>
      </c>
      <c r="F141" s="22" t="s">
        <v>1675</v>
      </c>
      <c r="G141" s="52"/>
      <c r="H141" s="52"/>
    </row>
    <row r="142" customFormat="false" ht="49.5" hidden="false" customHeight="true" outlineLevel="0" collapsed="false">
      <c r="A142" s="22" t="s">
        <v>1676</v>
      </c>
      <c r="B142" s="22" t="s">
        <v>181</v>
      </c>
      <c r="C142" s="22" t="s">
        <v>13962</v>
      </c>
      <c r="D142" s="22" t="s">
        <v>1678</v>
      </c>
      <c r="E142" s="31" t="s">
        <v>19</v>
      </c>
      <c r="F142" s="22" t="s">
        <v>1704</v>
      </c>
      <c r="G142" s="52"/>
      <c r="H142" s="52"/>
    </row>
    <row r="143" customFormat="false" ht="37.5" hidden="false" customHeight="true" outlineLevel="0" collapsed="false">
      <c r="A143" s="22" t="s">
        <v>1705</v>
      </c>
      <c r="B143" s="22" t="s">
        <v>181</v>
      </c>
      <c r="C143" s="22" t="s">
        <v>13962</v>
      </c>
      <c r="D143" s="22" t="s">
        <v>1707</v>
      </c>
      <c r="E143" s="31" t="s">
        <v>19</v>
      </c>
      <c r="F143" s="22" t="s">
        <v>1732</v>
      </c>
      <c r="G143" s="52"/>
      <c r="H143" s="52"/>
    </row>
    <row r="144" customFormat="false" ht="24.75" hidden="false" customHeight="true" outlineLevel="0" collapsed="false">
      <c r="A144" s="22" t="s">
        <v>1733</v>
      </c>
      <c r="B144" s="22" t="s">
        <v>181</v>
      </c>
      <c r="C144" s="22" t="s">
        <v>13962</v>
      </c>
      <c r="D144" s="22" t="s">
        <v>1735</v>
      </c>
      <c r="E144" s="31" t="s">
        <v>19</v>
      </c>
      <c r="F144" s="22" t="s">
        <v>1760</v>
      </c>
      <c r="G144" s="52"/>
      <c r="H144" s="52"/>
    </row>
    <row r="145" customFormat="false" ht="24.75" hidden="false" customHeight="true" outlineLevel="0" collapsed="false">
      <c r="A145" s="22" t="s">
        <v>1761</v>
      </c>
      <c r="B145" s="22" t="s">
        <v>181</v>
      </c>
      <c r="C145" s="22" t="s">
        <v>13962</v>
      </c>
      <c r="D145" s="22" t="s">
        <v>1763</v>
      </c>
      <c r="E145" s="31" t="s">
        <v>19</v>
      </c>
      <c r="F145" s="22" t="s">
        <v>1789</v>
      </c>
      <c r="G145" s="52"/>
      <c r="H145" s="52"/>
    </row>
    <row r="146" customFormat="false" ht="37.5" hidden="false" customHeight="true" outlineLevel="0" collapsed="false">
      <c r="A146" s="22" t="s">
        <v>1816</v>
      </c>
      <c r="B146" s="22" t="s">
        <v>181</v>
      </c>
      <c r="C146" s="22" t="s">
        <v>13962</v>
      </c>
      <c r="D146" s="22" t="s">
        <v>1818</v>
      </c>
      <c r="E146" s="31" t="s">
        <v>19</v>
      </c>
      <c r="F146" s="22" t="s">
        <v>1843</v>
      </c>
      <c r="G146" s="52"/>
      <c r="H146" s="52"/>
    </row>
    <row r="147" customFormat="false" ht="37.5" hidden="false" customHeight="true" outlineLevel="0" collapsed="false">
      <c r="A147" s="22" t="s">
        <v>1844</v>
      </c>
      <c r="B147" s="22" t="s">
        <v>181</v>
      </c>
      <c r="C147" s="22" t="s">
        <v>13962</v>
      </c>
      <c r="D147" s="22" t="s">
        <v>1846</v>
      </c>
      <c r="E147" s="31" t="s">
        <v>19</v>
      </c>
      <c r="F147" s="22" t="s">
        <v>1871</v>
      </c>
      <c r="G147" s="52"/>
      <c r="H147" s="52"/>
    </row>
    <row r="148" customFormat="false" ht="24.75" hidden="false" customHeight="true" outlineLevel="0" collapsed="false">
      <c r="A148" s="22" t="s">
        <v>1872</v>
      </c>
      <c r="B148" s="22" t="s">
        <v>181</v>
      </c>
      <c r="C148" s="22" t="s">
        <v>13962</v>
      </c>
      <c r="D148" s="22" t="s">
        <v>1874</v>
      </c>
      <c r="E148" s="31" t="s">
        <v>19</v>
      </c>
      <c r="F148" s="22" t="s">
        <v>1897</v>
      </c>
      <c r="G148" s="52"/>
      <c r="H148" s="52"/>
    </row>
    <row r="149" customFormat="false" ht="37.5" hidden="false" customHeight="true" outlineLevel="0" collapsed="false">
      <c r="A149" s="22" t="s">
        <v>1925</v>
      </c>
      <c r="B149" s="22" t="s">
        <v>181</v>
      </c>
      <c r="C149" s="22" t="s">
        <v>13962</v>
      </c>
      <c r="D149" s="22" t="s">
        <v>1927</v>
      </c>
      <c r="E149" s="31" t="s">
        <v>19</v>
      </c>
      <c r="F149" s="22" t="s">
        <v>1951</v>
      </c>
      <c r="G149" s="52"/>
      <c r="H149" s="52"/>
    </row>
    <row r="150" customFormat="false" ht="37.5" hidden="false" customHeight="true" outlineLevel="0" collapsed="false">
      <c r="A150" s="22" t="s">
        <v>1952</v>
      </c>
      <c r="B150" s="22" t="s">
        <v>181</v>
      </c>
      <c r="C150" s="22" t="s">
        <v>13962</v>
      </c>
      <c r="D150" s="22" t="s">
        <v>1954</v>
      </c>
      <c r="E150" s="31" t="s">
        <v>19</v>
      </c>
      <c r="F150" s="22" t="s">
        <v>1976</v>
      </c>
      <c r="G150" s="52"/>
      <c r="H150" s="52"/>
    </row>
    <row r="151" customFormat="false" ht="37.5" hidden="false" customHeight="true" outlineLevel="0" collapsed="false">
      <c r="A151" s="22" t="s">
        <v>1977</v>
      </c>
      <c r="B151" s="22" t="s">
        <v>181</v>
      </c>
      <c r="C151" s="22" t="s">
        <v>13962</v>
      </c>
      <c r="D151" s="22" t="s">
        <v>1979</v>
      </c>
      <c r="E151" s="31" t="s">
        <v>19</v>
      </c>
      <c r="F151" s="22" t="s">
        <v>2005</v>
      </c>
      <c r="G151" s="52"/>
      <c r="H151" s="52"/>
    </row>
    <row r="152" customFormat="false" ht="49.5" hidden="false" customHeight="true" outlineLevel="0" collapsed="false">
      <c r="A152" s="22" t="s">
        <v>2007</v>
      </c>
      <c r="B152" s="22" t="s">
        <v>181</v>
      </c>
      <c r="C152" s="22" t="s">
        <v>13962</v>
      </c>
      <c r="D152" s="22" t="s">
        <v>2009</v>
      </c>
      <c r="E152" s="31" t="s">
        <v>19</v>
      </c>
      <c r="F152" s="22" t="s">
        <v>2035</v>
      </c>
      <c r="G152" s="52"/>
      <c r="H152" s="52"/>
    </row>
    <row r="153" customFormat="false" ht="49.5" hidden="false" customHeight="true" outlineLevel="0" collapsed="false">
      <c r="A153" s="22" t="s">
        <v>2036</v>
      </c>
      <c r="B153" s="22" t="s">
        <v>181</v>
      </c>
      <c r="C153" s="22" t="s">
        <v>13962</v>
      </c>
      <c r="D153" s="22" t="s">
        <v>2038</v>
      </c>
      <c r="E153" s="31" t="s">
        <v>19</v>
      </c>
      <c r="F153" s="22" t="s">
        <v>2064</v>
      </c>
      <c r="G153" s="52"/>
      <c r="H153" s="52"/>
    </row>
    <row r="154" customFormat="false" ht="37.5" hidden="false" customHeight="true" outlineLevel="0" collapsed="false">
      <c r="A154" s="22" t="s">
        <v>2065</v>
      </c>
      <c r="B154" s="22" t="s">
        <v>181</v>
      </c>
      <c r="C154" s="22" t="s">
        <v>13962</v>
      </c>
      <c r="D154" s="22" t="s">
        <v>2067</v>
      </c>
      <c r="E154" s="31" t="s">
        <v>19</v>
      </c>
      <c r="F154" s="22" t="s">
        <v>2094</v>
      </c>
      <c r="G154" s="52"/>
      <c r="H154" s="52"/>
    </row>
    <row r="155" customFormat="false" ht="37.5" hidden="false" customHeight="true" outlineLevel="0" collapsed="false">
      <c r="A155" s="22" t="s">
        <v>2153</v>
      </c>
      <c r="B155" s="22" t="s">
        <v>181</v>
      </c>
      <c r="C155" s="22" t="s">
        <v>13962</v>
      </c>
      <c r="D155" s="22" t="s">
        <v>2155</v>
      </c>
      <c r="E155" s="31" t="s">
        <v>19</v>
      </c>
      <c r="F155" s="22" t="s">
        <v>2180</v>
      </c>
      <c r="G155" s="52"/>
      <c r="H155" s="52"/>
    </row>
    <row r="156" customFormat="false" ht="24.75" hidden="false" customHeight="true" outlineLevel="0" collapsed="false">
      <c r="A156" s="22" t="s">
        <v>2208</v>
      </c>
      <c r="B156" s="22" t="s">
        <v>181</v>
      </c>
      <c r="C156" s="22" t="s">
        <v>13962</v>
      </c>
      <c r="D156" s="22" t="s">
        <v>2210</v>
      </c>
      <c r="E156" s="31" t="s">
        <v>19</v>
      </c>
      <c r="F156" s="22" t="s">
        <v>2235</v>
      </c>
      <c r="G156" s="52"/>
      <c r="H156" s="52"/>
    </row>
    <row r="157" customFormat="false" ht="75" hidden="false" customHeight="true" outlineLevel="0" collapsed="false">
      <c r="A157" s="22" t="s">
        <v>1302</v>
      </c>
      <c r="B157" s="22" t="s">
        <v>181</v>
      </c>
      <c r="C157" s="22" t="s">
        <v>13962</v>
      </c>
      <c r="D157" s="22" t="s">
        <v>1304</v>
      </c>
      <c r="E157" s="31" t="s">
        <v>19</v>
      </c>
      <c r="F157" s="22" t="s">
        <v>1331</v>
      </c>
      <c r="G157" s="52"/>
      <c r="H157" s="52"/>
    </row>
    <row r="158" customFormat="false" ht="75" hidden="false" customHeight="true" outlineLevel="0" collapsed="false">
      <c r="A158" s="22" t="s">
        <v>1332</v>
      </c>
      <c r="B158" s="22" t="s">
        <v>181</v>
      </c>
      <c r="C158" s="22" t="s">
        <v>13962</v>
      </c>
      <c r="D158" s="22" t="s">
        <v>1334</v>
      </c>
      <c r="E158" s="31" t="s">
        <v>19</v>
      </c>
      <c r="F158" s="22" t="s">
        <v>1360</v>
      </c>
      <c r="G158" s="52"/>
      <c r="H158" s="52"/>
    </row>
    <row r="159" customFormat="false" ht="37.5" hidden="false" customHeight="true" outlineLevel="0" collapsed="false">
      <c r="A159" s="22" t="s">
        <v>1361</v>
      </c>
      <c r="B159" s="22" t="s">
        <v>181</v>
      </c>
      <c r="C159" s="22" t="s">
        <v>13962</v>
      </c>
      <c r="D159" s="22" t="s">
        <v>1363</v>
      </c>
      <c r="E159" s="31" t="s">
        <v>19</v>
      </c>
      <c r="F159" s="22" t="s">
        <v>1389</v>
      </c>
      <c r="G159" s="52"/>
      <c r="H159" s="52"/>
    </row>
    <row r="160" customFormat="false" ht="37.5" hidden="false" customHeight="true" outlineLevel="0" collapsed="false">
      <c r="A160" s="22" t="s">
        <v>1390</v>
      </c>
      <c r="B160" s="22" t="s">
        <v>181</v>
      </c>
      <c r="C160" s="22" t="s">
        <v>13962</v>
      </c>
      <c r="D160" s="22" t="s">
        <v>1392</v>
      </c>
      <c r="E160" s="31" t="s">
        <v>19</v>
      </c>
      <c r="F160" s="22" t="s">
        <v>1417</v>
      </c>
      <c r="G160" s="52"/>
      <c r="H160" s="52"/>
    </row>
    <row r="161" customFormat="false" ht="49.5" hidden="false" customHeight="true" outlineLevel="0" collapsed="false">
      <c r="A161" s="22" t="s">
        <v>1418</v>
      </c>
      <c r="B161" s="22" t="s">
        <v>181</v>
      </c>
      <c r="C161" s="22" t="s">
        <v>13962</v>
      </c>
      <c r="D161" s="22" t="s">
        <v>1419</v>
      </c>
      <c r="E161" s="31" t="s">
        <v>19</v>
      </c>
      <c r="F161" s="22" t="s">
        <v>1444</v>
      </c>
      <c r="G161" s="52"/>
      <c r="H161" s="52"/>
    </row>
    <row r="162" customFormat="false" ht="49.5" hidden="false" customHeight="true" outlineLevel="0" collapsed="false">
      <c r="A162" s="22" t="s">
        <v>1445</v>
      </c>
      <c r="B162" s="22" t="s">
        <v>181</v>
      </c>
      <c r="C162" s="22" t="s">
        <v>13962</v>
      </c>
      <c r="D162" s="22" t="s">
        <v>1447</v>
      </c>
      <c r="E162" s="31" t="s">
        <v>19</v>
      </c>
      <c r="F162" s="22" t="s">
        <v>1472</v>
      </c>
      <c r="G162" s="52"/>
      <c r="H162" s="52"/>
    </row>
    <row r="163" customFormat="false" ht="49.5" hidden="false" customHeight="true" outlineLevel="0" collapsed="false">
      <c r="A163" s="22" t="s">
        <v>1502</v>
      </c>
      <c r="B163" s="22" t="s">
        <v>181</v>
      </c>
      <c r="C163" s="22" t="s">
        <v>13962</v>
      </c>
      <c r="D163" s="22" t="s">
        <v>1504</v>
      </c>
      <c r="E163" s="31" t="s">
        <v>19</v>
      </c>
      <c r="F163" s="22" t="s">
        <v>1529</v>
      </c>
      <c r="G163" s="52"/>
      <c r="H163" s="52"/>
    </row>
    <row r="164" customFormat="false" ht="24.75" hidden="false" customHeight="true" outlineLevel="0" collapsed="false">
      <c r="A164" s="22" t="s">
        <v>1530</v>
      </c>
      <c r="B164" s="22" t="s">
        <v>181</v>
      </c>
      <c r="C164" s="22" t="s">
        <v>13962</v>
      </c>
      <c r="D164" s="22" t="s">
        <v>1532</v>
      </c>
      <c r="E164" s="31" t="s">
        <v>19</v>
      </c>
      <c r="F164" s="22" t="s">
        <v>1558</v>
      </c>
      <c r="G164" s="52"/>
      <c r="H164" s="52"/>
    </row>
    <row r="165" customFormat="false" ht="24.75" hidden="false" customHeight="true" outlineLevel="0" collapsed="false">
      <c r="A165" s="22" t="s">
        <v>1559</v>
      </c>
      <c r="B165" s="22" t="s">
        <v>181</v>
      </c>
      <c r="C165" s="22" t="s">
        <v>13962</v>
      </c>
      <c r="D165" s="22" t="s">
        <v>1561</v>
      </c>
      <c r="E165" s="31" t="s">
        <v>19</v>
      </c>
      <c r="F165" s="22" t="s">
        <v>1588</v>
      </c>
      <c r="G165" s="52"/>
      <c r="H165" s="52"/>
    </row>
    <row r="166" customFormat="false" ht="49.5" hidden="false" customHeight="true" outlineLevel="0" collapsed="false">
      <c r="A166" s="22" t="s">
        <v>1589</v>
      </c>
      <c r="B166" s="22" t="s">
        <v>181</v>
      </c>
      <c r="C166" s="22" t="s">
        <v>13962</v>
      </c>
      <c r="D166" s="22" t="s">
        <v>1591</v>
      </c>
      <c r="E166" s="31" t="s">
        <v>19</v>
      </c>
      <c r="F166" s="22" t="s">
        <v>1617</v>
      </c>
      <c r="G166" s="52"/>
      <c r="H166" s="52"/>
    </row>
    <row r="167" customFormat="false" ht="24.75" hidden="false" customHeight="true" outlineLevel="0" collapsed="false">
      <c r="A167" s="22" t="s">
        <v>1618</v>
      </c>
      <c r="B167" s="22" t="s">
        <v>181</v>
      </c>
      <c r="C167" s="22" t="s">
        <v>13962</v>
      </c>
      <c r="D167" s="22" t="s">
        <v>1620</v>
      </c>
      <c r="E167" s="31" t="s">
        <v>19</v>
      </c>
      <c r="F167" s="22" t="s">
        <v>1645</v>
      </c>
      <c r="G167" s="52"/>
      <c r="H167" s="52"/>
    </row>
    <row r="168" customFormat="false" ht="24.75" hidden="false" customHeight="true" outlineLevel="0" collapsed="false">
      <c r="A168" s="22" t="s">
        <v>12917</v>
      </c>
      <c r="B168" s="22" t="s">
        <v>9248</v>
      </c>
      <c r="C168" s="22" t="s">
        <v>13960</v>
      </c>
      <c r="D168" s="22" t="s">
        <v>12919</v>
      </c>
      <c r="E168" s="31" t="s">
        <v>19</v>
      </c>
      <c r="F168" s="22" t="s">
        <v>12936</v>
      </c>
      <c r="G168" s="52"/>
      <c r="H168" s="52"/>
    </row>
    <row r="169" customFormat="false" ht="62.25" hidden="false" customHeight="true" outlineLevel="0" collapsed="false">
      <c r="A169" s="22" t="s">
        <v>11084</v>
      </c>
      <c r="B169" s="22" t="s">
        <v>9248</v>
      </c>
      <c r="C169" s="22" t="s">
        <v>13964</v>
      </c>
      <c r="D169" s="22" t="s">
        <v>11086</v>
      </c>
      <c r="E169" s="31" t="s">
        <v>19</v>
      </c>
      <c r="F169" s="22" t="s">
        <v>11103</v>
      </c>
      <c r="G169" s="52"/>
      <c r="H169" s="52"/>
    </row>
    <row r="170" customFormat="false" ht="75" hidden="false" customHeight="true" outlineLevel="0" collapsed="false">
      <c r="A170" s="22" t="s">
        <v>11163</v>
      </c>
      <c r="B170" s="22" t="s">
        <v>9248</v>
      </c>
      <c r="C170" s="22" t="s">
        <v>13964</v>
      </c>
      <c r="D170" s="22" t="s">
        <v>11165</v>
      </c>
      <c r="E170" s="31" t="s">
        <v>19</v>
      </c>
      <c r="F170" s="22" t="s">
        <v>11175</v>
      </c>
      <c r="G170" s="52"/>
      <c r="H170" s="52"/>
    </row>
    <row r="171" customFormat="false" ht="24.75" hidden="false" customHeight="true" outlineLevel="0" collapsed="false">
      <c r="A171" s="22" t="s">
        <v>11176</v>
      </c>
      <c r="B171" s="22" t="s">
        <v>9248</v>
      </c>
      <c r="C171" s="22" t="s">
        <v>13964</v>
      </c>
      <c r="D171" s="22" t="s">
        <v>11178</v>
      </c>
      <c r="E171" s="31" t="s">
        <v>19</v>
      </c>
      <c r="F171" s="22" t="s">
        <v>11187</v>
      </c>
      <c r="G171" s="52"/>
      <c r="H171" s="52"/>
    </row>
    <row r="172" customFormat="false" ht="24.75" hidden="false" customHeight="true" outlineLevel="0" collapsed="false">
      <c r="A172" s="22" t="s">
        <v>10153</v>
      </c>
      <c r="B172" s="22" t="s">
        <v>9248</v>
      </c>
      <c r="C172" s="22" t="s">
        <v>13964</v>
      </c>
      <c r="D172" s="22" t="s">
        <v>10155</v>
      </c>
      <c r="E172" s="31" t="s">
        <v>19</v>
      </c>
      <c r="F172" s="22" t="s">
        <v>10177</v>
      </c>
      <c r="G172" s="52"/>
      <c r="H172" s="52"/>
    </row>
    <row r="173" customFormat="false" ht="49.5" hidden="false" customHeight="true" outlineLevel="0" collapsed="false">
      <c r="A173" s="22" t="s">
        <v>10178</v>
      </c>
      <c r="B173" s="22" t="s">
        <v>9248</v>
      </c>
      <c r="C173" s="22" t="s">
        <v>13964</v>
      </c>
      <c r="D173" s="22" t="s">
        <v>10179</v>
      </c>
      <c r="E173" s="31" t="s">
        <v>19</v>
      </c>
      <c r="F173" s="22" t="s">
        <v>10198</v>
      </c>
      <c r="G173" s="52"/>
      <c r="H173" s="52"/>
    </row>
    <row r="174" customFormat="false" ht="49.5" hidden="false" customHeight="true" outlineLevel="0" collapsed="false">
      <c r="A174" s="22" t="s">
        <v>10199</v>
      </c>
      <c r="B174" s="22" t="s">
        <v>9248</v>
      </c>
      <c r="C174" s="22" t="s">
        <v>13964</v>
      </c>
      <c r="D174" s="22" t="s">
        <v>10200</v>
      </c>
      <c r="E174" s="31" t="s">
        <v>19</v>
      </c>
      <c r="F174" s="22" t="s">
        <v>10221</v>
      </c>
      <c r="G174" s="52"/>
      <c r="H174" s="52"/>
    </row>
    <row r="175" customFormat="false" ht="24.75" hidden="false" customHeight="true" outlineLevel="0" collapsed="false">
      <c r="A175" s="22" t="s">
        <v>10245</v>
      </c>
      <c r="B175" s="22" t="s">
        <v>9248</v>
      </c>
      <c r="C175" s="22" t="s">
        <v>13964</v>
      </c>
      <c r="D175" s="22" t="s">
        <v>10246</v>
      </c>
      <c r="E175" s="31" t="s">
        <v>19</v>
      </c>
      <c r="F175" s="22" t="s">
        <v>10266</v>
      </c>
      <c r="G175" s="52"/>
      <c r="H175" s="52"/>
    </row>
    <row r="176" customFormat="false" ht="24.75" hidden="false" customHeight="true" outlineLevel="0" collapsed="false">
      <c r="A176" s="22" t="s">
        <v>10307</v>
      </c>
      <c r="B176" s="22" t="s">
        <v>9248</v>
      </c>
      <c r="C176" s="22" t="s">
        <v>13964</v>
      </c>
      <c r="D176" s="22" t="s">
        <v>10309</v>
      </c>
      <c r="E176" s="31" t="s">
        <v>19</v>
      </c>
      <c r="F176" s="22" t="s">
        <v>10327</v>
      </c>
      <c r="G176" s="52"/>
      <c r="H176" s="52"/>
    </row>
    <row r="177" customFormat="false" ht="24.75" hidden="false" customHeight="true" outlineLevel="0" collapsed="false">
      <c r="A177" s="22" t="s">
        <v>10328</v>
      </c>
      <c r="B177" s="22" t="s">
        <v>9248</v>
      </c>
      <c r="C177" s="22" t="s">
        <v>13964</v>
      </c>
      <c r="D177" s="22" t="s">
        <v>10329</v>
      </c>
      <c r="E177" s="31" t="s">
        <v>19</v>
      </c>
      <c r="F177" s="22" t="s">
        <v>10342</v>
      </c>
      <c r="G177" s="52"/>
      <c r="H177" s="52"/>
    </row>
    <row r="178" customFormat="false" ht="24.75" hidden="false" customHeight="true" outlineLevel="0" collapsed="false">
      <c r="A178" s="22" t="s">
        <v>10343</v>
      </c>
      <c r="B178" s="22" t="s">
        <v>9248</v>
      </c>
      <c r="C178" s="22" t="s">
        <v>13964</v>
      </c>
      <c r="D178" s="22" t="s">
        <v>10344</v>
      </c>
      <c r="E178" s="31" t="s">
        <v>19</v>
      </c>
      <c r="F178" s="22" t="s">
        <v>10362</v>
      </c>
      <c r="G178" s="52"/>
      <c r="H178" s="52"/>
    </row>
    <row r="179" customFormat="false" ht="37.5" hidden="false" customHeight="true" outlineLevel="0" collapsed="false">
      <c r="A179" s="22" t="s">
        <v>10583</v>
      </c>
      <c r="B179" s="22" t="s">
        <v>9248</v>
      </c>
      <c r="C179" s="22" t="s">
        <v>13964</v>
      </c>
      <c r="D179" s="22" t="s">
        <v>10584</v>
      </c>
      <c r="E179" s="31" t="s">
        <v>19</v>
      </c>
      <c r="F179" s="22" t="s">
        <v>10600</v>
      </c>
      <c r="G179" s="52"/>
      <c r="H179" s="52"/>
    </row>
    <row r="180" customFormat="false" ht="37.5" hidden="false" customHeight="true" outlineLevel="0" collapsed="false">
      <c r="A180" s="22" t="s">
        <v>10617</v>
      </c>
      <c r="B180" s="22" t="s">
        <v>9248</v>
      </c>
      <c r="C180" s="22" t="s">
        <v>13964</v>
      </c>
      <c r="D180" s="22" t="s">
        <v>10619</v>
      </c>
      <c r="E180" s="31" t="s">
        <v>19</v>
      </c>
      <c r="F180" s="22" t="s">
        <v>10636</v>
      </c>
      <c r="G180" s="52"/>
      <c r="H180" s="52"/>
    </row>
    <row r="181" customFormat="false" ht="24.75" hidden="false" customHeight="true" outlineLevel="0" collapsed="false">
      <c r="A181" s="22" t="s">
        <v>10654</v>
      </c>
      <c r="B181" s="22" t="s">
        <v>9248</v>
      </c>
      <c r="C181" s="22" t="s">
        <v>13964</v>
      </c>
      <c r="D181" s="22" t="s">
        <v>10656</v>
      </c>
      <c r="E181" s="31" t="s">
        <v>19</v>
      </c>
      <c r="F181" s="22" t="s">
        <v>10669</v>
      </c>
      <c r="G181" s="52"/>
      <c r="H181" s="52"/>
    </row>
    <row r="182" customFormat="false" ht="37.5" hidden="false" customHeight="true" outlineLevel="0" collapsed="false">
      <c r="A182" s="22" t="s">
        <v>10670</v>
      </c>
      <c r="B182" s="22" t="s">
        <v>9248</v>
      </c>
      <c r="C182" s="22" t="s">
        <v>13964</v>
      </c>
      <c r="D182" s="22" t="s">
        <v>10672</v>
      </c>
      <c r="E182" s="31" t="s">
        <v>19</v>
      </c>
      <c r="F182" s="22" t="s">
        <v>10691</v>
      </c>
      <c r="G182" s="52"/>
      <c r="H182" s="52"/>
    </row>
    <row r="183" customFormat="false" ht="24.75" hidden="false" customHeight="true" outlineLevel="0" collapsed="false">
      <c r="A183" s="22" t="s">
        <v>10743</v>
      </c>
      <c r="B183" s="22" t="s">
        <v>9248</v>
      </c>
      <c r="C183" s="22" t="s">
        <v>13964</v>
      </c>
      <c r="D183" s="22" t="s">
        <v>10745</v>
      </c>
      <c r="E183" s="31" t="s">
        <v>19</v>
      </c>
      <c r="F183" s="22" t="s">
        <v>10761</v>
      </c>
      <c r="G183" s="52"/>
      <c r="H183" s="52"/>
    </row>
    <row r="184" customFormat="false" ht="37.5" hidden="false" customHeight="true" outlineLevel="0" collapsed="false">
      <c r="A184" s="22" t="s">
        <v>10876</v>
      </c>
      <c r="B184" s="22" t="s">
        <v>9248</v>
      </c>
      <c r="C184" s="22" t="s">
        <v>13964</v>
      </c>
      <c r="D184" s="22" t="s">
        <v>10878</v>
      </c>
      <c r="E184" s="31" t="s">
        <v>19</v>
      </c>
      <c r="F184" s="22" t="s">
        <v>10894</v>
      </c>
      <c r="G184" s="52"/>
      <c r="H184" s="52"/>
    </row>
    <row r="185" customFormat="false" ht="24.75" hidden="false" customHeight="true" outlineLevel="0" collapsed="false">
      <c r="A185" s="22" t="s">
        <v>10895</v>
      </c>
      <c r="B185" s="22" t="s">
        <v>9248</v>
      </c>
      <c r="C185" s="22" t="s">
        <v>13964</v>
      </c>
      <c r="D185" s="22" t="s">
        <v>10896</v>
      </c>
      <c r="E185" s="31" t="s">
        <v>19</v>
      </c>
      <c r="F185" s="22" t="s">
        <v>10908</v>
      </c>
      <c r="G185" s="52"/>
      <c r="H185" s="52"/>
    </row>
    <row r="186" customFormat="false" ht="24.75" hidden="false" customHeight="true" outlineLevel="0" collapsed="false">
      <c r="A186" s="22" t="s">
        <v>10941</v>
      </c>
      <c r="B186" s="22" t="s">
        <v>9248</v>
      </c>
      <c r="C186" s="22" t="s">
        <v>13964</v>
      </c>
      <c r="D186" s="22" t="s">
        <v>10943</v>
      </c>
      <c r="E186" s="31" t="s">
        <v>19</v>
      </c>
      <c r="F186" s="22" t="s">
        <v>10958</v>
      </c>
      <c r="G186" s="52"/>
      <c r="H186" s="52"/>
    </row>
    <row r="187" customFormat="false" ht="24.75" hidden="false" customHeight="true" outlineLevel="0" collapsed="false">
      <c r="A187" s="22" t="s">
        <v>10974</v>
      </c>
      <c r="B187" s="22" t="s">
        <v>9248</v>
      </c>
      <c r="C187" s="22" t="s">
        <v>13964</v>
      </c>
      <c r="D187" s="22" t="s">
        <v>10975</v>
      </c>
      <c r="E187" s="31" t="s">
        <v>19</v>
      </c>
      <c r="F187" s="22" t="s">
        <v>10988</v>
      </c>
      <c r="G187" s="52"/>
      <c r="H187" s="52"/>
    </row>
    <row r="188" customFormat="false" ht="24.75" hidden="false" customHeight="true" outlineLevel="0" collapsed="false">
      <c r="A188" s="22" t="s">
        <v>11025</v>
      </c>
      <c r="B188" s="22" t="s">
        <v>9248</v>
      </c>
      <c r="C188" s="22" t="s">
        <v>13964</v>
      </c>
      <c r="D188" s="22" t="s">
        <v>11026</v>
      </c>
      <c r="E188" s="31" t="s">
        <v>19</v>
      </c>
      <c r="F188" s="22" t="s">
        <v>11034</v>
      </c>
      <c r="G188" s="52"/>
      <c r="H188" s="52"/>
    </row>
    <row r="189" customFormat="false" ht="24.75" hidden="false" customHeight="true" outlineLevel="0" collapsed="false">
      <c r="A189" s="22" t="s">
        <v>13579</v>
      </c>
      <c r="B189" s="22" t="s">
        <v>9248</v>
      </c>
      <c r="C189" s="22" t="s">
        <v>13960</v>
      </c>
      <c r="D189" s="22" t="s">
        <v>13581</v>
      </c>
      <c r="E189" s="34" t="s">
        <v>17</v>
      </c>
      <c r="F189" s="22" t="s">
        <v>13599</v>
      </c>
      <c r="G189" s="52"/>
      <c r="H189" s="52"/>
    </row>
    <row r="190" customFormat="false" ht="24.75" hidden="false" customHeight="true" outlineLevel="0" collapsed="false">
      <c r="A190" s="22" t="s">
        <v>13652</v>
      </c>
      <c r="B190" s="22" t="s">
        <v>9248</v>
      </c>
      <c r="C190" s="22" t="s">
        <v>13960</v>
      </c>
      <c r="D190" s="22" t="s">
        <v>13654</v>
      </c>
      <c r="E190" s="34" t="s">
        <v>17</v>
      </c>
      <c r="F190" s="22" t="s">
        <v>1924</v>
      </c>
      <c r="G190" s="52"/>
      <c r="H190" s="52"/>
    </row>
    <row r="191" customFormat="false" ht="24.75" hidden="false" customHeight="true" outlineLevel="0" collapsed="false">
      <c r="A191" s="22" t="s">
        <v>13670</v>
      </c>
      <c r="B191" s="22" t="s">
        <v>9248</v>
      </c>
      <c r="C191" s="22" t="s">
        <v>13960</v>
      </c>
      <c r="D191" s="22" t="s">
        <v>13672</v>
      </c>
      <c r="E191" s="34" t="s">
        <v>17</v>
      </c>
      <c r="F191" s="22" t="s">
        <v>13965</v>
      </c>
      <c r="G191" s="52"/>
      <c r="H191" s="52"/>
    </row>
    <row r="192" customFormat="false" ht="37.5" hidden="false" customHeight="true" outlineLevel="0" collapsed="false">
      <c r="A192" s="22" t="s">
        <v>12766</v>
      </c>
      <c r="B192" s="22" t="s">
        <v>9248</v>
      </c>
      <c r="C192" s="22" t="s">
        <v>13960</v>
      </c>
      <c r="D192" s="22" t="s">
        <v>12768</v>
      </c>
      <c r="E192" s="34" t="s">
        <v>17</v>
      </c>
      <c r="F192" s="22" t="s">
        <v>12790</v>
      </c>
      <c r="G192" s="52"/>
      <c r="H192" s="52"/>
    </row>
    <row r="193" customFormat="false" ht="24.75" hidden="false" customHeight="true" outlineLevel="0" collapsed="false">
      <c r="A193" s="22" t="s">
        <v>12791</v>
      </c>
      <c r="B193" s="22" t="s">
        <v>9248</v>
      </c>
      <c r="C193" s="22" t="s">
        <v>13960</v>
      </c>
      <c r="D193" s="22" t="s">
        <v>12793</v>
      </c>
      <c r="E193" s="34" t="s">
        <v>17</v>
      </c>
      <c r="F193" s="22" t="s">
        <v>12812</v>
      </c>
      <c r="G193" s="52"/>
      <c r="H193" s="52"/>
    </row>
    <row r="194" customFormat="false" ht="24.75" hidden="false" customHeight="true" outlineLevel="0" collapsed="false">
      <c r="A194" s="22" t="s">
        <v>12813</v>
      </c>
      <c r="B194" s="22" t="s">
        <v>9248</v>
      </c>
      <c r="C194" s="22" t="s">
        <v>13960</v>
      </c>
      <c r="D194" s="22" t="s">
        <v>12815</v>
      </c>
      <c r="E194" s="34" t="s">
        <v>17</v>
      </c>
      <c r="F194" s="22" t="s">
        <v>12833</v>
      </c>
      <c r="G194" s="52"/>
      <c r="H194" s="52"/>
    </row>
    <row r="195" customFormat="false" ht="37.5" hidden="false" customHeight="true" outlineLevel="0" collapsed="false">
      <c r="A195" s="22" t="s">
        <v>13286</v>
      </c>
      <c r="B195" s="22" t="s">
        <v>9248</v>
      </c>
      <c r="C195" s="22" t="s">
        <v>13960</v>
      </c>
      <c r="D195" s="22" t="s">
        <v>13356</v>
      </c>
      <c r="E195" s="34" t="s">
        <v>17</v>
      </c>
      <c r="F195" s="22" t="s">
        <v>13374</v>
      </c>
      <c r="G195" s="52"/>
      <c r="H195" s="52"/>
    </row>
    <row r="196" customFormat="false" ht="49.5" hidden="false" customHeight="true" outlineLevel="0" collapsed="false">
      <c r="A196" s="22" t="s">
        <v>11189</v>
      </c>
      <c r="B196" s="22" t="s">
        <v>9248</v>
      </c>
      <c r="C196" s="22" t="s">
        <v>60</v>
      </c>
      <c r="D196" s="22" t="s">
        <v>11191</v>
      </c>
      <c r="E196" s="34" t="s">
        <v>17</v>
      </c>
      <c r="F196" s="22" t="s">
        <v>11210</v>
      </c>
      <c r="G196" s="52"/>
      <c r="H196" s="52"/>
    </row>
    <row r="197" customFormat="false" ht="24.75" hidden="false" customHeight="true" outlineLevel="0" collapsed="false">
      <c r="A197" s="22" t="s">
        <v>11400</v>
      </c>
      <c r="B197" s="22" t="s">
        <v>9248</v>
      </c>
      <c r="C197" s="22" t="s">
        <v>60</v>
      </c>
      <c r="D197" s="22" t="s">
        <v>11401</v>
      </c>
      <c r="E197" s="34" t="s">
        <v>17</v>
      </c>
      <c r="F197" s="22" t="s">
        <v>11421</v>
      </c>
      <c r="G197" s="52"/>
      <c r="H197" s="52"/>
    </row>
    <row r="198" customFormat="false" ht="237" hidden="false" customHeight="true" outlineLevel="0" collapsed="false">
      <c r="A198" s="22" t="s">
        <v>11667</v>
      </c>
      <c r="B198" s="22" t="s">
        <v>9248</v>
      </c>
      <c r="C198" s="22" t="s">
        <v>60</v>
      </c>
      <c r="D198" s="22" t="s">
        <v>11668</v>
      </c>
      <c r="E198" s="34" t="s">
        <v>17</v>
      </c>
      <c r="F198" s="22" t="s">
        <v>11689</v>
      </c>
      <c r="G198" s="52"/>
      <c r="H198" s="52"/>
    </row>
    <row r="199" customFormat="false" ht="24.75" hidden="false" customHeight="true" outlineLevel="0" collapsed="false">
      <c r="A199" s="22" t="s">
        <v>11824</v>
      </c>
      <c r="B199" s="22" t="s">
        <v>9248</v>
      </c>
      <c r="C199" s="22" t="s">
        <v>60</v>
      </c>
      <c r="D199" s="22" t="s">
        <v>11826</v>
      </c>
      <c r="E199" s="34" t="s">
        <v>17</v>
      </c>
      <c r="F199" s="22" t="s">
        <v>11844</v>
      </c>
      <c r="G199" s="52"/>
      <c r="H199" s="52"/>
    </row>
    <row r="200" customFormat="false" ht="24.75" hidden="false" customHeight="true" outlineLevel="0" collapsed="false">
      <c r="A200" s="22" t="s">
        <v>11890</v>
      </c>
      <c r="B200" s="22" t="s">
        <v>9248</v>
      </c>
      <c r="C200" s="22" t="s">
        <v>60</v>
      </c>
      <c r="D200" s="22" t="s">
        <v>11892</v>
      </c>
      <c r="E200" s="34" t="s">
        <v>17</v>
      </c>
      <c r="F200" s="22" t="s">
        <v>11910</v>
      </c>
      <c r="G200" s="52"/>
      <c r="H200" s="52"/>
    </row>
    <row r="201" customFormat="false" ht="37.5" hidden="false" customHeight="true" outlineLevel="0" collapsed="false">
      <c r="A201" s="22" t="s">
        <v>9743</v>
      </c>
      <c r="B201" s="22" t="s">
        <v>9248</v>
      </c>
      <c r="C201" s="22" t="s">
        <v>50</v>
      </c>
      <c r="D201" s="22" t="s">
        <v>9744</v>
      </c>
      <c r="E201" s="34" t="s">
        <v>17</v>
      </c>
      <c r="F201" s="22" t="s">
        <v>9762</v>
      </c>
      <c r="G201" s="52"/>
      <c r="H201" s="52"/>
    </row>
    <row r="202" customFormat="false" ht="24.75" hidden="false" customHeight="true" outlineLevel="0" collapsed="false">
      <c r="A202" s="22" t="s">
        <v>12976</v>
      </c>
      <c r="B202" s="22" t="s">
        <v>9248</v>
      </c>
      <c r="C202" s="22" t="s">
        <v>13960</v>
      </c>
      <c r="D202" s="22" t="s">
        <v>12978</v>
      </c>
      <c r="E202" s="34" t="s">
        <v>17</v>
      </c>
      <c r="F202" s="22" t="s">
        <v>13965</v>
      </c>
      <c r="G202" s="52"/>
      <c r="H202" s="52"/>
    </row>
    <row r="203" customFormat="false" ht="24.75" hidden="false" customHeight="true" outlineLevel="0" collapsed="false">
      <c r="A203" s="22" t="s">
        <v>13087</v>
      </c>
      <c r="B203" s="22" t="s">
        <v>9248</v>
      </c>
      <c r="C203" s="22" t="s">
        <v>13960</v>
      </c>
      <c r="D203" s="22" t="s">
        <v>13089</v>
      </c>
      <c r="E203" s="34" t="s">
        <v>17</v>
      </c>
      <c r="F203" s="22" t="s">
        <v>13965</v>
      </c>
      <c r="G203" s="52"/>
      <c r="H203" s="52"/>
    </row>
    <row r="204" customFormat="false" ht="37.5" hidden="false" customHeight="true" outlineLevel="0" collapsed="false">
      <c r="A204" s="22" t="s">
        <v>13123</v>
      </c>
      <c r="B204" s="22" t="s">
        <v>9248</v>
      </c>
      <c r="C204" s="22" t="s">
        <v>13960</v>
      </c>
      <c r="D204" s="22" t="s">
        <v>13125</v>
      </c>
      <c r="E204" s="34" t="s">
        <v>17</v>
      </c>
      <c r="F204" s="22" t="s">
        <v>13144</v>
      </c>
      <c r="G204" s="52"/>
      <c r="H204" s="52"/>
    </row>
    <row r="205" customFormat="false" ht="24.75" hidden="false" customHeight="true" outlineLevel="0" collapsed="false">
      <c r="A205" s="22" t="s">
        <v>13503</v>
      </c>
      <c r="B205" s="22" t="s">
        <v>9248</v>
      </c>
      <c r="C205" s="22" t="s">
        <v>13960</v>
      </c>
      <c r="D205" s="22" t="s">
        <v>13505</v>
      </c>
      <c r="E205" s="34" t="s">
        <v>17</v>
      </c>
      <c r="F205" s="22" t="s">
        <v>13522</v>
      </c>
      <c r="G205" s="52"/>
      <c r="H205" s="52"/>
    </row>
    <row r="206" customFormat="false" ht="37.5" hidden="false" customHeight="true" outlineLevel="0" collapsed="false">
      <c r="A206" s="22" t="s">
        <v>12171</v>
      </c>
      <c r="B206" s="22" t="s">
        <v>9248</v>
      </c>
      <c r="C206" s="22" t="s">
        <v>13961</v>
      </c>
      <c r="D206" s="22" t="s">
        <v>12173</v>
      </c>
      <c r="E206" s="34" t="s">
        <v>17</v>
      </c>
      <c r="F206" s="22" t="s">
        <v>12193</v>
      </c>
      <c r="G206" s="52"/>
      <c r="H206" s="52"/>
    </row>
    <row r="207" customFormat="false" ht="24.75" hidden="false" customHeight="true" outlineLevel="0" collapsed="false">
      <c r="A207" s="22" t="s">
        <v>12359</v>
      </c>
      <c r="B207" s="22" t="s">
        <v>9248</v>
      </c>
      <c r="C207" s="22" t="s">
        <v>13961</v>
      </c>
      <c r="D207" s="22" t="s">
        <v>12361</v>
      </c>
      <c r="E207" s="34" t="s">
        <v>17</v>
      </c>
      <c r="F207" s="22" t="s">
        <v>12381</v>
      </c>
      <c r="G207" s="52"/>
      <c r="H207" s="52"/>
    </row>
    <row r="208" customFormat="false" ht="24.75" hidden="false" customHeight="true" outlineLevel="0" collapsed="false">
      <c r="A208" s="22" t="s">
        <v>12382</v>
      </c>
      <c r="B208" s="22" t="s">
        <v>9248</v>
      </c>
      <c r="C208" s="22" t="s">
        <v>13961</v>
      </c>
      <c r="D208" s="22" t="s">
        <v>12384</v>
      </c>
      <c r="E208" s="34" t="s">
        <v>17</v>
      </c>
      <c r="F208" s="22" t="s">
        <v>12402</v>
      </c>
      <c r="G208" s="52"/>
      <c r="H208" s="52"/>
    </row>
    <row r="209" customFormat="false" ht="24.75" hidden="false" customHeight="true" outlineLevel="0" collapsed="false">
      <c r="A209" s="22" t="s">
        <v>12403</v>
      </c>
      <c r="B209" s="22" t="s">
        <v>9248</v>
      </c>
      <c r="C209" s="22" t="s">
        <v>13961</v>
      </c>
      <c r="D209" s="22" t="s">
        <v>12405</v>
      </c>
      <c r="E209" s="34" t="s">
        <v>17</v>
      </c>
      <c r="F209" s="22" t="s">
        <v>12424</v>
      </c>
      <c r="G209" s="52"/>
      <c r="H209" s="52"/>
    </row>
    <row r="210" customFormat="false" ht="24.75" hidden="false" customHeight="true" outlineLevel="0" collapsed="false">
      <c r="A210" s="22" t="s">
        <v>12425</v>
      </c>
      <c r="B210" s="22" t="s">
        <v>9248</v>
      </c>
      <c r="C210" s="22" t="s">
        <v>13961</v>
      </c>
      <c r="D210" s="22" t="s">
        <v>12427</v>
      </c>
      <c r="E210" s="34" t="s">
        <v>17</v>
      </c>
      <c r="F210" s="22" t="s">
        <v>12442</v>
      </c>
      <c r="G210" s="52"/>
      <c r="H210" s="52"/>
    </row>
    <row r="211" customFormat="false" ht="24.75" hidden="false" customHeight="true" outlineLevel="0" collapsed="false">
      <c r="A211" s="22" t="s">
        <v>12443</v>
      </c>
      <c r="B211" s="22" t="s">
        <v>9248</v>
      </c>
      <c r="C211" s="22" t="s">
        <v>13961</v>
      </c>
      <c r="D211" s="22" t="s">
        <v>12445</v>
      </c>
      <c r="E211" s="34" t="s">
        <v>17</v>
      </c>
      <c r="F211" s="22" t="s">
        <v>12461</v>
      </c>
      <c r="G211" s="52"/>
      <c r="H211" s="52"/>
    </row>
    <row r="212" customFormat="false" ht="24.75" hidden="false" customHeight="true" outlineLevel="0" collapsed="false">
      <c r="A212" s="22" t="s">
        <v>12462</v>
      </c>
      <c r="B212" s="22" t="s">
        <v>9248</v>
      </c>
      <c r="C212" s="22" t="s">
        <v>13961</v>
      </c>
      <c r="D212" s="22" t="s">
        <v>12464</v>
      </c>
      <c r="E212" s="34" t="s">
        <v>17</v>
      </c>
      <c r="F212" s="22" t="s">
        <v>12479</v>
      </c>
      <c r="G212" s="52"/>
      <c r="H212" s="52"/>
    </row>
    <row r="213" customFormat="false" ht="24.75" hidden="false" customHeight="true" outlineLevel="0" collapsed="false">
      <c r="A213" s="22" t="s">
        <v>12573</v>
      </c>
      <c r="B213" s="22" t="s">
        <v>9248</v>
      </c>
      <c r="C213" s="22" t="s">
        <v>13961</v>
      </c>
      <c r="D213" s="22" t="s">
        <v>12575</v>
      </c>
      <c r="E213" s="34" t="s">
        <v>17</v>
      </c>
      <c r="F213" s="22" t="s">
        <v>12594</v>
      </c>
      <c r="G213" s="52"/>
      <c r="H213" s="52"/>
    </row>
    <row r="214" customFormat="false" ht="87" hidden="false" customHeight="true" outlineLevel="0" collapsed="false">
      <c r="A214" s="22" t="s">
        <v>12595</v>
      </c>
      <c r="B214" s="22" t="s">
        <v>9248</v>
      </c>
      <c r="C214" s="22" t="s">
        <v>13961</v>
      </c>
      <c r="D214" s="22" t="s">
        <v>12597</v>
      </c>
      <c r="E214" s="34" t="s">
        <v>17</v>
      </c>
      <c r="F214" s="22" t="s">
        <v>12618</v>
      </c>
      <c r="G214" s="52"/>
      <c r="H214" s="52"/>
    </row>
    <row r="215" customFormat="false" ht="24.75" hidden="false" customHeight="true" outlineLevel="0" collapsed="false">
      <c r="A215" s="22" t="s">
        <v>2400</v>
      </c>
      <c r="B215" s="22" t="s">
        <v>181</v>
      </c>
      <c r="C215" s="22" t="s">
        <v>13962</v>
      </c>
      <c r="D215" s="22" t="s">
        <v>2402</v>
      </c>
      <c r="E215" s="34" t="s">
        <v>17</v>
      </c>
      <c r="F215" s="22" t="s">
        <v>2424</v>
      </c>
      <c r="G215" s="52"/>
      <c r="H215" s="52"/>
    </row>
    <row r="216" customFormat="false" ht="24.75" hidden="false" customHeight="true" outlineLevel="0" collapsed="false">
      <c r="A216" s="22" t="s">
        <v>2638</v>
      </c>
      <c r="B216" s="22" t="s">
        <v>181</v>
      </c>
      <c r="C216" s="22" t="s">
        <v>13962</v>
      </c>
      <c r="D216" s="22" t="s">
        <v>2640</v>
      </c>
      <c r="E216" s="34" t="s">
        <v>17</v>
      </c>
      <c r="F216" s="22" t="s">
        <v>2663</v>
      </c>
      <c r="G216" s="52"/>
      <c r="H216" s="52"/>
    </row>
    <row r="217" customFormat="false" ht="24.75" hidden="false" customHeight="true" outlineLevel="0" collapsed="false">
      <c r="A217" s="22" t="s">
        <v>2664</v>
      </c>
      <c r="B217" s="22" t="s">
        <v>181</v>
      </c>
      <c r="C217" s="22" t="s">
        <v>13962</v>
      </c>
      <c r="D217" s="22" t="s">
        <v>2666</v>
      </c>
      <c r="E217" s="34" t="s">
        <v>17</v>
      </c>
      <c r="F217" s="22" t="s">
        <v>2690</v>
      </c>
      <c r="G217" s="52"/>
      <c r="H217" s="52"/>
    </row>
    <row r="218" customFormat="false" ht="24.75" hidden="false" customHeight="true" outlineLevel="0" collapsed="false">
      <c r="A218" s="22" t="s">
        <v>2374</v>
      </c>
      <c r="B218" s="22" t="s">
        <v>181</v>
      </c>
      <c r="C218" s="22" t="s">
        <v>13962</v>
      </c>
      <c r="D218" s="22" t="s">
        <v>2376</v>
      </c>
      <c r="E218" s="34" t="s">
        <v>17</v>
      </c>
      <c r="F218" s="22" t="s">
        <v>2399</v>
      </c>
      <c r="G218" s="52"/>
      <c r="H218" s="52"/>
    </row>
    <row r="219" customFormat="false" ht="37.5" hidden="false" customHeight="true" outlineLevel="0" collapsed="false">
      <c r="A219" s="22" t="s">
        <v>410</v>
      </c>
      <c r="B219" s="22" t="s">
        <v>181</v>
      </c>
      <c r="C219" s="22" t="s">
        <v>13963</v>
      </c>
      <c r="D219" s="22" t="s">
        <v>411</v>
      </c>
      <c r="E219" s="34" t="s">
        <v>17</v>
      </c>
      <c r="F219" s="22" t="s">
        <v>434</v>
      </c>
      <c r="G219" s="52"/>
      <c r="H219" s="52"/>
    </row>
    <row r="220" customFormat="false" ht="24.75" hidden="false" customHeight="true" outlineLevel="0" collapsed="false">
      <c r="A220" s="22" t="s">
        <v>435</v>
      </c>
      <c r="B220" s="22" t="s">
        <v>181</v>
      </c>
      <c r="C220" s="22" t="s">
        <v>13963</v>
      </c>
      <c r="D220" s="22" t="s">
        <v>437</v>
      </c>
      <c r="E220" s="34" t="s">
        <v>17</v>
      </c>
      <c r="F220" s="22" t="s">
        <v>463</v>
      </c>
      <c r="G220" s="52"/>
      <c r="H220" s="52"/>
    </row>
    <row r="221" customFormat="false" ht="37.5" hidden="false" customHeight="true" outlineLevel="0" collapsed="false">
      <c r="A221" s="22" t="s">
        <v>717</v>
      </c>
      <c r="B221" s="22" t="s">
        <v>181</v>
      </c>
      <c r="C221" s="22" t="s">
        <v>13963</v>
      </c>
      <c r="D221" s="22" t="s">
        <v>718</v>
      </c>
      <c r="E221" s="34" t="s">
        <v>17</v>
      </c>
      <c r="F221" s="22" t="s">
        <v>744</v>
      </c>
      <c r="G221" s="52"/>
      <c r="H221" s="52"/>
    </row>
    <row r="222" customFormat="false" ht="37.5" hidden="false" customHeight="true" outlineLevel="0" collapsed="false">
      <c r="A222" s="22" t="s">
        <v>745</v>
      </c>
      <c r="B222" s="22" t="s">
        <v>181</v>
      </c>
      <c r="C222" s="22" t="s">
        <v>13963</v>
      </c>
      <c r="D222" s="22" t="s">
        <v>747</v>
      </c>
      <c r="E222" s="34" t="s">
        <v>17</v>
      </c>
      <c r="F222" s="22" t="s">
        <v>773</v>
      </c>
      <c r="G222" s="52"/>
      <c r="H222" s="52"/>
    </row>
    <row r="223" customFormat="false" ht="37.5" hidden="false" customHeight="true" outlineLevel="0" collapsed="false">
      <c r="A223" s="22" t="s">
        <v>1898</v>
      </c>
      <c r="B223" s="22" t="s">
        <v>181</v>
      </c>
      <c r="C223" s="22" t="s">
        <v>13962</v>
      </c>
      <c r="D223" s="22" t="s">
        <v>1900</v>
      </c>
      <c r="E223" s="34" t="s">
        <v>17</v>
      </c>
      <c r="F223" s="22" t="s">
        <v>1924</v>
      </c>
      <c r="G223" s="52"/>
      <c r="H223" s="52"/>
    </row>
    <row r="224" customFormat="false" ht="24.75" hidden="false" customHeight="true" outlineLevel="0" collapsed="false">
      <c r="A224" s="22" t="s">
        <v>2095</v>
      </c>
      <c r="B224" s="22" t="s">
        <v>181</v>
      </c>
      <c r="C224" s="22" t="s">
        <v>13962</v>
      </c>
      <c r="D224" s="22" t="s">
        <v>2097</v>
      </c>
      <c r="E224" s="34" t="s">
        <v>17</v>
      </c>
      <c r="F224" s="22" t="s">
        <v>2124</v>
      </c>
      <c r="G224" s="52"/>
      <c r="H224" s="52"/>
    </row>
    <row r="225" customFormat="false" ht="24.75" hidden="false" customHeight="true" outlineLevel="0" collapsed="false">
      <c r="A225" s="22" t="s">
        <v>2125</v>
      </c>
      <c r="B225" s="22" t="s">
        <v>181</v>
      </c>
      <c r="C225" s="22" t="s">
        <v>13962</v>
      </c>
      <c r="D225" s="22" t="s">
        <v>2127</v>
      </c>
      <c r="E225" s="34" t="s">
        <v>17</v>
      </c>
      <c r="F225" s="22" t="s">
        <v>2152</v>
      </c>
      <c r="G225" s="52"/>
      <c r="H225" s="52"/>
    </row>
    <row r="226" customFormat="false" ht="37.5" hidden="false" customHeight="true" outlineLevel="0" collapsed="false">
      <c r="A226" s="22" t="s">
        <v>2181</v>
      </c>
      <c r="B226" s="22" t="s">
        <v>181</v>
      </c>
      <c r="C226" s="22" t="s">
        <v>13962</v>
      </c>
      <c r="D226" s="22" t="s">
        <v>2183</v>
      </c>
      <c r="E226" s="34" t="s">
        <v>17</v>
      </c>
      <c r="F226" s="22" t="s">
        <v>2207</v>
      </c>
      <c r="G226" s="52"/>
      <c r="H226" s="52"/>
    </row>
    <row r="227" customFormat="false" ht="24.75" hidden="false" customHeight="true" outlineLevel="0" collapsed="false">
      <c r="A227" s="22" t="s">
        <v>12879</v>
      </c>
      <c r="B227" s="22" t="s">
        <v>9248</v>
      </c>
      <c r="C227" s="22" t="s">
        <v>13960</v>
      </c>
      <c r="D227" s="22" t="s">
        <v>12881</v>
      </c>
      <c r="E227" s="34" t="s">
        <v>17</v>
      </c>
      <c r="F227" s="22" t="s">
        <v>12898</v>
      </c>
      <c r="G227" s="52"/>
      <c r="H227" s="52"/>
    </row>
    <row r="228" customFormat="false" ht="24.75" hidden="false" customHeight="true" outlineLevel="0" collapsed="false">
      <c r="A228" s="22" t="s">
        <v>12899</v>
      </c>
      <c r="B228" s="22" t="s">
        <v>9248</v>
      </c>
      <c r="C228" s="22" t="s">
        <v>13960</v>
      </c>
      <c r="D228" s="22" t="s">
        <v>12901</v>
      </c>
      <c r="E228" s="34" t="s">
        <v>17</v>
      </c>
      <c r="F228" s="22" t="s">
        <v>13965</v>
      </c>
      <c r="G228" s="52"/>
      <c r="H228" s="52"/>
    </row>
    <row r="229" customFormat="false" ht="24.75" hidden="false" customHeight="true" outlineLevel="0" collapsed="false">
      <c r="A229" s="22" t="s">
        <v>12937</v>
      </c>
      <c r="B229" s="22" t="s">
        <v>9248</v>
      </c>
      <c r="C229" s="22" t="s">
        <v>13960</v>
      </c>
      <c r="D229" s="22" t="s">
        <v>12939</v>
      </c>
      <c r="E229" s="34" t="s">
        <v>17</v>
      </c>
      <c r="F229" s="22" t="s">
        <v>13965</v>
      </c>
      <c r="G229" s="52"/>
      <c r="H229" s="52"/>
    </row>
    <row r="230" customFormat="false" ht="24.75" hidden="false" customHeight="true" outlineLevel="0" collapsed="false">
      <c r="A230" s="22" t="s">
        <v>12955</v>
      </c>
      <c r="B230" s="22" t="s">
        <v>9248</v>
      </c>
      <c r="C230" s="22" t="s">
        <v>13960</v>
      </c>
      <c r="D230" s="22" t="s">
        <v>12957</v>
      </c>
      <c r="E230" s="34" t="s">
        <v>17</v>
      </c>
      <c r="F230" s="22" t="s">
        <v>13965</v>
      </c>
      <c r="G230" s="52"/>
      <c r="H230" s="52"/>
    </row>
    <row r="231" customFormat="false" ht="24.75" hidden="false" customHeight="true" outlineLevel="0" collapsed="false">
      <c r="A231" s="22" t="s">
        <v>11007</v>
      </c>
      <c r="B231" s="22" t="s">
        <v>9248</v>
      </c>
      <c r="C231" s="22" t="s">
        <v>13964</v>
      </c>
      <c r="D231" s="22" t="s">
        <v>11009</v>
      </c>
      <c r="E231" s="34" t="s">
        <v>17</v>
      </c>
      <c r="F231" s="22" t="s">
        <v>11024</v>
      </c>
      <c r="G231" s="52"/>
      <c r="H231" s="52"/>
    </row>
  </sheetData>
  <autoFilter ref="A4:H231"/>
  <mergeCells count="2">
    <mergeCell ref="A1:G1"/>
    <mergeCell ref="A2:H2"/>
  </mergeCells>
  <hyperlinks>
    <hyperlink ref="H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F8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45"/>
    <col collapsed="false" customWidth="true" hidden="false" outlineLevel="0" max="4" min="4" style="0" width="50"/>
    <col collapsed="false" customWidth="true" hidden="false" outlineLevel="0" max="5" min="5" style="0" width="18"/>
    <col collapsed="false" customWidth="true" hidden="false" outlineLevel="0" max="6" min="6" style="0" width="55"/>
  </cols>
  <sheetData>
    <row r="1" customFormat="false" ht="30" hidden="false" customHeight="true" outlineLevel="0" collapsed="false">
      <c r="A1" s="18" t="s">
        <v>13966</v>
      </c>
      <c r="B1" s="18"/>
      <c r="C1" s="18"/>
      <c r="D1" s="18"/>
      <c r="E1" s="18"/>
      <c r="F1" s="19" t="s">
        <v>29</v>
      </c>
    </row>
    <row r="2" customFormat="false" ht="31.5" hidden="false" customHeight="true" outlineLevel="0" collapsed="false">
      <c r="A2" s="20" t="s">
        <v>13967</v>
      </c>
      <c r="B2" s="20"/>
      <c r="C2" s="20"/>
      <c r="D2" s="20"/>
      <c r="E2" s="20"/>
      <c r="F2" s="20"/>
    </row>
    <row r="4" customFormat="false" ht="33.75" hidden="false" customHeight="true" outlineLevel="0" collapsed="false">
      <c r="A4" s="21" t="s">
        <v>13956</v>
      </c>
      <c r="B4" s="21" t="s">
        <v>7706</v>
      </c>
      <c r="C4" s="21" t="s">
        <v>13968</v>
      </c>
      <c r="D4" s="21" t="s">
        <v>13969</v>
      </c>
      <c r="E4" s="21" t="s">
        <v>13970</v>
      </c>
      <c r="F4" s="21" t="s">
        <v>3430</v>
      </c>
    </row>
    <row r="5" customFormat="false" ht="24.75" hidden="false" customHeight="true" outlineLevel="0" collapsed="false">
      <c r="A5" s="22" t="s">
        <v>50</v>
      </c>
      <c r="B5" s="22" t="s">
        <v>13971</v>
      </c>
      <c r="C5" s="22" t="s">
        <v>13972</v>
      </c>
      <c r="D5" s="22" t="s">
        <v>13973</v>
      </c>
      <c r="E5" s="22" t="s">
        <v>13974</v>
      </c>
      <c r="F5" s="23" t="s">
        <v>13710</v>
      </c>
    </row>
    <row r="6" customFormat="false" ht="24.75" hidden="false" customHeight="true" outlineLevel="0" collapsed="false">
      <c r="A6" s="22" t="s">
        <v>50</v>
      </c>
      <c r="B6" s="22" t="s">
        <v>13975</v>
      </c>
      <c r="C6" s="22" t="s">
        <v>13976</v>
      </c>
      <c r="D6" s="22" t="s">
        <v>13977</v>
      </c>
      <c r="E6" s="22" t="s">
        <v>13691</v>
      </c>
      <c r="F6" s="23" t="s">
        <v>13710</v>
      </c>
    </row>
    <row r="7" customFormat="false" ht="15" hidden="false" customHeight="true" outlineLevel="0" collapsed="false">
      <c r="A7" s="22" t="s">
        <v>50</v>
      </c>
      <c r="B7" s="22" t="s">
        <v>13978</v>
      </c>
      <c r="C7" s="22" t="s">
        <v>13763</v>
      </c>
      <c r="D7" s="22" t="s">
        <v>13979</v>
      </c>
      <c r="E7" s="22" t="s">
        <v>13691</v>
      </c>
      <c r="F7" s="23" t="s">
        <v>13765</v>
      </c>
    </row>
    <row r="8" customFormat="false" ht="24.75" hidden="false" customHeight="true" outlineLevel="0" collapsed="false">
      <c r="A8" s="22" t="s">
        <v>50</v>
      </c>
      <c r="B8" s="22" t="s">
        <v>13980</v>
      </c>
      <c r="C8" s="22" t="s">
        <v>13981</v>
      </c>
      <c r="D8" s="22" t="s">
        <v>13982</v>
      </c>
      <c r="E8" s="22" t="s">
        <v>13983</v>
      </c>
      <c r="F8" s="23" t="s">
        <v>13984</v>
      </c>
    </row>
    <row r="9" customFormat="false" ht="24.75" hidden="false" customHeight="true" outlineLevel="0" collapsed="false">
      <c r="A9" s="22" t="s">
        <v>50</v>
      </c>
      <c r="B9" s="22" t="s">
        <v>13985</v>
      </c>
      <c r="C9" s="22" t="s">
        <v>13986</v>
      </c>
      <c r="D9" s="22" t="s">
        <v>13987</v>
      </c>
      <c r="E9" s="22" t="s">
        <v>13988</v>
      </c>
      <c r="F9" s="23" t="s">
        <v>13984</v>
      </c>
    </row>
    <row r="10" customFormat="false" ht="24.75" hidden="false" customHeight="true" outlineLevel="0" collapsed="false">
      <c r="A10" s="22" t="s">
        <v>50</v>
      </c>
      <c r="B10" s="22" t="s">
        <v>13989</v>
      </c>
      <c r="C10" s="22" t="s">
        <v>13990</v>
      </c>
      <c r="D10" s="22" t="s">
        <v>13991</v>
      </c>
      <c r="E10" s="22" t="s">
        <v>13992</v>
      </c>
      <c r="F10" s="23" t="s">
        <v>13993</v>
      </c>
    </row>
    <row r="11" customFormat="false" ht="24.75" hidden="false" customHeight="true" outlineLevel="0" collapsed="false">
      <c r="A11" s="22" t="s">
        <v>50</v>
      </c>
      <c r="B11" s="22" t="s">
        <v>13994</v>
      </c>
      <c r="C11" s="22" t="s">
        <v>13995</v>
      </c>
      <c r="D11" s="22" t="s">
        <v>13996</v>
      </c>
      <c r="E11" s="22" t="s">
        <v>13992</v>
      </c>
      <c r="F11" s="23" t="s">
        <v>13997</v>
      </c>
    </row>
    <row r="12" customFormat="false" ht="24.75" hidden="false" customHeight="true" outlineLevel="0" collapsed="false">
      <c r="A12" s="22" t="s">
        <v>50</v>
      </c>
      <c r="B12" s="22" t="s">
        <v>13998</v>
      </c>
      <c r="C12" s="22" t="s">
        <v>13999</v>
      </c>
      <c r="D12" s="22" t="s">
        <v>14000</v>
      </c>
      <c r="E12" s="22" t="s">
        <v>13992</v>
      </c>
      <c r="F12" s="23" t="s">
        <v>13993</v>
      </c>
    </row>
    <row r="13" customFormat="false" ht="62.25" hidden="false" customHeight="true" outlineLevel="0" collapsed="false">
      <c r="A13" s="22" t="s">
        <v>50</v>
      </c>
      <c r="B13" s="22" t="s">
        <v>14001</v>
      </c>
      <c r="C13" s="22" t="s">
        <v>14002</v>
      </c>
      <c r="D13" s="22" t="s">
        <v>14003</v>
      </c>
      <c r="E13" s="22" t="s">
        <v>14004</v>
      </c>
      <c r="F13" s="23" t="s">
        <v>14005</v>
      </c>
    </row>
    <row r="14" customFormat="false" ht="49.5" hidden="false" customHeight="true" outlineLevel="0" collapsed="false">
      <c r="A14" s="22" t="s">
        <v>50</v>
      </c>
      <c r="B14" s="22" t="s">
        <v>14006</v>
      </c>
      <c r="C14" s="22" t="s">
        <v>14007</v>
      </c>
      <c r="D14" s="22" t="s">
        <v>14008</v>
      </c>
      <c r="E14" s="22" t="s">
        <v>14009</v>
      </c>
      <c r="F14" s="23" t="s">
        <v>14005</v>
      </c>
    </row>
    <row r="15" customFormat="false" ht="24.75" hidden="false" customHeight="true" outlineLevel="0" collapsed="false">
      <c r="A15" s="22" t="s">
        <v>50</v>
      </c>
      <c r="B15" s="22" t="s">
        <v>14010</v>
      </c>
      <c r="C15" s="22" t="s">
        <v>14011</v>
      </c>
      <c r="D15" s="22" t="s">
        <v>14012</v>
      </c>
      <c r="E15" s="22" t="s">
        <v>14013</v>
      </c>
      <c r="F15" s="23" t="s">
        <v>14014</v>
      </c>
    </row>
    <row r="16" customFormat="false" ht="24.75" hidden="false" customHeight="true" outlineLevel="0" collapsed="false">
      <c r="A16" s="22" t="s">
        <v>50</v>
      </c>
      <c r="B16" s="22" t="s">
        <v>14015</v>
      </c>
      <c r="C16" s="22" t="s">
        <v>14016</v>
      </c>
      <c r="D16" s="22" t="s">
        <v>14017</v>
      </c>
      <c r="E16" s="22" t="s">
        <v>14018</v>
      </c>
      <c r="F16" s="23" t="s">
        <v>14005</v>
      </c>
    </row>
    <row r="17" customFormat="false" ht="15" hidden="false" customHeight="true" outlineLevel="0" collapsed="false">
      <c r="A17" s="22" t="s">
        <v>50</v>
      </c>
      <c r="B17" s="22" t="s">
        <v>14019</v>
      </c>
      <c r="C17" s="22" t="s">
        <v>14020</v>
      </c>
      <c r="D17" s="22" t="s">
        <v>14021</v>
      </c>
      <c r="E17" s="22" t="s">
        <v>13691</v>
      </c>
      <c r="F17" s="23" t="s">
        <v>14022</v>
      </c>
    </row>
    <row r="18" customFormat="false" ht="24.75" hidden="false" customHeight="true" outlineLevel="0" collapsed="false">
      <c r="A18" s="22" t="s">
        <v>50</v>
      </c>
      <c r="B18" s="22" t="s">
        <v>14023</v>
      </c>
      <c r="C18" s="22" t="s">
        <v>14024</v>
      </c>
      <c r="D18" s="22" t="s">
        <v>14025</v>
      </c>
      <c r="E18" s="22" t="s">
        <v>14026</v>
      </c>
      <c r="F18" s="23" t="s">
        <v>13732</v>
      </c>
    </row>
    <row r="19" customFormat="false" ht="37.5" hidden="false" customHeight="true" outlineLevel="0" collapsed="false">
      <c r="A19" s="22" t="s">
        <v>13964</v>
      </c>
      <c r="B19" s="22" t="s">
        <v>14027</v>
      </c>
      <c r="C19" s="22" t="s">
        <v>14028</v>
      </c>
      <c r="D19" s="22" t="s">
        <v>14029</v>
      </c>
      <c r="E19" s="22" t="s">
        <v>10183</v>
      </c>
      <c r="F19" s="23" t="s">
        <v>13710</v>
      </c>
    </row>
    <row r="20" customFormat="false" ht="15" hidden="false" customHeight="true" outlineLevel="0" collapsed="false">
      <c r="A20" s="22" t="s">
        <v>13964</v>
      </c>
      <c r="B20" s="22" t="s">
        <v>14030</v>
      </c>
      <c r="C20" s="22" t="s">
        <v>14031</v>
      </c>
      <c r="D20" s="22" t="s">
        <v>14032</v>
      </c>
      <c r="E20" s="22" t="s">
        <v>10183</v>
      </c>
      <c r="F20" s="23" t="s">
        <v>14033</v>
      </c>
    </row>
    <row r="21" customFormat="false" ht="24.75" hidden="false" customHeight="true" outlineLevel="0" collapsed="false">
      <c r="A21" s="22" t="s">
        <v>13964</v>
      </c>
      <c r="B21" s="22" t="s">
        <v>14034</v>
      </c>
      <c r="C21" s="22" t="s">
        <v>14035</v>
      </c>
      <c r="D21" s="22" t="s">
        <v>14036</v>
      </c>
      <c r="E21" s="22" t="s">
        <v>10313</v>
      </c>
      <c r="F21" s="23" t="s">
        <v>14037</v>
      </c>
    </row>
    <row r="22" customFormat="false" ht="49.5" hidden="false" customHeight="true" outlineLevel="0" collapsed="false">
      <c r="A22" s="22" t="s">
        <v>13964</v>
      </c>
      <c r="B22" s="22" t="s">
        <v>14038</v>
      </c>
      <c r="C22" s="22" t="s">
        <v>14039</v>
      </c>
      <c r="D22" s="22" t="s">
        <v>14040</v>
      </c>
      <c r="E22" s="22" t="s">
        <v>10313</v>
      </c>
      <c r="F22" s="23" t="s">
        <v>14041</v>
      </c>
    </row>
    <row r="23" customFormat="false" ht="49.5" hidden="false" customHeight="true" outlineLevel="0" collapsed="false">
      <c r="A23" s="22" t="s">
        <v>13964</v>
      </c>
      <c r="B23" s="22" t="s">
        <v>14042</v>
      </c>
      <c r="C23" s="22" t="s">
        <v>14043</v>
      </c>
      <c r="D23" s="22" t="s">
        <v>14044</v>
      </c>
      <c r="E23" s="22" t="s">
        <v>10313</v>
      </c>
      <c r="F23" s="23" t="s">
        <v>14041</v>
      </c>
    </row>
    <row r="24" customFormat="false" ht="49.5" hidden="false" customHeight="true" outlineLevel="0" collapsed="false">
      <c r="A24" s="22" t="s">
        <v>13964</v>
      </c>
      <c r="B24" s="22" t="s">
        <v>14045</v>
      </c>
      <c r="C24" s="22" t="s">
        <v>14046</v>
      </c>
      <c r="D24" s="22" t="s">
        <v>14047</v>
      </c>
      <c r="E24" s="22" t="s">
        <v>10313</v>
      </c>
      <c r="F24" s="23" t="s">
        <v>14041</v>
      </c>
    </row>
    <row r="25" customFormat="false" ht="49.5" hidden="false" customHeight="true" outlineLevel="0" collapsed="false">
      <c r="A25" s="22" t="s">
        <v>13964</v>
      </c>
      <c r="B25" s="22" t="s">
        <v>14048</v>
      </c>
      <c r="C25" s="22" t="s">
        <v>14049</v>
      </c>
      <c r="D25" s="22" t="s">
        <v>14050</v>
      </c>
      <c r="E25" s="22" t="s">
        <v>10313</v>
      </c>
      <c r="F25" s="23" t="s">
        <v>14041</v>
      </c>
    </row>
    <row r="26" customFormat="false" ht="49.5" hidden="false" customHeight="true" outlineLevel="0" collapsed="false">
      <c r="A26" s="22" t="s">
        <v>13964</v>
      </c>
      <c r="B26" s="22" t="s">
        <v>14051</v>
      </c>
      <c r="C26" s="22" t="s">
        <v>14052</v>
      </c>
      <c r="D26" s="22" t="s">
        <v>14053</v>
      </c>
      <c r="E26" s="22" t="s">
        <v>10313</v>
      </c>
      <c r="F26" s="23" t="s">
        <v>14041</v>
      </c>
    </row>
    <row r="27" customFormat="false" ht="49.5" hidden="false" customHeight="true" outlineLevel="0" collapsed="false">
      <c r="A27" s="22" t="s">
        <v>13964</v>
      </c>
      <c r="B27" s="22" t="s">
        <v>14054</v>
      </c>
      <c r="C27" s="22" t="s">
        <v>14055</v>
      </c>
      <c r="D27" s="22" t="s">
        <v>14056</v>
      </c>
      <c r="E27" s="22" t="s">
        <v>10313</v>
      </c>
      <c r="F27" s="23" t="s">
        <v>14041</v>
      </c>
    </row>
    <row r="28" customFormat="false" ht="49.5" hidden="false" customHeight="true" outlineLevel="0" collapsed="false">
      <c r="A28" s="22" t="s">
        <v>13964</v>
      </c>
      <c r="B28" s="22" t="s">
        <v>14057</v>
      </c>
      <c r="C28" s="22" t="s">
        <v>14058</v>
      </c>
      <c r="D28" s="22" t="s">
        <v>14059</v>
      </c>
      <c r="E28" s="22" t="s">
        <v>10313</v>
      </c>
      <c r="F28" s="23" t="s">
        <v>14041</v>
      </c>
    </row>
    <row r="29" customFormat="false" ht="49.5" hidden="false" customHeight="true" outlineLevel="0" collapsed="false">
      <c r="A29" s="22" t="s">
        <v>13964</v>
      </c>
      <c r="B29" s="22" t="s">
        <v>14060</v>
      </c>
      <c r="C29" s="22" t="s">
        <v>14061</v>
      </c>
      <c r="D29" s="22" t="s">
        <v>14062</v>
      </c>
      <c r="E29" s="22" t="s">
        <v>10313</v>
      </c>
      <c r="F29" s="23" t="s">
        <v>14041</v>
      </c>
    </row>
    <row r="30" customFormat="false" ht="15" hidden="false" customHeight="true" outlineLevel="0" collapsed="false">
      <c r="A30" s="22" t="s">
        <v>13964</v>
      </c>
      <c r="B30" s="22" t="s">
        <v>14063</v>
      </c>
      <c r="C30" s="22" t="s">
        <v>2954</v>
      </c>
      <c r="D30" s="22" t="s">
        <v>14064</v>
      </c>
      <c r="E30" s="22" t="s">
        <v>10313</v>
      </c>
      <c r="F30" s="23" t="s">
        <v>14065</v>
      </c>
    </row>
    <row r="31" customFormat="false" ht="49.5" hidden="false" customHeight="true" outlineLevel="0" collapsed="false">
      <c r="A31" s="22" t="s">
        <v>13964</v>
      </c>
      <c r="B31" s="22" t="s">
        <v>14066</v>
      </c>
      <c r="C31" s="22" t="s">
        <v>14067</v>
      </c>
      <c r="D31" s="22" t="s">
        <v>14068</v>
      </c>
      <c r="E31" s="22" t="s">
        <v>10313</v>
      </c>
      <c r="F31" s="23" t="s">
        <v>14041</v>
      </c>
    </row>
    <row r="32" customFormat="false" ht="24.75" hidden="false" customHeight="true" outlineLevel="0" collapsed="false">
      <c r="A32" s="22" t="s">
        <v>13964</v>
      </c>
      <c r="B32" s="22" t="s">
        <v>14069</v>
      </c>
      <c r="C32" s="22" t="s">
        <v>14070</v>
      </c>
      <c r="D32" s="22" t="s">
        <v>14071</v>
      </c>
      <c r="E32" s="22" t="s">
        <v>14072</v>
      </c>
      <c r="F32" s="23" t="s">
        <v>14073</v>
      </c>
    </row>
    <row r="33" customFormat="false" ht="24.75" hidden="false" customHeight="true" outlineLevel="0" collapsed="false">
      <c r="A33" s="22" t="s">
        <v>13964</v>
      </c>
      <c r="B33" s="22" t="s">
        <v>14074</v>
      </c>
      <c r="C33" s="22" t="s">
        <v>14075</v>
      </c>
      <c r="D33" s="22" t="s">
        <v>14076</v>
      </c>
      <c r="E33" s="22" t="s">
        <v>14072</v>
      </c>
      <c r="F33" s="23" t="s">
        <v>14073</v>
      </c>
    </row>
    <row r="34" customFormat="false" ht="24.75" hidden="false" customHeight="true" outlineLevel="0" collapsed="false">
      <c r="A34" s="22" t="s">
        <v>13964</v>
      </c>
      <c r="B34" s="22" t="s">
        <v>14077</v>
      </c>
      <c r="C34" s="22" t="s">
        <v>14075</v>
      </c>
      <c r="D34" s="22" t="s">
        <v>14071</v>
      </c>
      <c r="E34" s="22" t="s">
        <v>14078</v>
      </c>
      <c r="F34" s="23" t="s">
        <v>14033</v>
      </c>
    </row>
    <row r="35" customFormat="false" ht="15" hidden="false" customHeight="true" outlineLevel="0" collapsed="false">
      <c r="A35" s="22" t="s">
        <v>13964</v>
      </c>
      <c r="B35" s="22" t="s">
        <v>14079</v>
      </c>
      <c r="C35" s="22" t="s">
        <v>14070</v>
      </c>
      <c r="D35" s="22" t="s">
        <v>14071</v>
      </c>
      <c r="E35" s="22" t="s">
        <v>10183</v>
      </c>
      <c r="F35" s="23" t="s">
        <v>14033</v>
      </c>
    </row>
    <row r="36" customFormat="false" ht="15" hidden="false" customHeight="true" outlineLevel="0" collapsed="false">
      <c r="A36" s="22" t="s">
        <v>13964</v>
      </c>
      <c r="B36" s="22" t="s">
        <v>14080</v>
      </c>
      <c r="C36" s="22" t="s">
        <v>14070</v>
      </c>
      <c r="D36" s="22" t="s">
        <v>14071</v>
      </c>
      <c r="E36" s="22" t="s">
        <v>10183</v>
      </c>
      <c r="F36" s="23" t="s">
        <v>14033</v>
      </c>
    </row>
    <row r="37" customFormat="false" ht="15" hidden="false" customHeight="true" outlineLevel="0" collapsed="false">
      <c r="A37" s="22" t="s">
        <v>13964</v>
      </c>
      <c r="B37" s="22" t="s">
        <v>14081</v>
      </c>
      <c r="C37" s="22" t="s">
        <v>14082</v>
      </c>
      <c r="D37" s="22" t="s">
        <v>14083</v>
      </c>
      <c r="E37" s="22" t="s">
        <v>10183</v>
      </c>
      <c r="F37" s="23" t="s">
        <v>14033</v>
      </c>
    </row>
    <row r="38" customFormat="false" ht="15" hidden="false" customHeight="true" outlineLevel="0" collapsed="false">
      <c r="A38" s="22" t="s">
        <v>13964</v>
      </c>
      <c r="B38" s="22" t="s">
        <v>13823</v>
      </c>
      <c r="C38" s="22" t="s">
        <v>14084</v>
      </c>
      <c r="D38" s="22" t="s">
        <v>14085</v>
      </c>
      <c r="E38" s="22" t="s">
        <v>14086</v>
      </c>
      <c r="F38" s="23" t="s">
        <v>14087</v>
      </c>
    </row>
    <row r="39" customFormat="false" ht="24.75" hidden="false" customHeight="true" outlineLevel="0" collapsed="false">
      <c r="A39" s="22" t="s">
        <v>13964</v>
      </c>
      <c r="B39" s="22" t="s">
        <v>14088</v>
      </c>
      <c r="C39" s="22" t="s">
        <v>14089</v>
      </c>
      <c r="D39" s="22" t="s">
        <v>14090</v>
      </c>
      <c r="E39" s="22" t="s">
        <v>10183</v>
      </c>
      <c r="F39" s="23" t="s">
        <v>14091</v>
      </c>
    </row>
    <row r="40" customFormat="false" ht="24.75" hidden="false" customHeight="true" outlineLevel="0" collapsed="false">
      <c r="A40" s="22" t="s">
        <v>13964</v>
      </c>
      <c r="B40" s="22" t="s">
        <v>14092</v>
      </c>
      <c r="C40" s="22" t="s">
        <v>14093</v>
      </c>
      <c r="D40" s="22" t="s">
        <v>14094</v>
      </c>
      <c r="E40" s="22" t="s">
        <v>10273</v>
      </c>
      <c r="F40" s="23" t="s">
        <v>14095</v>
      </c>
    </row>
    <row r="41" customFormat="false" ht="15" hidden="false" customHeight="true" outlineLevel="0" collapsed="false">
      <c r="A41" s="22" t="s">
        <v>13964</v>
      </c>
      <c r="B41" s="22" t="s">
        <v>14096</v>
      </c>
      <c r="C41" s="22" t="s">
        <v>14097</v>
      </c>
      <c r="D41" s="22" t="s">
        <v>14098</v>
      </c>
      <c r="E41" s="22" t="s">
        <v>10183</v>
      </c>
      <c r="F41" s="23" t="s">
        <v>14099</v>
      </c>
    </row>
    <row r="42" customFormat="false" ht="24.75" hidden="false" customHeight="true" outlineLevel="0" collapsed="false">
      <c r="A42" s="22" t="s">
        <v>13964</v>
      </c>
      <c r="B42" s="22" t="s">
        <v>14100</v>
      </c>
      <c r="C42" s="22" t="s">
        <v>14101</v>
      </c>
      <c r="D42" s="22" t="s">
        <v>14102</v>
      </c>
      <c r="E42" s="22" t="s">
        <v>10183</v>
      </c>
      <c r="F42" s="23" t="s">
        <v>14103</v>
      </c>
    </row>
    <row r="43" customFormat="false" ht="24.75" hidden="false" customHeight="true" outlineLevel="0" collapsed="false">
      <c r="A43" s="22" t="s">
        <v>13964</v>
      </c>
      <c r="B43" s="22" t="s">
        <v>14104</v>
      </c>
      <c r="C43" s="22" t="s">
        <v>14105</v>
      </c>
      <c r="D43" s="22" t="s">
        <v>14106</v>
      </c>
      <c r="E43" s="22" t="s">
        <v>14107</v>
      </c>
      <c r="F43" s="23" t="s">
        <v>14103</v>
      </c>
    </row>
    <row r="44" customFormat="false" ht="15" hidden="false" customHeight="true" outlineLevel="0" collapsed="false">
      <c r="A44" s="22" t="s">
        <v>13964</v>
      </c>
      <c r="B44" s="22" t="s">
        <v>14108</v>
      </c>
      <c r="C44" s="22" t="s">
        <v>14109</v>
      </c>
      <c r="D44" s="22" t="s">
        <v>14110</v>
      </c>
      <c r="E44" s="22" t="s">
        <v>10183</v>
      </c>
      <c r="F44" s="23" t="s">
        <v>13783</v>
      </c>
    </row>
    <row r="45" customFormat="false" ht="37.5" hidden="false" customHeight="true" outlineLevel="0" collapsed="false">
      <c r="A45" s="22" t="s">
        <v>60</v>
      </c>
      <c r="B45" s="22" t="s">
        <v>14111</v>
      </c>
      <c r="C45" s="22" t="s">
        <v>14112</v>
      </c>
      <c r="D45" s="22" t="s">
        <v>14113</v>
      </c>
      <c r="E45" s="22" t="s">
        <v>14114</v>
      </c>
      <c r="F45" s="23" t="s">
        <v>14115</v>
      </c>
    </row>
    <row r="46" customFormat="false" ht="24.75" hidden="false" customHeight="true" outlineLevel="0" collapsed="false">
      <c r="A46" s="22" t="s">
        <v>60</v>
      </c>
      <c r="B46" s="22" t="s">
        <v>14116</v>
      </c>
      <c r="C46" s="22" t="s">
        <v>14117</v>
      </c>
      <c r="D46" s="22" t="s">
        <v>14118</v>
      </c>
      <c r="E46" s="22" t="s">
        <v>14119</v>
      </c>
      <c r="F46" s="23" t="s">
        <v>14120</v>
      </c>
    </row>
    <row r="47" customFormat="false" ht="37.5" hidden="false" customHeight="true" outlineLevel="0" collapsed="false">
      <c r="A47" s="22" t="s">
        <v>60</v>
      </c>
      <c r="B47" s="22" t="s">
        <v>14121</v>
      </c>
      <c r="C47" s="22" t="s">
        <v>14122</v>
      </c>
      <c r="D47" s="22" t="s">
        <v>14123</v>
      </c>
      <c r="E47" s="22" t="s">
        <v>14114</v>
      </c>
      <c r="F47" s="23" t="s">
        <v>14124</v>
      </c>
    </row>
    <row r="48" customFormat="false" ht="24.75" hidden="false" customHeight="true" outlineLevel="0" collapsed="false">
      <c r="A48" s="22" t="s">
        <v>60</v>
      </c>
      <c r="B48" s="22" t="s">
        <v>14125</v>
      </c>
      <c r="C48" s="22" t="s">
        <v>14126</v>
      </c>
      <c r="D48" s="22" t="s">
        <v>14127</v>
      </c>
      <c r="E48" s="22" t="s">
        <v>14128</v>
      </c>
      <c r="F48" s="23" t="s">
        <v>14129</v>
      </c>
    </row>
    <row r="49" customFormat="false" ht="24.75" hidden="false" customHeight="true" outlineLevel="0" collapsed="false">
      <c r="A49" s="22" t="s">
        <v>60</v>
      </c>
      <c r="B49" s="22" t="s">
        <v>14130</v>
      </c>
      <c r="C49" s="22" t="s">
        <v>14131</v>
      </c>
      <c r="D49" s="22" t="s">
        <v>14132</v>
      </c>
      <c r="E49" s="22" t="s">
        <v>14133</v>
      </c>
      <c r="F49" s="23" t="s">
        <v>14134</v>
      </c>
    </row>
    <row r="50" customFormat="false" ht="24.75" hidden="false" customHeight="true" outlineLevel="0" collapsed="false">
      <c r="A50" s="22" t="s">
        <v>60</v>
      </c>
      <c r="B50" s="22" t="s">
        <v>14135</v>
      </c>
      <c r="C50" s="22" t="s">
        <v>14136</v>
      </c>
      <c r="D50" s="22" t="s">
        <v>14137</v>
      </c>
      <c r="E50" s="22" t="s">
        <v>14138</v>
      </c>
      <c r="F50" s="23" t="s">
        <v>14139</v>
      </c>
    </row>
    <row r="51" customFormat="false" ht="15" hidden="false" customHeight="true" outlineLevel="0" collapsed="false">
      <c r="A51" s="22" t="s">
        <v>60</v>
      </c>
      <c r="B51" s="22" t="s">
        <v>14140</v>
      </c>
      <c r="C51" s="22" t="s">
        <v>14141</v>
      </c>
      <c r="D51" s="22" t="s">
        <v>14142</v>
      </c>
      <c r="E51" s="22" t="s">
        <v>14143</v>
      </c>
      <c r="F51" s="23" t="s">
        <v>14144</v>
      </c>
    </row>
    <row r="52" customFormat="false" ht="15" hidden="false" customHeight="true" outlineLevel="0" collapsed="false">
      <c r="A52" s="22" t="s">
        <v>60</v>
      </c>
      <c r="B52" s="22" t="s">
        <v>14145</v>
      </c>
      <c r="C52" s="22" t="s">
        <v>14146</v>
      </c>
      <c r="D52" s="22" t="s">
        <v>14147</v>
      </c>
      <c r="E52" s="22" t="s">
        <v>14148</v>
      </c>
      <c r="F52" s="23" t="s">
        <v>14149</v>
      </c>
    </row>
    <row r="53" customFormat="false" ht="24.75" hidden="false" customHeight="true" outlineLevel="0" collapsed="false">
      <c r="A53" s="22" t="s">
        <v>60</v>
      </c>
      <c r="B53" s="22" t="s">
        <v>14150</v>
      </c>
      <c r="C53" s="22" t="s">
        <v>14151</v>
      </c>
      <c r="D53" s="22" t="s">
        <v>14152</v>
      </c>
      <c r="E53" s="22" t="s">
        <v>12388</v>
      </c>
      <c r="F53" s="23" t="s">
        <v>14153</v>
      </c>
    </row>
    <row r="54" customFormat="false" ht="37.5" hidden="false" customHeight="true" outlineLevel="0" collapsed="false">
      <c r="A54" s="22" t="s">
        <v>60</v>
      </c>
      <c r="B54" s="22" t="s">
        <v>14154</v>
      </c>
      <c r="C54" s="22" t="s">
        <v>14155</v>
      </c>
      <c r="D54" s="22" t="s">
        <v>14156</v>
      </c>
      <c r="E54" s="22" t="s">
        <v>12388</v>
      </c>
      <c r="F54" s="23" t="s">
        <v>14157</v>
      </c>
    </row>
    <row r="55" customFormat="false" ht="24.75" hidden="false" customHeight="true" outlineLevel="0" collapsed="false">
      <c r="A55" s="22" t="s">
        <v>60</v>
      </c>
      <c r="B55" s="22" t="s">
        <v>14158</v>
      </c>
      <c r="C55" s="22" t="s">
        <v>14159</v>
      </c>
      <c r="D55" s="22" t="s">
        <v>14160</v>
      </c>
      <c r="E55" s="22" t="s">
        <v>14161</v>
      </c>
      <c r="F55" s="23" t="s">
        <v>14162</v>
      </c>
    </row>
    <row r="56" customFormat="false" ht="24.75" hidden="false" customHeight="true" outlineLevel="0" collapsed="false">
      <c r="A56" s="22" t="s">
        <v>60</v>
      </c>
      <c r="B56" s="22" t="s">
        <v>14163</v>
      </c>
      <c r="C56" s="22" t="s">
        <v>14164</v>
      </c>
      <c r="D56" s="22" t="s">
        <v>14165</v>
      </c>
      <c r="E56" s="22" t="s">
        <v>14166</v>
      </c>
      <c r="F56" s="23" t="s">
        <v>14162</v>
      </c>
    </row>
    <row r="57" customFormat="false" ht="37.5" hidden="false" customHeight="true" outlineLevel="0" collapsed="false">
      <c r="A57" s="22" t="s">
        <v>60</v>
      </c>
      <c r="B57" s="22" t="s">
        <v>14167</v>
      </c>
      <c r="C57" s="22" t="s">
        <v>14168</v>
      </c>
      <c r="D57" s="22" t="s">
        <v>14169</v>
      </c>
      <c r="E57" s="22" t="s">
        <v>14170</v>
      </c>
      <c r="F57" s="23" t="s">
        <v>14171</v>
      </c>
    </row>
    <row r="58" customFormat="false" ht="24.75" hidden="false" customHeight="true" outlineLevel="0" collapsed="false">
      <c r="A58" s="22" t="s">
        <v>60</v>
      </c>
      <c r="B58" s="22" t="s">
        <v>14172</v>
      </c>
      <c r="C58" s="22" t="s">
        <v>14173</v>
      </c>
      <c r="D58" s="22" t="s">
        <v>14174</v>
      </c>
      <c r="E58" s="22" t="s">
        <v>14119</v>
      </c>
      <c r="F58" s="23" t="s">
        <v>14120</v>
      </c>
    </row>
    <row r="59" customFormat="false" ht="37.5" hidden="false" customHeight="true" outlineLevel="0" collapsed="false">
      <c r="A59" s="22" t="s">
        <v>60</v>
      </c>
      <c r="B59" s="22" t="s">
        <v>14175</v>
      </c>
      <c r="C59" s="22" t="s">
        <v>14176</v>
      </c>
      <c r="D59" s="22" t="s">
        <v>14177</v>
      </c>
      <c r="E59" s="22" t="s">
        <v>14178</v>
      </c>
      <c r="F59" s="23" t="s">
        <v>14179</v>
      </c>
    </row>
    <row r="60" customFormat="false" ht="15" hidden="false" customHeight="true" outlineLevel="0" collapsed="false">
      <c r="A60" s="22" t="s">
        <v>60</v>
      </c>
      <c r="B60" s="22" t="s">
        <v>14180</v>
      </c>
      <c r="C60" s="22" t="s">
        <v>14181</v>
      </c>
      <c r="D60" s="22" t="s">
        <v>14182</v>
      </c>
      <c r="E60" s="22" t="s">
        <v>14114</v>
      </c>
      <c r="F60" s="23" t="s">
        <v>14183</v>
      </c>
    </row>
    <row r="61" customFormat="false" ht="24.75" hidden="false" customHeight="true" outlineLevel="0" collapsed="false">
      <c r="A61" s="22" t="s">
        <v>60</v>
      </c>
      <c r="B61" s="22" t="s">
        <v>14184</v>
      </c>
      <c r="C61" s="22" t="s">
        <v>14185</v>
      </c>
      <c r="D61" s="22" t="s">
        <v>14186</v>
      </c>
      <c r="E61" s="22" t="s">
        <v>14187</v>
      </c>
      <c r="F61" s="23" t="s">
        <v>14188</v>
      </c>
    </row>
    <row r="62" customFormat="false" ht="24.75" hidden="false" customHeight="true" outlineLevel="0" collapsed="false">
      <c r="A62" s="22" t="s">
        <v>13961</v>
      </c>
      <c r="B62" s="22" t="s">
        <v>14189</v>
      </c>
      <c r="C62" s="22" t="s">
        <v>14190</v>
      </c>
      <c r="D62" s="22" t="s">
        <v>14191</v>
      </c>
      <c r="E62" s="22" t="s">
        <v>12032</v>
      </c>
      <c r="F62" s="23" t="s">
        <v>14192</v>
      </c>
    </row>
    <row r="63" customFormat="false" ht="37.5" hidden="false" customHeight="true" outlineLevel="0" collapsed="false">
      <c r="A63" s="22" t="s">
        <v>13961</v>
      </c>
      <c r="B63" s="22" t="s">
        <v>14193</v>
      </c>
      <c r="C63" s="22" t="s">
        <v>14194</v>
      </c>
      <c r="D63" s="22" t="s">
        <v>14195</v>
      </c>
      <c r="E63" s="22" t="s">
        <v>14196</v>
      </c>
      <c r="F63" s="23" t="s">
        <v>14197</v>
      </c>
    </row>
    <row r="64" customFormat="false" ht="24.75" hidden="false" customHeight="true" outlineLevel="0" collapsed="false">
      <c r="A64" s="22" t="s">
        <v>13961</v>
      </c>
      <c r="B64" s="22" t="s">
        <v>14198</v>
      </c>
      <c r="C64" s="22" t="s">
        <v>14199</v>
      </c>
      <c r="D64" s="22" t="s">
        <v>14200</v>
      </c>
      <c r="E64" s="22" t="s">
        <v>14201</v>
      </c>
      <c r="F64" s="23" t="s">
        <v>14202</v>
      </c>
    </row>
    <row r="65" customFormat="false" ht="37.5" hidden="false" customHeight="true" outlineLevel="0" collapsed="false">
      <c r="A65" s="22" t="s">
        <v>13961</v>
      </c>
      <c r="B65" s="22" t="s">
        <v>14203</v>
      </c>
      <c r="C65" s="22" t="s">
        <v>14204</v>
      </c>
      <c r="D65" s="22" t="s">
        <v>14205</v>
      </c>
      <c r="E65" s="22" t="s">
        <v>11960</v>
      </c>
      <c r="F65" s="23" t="s">
        <v>14206</v>
      </c>
    </row>
    <row r="66" customFormat="false" ht="24.75" hidden="false" customHeight="true" outlineLevel="0" collapsed="false">
      <c r="A66" s="22" t="s">
        <v>13961</v>
      </c>
      <c r="B66" s="22" t="s">
        <v>14207</v>
      </c>
      <c r="C66" s="22" t="s">
        <v>14208</v>
      </c>
      <c r="D66" s="22" t="s">
        <v>14209</v>
      </c>
      <c r="E66" s="22" t="s">
        <v>14210</v>
      </c>
      <c r="F66" s="23" t="s">
        <v>14211</v>
      </c>
    </row>
    <row r="67" customFormat="false" ht="37.5" hidden="false" customHeight="true" outlineLevel="0" collapsed="false">
      <c r="A67" s="22" t="s">
        <v>13961</v>
      </c>
      <c r="B67" s="22" t="s">
        <v>14212</v>
      </c>
      <c r="C67" s="22" t="s">
        <v>14213</v>
      </c>
      <c r="D67" s="22" t="s">
        <v>14214</v>
      </c>
      <c r="E67" s="22" t="s">
        <v>12388</v>
      </c>
      <c r="F67" s="23" t="s">
        <v>14215</v>
      </c>
    </row>
    <row r="68" customFormat="false" ht="37.5" hidden="false" customHeight="true" outlineLevel="0" collapsed="false">
      <c r="A68" s="22" t="s">
        <v>13961</v>
      </c>
      <c r="B68" s="22" t="s">
        <v>14216</v>
      </c>
      <c r="C68" s="22" t="s">
        <v>14217</v>
      </c>
      <c r="D68" s="22" t="s">
        <v>14218</v>
      </c>
      <c r="E68" s="22" t="s">
        <v>14219</v>
      </c>
      <c r="F68" s="23" t="s">
        <v>14220</v>
      </c>
    </row>
    <row r="69" customFormat="false" ht="24.75" hidden="false" customHeight="true" outlineLevel="0" collapsed="false">
      <c r="A69" s="22" t="s">
        <v>13961</v>
      </c>
      <c r="B69" s="22" t="s">
        <v>14221</v>
      </c>
      <c r="C69" s="22" t="s">
        <v>14222</v>
      </c>
      <c r="D69" s="22" t="s">
        <v>14223</v>
      </c>
      <c r="E69" s="22" t="s">
        <v>14224</v>
      </c>
      <c r="F69" s="23" t="s">
        <v>14225</v>
      </c>
    </row>
    <row r="70" customFormat="false" ht="15" hidden="false" customHeight="true" outlineLevel="0" collapsed="false">
      <c r="A70" s="22" t="s">
        <v>13961</v>
      </c>
      <c r="B70" s="22" t="s">
        <v>14226</v>
      </c>
      <c r="C70" s="22" t="s">
        <v>14227</v>
      </c>
      <c r="D70" s="22" t="s">
        <v>14228</v>
      </c>
      <c r="E70" s="22" t="s">
        <v>14229</v>
      </c>
      <c r="F70" s="23" t="s">
        <v>14230</v>
      </c>
    </row>
    <row r="71" customFormat="false" ht="15" hidden="false" customHeight="true" outlineLevel="0" collapsed="false">
      <c r="A71" s="22" t="s">
        <v>13961</v>
      </c>
      <c r="B71" s="22" t="s">
        <v>14231</v>
      </c>
      <c r="C71" s="22" t="s">
        <v>14232</v>
      </c>
      <c r="D71" s="22" t="s">
        <v>14233</v>
      </c>
      <c r="E71" s="22" t="s">
        <v>14234</v>
      </c>
      <c r="F71" s="23" t="s">
        <v>13718</v>
      </c>
    </row>
    <row r="72" customFormat="false" ht="24.75" hidden="false" customHeight="true" outlineLevel="0" collapsed="false">
      <c r="A72" s="22" t="s">
        <v>13960</v>
      </c>
      <c r="B72" s="22" t="s">
        <v>14235</v>
      </c>
      <c r="C72" s="22" t="s">
        <v>14236</v>
      </c>
      <c r="D72" s="22" t="s">
        <v>14237</v>
      </c>
      <c r="E72" s="22" t="s">
        <v>12840</v>
      </c>
      <c r="F72" s="23" t="s">
        <v>14238</v>
      </c>
    </row>
    <row r="73" customFormat="false" ht="24.75" hidden="false" customHeight="true" outlineLevel="0" collapsed="false">
      <c r="A73" s="22" t="s">
        <v>13960</v>
      </c>
      <c r="B73" s="22" t="s">
        <v>14239</v>
      </c>
      <c r="C73" s="22" t="s">
        <v>14240</v>
      </c>
      <c r="D73" s="22" t="s">
        <v>14241</v>
      </c>
      <c r="E73" s="22" t="s">
        <v>14242</v>
      </c>
      <c r="F73" s="23" t="s">
        <v>14243</v>
      </c>
    </row>
    <row r="74" customFormat="false" ht="37.5" hidden="false" customHeight="true" outlineLevel="0" collapsed="false">
      <c r="A74" s="22" t="s">
        <v>13960</v>
      </c>
      <c r="B74" s="22" t="s">
        <v>14244</v>
      </c>
      <c r="C74" s="22" t="s">
        <v>14245</v>
      </c>
      <c r="D74" s="22" t="s">
        <v>14246</v>
      </c>
      <c r="E74" s="22" t="s">
        <v>14247</v>
      </c>
      <c r="F74" s="23" t="s">
        <v>14248</v>
      </c>
    </row>
    <row r="75" customFormat="false" ht="37.5" hidden="false" customHeight="true" outlineLevel="0" collapsed="false">
      <c r="A75" s="22" t="s">
        <v>13960</v>
      </c>
      <c r="B75" s="22" t="s">
        <v>14249</v>
      </c>
      <c r="C75" s="22" t="s">
        <v>14250</v>
      </c>
      <c r="D75" s="22" t="s">
        <v>14251</v>
      </c>
      <c r="E75" s="22" t="s">
        <v>14252</v>
      </c>
      <c r="F75" s="23" t="s">
        <v>14253</v>
      </c>
    </row>
    <row r="76" customFormat="false" ht="24.75" hidden="false" customHeight="true" outlineLevel="0" collapsed="false">
      <c r="A76" s="22" t="s">
        <v>13960</v>
      </c>
      <c r="B76" s="22" t="s">
        <v>14254</v>
      </c>
      <c r="C76" s="22" t="s">
        <v>14255</v>
      </c>
      <c r="D76" s="22" t="s">
        <v>14256</v>
      </c>
      <c r="E76" s="22" t="s">
        <v>13567</v>
      </c>
      <c r="F76" s="23" t="s">
        <v>14257</v>
      </c>
    </row>
    <row r="77" customFormat="false" ht="37.5" hidden="false" customHeight="true" outlineLevel="0" collapsed="false">
      <c r="A77" s="22" t="s">
        <v>13960</v>
      </c>
      <c r="B77" s="22" t="s">
        <v>14258</v>
      </c>
      <c r="C77" s="22" t="s">
        <v>14259</v>
      </c>
      <c r="D77" s="22" t="s">
        <v>14260</v>
      </c>
      <c r="E77" s="22" t="s">
        <v>14261</v>
      </c>
      <c r="F77" s="23" t="s">
        <v>14262</v>
      </c>
    </row>
    <row r="78" customFormat="false" ht="24.75" hidden="false" customHeight="true" outlineLevel="0" collapsed="false">
      <c r="A78" s="22" t="s">
        <v>13960</v>
      </c>
      <c r="B78" s="22" t="s">
        <v>14263</v>
      </c>
      <c r="C78" s="22" t="s">
        <v>14264</v>
      </c>
      <c r="D78" s="22" t="s">
        <v>14265</v>
      </c>
      <c r="E78" s="22" t="s">
        <v>14229</v>
      </c>
      <c r="F78" s="23" t="s">
        <v>14266</v>
      </c>
    </row>
    <row r="79" customFormat="false" ht="24.75" hidden="false" customHeight="true" outlineLevel="0" collapsed="false">
      <c r="A79" s="22" t="s">
        <v>13960</v>
      </c>
      <c r="B79" s="22" t="s">
        <v>14267</v>
      </c>
      <c r="C79" s="22" t="s">
        <v>14268</v>
      </c>
      <c r="D79" s="22" t="s">
        <v>14269</v>
      </c>
      <c r="E79" s="22" t="s">
        <v>14270</v>
      </c>
      <c r="F79" s="23" t="s">
        <v>14271</v>
      </c>
    </row>
    <row r="80" customFormat="false" ht="37.5" hidden="false" customHeight="true" outlineLevel="0" collapsed="false">
      <c r="A80" s="22" t="s">
        <v>13960</v>
      </c>
      <c r="B80" s="22" t="s">
        <v>14272</v>
      </c>
      <c r="C80" s="22" t="s">
        <v>14273</v>
      </c>
      <c r="D80" s="22" t="s">
        <v>14274</v>
      </c>
      <c r="E80" s="22" t="s">
        <v>14275</v>
      </c>
      <c r="F80" s="23" t="s">
        <v>14276</v>
      </c>
    </row>
    <row r="81" customFormat="false" ht="37.5" hidden="false" customHeight="true" outlineLevel="0" collapsed="false">
      <c r="A81" s="22" t="s">
        <v>13961</v>
      </c>
      <c r="B81" s="22" t="s">
        <v>14277</v>
      </c>
      <c r="C81" s="22" t="s">
        <v>14278</v>
      </c>
      <c r="D81" s="22" t="s">
        <v>14279</v>
      </c>
      <c r="E81" s="22" t="s">
        <v>14280</v>
      </c>
      <c r="F81" s="22"/>
    </row>
    <row r="82" customFormat="false" ht="15" hidden="false" customHeight="true" outlineLevel="0" collapsed="false">
      <c r="A82" s="22" t="s">
        <v>13964</v>
      </c>
      <c r="B82" s="22" t="s">
        <v>14281</v>
      </c>
      <c r="C82" s="22" t="s">
        <v>14070</v>
      </c>
      <c r="D82" s="22" t="s">
        <v>14071</v>
      </c>
      <c r="E82" s="22" t="s">
        <v>14242</v>
      </c>
      <c r="F82" s="22"/>
    </row>
    <row r="83" customFormat="false" ht="24.75" hidden="false" customHeight="true" outlineLevel="0" collapsed="false">
      <c r="A83" s="22" t="s">
        <v>13964</v>
      </c>
      <c r="B83" s="22" t="s">
        <v>14282</v>
      </c>
      <c r="C83" s="22" t="s">
        <v>14283</v>
      </c>
      <c r="D83" s="22" t="s">
        <v>14284</v>
      </c>
      <c r="E83" s="22" t="s">
        <v>14242</v>
      </c>
      <c r="F83" s="22"/>
    </row>
    <row r="84" customFormat="false" ht="24.75" hidden="false" customHeight="true" outlineLevel="0" collapsed="false">
      <c r="A84" s="22" t="s">
        <v>60</v>
      </c>
      <c r="B84" s="22" t="s">
        <v>14184</v>
      </c>
      <c r="C84" s="22" t="s">
        <v>14285</v>
      </c>
      <c r="D84" s="22" t="s">
        <v>14286</v>
      </c>
      <c r="E84" s="22" t="s">
        <v>14287</v>
      </c>
      <c r="F84" s="22"/>
    </row>
    <row r="85" customFormat="false" ht="24.75" hidden="false" customHeight="true" outlineLevel="0" collapsed="false">
      <c r="A85" s="22" t="s">
        <v>13964</v>
      </c>
      <c r="B85" s="22" t="s">
        <v>14288</v>
      </c>
      <c r="C85" s="22" t="s">
        <v>14289</v>
      </c>
      <c r="D85" s="22" t="s">
        <v>14290</v>
      </c>
      <c r="E85" s="22" t="s">
        <v>13691</v>
      </c>
      <c r="F85" s="22"/>
    </row>
  </sheetData>
  <autoFilter ref="A4:F85"/>
  <mergeCells count="2">
    <mergeCell ref="A1:E1"/>
    <mergeCell ref="A2:F2"/>
  </mergeCells>
  <hyperlinks>
    <hyperlink ref="F1" r:id="rId1" location="'Contents'!A1" display="← Contents"/>
    <hyperlink ref="F5" r:id="rId2" display="https://www.incometaxindia.gov.in/documents/d/guest/press-release-income-tax-act-2025-comes-into-force-from-01-april-2026-pdf"/>
    <hyperlink ref="F6" r:id="rId3" display="https://www.incometaxindia.gov.in/documents/d/guest/press-release-income-tax-act-2025-comes-into-force-from-01-april-2026-pdf"/>
    <hyperlink ref="F7" r:id="rId4" display="https://www.incometaxindia.gov.in/w/rule-269-1"/>
    <hyperlink ref="F8" r:id="rId5" display="https://www.incometax.gov.in/iec/foportal/help/individual/return-applicable-1"/>
    <hyperlink ref="F9" r:id="rId6" display="https://www.incometax.gov.in/iec/foportal/help/individual/return-applicable-1"/>
    <hyperlink ref="F10" r:id="rId7" display="https://www.incometaxindia.gov.in/w/tax-on-short-term-capital-gains%E2%80%8B"/>
    <hyperlink ref="F11" r:id="rId8" display="https://eztax.in/income-tax-act-2025/section-198"/>
    <hyperlink ref="F12" r:id="rId9" display="https://www.incometaxindia.gov.in/w/tax-on-short-term-capital-gains%E2%80%8B"/>
    <hyperlink ref="F13" r:id="rId10" display="https://incometaxindia.gov.in/Budgets%20and%20Bills/2026/Notes-on-clauses-2026.pdf"/>
    <hyperlink ref="F14" r:id="rId11" display="https://incometaxindia.gov.in/Budgets%20and%20Bills/2026/Notes-on-clauses-2026.pdf"/>
    <hyperlink ref="F15" r:id="rId12" display="https://www.incometaxindia.gov.in/w/section-263-72"/>
    <hyperlink ref="F16" r:id="rId13" display="https://incometaxindia.gov.in/Budgets%20and%20Bills/2026/Notes-on-clauses-2026.pdf"/>
    <hyperlink ref="F17" r:id="rId14" display="https://cleartax.in/s/income-tax-changes-from-april-2026"/>
    <hyperlink ref="F18" r:id="rId15" display="https://www.incometaxindia.gov.in/w/section-58-144"/>
    <hyperlink ref="F19" r:id="rId16" display="https://www.incometaxindia.gov.in/documents/d/guest/press-release-income-tax-act-2025-comes-into-force-from-01-april-2026-pdf"/>
    <hyperlink ref="F20" r:id="rId17" display="https://www.incometaxindia.gov.in/w/section-394-6"/>
    <hyperlink ref="F21" r:id="rId18" display="https://www.incometaxindia.gov.in/w/higher-deduction-of-tax-at-source-in-certain-cases-section-206aa-and-section-206ab-"/>
    <hyperlink ref="F22" r:id="rId19" display="https://www.rsm.global/india/sites/default/files/media/publications/2025/RSM%20India%20Newsflash%20-%20Overview%20of%20Changes%20in%20TDS%20and%20TCS%20provisions%20w.e.f.%201st%20April%202025.pdf"/>
    <hyperlink ref="F23" r:id="rId20" display="https://www.rsm.global/india/sites/default/files/media/publications/2025/RSM%20India%20Newsflash%20-%20Overview%20of%20Changes%20in%20TDS%20and%20TCS%20provisions%20w.e.f.%201st%20April%202025.pdf"/>
    <hyperlink ref="F24" r:id="rId21" display="https://www.rsm.global/india/sites/default/files/media/publications/2025/RSM%20India%20Newsflash%20-%20Overview%20of%20Changes%20in%20TDS%20and%20TCS%20provisions%20w.e.f.%201st%20April%202025.pdf"/>
    <hyperlink ref="F25" r:id="rId22" display="https://www.rsm.global/india/sites/default/files/media/publications/2025/RSM%20India%20Newsflash%20-%20Overview%20of%20Changes%20in%20TDS%20and%20TCS%20provisions%20w.e.f.%201st%20April%202025.pdf"/>
    <hyperlink ref="F26" r:id="rId23" display="https://www.rsm.global/india/sites/default/files/media/publications/2025/RSM%20India%20Newsflash%20-%20Overview%20of%20Changes%20in%20TDS%20and%20TCS%20provisions%20w.e.f.%201st%20April%202025.pdf"/>
    <hyperlink ref="F27" r:id="rId24" display="https://www.rsm.global/india/sites/default/files/media/publications/2025/RSM%20India%20Newsflash%20-%20Overview%20of%20Changes%20in%20TDS%20and%20TCS%20provisions%20w.e.f.%201st%20April%202025.pdf"/>
    <hyperlink ref="F28" r:id="rId25" display="https://www.rsm.global/india/sites/default/files/media/publications/2025/RSM%20India%20Newsflash%20-%20Overview%20of%20Changes%20in%20TDS%20and%20TCS%20provisions%20w.e.f.%201st%20April%202025.pdf"/>
    <hyperlink ref="F29" r:id="rId26" display="https://www.rsm.global/india/sites/default/files/media/publications/2025/RSM%20India%20Newsflash%20-%20Overview%20of%20Changes%20in%20TDS%20and%20TCS%20provisions%20w.e.f.%201st%20April%202025.pdf"/>
    <hyperlink ref="F30" r:id="rId27" display="https://incometaxindia.gov.in/w/tds-rates-1"/>
    <hyperlink ref="F31" r:id="rId28" display="https://www.rsm.global/india/sites/default/files/media/publications/2025/RSM%20India%20Newsflash%20-%20Overview%20of%20Changes%20in%20TDS%20and%20TCS%20provisions%20w.e.f.%201st%20April%202025.pdf"/>
    <hyperlink ref="F32" r:id="rId29" display="https://blog.tdsman.com/2024/09/reduction-optimization-of-tds-rates-w-e-f-1st-october-24"/>
    <hyperlink ref="F33" r:id="rId30" display="https://blog.tdsman.com/2024/09/reduction-optimization-of-tds-rates-w-e-f-1st-october-24"/>
    <hyperlink ref="F34" r:id="rId31" display="https://www.incometaxindia.gov.in/w/section-394-6"/>
    <hyperlink ref="F35" r:id="rId32" display="https://www.incometaxindia.gov.in/w/section-394-6"/>
    <hyperlink ref="F36" r:id="rId33" display="https://www.incometaxindia.gov.in/w/section-394-6"/>
    <hyperlink ref="F37" r:id="rId34" display="https://www.incometaxindia.gov.in/w/section-394-6"/>
    <hyperlink ref="F38" r:id="rId35" display="https://www.incometaxindia.gov.in/w/rule-219-1"/>
    <hyperlink ref="F39" r:id="rId36" display="https://taxguru.in/income-tax/q1-tax-year-2026-27-tds-tcs-return-filing-forms-due-dates.html"/>
    <hyperlink ref="F40" r:id="rId37" display="https://www.incometaxindia.gov.in/w/section-461-6"/>
    <hyperlink ref="F41" r:id="rId38" display="https://www.incometaxindia.gov.in/w/section-398-5"/>
    <hyperlink ref="F42" r:id="rId39" display="https://www.incometaxindia.gov.in/w/section-397-6"/>
    <hyperlink ref="F43" r:id="rId40" display="https://www.incometaxindia.gov.in/w/section-397-6"/>
    <hyperlink ref="F44" r:id="rId41" display="https://www.incometaxindia.gov.in/w/section-393-6"/>
    <hyperlink ref="F45" r:id="rId42" display="https://www.taxheal.com/?p=104994"/>
    <hyperlink ref="F46" r:id="rId43" display="https://comtax.wb.gov.in/GST/GST_PPU/GST_Updates_Dec_2025.pdf"/>
    <hyperlink ref="F47" r:id="rId44" display="https://www.caclubindia.com/notice_circulars/substitution-of-compensation-cess-rates-with-nil-on-specified-goods-effective-22nd-september-2025--11496.asp"/>
    <hyperlink ref="F48" r:id="rId45" display="https://cleartax.in/s/gst-return-filing-rule-changes-from-july-2025"/>
    <hyperlink ref="F49" r:id="rId46" display="https://taxguru.in/goods-and-service-tax/gstn-issues-4-advisories-december-2025-clarify-key-compliance-procedures.html"/>
    <hyperlink ref="F50" r:id="rId47" display="https://www.taxheal.com/?p=105269"/>
    <hyperlink ref="F51" r:id="rId48" display="https://www.indiafilings.com/learn/gstr-4-filing/"/>
    <hyperlink ref="F52" r:id="rId49" display="https://www.taxheal.com/?p=96048"/>
    <hyperlink ref="F53" r:id="rId50" display="https://taxguru.in/goods-and-service-tax/input-service-distributor-mandatory-1st-april-2025.html"/>
    <hyperlink ref="F54" r:id="rId51" display="https://www.taxmann.com/post/blog/time-limit-of-30-days-for-reporting-e-invoice-on-irp-portal-for-taxpayers-with-aato-of-10-crores-and-above-gstn-update/"/>
    <hyperlink ref="F55" r:id="rId52" display="https://taxguru.in/goods-and-service-tax/gst-amendments-finance-act-2025-effective-oct-1-2025-notified.html"/>
    <hyperlink ref="F56" r:id="rId53" display="https://taxguru.in/goods-and-service-tax/gst-amendments-finance-act-2025-effective-oct-1-2025-notified.html"/>
    <hyperlink ref="F57" r:id="rId54" display="https://cleartax.in/s/faqs-on-invoice-management-system-ims-gst"/>
    <hyperlink ref="F58" r:id="rId55" display="https://comtax.wb.gov.in/GST/GST_PPU/GST_Updates_Dec_2025.pdf"/>
    <hyperlink ref="F59" r:id="rId56" display="https://taxo.online/latest-news/31-03-2026-finance-act-2026-enacted-on-30-03-2026-key-amendments-in-valuation-refunds-and-place-of-supply/"/>
    <hyperlink ref="F60" r:id="rId57" display="https://gstcouncil.gov.in/sites/default/files/2025-09/faq.pdf"/>
    <hyperlink ref="F61" r:id="rId58" display="https://www.taxtmi.com/forum/issue?id=118761"/>
    <hyperlink ref="F62" r:id="rId59" display="https://www.sgcms.com/regulatory-updates/faqs-by-epfo-wage-ceiling-raised-to-25000/"/>
    <hyperlink ref="F63" r:id="rId60" display="https://assets.kpmg.com/content/dam/kpmgsites/in/pdf/2026/07/KPMG-Flash-News-New-Social-Security-Schemes-2026.pdf"/>
    <hyperlink ref="F64" r:id="rId61" display="https://khaitanco.com/thought-leadership/Big-Move-in-the-EPF-Regime"/>
    <hyperlink ref="F65" r:id="rId62" display="https://www.ey.com/content/dam/ey-unified-site/ey-com/en-in/alerts-hub/2025/11/new-labour-codes-implemented-across-the-country-effective-21-november-2025.pdf"/>
    <hyperlink ref="F66" r:id="rId63" display="https://wbxpress.com/schedule-rates-tax-professions-trades-callings-employments-2026/"/>
    <hyperlink ref="F67" r:id="rId64" display="https://lexplosion.in/karnataka-govt-notifies-revised-professional-tax-rate-under-karnataka-tax-on-profession-trades-callings-and-employments-amendment-act-2025/"/>
    <hyperlink ref="F68" r:id="rId65" display="https://ascent-hr.com/notification/professional-tax-slab-revision-chennai/"/>
    <hyperlink ref="F69" r:id="rId66" display="https://www.gconnect.in/personal-income-tax/increased-limit-tax-exemption-leave-encashment-non-govt-salaried-employees.html"/>
    <hyperlink ref="F70" r:id="rId67" display="https://www.incometaxindia.gov.in/w/rule-277-1"/>
    <hyperlink ref="F71" r:id="rId68" display="https://www.incometaxindia.gov.in/w/section-19-206"/>
    <hyperlink ref="F72" r:id="rId69" display="https://www.rbi.org.in/commonman/English/scripts/Notification.aspx?Id=961"/>
    <hyperlink ref="F73" r:id="rId70" display="https://www.casahuja.com/2025/04/regulatory-update-government-revises.html"/>
    <hyperlink ref="F74" r:id="rId71" display="https://www.icai.org/post/clcgc-director-kyc-compliance-02012026"/>
    <hyperlink ref="F75" r:id="rId72" display="https://www.caclubindia.com/articles/amendment-schedule-iii-division-i-igaap-companies-act-2013-44527.asp"/>
    <hyperlink ref="F76" r:id="rId73" display="https://www.taxmann.com/post/blog/mca-raises-small-company-thresholds-to-rs-10-cr-capital-and-rs-100-cr-turnover"/>
    <hyperlink ref="F77" r:id="rId74" display="https://www.taxmann.com/post/blog/mca-revises-msme-form-1-with-enhanced-disclosures-for-reporting-payments-pending-over-45-days-to-micro-small-enterprises/"/>
    <hyperlink ref="F78" r:id="rId75" display="https://cleartax.in/s/form-26-tax-audit"/>
    <hyperlink ref="F79" r:id="rId76" display="https://studycafe.in/mca-notifies-additional-fee-of-rs-100-per-day-for-delay-in-filing-roc-forms-24895.html"/>
    <hyperlink ref="F80" r:id="rId77" display="https://www.taxmann.com/post/blog/cbdt-issues-corrigendum-to-include-sec-43bh-disallowance-under-clause-22-of-form-3c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8"/>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E1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100"/>
    <col collapsed="false" customWidth="true" hidden="false" outlineLevel="0" max="4" min="4" style="0" width="12"/>
    <col collapsed="false" customWidth="true" hidden="false" outlineLevel="0" max="5" min="5" style="0" width="40"/>
  </cols>
  <sheetData>
    <row r="1" customFormat="false" ht="30" hidden="false" customHeight="true" outlineLevel="0" collapsed="false">
      <c r="A1" s="18" t="s">
        <v>14291</v>
      </c>
      <c r="B1" s="18"/>
      <c r="C1" s="18"/>
      <c r="D1" s="18"/>
      <c r="E1" s="19" t="s">
        <v>29</v>
      </c>
    </row>
    <row r="2" customFormat="false" ht="31.5" hidden="false" customHeight="true" outlineLevel="0" collapsed="false">
      <c r="A2" s="20" t="s">
        <v>14292</v>
      </c>
      <c r="B2" s="20"/>
      <c r="C2" s="20"/>
      <c r="D2" s="20"/>
      <c r="E2" s="20"/>
    </row>
    <row r="4" customFormat="false" ht="33.75" hidden="false" customHeight="true" outlineLevel="0" collapsed="false">
      <c r="A4" s="21" t="s">
        <v>14293</v>
      </c>
      <c r="B4" s="21" t="s">
        <v>13956</v>
      </c>
      <c r="C4" s="21" t="s">
        <v>14294</v>
      </c>
      <c r="D4" s="21" t="s">
        <v>5104</v>
      </c>
      <c r="E4" s="21" t="s">
        <v>14295</v>
      </c>
    </row>
    <row r="5" customFormat="false" ht="24.75" hidden="false" customHeight="true" outlineLevel="0" collapsed="false">
      <c r="A5" s="22" t="n">
        <v>1</v>
      </c>
      <c r="B5" s="22" t="s">
        <v>14296</v>
      </c>
      <c r="C5" s="22" t="s">
        <v>14297</v>
      </c>
      <c r="D5" s="22" t="s">
        <v>14298</v>
      </c>
      <c r="E5" s="52"/>
    </row>
    <row r="6" customFormat="false" ht="24.75" hidden="false" customHeight="true" outlineLevel="0" collapsed="false">
      <c r="A6" s="22" t="n">
        <v>2</v>
      </c>
      <c r="B6" s="22" t="s">
        <v>14296</v>
      </c>
      <c r="C6" s="22" t="s">
        <v>14299</v>
      </c>
      <c r="D6" s="22" t="s">
        <v>14298</v>
      </c>
      <c r="E6" s="52"/>
    </row>
    <row r="7" customFormat="false" ht="24.75" hidden="false" customHeight="true" outlineLevel="0" collapsed="false">
      <c r="A7" s="22" t="n">
        <v>3</v>
      </c>
      <c r="B7" s="22" t="s">
        <v>14296</v>
      </c>
      <c r="C7" s="22" t="s">
        <v>14300</v>
      </c>
      <c r="D7" s="22" t="s">
        <v>14298</v>
      </c>
      <c r="E7" s="52"/>
    </row>
    <row r="8" customFormat="false" ht="24.75" hidden="false" customHeight="true" outlineLevel="0" collapsed="false">
      <c r="A8" s="22" t="n">
        <v>4</v>
      </c>
      <c r="B8" s="22" t="s">
        <v>14296</v>
      </c>
      <c r="C8" s="22" t="s">
        <v>14301</v>
      </c>
      <c r="D8" s="22" t="s">
        <v>14298</v>
      </c>
      <c r="E8" s="52"/>
    </row>
    <row r="9" customFormat="false" ht="24.75" hidden="false" customHeight="true" outlineLevel="0" collapsed="false">
      <c r="A9" s="22" t="n">
        <v>5</v>
      </c>
      <c r="B9" s="22" t="s">
        <v>14296</v>
      </c>
      <c r="C9" s="22" t="s">
        <v>14302</v>
      </c>
      <c r="D9" s="22" t="s">
        <v>14298</v>
      </c>
      <c r="E9" s="52"/>
    </row>
    <row r="10" customFormat="false" ht="24.75" hidden="false" customHeight="true" outlineLevel="0" collapsed="false">
      <c r="A10" s="22" t="n">
        <v>6</v>
      </c>
      <c r="B10" s="22" t="s">
        <v>14296</v>
      </c>
      <c r="C10" s="22" t="s">
        <v>14303</v>
      </c>
      <c r="D10" s="22" t="s">
        <v>14298</v>
      </c>
      <c r="E10" s="52"/>
    </row>
    <row r="11" customFormat="false" ht="24.75" hidden="false" customHeight="true" outlineLevel="0" collapsed="false">
      <c r="A11" s="22" t="n">
        <v>7</v>
      </c>
      <c r="B11" s="22" t="s">
        <v>14296</v>
      </c>
      <c r="C11" s="22" t="s">
        <v>14304</v>
      </c>
      <c r="D11" s="22" t="s">
        <v>14298</v>
      </c>
      <c r="E11" s="52"/>
    </row>
    <row r="12" customFormat="false" ht="24.75" hidden="false" customHeight="true" outlineLevel="0" collapsed="false">
      <c r="A12" s="22" t="n">
        <v>8</v>
      </c>
      <c r="B12" s="22" t="s">
        <v>14296</v>
      </c>
      <c r="C12" s="22" t="s">
        <v>14305</v>
      </c>
      <c r="D12" s="22" t="s">
        <v>14298</v>
      </c>
      <c r="E12" s="52"/>
    </row>
    <row r="13" customFormat="false" ht="24.75" hidden="false" customHeight="true" outlineLevel="0" collapsed="false">
      <c r="A13" s="22" t="n">
        <v>9</v>
      </c>
      <c r="B13" s="22" t="s">
        <v>50</v>
      </c>
      <c r="C13" s="22" t="s">
        <v>14306</v>
      </c>
      <c r="D13" s="22" t="s">
        <v>14298</v>
      </c>
      <c r="E13" s="52"/>
    </row>
    <row r="14" customFormat="false" ht="37.5" hidden="false" customHeight="true" outlineLevel="0" collapsed="false">
      <c r="A14" s="22" t="n">
        <v>10</v>
      </c>
      <c r="B14" s="22" t="s">
        <v>50</v>
      </c>
      <c r="C14" s="22" t="s">
        <v>14307</v>
      </c>
      <c r="D14" s="22" t="s">
        <v>14298</v>
      </c>
      <c r="E14" s="52"/>
    </row>
    <row r="15" customFormat="false" ht="24.75" hidden="false" customHeight="true" outlineLevel="0" collapsed="false">
      <c r="A15" s="22" t="n">
        <v>11</v>
      </c>
      <c r="B15" s="22" t="s">
        <v>50</v>
      </c>
      <c r="C15" s="22" t="s">
        <v>14308</v>
      </c>
      <c r="D15" s="22" t="s">
        <v>14298</v>
      </c>
      <c r="E15" s="52"/>
    </row>
    <row r="16" customFormat="false" ht="24.75" hidden="false" customHeight="true" outlineLevel="0" collapsed="false">
      <c r="A16" s="22" t="n">
        <v>12</v>
      </c>
      <c r="B16" s="22" t="s">
        <v>50</v>
      </c>
      <c r="C16" s="22" t="s">
        <v>14309</v>
      </c>
      <c r="D16" s="22" t="s">
        <v>14298</v>
      </c>
      <c r="E16" s="52"/>
    </row>
    <row r="17" customFormat="false" ht="15" hidden="false" customHeight="true" outlineLevel="0" collapsed="false">
      <c r="A17" s="22" t="n">
        <v>13</v>
      </c>
      <c r="B17" s="22" t="s">
        <v>50</v>
      </c>
      <c r="C17" s="22" t="s">
        <v>14310</v>
      </c>
      <c r="D17" s="22" t="s">
        <v>14298</v>
      </c>
      <c r="E17" s="52"/>
    </row>
    <row r="18" customFormat="false" ht="24.75" hidden="false" customHeight="true" outlineLevel="0" collapsed="false">
      <c r="A18" s="22" t="n">
        <v>14</v>
      </c>
      <c r="B18" s="22" t="s">
        <v>50</v>
      </c>
      <c r="C18" s="22" t="s">
        <v>14311</v>
      </c>
      <c r="D18" s="22" t="s">
        <v>14298</v>
      </c>
      <c r="E18" s="52"/>
    </row>
    <row r="19" customFormat="false" ht="24.75" hidden="false" customHeight="true" outlineLevel="0" collapsed="false">
      <c r="A19" s="22" t="n">
        <v>15</v>
      </c>
      <c r="B19" s="22" t="s">
        <v>50</v>
      </c>
      <c r="C19" s="22" t="s">
        <v>14312</v>
      </c>
      <c r="D19" s="22" t="s">
        <v>14298</v>
      </c>
      <c r="E19" s="52"/>
    </row>
    <row r="20" customFormat="false" ht="37.5" hidden="false" customHeight="true" outlineLevel="0" collapsed="false">
      <c r="A20" s="22" t="n">
        <v>16</v>
      </c>
      <c r="B20" s="22" t="s">
        <v>50</v>
      </c>
      <c r="C20" s="22" t="s">
        <v>14313</v>
      </c>
      <c r="D20" s="22" t="s">
        <v>14298</v>
      </c>
      <c r="E20" s="52"/>
    </row>
    <row r="21" customFormat="false" ht="24.75" hidden="false" customHeight="true" outlineLevel="0" collapsed="false">
      <c r="A21" s="22" t="n">
        <v>17</v>
      </c>
      <c r="B21" s="22" t="s">
        <v>50</v>
      </c>
      <c r="C21" s="22" t="s">
        <v>14314</v>
      </c>
      <c r="D21" s="22" t="s">
        <v>14298</v>
      </c>
      <c r="E21" s="52"/>
    </row>
    <row r="22" customFormat="false" ht="15" hidden="false" customHeight="true" outlineLevel="0" collapsed="false">
      <c r="A22" s="22" t="n">
        <v>18</v>
      </c>
      <c r="B22" s="22" t="s">
        <v>50</v>
      </c>
      <c r="C22" s="22" t="s">
        <v>14315</v>
      </c>
      <c r="D22" s="22" t="s">
        <v>14298</v>
      </c>
      <c r="E22" s="52"/>
    </row>
    <row r="23" customFormat="false" ht="24.75" hidden="false" customHeight="true" outlineLevel="0" collapsed="false">
      <c r="A23" s="22" t="n">
        <v>19</v>
      </c>
      <c r="B23" s="22" t="s">
        <v>50</v>
      </c>
      <c r="C23" s="22" t="s">
        <v>14316</v>
      </c>
      <c r="D23" s="22" t="s">
        <v>14298</v>
      </c>
      <c r="E23" s="52"/>
    </row>
    <row r="24" customFormat="false" ht="24.75" hidden="false" customHeight="true" outlineLevel="0" collapsed="false">
      <c r="A24" s="22" t="n">
        <v>20</v>
      </c>
      <c r="B24" s="22" t="s">
        <v>13964</v>
      </c>
      <c r="C24" s="22" t="s">
        <v>14317</v>
      </c>
      <c r="D24" s="22" t="s">
        <v>14298</v>
      </c>
      <c r="E24" s="52"/>
    </row>
    <row r="25" customFormat="false" ht="24.75" hidden="false" customHeight="true" outlineLevel="0" collapsed="false">
      <c r="A25" s="22" t="n">
        <v>21</v>
      </c>
      <c r="B25" s="22" t="s">
        <v>13964</v>
      </c>
      <c r="C25" s="22" t="s">
        <v>14318</v>
      </c>
      <c r="D25" s="22" t="s">
        <v>14298</v>
      </c>
      <c r="E25" s="52"/>
    </row>
    <row r="26" customFormat="false" ht="24.75" hidden="false" customHeight="true" outlineLevel="0" collapsed="false">
      <c r="A26" s="22" t="n">
        <v>22</v>
      </c>
      <c r="B26" s="22" t="s">
        <v>13964</v>
      </c>
      <c r="C26" s="22" t="s">
        <v>14319</v>
      </c>
      <c r="D26" s="22" t="s">
        <v>14298</v>
      </c>
      <c r="E26" s="52"/>
    </row>
    <row r="27" customFormat="false" ht="15" hidden="false" customHeight="true" outlineLevel="0" collapsed="false">
      <c r="A27" s="22" t="n">
        <v>23</v>
      </c>
      <c r="B27" s="22" t="s">
        <v>13964</v>
      </c>
      <c r="C27" s="22" t="s">
        <v>14320</v>
      </c>
      <c r="D27" s="22" t="s">
        <v>14298</v>
      </c>
      <c r="E27" s="52"/>
    </row>
    <row r="28" customFormat="false" ht="24.75" hidden="false" customHeight="true" outlineLevel="0" collapsed="false">
      <c r="A28" s="22" t="n">
        <v>24</v>
      </c>
      <c r="B28" s="22" t="s">
        <v>13964</v>
      </c>
      <c r="C28" s="22" t="s">
        <v>14321</v>
      </c>
      <c r="D28" s="22" t="s">
        <v>14298</v>
      </c>
      <c r="E28" s="52"/>
    </row>
    <row r="29" customFormat="false" ht="24.75" hidden="false" customHeight="true" outlineLevel="0" collapsed="false">
      <c r="A29" s="22" t="n">
        <v>25</v>
      </c>
      <c r="B29" s="22" t="s">
        <v>13964</v>
      </c>
      <c r="C29" s="22" t="s">
        <v>14322</v>
      </c>
      <c r="D29" s="22" t="s">
        <v>14298</v>
      </c>
      <c r="E29" s="52"/>
    </row>
    <row r="30" customFormat="false" ht="15" hidden="false" customHeight="true" outlineLevel="0" collapsed="false">
      <c r="A30" s="22" t="n">
        <v>26</v>
      </c>
      <c r="B30" s="22" t="s">
        <v>13964</v>
      </c>
      <c r="C30" s="22" t="s">
        <v>14323</v>
      </c>
      <c r="D30" s="22" t="s">
        <v>14298</v>
      </c>
      <c r="E30" s="52"/>
    </row>
    <row r="31" customFormat="false" ht="15" hidden="false" customHeight="true" outlineLevel="0" collapsed="false">
      <c r="A31" s="22" t="n">
        <v>27</v>
      </c>
      <c r="B31" s="22" t="s">
        <v>13964</v>
      </c>
      <c r="C31" s="22" t="s">
        <v>14324</v>
      </c>
      <c r="D31" s="22" t="s">
        <v>14298</v>
      </c>
      <c r="E31" s="52"/>
    </row>
    <row r="32" customFormat="false" ht="24.75" hidden="false" customHeight="true" outlineLevel="0" collapsed="false">
      <c r="A32" s="22" t="n">
        <v>28</v>
      </c>
      <c r="B32" s="22" t="s">
        <v>13964</v>
      </c>
      <c r="C32" s="22" t="s">
        <v>14325</v>
      </c>
      <c r="D32" s="22" t="s">
        <v>14298</v>
      </c>
      <c r="E32" s="52"/>
    </row>
    <row r="33" customFormat="false" ht="24.75" hidden="false" customHeight="true" outlineLevel="0" collapsed="false">
      <c r="A33" s="22" t="n">
        <v>29</v>
      </c>
      <c r="B33" s="22" t="s">
        <v>13964</v>
      </c>
      <c r="C33" s="22" t="s">
        <v>14326</v>
      </c>
      <c r="D33" s="22" t="s">
        <v>14298</v>
      </c>
      <c r="E33" s="52"/>
    </row>
    <row r="34" customFormat="false" ht="15" hidden="false" customHeight="true" outlineLevel="0" collapsed="false">
      <c r="A34" s="22" t="n">
        <v>30</v>
      </c>
      <c r="B34" s="22" t="s">
        <v>13964</v>
      </c>
      <c r="C34" s="22" t="s">
        <v>14327</v>
      </c>
      <c r="D34" s="22" t="s">
        <v>14298</v>
      </c>
      <c r="E34" s="52"/>
    </row>
    <row r="35" customFormat="false" ht="15" hidden="false" customHeight="true" outlineLevel="0" collapsed="false">
      <c r="A35" s="22" t="n">
        <v>31</v>
      </c>
      <c r="B35" s="22" t="s">
        <v>13964</v>
      </c>
      <c r="C35" s="22" t="s">
        <v>14328</v>
      </c>
      <c r="D35" s="22" t="s">
        <v>14298</v>
      </c>
      <c r="E35" s="52"/>
    </row>
    <row r="36" customFormat="false" ht="15" hidden="false" customHeight="true" outlineLevel="0" collapsed="false">
      <c r="A36" s="22" t="n">
        <v>32</v>
      </c>
      <c r="B36" s="22" t="s">
        <v>13964</v>
      </c>
      <c r="C36" s="22" t="s">
        <v>14329</v>
      </c>
      <c r="D36" s="22" t="s">
        <v>14298</v>
      </c>
      <c r="E36" s="52"/>
    </row>
    <row r="37" customFormat="false" ht="15" hidden="false" customHeight="true" outlineLevel="0" collapsed="false">
      <c r="A37" s="22" t="n">
        <v>33</v>
      </c>
      <c r="B37" s="22" t="s">
        <v>13964</v>
      </c>
      <c r="C37" s="22" t="s">
        <v>14330</v>
      </c>
      <c r="D37" s="22" t="s">
        <v>14298</v>
      </c>
      <c r="E37" s="52"/>
    </row>
    <row r="38" customFormat="false" ht="24.75" hidden="false" customHeight="true" outlineLevel="0" collapsed="false">
      <c r="A38" s="22" t="n">
        <v>34</v>
      </c>
      <c r="B38" s="22" t="s">
        <v>13964</v>
      </c>
      <c r="C38" s="22" t="s">
        <v>14331</v>
      </c>
      <c r="D38" s="22" t="s">
        <v>14298</v>
      </c>
      <c r="E38" s="52"/>
    </row>
    <row r="39" customFormat="false" ht="24.75" hidden="false" customHeight="true" outlineLevel="0" collapsed="false">
      <c r="A39" s="22" t="n">
        <v>35</v>
      </c>
      <c r="B39" s="22" t="s">
        <v>60</v>
      </c>
      <c r="C39" s="22" t="s">
        <v>14332</v>
      </c>
      <c r="D39" s="22" t="s">
        <v>14298</v>
      </c>
      <c r="E39" s="52"/>
    </row>
    <row r="40" customFormat="false" ht="24.75" hidden="false" customHeight="true" outlineLevel="0" collapsed="false">
      <c r="A40" s="22" t="n">
        <v>36</v>
      </c>
      <c r="B40" s="22" t="s">
        <v>60</v>
      </c>
      <c r="C40" s="22" t="s">
        <v>14333</v>
      </c>
      <c r="D40" s="22" t="s">
        <v>14298</v>
      </c>
      <c r="E40" s="52"/>
    </row>
    <row r="41" customFormat="false" ht="24.75" hidden="false" customHeight="true" outlineLevel="0" collapsed="false">
      <c r="A41" s="22" t="n">
        <v>37</v>
      </c>
      <c r="B41" s="22" t="s">
        <v>60</v>
      </c>
      <c r="C41" s="22" t="s">
        <v>14334</v>
      </c>
      <c r="D41" s="22" t="s">
        <v>14298</v>
      </c>
      <c r="E41" s="52"/>
    </row>
    <row r="42" customFormat="false" ht="24.75" hidden="false" customHeight="true" outlineLevel="0" collapsed="false">
      <c r="A42" s="22" t="n">
        <v>38</v>
      </c>
      <c r="B42" s="22" t="s">
        <v>60</v>
      </c>
      <c r="C42" s="22" t="s">
        <v>14335</v>
      </c>
      <c r="D42" s="22" t="s">
        <v>14298</v>
      </c>
      <c r="E42" s="52"/>
    </row>
    <row r="43" customFormat="false" ht="24.75" hidden="false" customHeight="true" outlineLevel="0" collapsed="false">
      <c r="A43" s="22" t="n">
        <v>39</v>
      </c>
      <c r="B43" s="22" t="s">
        <v>60</v>
      </c>
      <c r="C43" s="22" t="s">
        <v>14336</v>
      </c>
      <c r="D43" s="22" t="s">
        <v>14298</v>
      </c>
      <c r="E43" s="52"/>
    </row>
    <row r="44" customFormat="false" ht="24.75" hidden="false" customHeight="true" outlineLevel="0" collapsed="false">
      <c r="A44" s="22" t="n">
        <v>40</v>
      </c>
      <c r="B44" s="22" t="s">
        <v>60</v>
      </c>
      <c r="C44" s="22" t="s">
        <v>14337</v>
      </c>
      <c r="D44" s="22" t="s">
        <v>14298</v>
      </c>
      <c r="E44" s="52"/>
    </row>
    <row r="45" customFormat="false" ht="15" hidden="false" customHeight="true" outlineLevel="0" collapsed="false">
      <c r="A45" s="22" t="n">
        <v>41</v>
      </c>
      <c r="B45" s="22" t="s">
        <v>60</v>
      </c>
      <c r="C45" s="22" t="s">
        <v>14338</v>
      </c>
      <c r="D45" s="22" t="s">
        <v>14298</v>
      </c>
      <c r="E45" s="52"/>
    </row>
    <row r="46" customFormat="false" ht="24.75" hidden="false" customHeight="true" outlineLevel="0" collapsed="false">
      <c r="A46" s="22" t="n">
        <v>42</v>
      </c>
      <c r="B46" s="22" t="s">
        <v>60</v>
      </c>
      <c r="C46" s="22" t="s">
        <v>14339</v>
      </c>
      <c r="D46" s="22" t="s">
        <v>14298</v>
      </c>
      <c r="E46" s="52"/>
    </row>
    <row r="47" customFormat="false" ht="15" hidden="false" customHeight="true" outlineLevel="0" collapsed="false">
      <c r="A47" s="22" t="n">
        <v>43</v>
      </c>
      <c r="B47" s="22" t="s">
        <v>60</v>
      </c>
      <c r="C47" s="22" t="s">
        <v>14340</v>
      </c>
      <c r="D47" s="22" t="s">
        <v>14298</v>
      </c>
      <c r="E47" s="52"/>
    </row>
    <row r="48" customFormat="false" ht="24.75" hidden="false" customHeight="true" outlineLevel="0" collapsed="false">
      <c r="A48" s="22" t="n">
        <v>44</v>
      </c>
      <c r="B48" s="22" t="s">
        <v>60</v>
      </c>
      <c r="C48" s="22" t="s">
        <v>14341</v>
      </c>
      <c r="D48" s="22" t="s">
        <v>14298</v>
      </c>
      <c r="E48" s="52"/>
    </row>
    <row r="49" customFormat="false" ht="24.75" hidden="false" customHeight="true" outlineLevel="0" collapsed="false">
      <c r="A49" s="22" t="n">
        <v>45</v>
      </c>
      <c r="B49" s="22" t="s">
        <v>60</v>
      </c>
      <c r="C49" s="22" t="s">
        <v>14342</v>
      </c>
      <c r="D49" s="22" t="s">
        <v>14298</v>
      </c>
      <c r="E49" s="52"/>
    </row>
    <row r="50" customFormat="false" ht="24.75" hidden="false" customHeight="true" outlineLevel="0" collapsed="false">
      <c r="A50" s="22" t="n">
        <v>46</v>
      </c>
      <c r="B50" s="22" t="s">
        <v>60</v>
      </c>
      <c r="C50" s="22" t="s">
        <v>14343</v>
      </c>
      <c r="D50" s="22" t="s">
        <v>14298</v>
      </c>
      <c r="E50" s="52"/>
    </row>
    <row r="51" customFormat="false" ht="24.75" hidden="false" customHeight="true" outlineLevel="0" collapsed="false">
      <c r="A51" s="22" t="n">
        <v>47</v>
      </c>
      <c r="B51" s="22" t="s">
        <v>60</v>
      </c>
      <c r="C51" s="22" t="s">
        <v>14344</v>
      </c>
      <c r="D51" s="22" t="s">
        <v>14298</v>
      </c>
      <c r="E51" s="52"/>
    </row>
    <row r="52" customFormat="false" ht="15" hidden="false" customHeight="true" outlineLevel="0" collapsed="false">
      <c r="A52" s="22" t="n">
        <v>48</v>
      </c>
      <c r="B52" s="22" t="s">
        <v>60</v>
      </c>
      <c r="C52" s="22" t="s">
        <v>14345</v>
      </c>
      <c r="D52" s="22" t="s">
        <v>14298</v>
      </c>
      <c r="E52" s="52"/>
    </row>
    <row r="53" customFormat="false" ht="24.75" hidden="false" customHeight="true" outlineLevel="0" collapsed="false">
      <c r="A53" s="22" t="n">
        <v>49</v>
      </c>
      <c r="B53" s="22" t="s">
        <v>13961</v>
      </c>
      <c r="C53" s="22" t="s">
        <v>14346</v>
      </c>
      <c r="D53" s="22" t="s">
        <v>14298</v>
      </c>
      <c r="E53" s="52"/>
    </row>
    <row r="54" customFormat="false" ht="24.75" hidden="false" customHeight="true" outlineLevel="0" collapsed="false">
      <c r="A54" s="22" t="n">
        <v>50</v>
      </c>
      <c r="B54" s="22" t="s">
        <v>13961</v>
      </c>
      <c r="C54" s="22" t="s">
        <v>14347</v>
      </c>
      <c r="D54" s="22" t="s">
        <v>14298</v>
      </c>
      <c r="E54" s="52"/>
    </row>
    <row r="55" customFormat="false" ht="24.75" hidden="false" customHeight="true" outlineLevel="0" collapsed="false">
      <c r="A55" s="22" t="n">
        <v>51</v>
      </c>
      <c r="B55" s="22" t="s">
        <v>13961</v>
      </c>
      <c r="C55" s="22" t="s">
        <v>14348</v>
      </c>
      <c r="D55" s="22" t="s">
        <v>14298</v>
      </c>
      <c r="E55" s="52"/>
    </row>
    <row r="56" customFormat="false" ht="37.5" hidden="false" customHeight="true" outlineLevel="0" collapsed="false">
      <c r="A56" s="22" t="n">
        <v>52</v>
      </c>
      <c r="B56" s="22" t="s">
        <v>13961</v>
      </c>
      <c r="C56" s="22" t="s">
        <v>14349</v>
      </c>
      <c r="D56" s="22" t="s">
        <v>14298</v>
      </c>
      <c r="E56" s="52"/>
    </row>
    <row r="57" customFormat="false" ht="24.75" hidden="false" customHeight="true" outlineLevel="0" collapsed="false">
      <c r="A57" s="22" t="n">
        <v>53</v>
      </c>
      <c r="B57" s="22" t="s">
        <v>13961</v>
      </c>
      <c r="C57" s="22" t="s">
        <v>14350</v>
      </c>
      <c r="D57" s="22" t="s">
        <v>14298</v>
      </c>
      <c r="E57" s="52"/>
    </row>
    <row r="58" customFormat="false" ht="15" hidden="false" customHeight="true" outlineLevel="0" collapsed="false">
      <c r="A58" s="22" t="n">
        <v>54</v>
      </c>
      <c r="B58" s="22" t="s">
        <v>13961</v>
      </c>
      <c r="C58" s="22" t="s">
        <v>14351</v>
      </c>
      <c r="D58" s="22" t="s">
        <v>14298</v>
      </c>
      <c r="E58" s="52"/>
    </row>
    <row r="59" customFormat="false" ht="24.75" hidden="false" customHeight="true" outlineLevel="0" collapsed="false">
      <c r="A59" s="22" t="n">
        <v>55</v>
      </c>
      <c r="B59" s="22" t="s">
        <v>13961</v>
      </c>
      <c r="C59" s="22" t="s">
        <v>14352</v>
      </c>
      <c r="D59" s="22" t="s">
        <v>14298</v>
      </c>
      <c r="E59" s="52"/>
    </row>
    <row r="60" customFormat="false" ht="24.75" hidden="false" customHeight="true" outlineLevel="0" collapsed="false">
      <c r="A60" s="22" t="n">
        <v>56</v>
      </c>
      <c r="B60" s="22" t="s">
        <v>13961</v>
      </c>
      <c r="C60" s="22" t="s">
        <v>14353</v>
      </c>
      <c r="D60" s="22" t="s">
        <v>14298</v>
      </c>
      <c r="E60" s="52"/>
    </row>
    <row r="61" customFormat="false" ht="24.75" hidden="false" customHeight="true" outlineLevel="0" collapsed="false">
      <c r="A61" s="22" t="n">
        <v>57</v>
      </c>
      <c r="B61" s="22" t="s">
        <v>13961</v>
      </c>
      <c r="C61" s="22" t="s">
        <v>14354</v>
      </c>
      <c r="D61" s="22" t="s">
        <v>14298</v>
      </c>
      <c r="E61" s="52"/>
    </row>
    <row r="62" customFormat="false" ht="24.75" hidden="false" customHeight="true" outlineLevel="0" collapsed="false">
      <c r="A62" s="22" t="n">
        <v>58</v>
      </c>
      <c r="B62" s="22" t="s">
        <v>13961</v>
      </c>
      <c r="C62" s="22" t="s">
        <v>14355</v>
      </c>
      <c r="D62" s="22" t="s">
        <v>14298</v>
      </c>
      <c r="E62" s="52"/>
    </row>
    <row r="63" customFormat="false" ht="15" hidden="false" customHeight="true" outlineLevel="0" collapsed="false">
      <c r="A63" s="22" t="n">
        <v>59</v>
      </c>
      <c r="B63" s="22" t="s">
        <v>13961</v>
      </c>
      <c r="C63" s="22" t="s">
        <v>14356</v>
      </c>
      <c r="D63" s="22" t="s">
        <v>14298</v>
      </c>
      <c r="E63" s="52"/>
    </row>
    <row r="64" customFormat="false" ht="24.75" hidden="false" customHeight="true" outlineLevel="0" collapsed="false">
      <c r="A64" s="22" t="n">
        <v>60</v>
      </c>
      <c r="B64" s="22" t="s">
        <v>13961</v>
      </c>
      <c r="C64" s="22" t="s">
        <v>14357</v>
      </c>
      <c r="D64" s="22" t="s">
        <v>14298</v>
      </c>
      <c r="E64" s="52"/>
    </row>
    <row r="65" customFormat="false" ht="15" hidden="false" customHeight="true" outlineLevel="0" collapsed="false">
      <c r="A65" s="22" t="n">
        <v>61</v>
      </c>
      <c r="B65" s="22" t="s">
        <v>13961</v>
      </c>
      <c r="C65" s="22" t="s">
        <v>14358</v>
      </c>
      <c r="D65" s="22" t="s">
        <v>14298</v>
      </c>
      <c r="E65" s="52"/>
    </row>
    <row r="66" customFormat="false" ht="15" hidden="false" customHeight="true" outlineLevel="0" collapsed="false">
      <c r="A66" s="22" t="n">
        <v>62</v>
      </c>
      <c r="B66" s="22" t="s">
        <v>13961</v>
      </c>
      <c r="C66" s="22" t="s">
        <v>14359</v>
      </c>
      <c r="D66" s="22" t="s">
        <v>14298</v>
      </c>
      <c r="E66" s="52"/>
    </row>
    <row r="67" customFormat="false" ht="24.75" hidden="false" customHeight="true" outlineLevel="0" collapsed="false">
      <c r="A67" s="22" t="n">
        <v>63</v>
      </c>
      <c r="B67" s="22" t="s">
        <v>13960</v>
      </c>
      <c r="C67" s="22" t="s">
        <v>14360</v>
      </c>
      <c r="D67" s="22" t="s">
        <v>14298</v>
      </c>
      <c r="E67" s="52"/>
    </row>
    <row r="68" customFormat="false" ht="24.75" hidden="false" customHeight="true" outlineLevel="0" collapsed="false">
      <c r="A68" s="22" t="n">
        <v>64</v>
      </c>
      <c r="B68" s="22" t="s">
        <v>13960</v>
      </c>
      <c r="C68" s="22" t="s">
        <v>14361</v>
      </c>
      <c r="D68" s="22" t="s">
        <v>14298</v>
      </c>
      <c r="E68" s="52"/>
    </row>
    <row r="69" customFormat="false" ht="24.75" hidden="false" customHeight="true" outlineLevel="0" collapsed="false">
      <c r="A69" s="22" t="n">
        <v>65</v>
      </c>
      <c r="B69" s="22" t="s">
        <v>13960</v>
      </c>
      <c r="C69" s="22" t="s">
        <v>14362</v>
      </c>
      <c r="D69" s="22" t="s">
        <v>14298</v>
      </c>
      <c r="E69" s="52"/>
    </row>
    <row r="70" customFormat="false" ht="24.75" hidden="false" customHeight="true" outlineLevel="0" collapsed="false">
      <c r="A70" s="22" t="n">
        <v>66</v>
      </c>
      <c r="B70" s="22" t="s">
        <v>13960</v>
      </c>
      <c r="C70" s="22" t="s">
        <v>14363</v>
      </c>
      <c r="D70" s="22" t="s">
        <v>14298</v>
      </c>
      <c r="E70" s="52"/>
    </row>
    <row r="71" customFormat="false" ht="24.75" hidden="false" customHeight="true" outlineLevel="0" collapsed="false">
      <c r="A71" s="22" t="n">
        <v>67</v>
      </c>
      <c r="B71" s="22" t="s">
        <v>13960</v>
      </c>
      <c r="C71" s="22" t="s">
        <v>14364</v>
      </c>
      <c r="D71" s="22" t="s">
        <v>14298</v>
      </c>
      <c r="E71" s="52"/>
    </row>
    <row r="72" customFormat="false" ht="24.75" hidden="false" customHeight="true" outlineLevel="0" collapsed="false">
      <c r="A72" s="22" t="n">
        <v>68</v>
      </c>
      <c r="B72" s="22" t="s">
        <v>13960</v>
      </c>
      <c r="C72" s="22" t="s">
        <v>14365</v>
      </c>
      <c r="D72" s="22" t="s">
        <v>14298</v>
      </c>
      <c r="E72" s="52"/>
    </row>
    <row r="73" customFormat="false" ht="15" hidden="false" customHeight="true" outlineLevel="0" collapsed="false">
      <c r="A73" s="22" t="n">
        <v>69</v>
      </c>
      <c r="B73" s="22" t="s">
        <v>13960</v>
      </c>
      <c r="C73" s="22" t="s">
        <v>14366</v>
      </c>
      <c r="D73" s="22" t="s">
        <v>14298</v>
      </c>
      <c r="E73" s="52"/>
    </row>
    <row r="74" customFormat="false" ht="24.75" hidden="false" customHeight="true" outlineLevel="0" collapsed="false">
      <c r="A74" s="22" t="n">
        <v>70</v>
      </c>
      <c r="B74" s="22" t="s">
        <v>13960</v>
      </c>
      <c r="C74" s="22" t="s">
        <v>14367</v>
      </c>
      <c r="D74" s="22" t="s">
        <v>14298</v>
      </c>
      <c r="E74" s="52"/>
    </row>
    <row r="75" customFormat="false" ht="24.75" hidden="false" customHeight="true" outlineLevel="0" collapsed="false">
      <c r="A75" s="22" t="n">
        <v>71</v>
      </c>
      <c r="B75" s="22" t="s">
        <v>13960</v>
      </c>
      <c r="C75" s="22" t="s">
        <v>14368</v>
      </c>
      <c r="D75" s="22" t="s">
        <v>14298</v>
      </c>
      <c r="E75" s="52"/>
    </row>
    <row r="76" customFormat="false" ht="15" hidden="false" customHeight="true" outlineLevel="0" collapsed="false">
      <c r="A76" s="22" t="n">
        <v>72</v>
      </c>
      <c r="B76" s="22" t="s">
        <v>13960</v>
      </c>
      <c r="C76" s="22" t="s">
        <v>14369</v>
      </c>
      <c r="D76" s="22" t="s">
        <v>14298</v>
      </c>
      <c r="E76" s="52"/>
    </row>
    <row r="77" customFormat="false" ht="24.75" hidden="false" customHeight="true" outlineLevel="0" collapsed="false">
      <c r="A77" s="22" t="n">
        <v>73</v>
      </c>
      <c r="B77" s="22" t="s">
        <v>13960</v>
      </c>
      <c r="C77" s="22" t="s">
        <v>14370</v>
      </c>
      <c r="D77" s="22" t="s">
        <v>14298</v>
      </c>
      <c r="E77" s="52"/>
    </row>
    <row r="78" customFormat="false" ht="37.5" hidden="false" customHeight="true" outlineLevel="0" collapsed="false">
      <c r="A78" s="22" t="n">
        <v>74</v>
      </c>
      <c r="B78" s="22" t="s">
        <v>13963</v>
      </c>
      <c r="C78" s="22" t="s">
        <v>14371</v>
      </c>
      <c r="D78" s="22" t="s">
        <v>14298</v>
      </c>
      <c r="E78" s="52"/>
    </row>
    <row r="79" customFormat="false" ht="24.75" hidden="false" customHeight="true" outlineLevel="0" collapsed="false">
      <c r="A79" s="22" t="n">
        <v>75</v>
      </c>
      <c r="B79" s="22" t="s">
        <v>13963</v>
      </c>
      <c r="C79" s="22" t="s">
        <v>14372</v>
      </c>
      <c r="D79" s="22" t="s">
        <v>14298</v>
      </c>
      <c r="E79" s="52"/>
    </row>
    <row r="80" customFormat="false" ht="24.75" hidden="false" customHeight="true" outlineLevel="0" collapsed="false">
      <c r="A80" s="22" t="n">
        <v>76</v>
      </c>
      <c r="B80" s="22" t="s">
        <v>13963</v>
      </c>
      <c r="C80" s="22" t="s">
        <v>14373</v>
      </c>
      <c r="D80" s="22" t="s">
        <v>14298</v>
      </c>
      <c r="E80" s="52"/>
    </row>
    <row r="81" customFormat="false" ht="24.75" hidden="false" customHeight="true" outlineLevel="0" collapsed="false">
      <c r="A81" s="22" t="n">
        <v>77</v>
      </c>
      <c r="B81" s="22" t="s">
        <v>13963</v>
      </c>
      <c r="C81" s="22" t="s">
        <v>14374</v>
      </c>
      <c r="D81" s="22" t="s">
        <v>14298</v>
      </c>
      <c r="E81" s="52"/>
    </row>
    <row r="82" customFormat="false" ht="24.75" hidden="false" customHeight="true" outlineLevel="0" collapsed="false">
      <c r="A82" s="22" t="n">
        <v>78</v>
      </c>
      <c r="B82" s="22" t="s">
        <v>13963</v>
      </c>
      <c r="C82" s="22" t="s">
        <v>14375</v>
      </c>
      <c r="D82" s="22" t="s">
        <v>14298</v>
      </c>
      <c r="E82" s="52"/>
    </row>
    <row r="83" customFormat="false" ht="24.75" hidden="false" customHeight="true" outlineLevel="0" collapsed="false">
      <c r="A83" s="22" t="n">
        <v>79</v>
      </c>
      <c r="B83" s="22" t="s">
        <v>13963</v>
      </c>
      <c r="C83" s="22" t="s">
        <v>14376</v>
      </c>
      <c r="D83" s="22" t="s">
        <v>14298</v>
      </c>
      <c r="E83" s="52"/>
    </row>
    <row r="84" customFormat="false" ht="24.75" hidden="false" customHeight="true" outlineLevel="0" collapsed="false">
      <c r="A84" s="22" t="n">
        <v>80</v>
      </c>
      <c r="B84" s="22" t="s">
        <v>13963</v>
      </c>
      <c r="C84" s="22" t="s">
        <v>14377</v>
      </c>
      <c r="D84" s="22" t="s">
        <v>14298</v>
      </c>
      <c r="E84" s="52"/>
    </row>
    <row r="85" customFormat="false" ht="24.75" hidden="false" customHeight="true" outlineLevel="0" collapsed="false">
      <c r="A85" s="22" t="n">
        <v>81</v>
      </c>
      <c r="B85" s="22" t="s">
        <v>13963</v>
      </c>
      <c r="C85" s="22" t="s">
        <v>14378</v>
      </c>
      <c r="D85" s="22" t="s">
        <v>14298</v>
      </c>
      <c r="E85" s="52"/>
    </row>
    <row r="86" customFormat="false" ht="24.75" hidden="false" customHeight="true" outlineLevel="0" collapsed="false">
      <c r="A86" s="22" t="n">
        <v>82</v>
      </c>
      <c r="B86" s="22" t="s">
        <v>13963</v>
      </c>
      <c r="C86" s="22" t="s">
        <v>14379</v>
      </c>
      <c r="D86" s="22" t="s">
        <v>14298</v>
      </c>
      <c r="E86" s="52"/>
    </row>
    <row r="87" customFormat="false" ht="24.75" hidden="false" customHeight="true" outlineLevel="0" collapsed="false">
      <c r="A87" s="22" t="n">
        <v>83</v>
      </c>
      <c r="B87" s="22" t="s">
        <v>13963</v>
      </c>
      <c r="C87" s="22" t="s">
        <v>14380</v>
      </c>
      <c r="D87" s="22" t="s">
        <v>14298</v>
      </c>
      <c r="E87" s="52"/>
    </row>
    <row r="88" customFormat="false" ht="24.75" hidden="false" customHeight="true" outlineLevel="0" collapsed="false">
      <c r="A88" s="22" t="n">
        <v>84</v>
      </c>
      <c r="B88" s="22" t="s">
        <v>13963</v>
      </c>
      <c r="C88" s="22" t="s">
        <v>14381</v>
      </c>
      <c r="D88" s="22" t="s">
        <v>14298</v>
      </c>
      <c r="E88" s="52"/>
    </row>
    <row r="89" customFormat="false" ht="24.75" hidden="false" customHeight="true" outlineLevel="0" collapsed="false">
      <c r="A89" s="22" t="n">
        <v>85</v>
      </c>
      <c r="B89" s="22" t="s">
        <v>13963</v>
      </c>
      <c r="C89" s="22" t="s">
        <v>14382</v>
      </c>
      <c r="D89" s="22" t="s">
        <v>14298</v>
      </c>
      <c r="E89" s="52"/>
    </row>
    <row r="90" customFormat="false" ht="24.75" hidden="false" customHeight="true" outlineLevel="0" collapsed="false">
      <c r="A90" s="22" t="n">
        <v>86</v>
      </c>
      <c r="B90" s="22" t="s">
        <v>13963</v>
      </c>
      <c r="C90" s="22" t="s">
        <v>14383</v>
      </c>
      <c r="D90" s="22" t="s">
        <v>14298</v>
      </c>
      <c r="E90" s="52"/>
    </row>
    <row r="91" customFormat="false" ht="24.75" hidden="false" customHeight="true" outlineLevel="0" collapsed="false">
      <c r="A91" s="22" t="n">
        <v>87</v>
      </c>
      <c r="B91" s="22" t="s">
        <v>13962</v>
      </c>
      <c r="C91" s="22" t="s">
        <v>14384</v>
      </c>
      <c r="D91" s="22" t="s">
        <v>14298</v>
      </c>
      <c r="E91" s="52"/>
    </row>
    <row r="92" customFormat="false" ht="24.75" hidden="false" customHeight="true" outlineLevel="0" collapsed="false">
      <c r="A92" s="22" t="n">
        <v>88</v>
      </c>
      <c r="B92" s="22" t="s">
        <v>13962</v>
      </c>
      <c r="C92" s="22" t="s">
        <v>14385</v>
      </c>
      <c r="D92" s="22" t="s">
        <v>14298</v>
      </c>
      <c r="E92" s="52"/>
    </row>
    <row r="93" customFormat="false" ht="24.75" hidden="false" customHeight="true" outlineLevel="0" collapsed="false">
      <c r="A93" s="22" t="n">
        <v>89</v>
      </c>
      <c r="B93" s="22" t="s">
        <v>13962</v>
      </c>
      <c r="C93" s="22" t="s">
        <v>14386</v>
      </c>
      <c r="D93" s="22" t="s">
        <v>14298</v>
      </c>
      <c r="E93" s="52"/>
    </row>
    <row r="94" customFormat="false" ht="24.75" hidden="false" customHeight="true" outlineLevel="0" collapsed="false">
      <c r="A94" s="22" t="n">
        <v>90</v>
      </c>
      <c r="B94" s="22" t="s">
        <v>13962</v>
      </c>
      <c r="C94" s="22" t="s">
        <v>14387</v>
      </c>
      <c r="D94" s="22" t="s">
        <v>14298</v>
      </c>
      <c r="E94" s="52"/>
    </row>
    <row r="95" customFormat="false" ht="24.75" hidden="false" customHeight="true" outlineLevel="0" collapsed="false">
      <c r="A95" s="22" t="n">
        <v>91</v>
      </c>
      <c r="B95" s="22" t="s">
        <v>13962</v>
      </c>
      <c r="C95" s="22" t="s">
        <v>14388</v>
      </c>
      <c r="D95" s="22" t="s">
        <v>14298</v>
      </c>
      <c r="E95" s="52"/>
    </row>
    <row r="96" customFormat="false" ht="24.75" hidden="false" customHeight="true" outlineLevel="0" collapsed="false">
      <c r="A96" s="22" t="n">
        <v>92</v>
      </c>
      <c r="B96" s="22" t="s">
        <v>13962</v>
      </c>
      <c r="C96" s="22" t="s">
        <v>14389</v>
      </c>
      <c r="D96" s="22" t="s">
        <v>14298</v>
      </c>
      <c r="E96" s="52"/>
    </row>
    <row r="97" customFormat="false" ht="24.75" hidden="false" customHeight="true" outlineLevel="0" collapsed="false">
      <c r="A97" s="22" t="n">
        <v>93</v>
      </c>
      <c r="B97" s="22" t="s">
        <v>13962</v>
      </c>
      <c r="C97" s="22" t="s">
        <v>14390</v>
      </c>
      <c r="D97" s="22" t="s">
        <v>14298</v>
      </c>
      <c r="E97" s="52"/>
    </row>
    <row r="98" customFormat="false" ht="24.75" hidden="false" customHeight="true" outlineLevel="0" collapsed="false">
      <c r="A98" s="22" t="n">
        <v>94</v>
      </c>
      <c r="B98" s="22" t="s">
        <v>13962</v>
      </c>
      <c r="C98" s="22" t="s">
        <v>14391</v>
      </c>
      <c r="D98" s="22" t="s">
        <v>14298</v>
      </c>
      <c r="E98" s="52"/>
    </row>
    <row r="99" customFormat="false" ht="15" hidden="false" customHeight="true" outlineLevel="0" collapsed="false">
      <c r="A99" s="22" t="n">
        <v>95</v>
      </c>
      <c r="B99" s="22" t="s">
        <v>13962</v>
      </c>
      <c r="C99" s="22" t="s">
        <v>14392</v>
      </c>
      <c r="D99" s="22" t="s">
        <v>14298</v>
      </c>
      <c r="E99" s="52"/>
    </row>
    <row r="100" customFormat="false" ht="24.75" hidden="false" customHeight="true" outlineLevel="0" collapsed="false">
      <c r="A100" s="22" t="n">
        <v>96</v>
      </c>
      <c r="B100" s="22" t="s">
        <v>13962</v>
      </c>
      <c r="C100" s="22" t="s">
        <v>14393</v>
      </c>
      <c r="D100" s="22" t="s">
        <v>14298</v>
      </c>
      <c r="E100" s="52"/>
    </row>
    <row r="101" customFormat="false" ht="24.75" hidden="false" customHeight="true" outlineLevel="0" collapsed="false">
      <c r="A101" s="22" t="n">
        <v>97</v>
      </c>
      <c r="B101" s="22" t="s">
        <v>13962</v>
      </c>
      <c r="C101" s="22" t="s">
        <v>14394</v>
      </c>
      <c r="D101" s="22" t="s">
        <v>14298</v>
      </c>
      <c r="E101" s="52"/>
    </row>
    <row r="102" customFormat="false" ht="24.75" hidden="false" customHeight="true" outlineLevel="0" collapsed="false">
      <c r="A102" s="22" t="n">
        <v>98</v>
      </c>
      <c r="B102" s="22" t="s">
        <v>13962</v>
      </c>
      <c r="C102" s="22" t="s">
        <v>14395</v>
      </c>
      <c r="D102" s="22" t="s">
        <v>14298</v>
      </c>
      <c r="E102" s="52"/>
    </row>
    <row r="103" customFormat="false" ht="15" hidden="false" customHeight="true" outlineLevel="0" collapsed="false">
      <c r="A103" s="22" t="n">
        <v>99</v>
      </c>
      <c r="B103" s="22" t="s">
        <v>13962</v>
      </c>
      <c r="C103" s="22" t="s">
        <v>14396</v>
      </c>
      <c r="D103" s="22" t="s">
        <v>14298</v>
      </c>
      <c r="E103" s="52"/>
    </row>
    <row r="104" customFormat="false" ht="24.75" hidden="false" customHeight="true" outlineLevel="0" collapsed="false">
      <c r="A104" s="22" t="n">
        <v>100</v>
      </c>
      <c r="B104" s="22" t="s">
        <v>13962</v>
      </c>
      <c r="C104" s="22" t="s">
        <v>14397</v>
      </c>
      <c r="D104" s="22" t="s">
        <v>14298</v>
      </c>
      <c r="E104" s="52"/>
    </row>
    <row r="105" customFormat="false" ht="37.5" hidden="false" customHeight="true" outlineLevel="0" collapsed="false">
      <c r="A105" s="22" t="n">
        <v>101</v>
      </c>
      <c r="B105" s="22" t="s">
        <v>14398</v>
      </c>
      <c r="C105" s="22" t="s">
        <v>14399</v>
      </c>
      <c r="D105" s="22" t="s">
        <v>14298</v>
      </c>
      <c r="E105" s="52"/>
    </row>
    <row r="106" customFormat="false" ht="24.75" hidden="false" customHeight="true" outlineLevel="0" collapsed="false">
      <c r="A106" s="22" t="n">
        <v>102</v>
      </c>
      <c r="B106" s="22" t="s">
        <v>14398</v>
      </c>
      <c r="C106" s="22" t="s">
        <v>14400</v>
      </c>
      <c r="D106" s="22" t="s">
        <v>14298</v>
      </c>
      <c r="E106" s="52"/>
    </row>
    <row r="107" customFormat="false" ht="24.75" hidden="false" customHeight="true" outlineLevel="0" collapsed="false">
      <c r="A107" s="22" t="n">
        <v>103</v>
      </c>
      <c r="B107" s="22" t="s">
        <v>14398</v>
      </c>
      <c r="C107" s="22" t="s">
        <v>14401</v>
      </c>
      <c r="D107" s="22" t="s">
        <v>14298</v>
      </c>
      <c r="E107" s="52"/>
    </row>
    <row r="108" customFormat="false" ht="24.75" hidden="false" customHeight="true" outlineLevel="0" collapsed="false">
      <c r="A108" s="22" t="n">
        <v>104</v>
      </c>
      <c r="B108" s="22" t="s">
        <v>14398</v>
      </c>
      <c r="C108" s="22" t="s">
        <v>14402</v>
      </c>
      <c r="D108" s="22" t="s">
        <v>14298</v>
      </c>
      <c r="E108" s="52"/>
    </row>
    <row r="109" customFormat="false" ht="24.75" hidden="false" customHeight="true" outlineLevel="0" collapsed="false">
      <c r="A109" s="22" t="n">
        <v>105</v>
      </c>
      <c r="B109" s="22" t="s">
        <v>14398</v>
      </c>
      <c r="C109" s="22" t="s">
        <v>14403</v>
      </c>
      <c r="D109" s="22" t="s">
        <v>14298</v>
      </c>
      <c r="E109" s="52"/>
    </row>
    <row r="110" customFormat="false" ht="24.75" hidden="false" customHeight="true" outlineLevel="0" collapsed="false">
      <c r="A110" s="22" t="n">
        <v>106</v>
      </c>
      <c r="B110" s="22" t="s">
        <v>14398</v>
      </c>
      <c r="C110" s="22" t="s">
        <v>14404</v>
      </c>
      <c r="D110" s="22" t="s">
        <v>14298</v>
      </c>
      <c r="E110" s="52"/>
    </row>
    <row r="111" customFormat="false" ht="24.75" hidden="false" customHeight="true" outlineLevel="0" collapsed="false">
      <c r="A111" s="22" t="n">
        <v>107</v>
      </c>
      <c r="B111" s="22" t="s">
        <v>14398</v>
      </c>
      <c r="C111" s="22" t="s">
        <v>14405</v>
      </c>
      <c r="D111" s="22" t="s">
        <v>14298</v>
      </c>
      <c r="E111" s="52"/>
    </row>
    <row r="112" customFormat="false" ht="24.75" hidden="false" customHeight="true" outlineLevel="0" collapsed="false">
      <c r="A112" s="22" t="n">
        <v>108</v>
      </c>
      <c r="B112" s="22" t="s">
        <v>14398</v>
      </c>
      <c r="C112" s="22" t="s">
        <v>14406</v>
      </c>
      <c r="D112" s="22" t="s">
        <v>14298</v>
      </c>
      <c r="E112" s="52"/>
    </row>
    <row r="113" customFormat="false" ht="24.75" hidden="false" customHeight="true" outlineLevel="0" collapsed="false">
      <c r="A113" s="22" t="n">
        <v>109</v>
      </c>
      <c r="B113" s="22" t="s">
        <v>14398</v>
      </c>
      <c r="C113" s="22" t="s">
        <v>14407</v>
      </c>
      <c r="D113" s="22" t="s">
        <v>14298</v>
      </c>
      <c r="E113" s="52"/>
    </row>
  </sheetData>
  <autoFilter ref="A4:E113"/>
  <mergeCells count="2">
    <mergeCell ref="A1:D1"/>
    <mergeCell ref="A2:E2"/>
  </mergeCells>
  <hyperlinks>
    <hyperlink ref="E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F95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60"/>
    <col collapsed="false" customWidth="true" hidden="false" outlineLevel="0" max="4" min="4" style="0" width="70"/>
    <col collapsed="false" customWidth="true" hidden="false" outlineLevel="0" max="5" min="5" style="0" width="40"/>
    <col collapsed="false" customWidth="true" hidden="false" outlineLevel="0" max="6" min="6" style="0" width="12"/>
  </cols>
  <sheetData>
    <row r="1" customFormat="false" ht="30" hidden="false" customHeight="true" outlineLevel="0" collapsed="false">
      <c r="A1" s="18" t="s">
        <v>14408</v>
      </c>
      <c r="B1" s="18"/>
      <c r="C1" s="18"/>
      <c r="D1" s="18"/>
      <c r="E1" s="18"/>
      <c r="F1" s="19" t="s">
        <v>29</v>
      </c>
    </row>
    <row r="2" customFormat="false" ht="31.5" hidden="false" customHeight="true" outlineLevel="0" collapsed="false">
      <c r="A2" s="20" t="s">
        <v>14409</v>
      </c>
      <c r="B2" s="20"/>
      <c r="C2" s="20"/>
      <c r="D2" s="20"/>
      <c r="E2" s="20"/>
      <c r="F2" s="20"/>
    </row>
    <row r="4" customFormat="false" ht="33.75" hidden="false" customHeight="true" outlineLevel="0" collapsed="false">
      <c r="A4" s="21" t="s">
        <v>110</v>
      </c>
      <c r="B4" s="21" t="s">
        <v>111</v>
      </c>
      <c r="C4" s="21" t="s">
        <v>14410</v>
      </c>
      <c r="D4" s="21" t="s">
        <v>14411</v>
      </c>
      <c r="E4" s="21" t="s">
        <v>14412</v>
      </c>
      <c r="F4" s="21" t="s">
        <v>14413</v>
      </c>
    </row>
    <row r="5" customFormat="false" ht="24.75" hidden="false" customHeight="true" outlineLevel="0" collapsed="false">
      <c r="A5" s="22" t="s">
        <v>9247</v>
      </c>
      <c r="B5" s="22" t="s">
        <v>9248</v>
      </c>
      <c r="C5" s="22" t="s">
        <v>14414</v>
      </c>
      <c r="D5" s="23" t="s">
        <v>13710</v>
      </c>
      <c r="E5" s="22" t="s">
        <v>14415</v>
      </c>
      <c r="F5" s="35" t="s">
        <v>14416</v>
      </c>
    </row>
    <row r="6" customFormat="false" ht="24.75" hidden="false" customHeight="true" outlineLevel="0" collapsed="false">
      <c r="A6" s="22" t="s">
        <v>9247</v>
      </c>
      <c r="B6" s="22" t="s">
        <v>9248</v>
      </c>
      <c r="C6" s="22" t="s">
        <v>14417</v>
      </c>
      <c r="D6" s="23" t="s">
        <v>14418</v>
      </c>
      <c r="E6" s="22" t="s">
        <v>14419</v>
      </c>
      <c r="F6" s="53" t="s">
        <v>14420</v>
      </c>
    </row>
    <row r="7" customFormat="false" ht="49.5" hidden="false" customHeight="true" outlineLevel="0" collapsed="false">
      <c r="A7" s="22" t="s">
        <v>9247</v>
      </c>
      <c r="B7" s="22" t="s">
        <v>9248</v>
      </c>
      <c r="C7" s="22" t="s">
        <v>14421</v>
      </c>
      <c r="D7" s="23" t="s">
        <v>14422</v>
      </c>
      <c r="E7" s="22" t="s">
        <v>14423</v>
      </c>
      <c r="F7" s="53" t="s">
        <v>14420</v>
      </c>
    </row>
    <row r="8" customFormat="false" ht="24.75" hidden="false" customHeight="true" outlineLevel="0" collapsed="false">
      <c r="A8" s="22" t="s">
        <v>9247</v>
      </c>
      <c r="B8" s="22" t="s">
        <v>9248</v>
      </c>
      <c r="C8" s="22" t="s">
        <v>14424</v>
      </c>
      <c r="D8" s="23" t="s">
        <v>14425</v>
      </c>
      <c r="E8" s="22" t="s">
        <v>14426</v>
      </c>
      <c r="F8" s="53" t="s">
        <v>14420</v>
      </c>
    </row>
    <row r="9" customFormat="false" ht="37.5" hidden="false" customHeight="true" outlineLevel="0" collapsed="false">
      <c r="A9" s="22" t="s">
        <v>9247</v>
      </c>
      <c r="B9" s="22" t="s">
        <v>9248</v>
      </c>
      <c r="C9" s="22" t="s">
        <v>14427</v>
      </c>
      <c r="D9" s="23" t="s">
        <v>14428</v>
      </c>
      <c r="E9" s="22" t="s">
        <v>14429</v>
      </c>
      <c r="F9" s="35" t="s">
        <v>14416</v>
      </c>
    </row>
    <row r="10" customFormat="false" ht="24.75" hidden="false" customHeight="true" outlineLevel="0" collapsed="false">
      <c r="A10" s="22" t="s">
        <v>9247</v>
      </c>
      <c r="B10" s="22" t="s">
        <v>9248</v>
      </c>
      <c r="C10" s="22" t="s">
        <v>14430</v>
      </c>
      <c r="D10" s="23" t="s">
        <v>14022</v>
      </c>
      <c r="E10" s="22" t="s">
        <v>14431</v>
      </c>
      <c r="F10" s="53" t="s">
        <v>14420</v>
      </c>
    </row>
    <row r="11" customFormat="false" ht="24.75" hidden="false" customHeight="true" outlineLevel="0" collapsed="false">
      <c r="A11" s="22" t="s">
        <v>9247</v>
      </c>
      <c r="B11" s="22" t="s">
        <v>9248</v>
      </c>
      <c r="C11" s="22" t="s">
        <v>14432</v>
      </c>
      <c r="D11" s="23" t="s">
        <v>13765</v>
      </c>
      <c r="E11" s="22" t="s">
        <v>14433</v>
      </c>
      <c r="F11" s="35" t="s">
        <v>14416</v>
      </c>
    </row>
    <row r="12" customFormat="false" ht="15" hidden="false" customHeight="true" outlineLevel="0" collapsed="false">
      <c r="A12" s="22" t="s">
        <v>9247</v>
      </c>
      <c r="B12" s="22" t="s">
        <v>9248</v>
      </c>
      <c r="C12" s="22" t="s">
        <v>14434</v>
      </c>
      <c r="D12" s="23" t="s">
        <v>14435</v>
      </c>
      <c r="E12" s="22" t="s">
        <v>14436</v>
      </c>
      <c r="F12" s="53" t="s">
        <v>14420</v>
      </c>
    </row>
    <row r="13" customFormat="false" ht="15" hidden="false" customHeight="true" outlineLevel="0" collapsed="false">
      <c r="A13" s="22" t="s">
        <v>9272</v>
      </c>
      <c r="B13" s="22" t="s">
        <v>9248</v>
      </c>
      <c r="C13" s="22" t="s">
        <v>14437</v>
      </c>
      <c r="D13" s="23" t="s">
        <v>13984</v>
      </c>
      <c r="E13" s="22" t="s">
        <v>14438</v>
      </c>
      <c r="F13" s="35" t="s">
        <v>14416</v>
      </c>
    </row>
    <row r="14" customFormat="false" ht="15" hidden="false" customHeight="true" outlineLevel="0" collapsed="false">
      <c r="A14" s="22" t="s">
        <v>9272</v>
      </c>
      <c r="B14" s="22" t="s">
        <v>9248</v>
      </c>
      <c r="C14" s="22" t="s">
        <v>14439</v>
      </c>
      <c r="D14" s="23" t="s">
        <v>14440</v>
      </c>
      <c r="E14" s="22" t="s">
        <v>14441</v>
      </c>
      <c r="F14" s="35" t="s">
        <v>14416</v>
      </c>
    </row>
    <row r="15" customFormat="false" ht="24.75" hidden="false" customHeight="true" outlineLevel="0" collapsed="false">
      <c r="A15" s="22" t="s">
        <v>9272</v>
      </c>
      <c r="B15" s="22" t="s">
        <v>9248</v>
      </c>
      <c r="C15" s="22" t="s">
        <v>14430</v>
      </c>
      <c r="D15" s="23" t="s">
        <v>14022</v>
      </c>
      <c r="E15" s="22" t="s">
        <v>14431</v>
      </c>
      <c r="F15" s="53" t="s">
        <v>14420</v>
      </c>
    </row>
    <row r="16" customFormat="false" ht="24.75" hidden="false" customHeight="true" outlineLevel="0" collapsed="false">
      <c r="A16" s="22" t="s">
        <v>9272</v>
      </c>
      <c r="B16" s="22" t="s">
        <v>9248</v>
      </c>
      <c r="C16" s="22" t="s">
        <v>14442</v>
      </c>
      <c r="D16" s="23" t="s">
        <v>14443</v>
      </c>
      <c r="E16" s="22" t="s">
        <v>14444</v>
      </c>
      <c r="F16" s="53" t="s">
        <v>14420</v>
      </c>
    </row>
    <row r="17" customFormat="false" ht="15" hidden="false" customHeight="true" outlineLevel="0" collapsed="false">
      <c r="A17" s="22" t="s">
        <v>9296</v>
      </c>
      <c r="B17" s="22" t="s">
        <v>9248</v>
      </c>
      <c r="C17" s="22" t="s">
        <v>14437</v>
      </c>
      <c r="D17" s="23" t="s">
        <v>13984</v>
      </c>
      <c r="E17" s="22" t="s">
        <v>14438</v>
      </c>
      <c r="F17" s="35" t="s">
        <v>14416</v>
      </c>
    </row>
    <row r="18" customFormat="false" ht="24.75" hidden="false" customHeight="true" outlineLevel="0" collapsed="false">
      <c r="A18" s="22" t="s">
        <v>9296</v>
      </c>
      <c r="B18" s="22" t="s">
        <v>9248</v>
      </c>
      <c r="C18" s="22" t="s">
        <v>14442</v>
      </c>
      <c r="D18" s="23" t="s">
        <v>14443</v>
      </c>
      <c r="E18" s="22" t="s">
        <v>14444</v>
      </c>
      <c r="F18" s="53" t="s">
        <v>14420</v>
      </c>
    </row>
    <row r="19" customFormat="false" ht="24.75" hidden="false" customHeight="true" outlineLevel="0" collapsed="false">
      <c r="A19" s="22" t="s">
        <v>9296</v>
      </c>
      <c r="B19" s="22" t="s">
        <v>9248</v>
      </c>
      <c r="C19" s="22" t="s">
        <v>14445</v>
      </c>
      <c r="D19" s="23" t="s">
        <v>13993</v>
      </c>
      <c r="E19" s="22" t="s">
        <v>14446</v>
      </c>
      <c r="F19" s="35" t="s">
        <v>14416</v>
      </c>
    </row>
    <row r="20" customFormat="false" ht="15" hidden="false" customHeight="true" outlineLevel="0" collapsed="false">
      <c r="A20" s="22" t="s">
        <v>9319</v>
      </c>
      <c r="B20" s="22" t="s">
        <v>9248</v>
      </c>
      <c r="C20" s="22" t="s">
        <v>14439</v>
      </c>
      <c r="D20" s="23" t="s">
        <v>14440</v>
      </c>
      <c r="E20" s="22" t="s">
        <v>14441</v>
      </c>
      <c r="F20" s="35" t="s">
        <v>14416</v>
      </c>
    </row>
    <row r="21" customFormat="false" ht="15" hidden="false" customHeight="true" outlineLevel="0" collapsed="false">
      <c r="A21" s="22" t="s">
        <v>9342</v>
      </c>
      <c r="B21" s="22" t="s">
        <v>9248</v>
      </c>
      <c r="C21" s="22" t="s">
        <v>14437</v>
      </c>
      <c r="D21" s="23" t="s">
        <v>13984</v>
      </c>
      <c r="E21" s="22" t="s">
        <v>14438</v>
      </c>
      <c r="F21" s="35" t="s">
        <v>14416</v>
      </c>
    </row>
    <row r="22" customFormat="false" ht="24.75" hidden="false" customHeight="true" outlineLevel="0" collapsed="false">
      <c r="A22" s="22" t="s">
        <v>9342</v>
      </c>
      <c r="B22" s="22" t="s">
        <v>9248</v>
      </c>
      <c r="C22" s="22" t="s">
        <v>14442</v>
      </c>
      <c r="D22" s="23" t="s">
        <v>14443</v>
      </c>
      <c r="E22" s="22" t="s">
        <v>14444</v>
      </c>
      <c r="F22" s="53" t="s">
        <v>14420</v>
      </c>
    </row>
    <row r="23" customFormat="false" ht="15" hidden="false" customHeight="true" outlineLevel="0" collapsed="false">
      <c r="A23" s="22" t="s">
        <v>9366</v>
      </c>
      <c r="B23" s="22" t="s">
        <v>9248</v>
      </c>
      <c r="C23" s="22" t="s">
        <v>14437</v>
      </c>
      <c r="D23" s="23" t="s">
        <v>13984</v>
      </c>
      <c r="E23" s="22" t="s">
        <v>14438</v>
      </c>
      <c r="F23" s="35" t="s">
        <v>14416</v>
      </c>
    </row>
    <row r="24" customFormat="false" ht="24.75" hidden="false" customHeight="true" outlineLevel="0" collapsed="false">
      <c r="A24" s="22" t="s">
        <v>9366</v>
      </c>
      <c r="B24" s="22" t="s">
        <v>9248</v>
      </c>
      <c r="C24" s="22" t="s">
        <v>14442</v>
      </c>
      <c r="D24" s="23" t="s">
        <v>14443</v>
      </c>
      <c r="E24" s="22" t="s">
        <v>14444</v>
      </c>
      <c r="F24" s="53" t="s">
        <v>14420</v>
      </c>
    </row>
    <row r="25" customFormat="false" ht="15" hidden="false" customHeight="true" outlineLevel="0" collapsed="false">
      <c r="A25" s="22" t="s">
        <v>9388</v>
      </c>
      <c r="B25" s="22" t="s">
        <v>9248</v>
      </c>
      <c r="C25" s="22" t="s">
        <v>14437</v>
      </c>
      <c r="D25" s="23" t="s">
        <v>13984</v>
      </c>
      <c r="E25" s="22" t="s">
        <v>14438</v>
      </c>
      <c r="F25" s="35" t="s">
        <v>14416</v>
      </c>
    </row>
    <row r="26" customFormat="false" ht="37.5" hidden="false" customHeight="true" outlineLevel="0" collapsed="false">
      <c r="A26" s="22" t="s">
        <v>9388</v>
      </c>
      <c r="B26" s="22" t="s">
        <v>9248</v>
      </c>
      <c r="C26" s="22" t="s">
        <v>14447</v>
      </c>
      <c r="D26" s="23" t="s">
        <v>13736</v>
      </c>
      <c r="E26" s="22" t="s">
        <v>14448</v>
      </c>
      <c r="F26" s="35" t="s">
        <v>14416</v>
      </c>
    </row>
    <row r="27" customFormat="false" ht="24.75" hidden="false" customHeight="true" outlineLevel="0" collapsed="false">
      <c r="A27" s="22" t="s">
        <v>9388</v>
      </c>
      <c r="B27" s="22" t="s">
        <v>9248</v>
      </c>
      <c r="C27" s="22" t="s">
        <v>14449</v>
      </c>
      <c r="D27" s="23" t="s">
        <v>14450</v>
      </c>
      <c r="E27" s="22" t="s">
        <v>14451</v>
      </c>
      <c r="F27" s="53" t="s">
        <v>14420</v>
      </c>
    </row>
    <row r="28" customFormat="false" ht="15" hidden="false" customHeight="true" outlineLevel="0" collapsed="false">
      <c r="A28" s="22" t="s">
        <v>9412</v>
      </c>
      <c r="B28" s="22" t="s">
        <v>9248</v>
      </c>
      <c r="C28" s="22" t="s">
        <v>14437</v>
      </c>
      <c r="D28" s="23" t="s">
        <v>13984</v>
      </c>
      <c r="E28" s="22" t="s">
        <v>14438</v>
      </c>
      <c r="F28" s="35" t="s">
        <v>14416</v>
      </c>
    </row>
    <row r="29" customFormat="false" ht="37.5" hidden="false" customHeight="true" outlineLevel="0" collapsed="false">
      <c r="A29" s="22" t="s">
        <v>9412</v>
      </c>
      <c r="B29" s="22" t="s">
        <v>9248</v>
      </c>
      <c r="C29" s="22" t="s">
        <v>14447</v>
      </c>
      <c r="D29" s="23" t="s">
        <v>13736</v>
      </c>
      <c r="E29" s="22" t="s">
        <v>14448</v>
      </c>
      <c r="F29" s="35" t="s">
        <v>14416</v>
      </c>
    </row>
    <row r="30" customFormat="false" ht="24.75" hidden="false" customHeight="true" outlineLevel="0" collapsed="false">
      <c r="A30" s="22" t="s">
        <v>9434</v>
      </c>
      <c r="B30" s="22" t="s">
        <v>9248</v>
      </c>
      <c r="C30" s="22" t="s">
        <v>14449</v>
      </c>
      <c r="D30" s="23" t="s">
        <v>14450</v>
      </c>
      <c r="E30" s="22" t="s">
        <v>14451</v>
      </c>
      <c r="F30" s="53" t="s">
        <v>14420</v>
      </c>
    </row>
    <row r="31" customFormat="false" ht="37.5" hidden="false" customHeight="true" outlineLevel="0" collapsed="false">
      <c r="A31" s="22" t="s">
        <v>9434</v>
      </c>
      <c r="B31" s="22" t="s">
        <v>9248</v>
      </c>
      <c r="C31" s="22" t="s">
        <v>14447</v>
      </c>
      <c r="D31" s="23" t="s">
        <v>13736</v>
      </c>
      <c r="E31" s="22" t="s">
        <v>14448</v>
      </c>
      <c r="F31" s="35" t="s">
        <v>14416</v>
      </c>
    </row>
    <row r="32" customFormat="false" ht="24.75" hidden="false" customHeight="true" outlineLevel="0" collapsed="false">
      <c r="A32" s="22" t="s">
        <v>9434</v>
      </c>
      <c r="B32" s="22" t="s">
        <v>9248</v>
      </c>
      <c r="C32" s="22" t="s">
        <v>14452</v>
      </c>
      <c r="D32" s="23" t="s">
        <v>13997</v>
      </c>
      <c r="E32" s="22" t="s">
        <v>14453</v>
      </c>
      <c r="F32" s="53" t="s">
        <v>14420</v>
      </c>
    </row>
    <row r="33" customFormat="false" ht="24.75" hidden="false" customHeight="true" outlineLevel="0" collapsed="false">
      <c r="A33" s="22" t="s">
        <v>9456</v>
      </c>
      <c r="B33" s="22" t="s">
        <v>9248</v>
      </c>
      <c r="C33" s="22" t="s">
        <v>14454</v>
      </c>
      <c r="D33" s="23" t="s">
        <v>13718</v>
      </c>
      <c r="E33" s="22" t="s">
        <v>14455</v>
      </c>
      <c r="F33" s="35" t="s">
        <v>14416</v>
      </c>
    </row>
    <row r="34" customFormat="false" ht="24.75" hidden="false" customHeight="true" outlineLevel="0" collapsed="false">
      <c r="A34" s="22" t="s">
        <v>9477</v>
      </c>
      <c r="B34" s="22" t="s">
        <v>9248</v>
      </c>
      <c r="C34" s="22" t="s">
        <v>14456</v>
      </c>
      <c r="D34" s="23" t="s">
        <v>13761</v>
      </c>
      <c r="E34" s="22" t="s">
        <v>14457</v>
      </c>
      <c r="F34" s="35" t="s">
        <v>14416</v>
      </c>
    </row>
    <row r="35" customFormat="false" ht="15" hidden="false" customHeight="true" outlineLevel="0" collapsed="false">
      <c r="A35" s="22" t="s">
        <v>9477</v>
      </c>
      <c r="B35" s="22" t="s">
        <v>9248</v>
      </c>
      <c r="C35" s="22" t="s">
        <v>14458</v>
      </c>
      <c r="D35" s="23" t="s">
        <v>14459</v>
      </c>
      <c r="E35" s="22" t="s">
        <v>14460</v>
      </c>
      <c r="F35" s="53" t="s">
        <v>14420</v>
      </c>
    </row>
    <row r="36" customFormat="false" ht="24.75" hidden="false" customHeight="true" outlineLevel="0" collapsed="false">
      <c r="A36" s="22" t="s">
        <v>9499</v>
      </c>
      <c r="B36" s="22" t="s">
        <v>9248</v>
      </c>
      <c r="C36" s="22" t="s">
        <v>14456</v>
      </c>
      <c r="D36" s="23" t="s">
        <v>13761</v>
      </c>
      <c r="E36" s="22" t="s">
        <v>14457</v>
      </c>
      <c r="F36" s="35" t="s">
        <v>14416</v>
      </c>
    </row>
    <row r="37" customFormat="false" ht="15" hidden="false" customHeight="true" outlineLevel="0" collapsed="false">
      <c r="A37" s="22" t="s">
        <v>9499</v>
      </c>
      <c r="B37" s="22" t="s">
        <v>9248</v>
      </c>
      <c r="C37" s="22" t="s">
        <v>14458</v>
      </c>
      <c r="D37" s="23" t="s">
        <v>14459</v>
      </c>
      <c r="E37" s="22" t="s">
        <v>14460</v>
      </c>
      <c r="F37" s="53" t="s">
        <v>14420</v>
      </c>
    </row>
    <row r="38" customFormat="false" ht="24.75" hidden="false" customHeight="true" outlineLevel="0" collapsed="false">
      <c r="A38" s="22" t="s">
        <v>9520</v>
      </c>
      <c r="B38" s="22" t="s">
        <v>9248</v>
      </c>
      <c r="C38" s="22" t="s">
        <v>14461</v>
      </c>
      <c r="D38" s="23" t="s">
        <v>13728</v>
      </c>
      <c r="E38" s="22" t="s">
        <v>14462</v>
      </c>
      <c r="F38" s="35" t="s">
        <v>14416</v>
      </c>
    </row>
    <row r="39" customFormat="false" ht="37.5" hidden="false" customHeight="true" outlineLevel="0" collapsed="false">
      <c r="A39" s="22" t="s">
        <v>9520</v>
      </c>
      <c r="B39" s="22" t="s">
        <v>9248</v>
      </c>
      <c r="C39" s="22" t="s">
        <v>14427</v>
      </c>
      <c r="D39" s="23" t="s">
        <v>14428</v>
      </c>
      <c r="E39" s="22" t="s">
        <v>14429</v>
      </c>
      <c r="F39" s="35" t="s">
        <v>14416</v>
      </c>
    </row>
    <row r="40" customFormat="false" ht="24.75" hidden="false" customHeight="true" outlineLevel="0" collapsed="false">
      <c r="A40" s="22" t="s">
        <v>9520</v>
      </c>
      <c r="B40" s="22" t="s">
        <v>9248</v>
      </c>
      <c r="C40" s="22" t="s">
        <v>14463</v>
      </c>
      <c r="D40" s="23" t="s">
        <v>14464</v>
      </c>
      <c r="E40" s="22" t="s">
        <v>14465</v>
      </c>
      <c r="F40" s="35" t="s">
        <v>14416</v>
      </c>
    </row>
    <row r="41" customFormat="false" ht="37.5" hidden="false" customHeight="true" outlineLevel="0" collapsed="false">
      <c r="A41" s="22" t="s">
        <v>9545</v>
      </c>
      <c r="B41" s="22" t="s">
        <v>9248</v>
      </c>
      <c r="C41" s="22" t="s">
        <v>14466</v>
      </c>
      <c r="D41" s="23" t="s">
        <v>13732</v>
      </c>
      <c r="E41" s="22" t="s">
        <v>14467</v>
      </c>
      <c r="F41" s="35" t="s">
        <v>14416</v>
      </c>
    </row>
    <row r="42" customFormat="false" ht="24.75" hidden="false" customHeight="true" outlineLevel="0" collapsed="false">
      <c r="A42" s="22" t="s">
        <v>9545</v>
      </c>
      <c r="B42" s="22" t="s">
        <v>9248</v>
      </c>
      <c r="C42" s="22" t="s">
        <v>14424</v>
      </c>
      <c r="D42" s="23" t="s">
        <v>14425</v>
      </c>
      <c r="E42" s="22" t="s">
        <v>14426</v>
      </c>
      <c r="F42" s="53" t="s">
        <v>14420</v>
      </c>
    </row>
    <row r="43" customFormat="false" ht="49.5" hidden="false" customHeight="true" outlineLevel="0" collapsed="false">
      <c r="A43" s="22" t="s">
        <v>9545</v>
      </c>
      <c r="B43" s="22" t="s">
        <v>9248</v>
      </c>
      <c r="C43" s="22" t="s">
        <v>14421</v>
      </c>
      <c r="D43" s="23" t="s">
        <v>14422</v>
      </c>
      <c r="E43" s="22" t="s">
        <v>14423</v>
      </c>
      <c r="F43" s="53" t="s">
        <v>14420</v>
      </c>
    </row>
    <row r="44" customFormat="false" ht="37.5" hidden="false" customHeight="true" outlineLevel="0" collapsed="false">
      <c r="A44" s="22" t="s">
        <v>9570</v>
      </c>
      <c r="B44" s="22" t="s">
        <v>9248</v>
      </c>
      <c r="C44" s="22" t="s">
        <v>14466</v>
      </c>
      <c r="D44" s="23" t="s">
        <v>13732</v>
      </c>
      <c r="E44" s="22" t="s">
        <v>14467</v>
      </c>
      <c r="F44" s="35" t="s">
        <v>14416</v>
      </c>
    </row>
    <row r="45" customFormat="false" ht="24.75" hidden="false" customHeight="true" outlineLevel="0" collapsed="false">
      <c r="A45" s="22" t="s">
        <v>9592</v>
      </c>
      <c r="B45" s="22" t="s">
        <v>9248</v>
      </c>
      <c r="C45" s="22" t="s">
        <v>14468</v>
      </c>
      <c r="D45" s="23" t="s">
        <v>13725</v>
      </c>
      <c r="E45" s="22" t="s">
        <v>14469</v>
      </c>
      <c r="F45" s="35" t="s">
        <v>14416</v>
      </c>
    </row>
    <row r="46" customFormat="false" ht="24.75" hidden="false" customHeight="true" outlineLevel="0" collapsed="false">
      <c r="A46" s="22" t="s">
        <v>9615</v>
      </c>
      <c r="B46" s="22" t="s">
        <v>9248</v>
      </c>
      <c r="C46" s="22" t="s">
        <v>14468</v>
      </c>
      <c r="D46" s="23" t="s">
        <v>13725</v>
      </c>
      <c r="E46" s="22" t="s">
        <v>14469</v>
      </c>
      <c r="F46" s="35" t="s">
        <v>14416</v>
      </c>
    </row>
    <row r="47" customFormat="false" ht="24.75" hidden="false" customHeight="true" outlineLevel="0" collapsed="false">
      <c r="A47" s="22" t="s">
        <v>9615</v>
      </c>
      <c r="B47" s="22" t="s">
        <v>9248</v>
      </c>
      <c r="C47" s="22" t="s">
        <v>14470</v>
      </c>
      <c r="D47" s="23" t="s">
        <v>14471</v>
      </c>
      <c r="E47" s="22" t="s">
        <v>14472</v>
      </c>
      <c r="F47" s="53" t="s">
        <v>14420</v>
      </c>
    </row>
    <row r="48" customFormat="false" ht="24.75" hidden="false" customHeight="true" outlineLevel="0" collapsed="false">
      <c r="A48" s="22" t="s">
        <v>9638</v>
      </c>
      <c r="B48" s="22" t="s">
        <v>9248</v>
      </c>
      <c r="C48" s="22" t="s">
        <v>14473</v>
      </c>
      <c r="D48" s="23" t="s">
        <v>14474</v>
      </c>
      <c r="E48" s="22" t="s">
        <v>14475</v>
      </c>
      <c r="F48" s="35" t="s">
        <v>14416</v>
      </c>
    </row>
    <row r="49" customFormat="false" ht="24.75" hidden="false" customHeight="true" outlineLevel="0" collapsed="false">
      <c r="A49" s="22" t="s">
        <v>9638</v>
      </c>
      <c r="B49" s="22" t="s">
        <v>9248</v>
      </c>
      <c r="C49" s="22" t="s">
        <v>14463</v>
      </c>
      <c r="D49" s="23" t="s">
        <v>14464</v>
      </c>
      <c r="E49" s="22" t="s">
        <v>14465</v>
      </c>
      <c r="F49" s="35" t="s">
        <v>14416</v>
      </c>
    </row>
    <row r="50" customFormat="false" ht="24.75" hidden="false" customHeight="true" outlineLevel="0" collapsed="false">
      <c r="A50" s="22" t="s">
        <v>9638</v>
      </c>
      <c r="B50" s="22" t="s">
        <v>9248</v>
      </c>
      <c r="C50" s="22" t="s">
        <v>14476</v>
      </c>
      <c r="D50" s="23" t="s">
        <v>14477</v>
      </c>
      <c r="E50" s="22" t="s">
        <v>14478</v>
      </c>
      <c r="F50" s="53" t="s">
        <v>14420</v>
      </c>
    </row>
    <row r="51" customFormat="false" ht="24.75" hidden="false" customHeight="true" outlineLevel="0" collapsed="false">
      <c r="A51" s="22" t="s">
        <v>9659</v>
      </c>
      <c r="B51" s="22" t="s">
        <v>9248</v>
      </c>
      <c r="C51" s="22" t="s">
        <v>14479</v>
      </c>
      <c r="D51" s="23" t="s">
        <v>14480</v>
      </c>
      <c r="E51" s="22" t="s">
        <v>14481</v>
      </c>
      <c r="F51" s="53" t="s">
        <v>14420</v>
      </c>
    </row>
    <row r="52" customFormat="false" ht="24.75" hidden="false" customHeight="true" outlineLevel="0" collapsed="false">
      <c r="A52" s="22" t="s">
        <v>9659</v>
      </c>
      <c r="B52" s="22" t="s">
        <v>9248</v>
      </c>
      <c r="C52" s="22" t="s">
        <v>14482</v>
      </c>
      <c r="D52" s="23" t="s">
        <v>14483</v>
      </c>
      <c r="E52" s="22" t="s">
        <v>14484</v>
      </c>
      <c r="F52" s="53" t="s">
        <v>14420</v>
      </c>
    </row>
    <row r="53" customFormat="false" ht="24.75" hidden="false" customHeight="true" outlineLevel="0" collapsed="false">
      <c r="A53" s="22" t="s">
        <v>9659</v>
      </c>
      <c r="B53" s="22" t="s">
        <v>9248</v>
      </c>
      <c r="C53" s="22" t="s">
        <v>14463</v>
      </c>
      <c r="D53" s="23" t="s">
        <v>14464</v>
      </c>
      <c r="E53" s="22" t="s">
        <v>14465</v>
      </c>
      <c r="F53" s="35" t="s">
        <v>14416</v>
      </c>
    </row>
    <row r="54" customFormat="false" ht="24.75" hidden="false" customHeight="true" outlineLevel="0" collapsed="false">
      <c r="A54" s="22" t="s">
        <v>9681</v>
      </c>
      <c r="B54" s="22" t="s">
        <v>9248</v>
      </c>
      <c r="C54" s="22" t="s">
        <v>14463</v>
      </c>
      <c r="D54" s="23" t="s">
        <v>14464</v>
      </c>
      <c r="E54" s="22" t="s">
        <v>14465</v>
      </c>
      <c r="F54" s="35" t="s">
        <v>14416</v>
      </c>
    </row>
    <row r="55" customFormat="false" ht="24.75" hidden="false" customHeight="true" outlineLevel="0" collapsed="false">
      <c r="A55" s="22" t="s">
        <v>9681</v>
      </c>
      <c r="B55" s="22" t="s">
        <v>9248</v>
      </c>
      <c r="C55" s="22" t="s">
        <v>14482</v>
      </c>
      <c r="D55" s="23" t="s">
        <v>14483</v>
      </c>
      <c r="E55" s="22" t="s">
        <v>14484</v>
      </c>
      <c r="F55" s="53" t="s">
        <v>14420</v>
      </c>
    </row>
    <row r="56" customFormat="false" ht="24.75" hidden="false" customHeight="true" outlineLevel="0" collapsed="false">
      <c r="A56" s="22" t="s">
        <v>9681</v>
      </c>
      <c r="B56" s="22" t="s">
        <v>9248</v>
      </c>
      <c r="C56" s="22" t="s">
        <v>14476</v>
      </c>
      <c r="D56" s="23" t="s">
        <v>14477</v>
      </c>
      <c r="E56" s="22" t="s">
        <v>14478</v>
      </c>
      <c r="F56" s="53" t="s">
        <v>14420</v>
      </c>
    </row>
    <row r="57" customFormat="false" ht="24.75" hidden="false" customHeight="true" outlineLevel="0" collapsed="false">
      <c r="A57" s="22" t="s">
        <v>9701</v>
      </c>
      <c r="B57" s="22" t="s">
        <v>9248</v>
      </c>
      <c r="C57" s="22" t="s">
        <v>14485</v>
      </c>
      <c r="D57" s="23" t="s">
        <v>14486</v>
      </c>
      <c r="E57" s="22" t="s">
        <v>14487</v>
      </c>
      <c r="F57" s="53" t="s">
        <v>14420</v>
      </c>
    </row>
    <row r="58" customFormat="false" ht="24.75" hidden="false" customHeight="true" outlineLevel="0" collapsed="false">
      <c r="A58" s="22" t="s">
        <v>9701</v>
      </c>
      <c r="B58" s="22" t="s">
        <v>9248</v>
      </c>
      <c r="C58" s="22" t="s">
        <v>14463</v>
      </c>
      <c r="D58" s="23" t="s">
        <v>14464</v>
      </c>
      <c r="E58" s="22" t="s">
        <v>14465</v>
      </c>
      <c r="F58" s="35" t="s">
        <v>14416</v>
      </c>
    </row>
    <row r="59" customFormat="false" ht="24.75" hidden="false" customHeight="true" outlineLevel="0" collapsed="false">
      <c r="A59" s="22" t="s">
        <v>9720</v>
      </c>
      <c r="B59" s="22" t="s">
        <v>9248</v>
      </c>
      <c r="C59" s="22" t="s">
        <v>14488</v>
      </c>
      <c r="D59" s="23" t="s">
        <v>14489</v>
      </c>
      <c r="E59" s="22" t="s">
        <v>14490</v>
      </c>
      <c r="F59" s="53" t="s">
        <v>14420</v>
      </c>
    </row>
    <row r="60" customFormat="false" ht="24.75" hidden="false" customHeight="true" outlineLevel="0" collapsed="false">
      <c r="A60" s="22" t="s">
        <v>9743</v>
      </c>
      <c r="B60" s="22" t="s">
        <v>9248</v>
      </c>
      <c r="C60" s="22" t="s">
        <v>14488</v>
      </c>
      <c r="D60" s="23" t="s">
        <v>14489</v>
      </c>
      <c r="E60" s="22" t="s">
        <v>14490</v>
      </c>
      <c r="F60" s="53" t="s">
        <v>14420</v>
      </c>
    </row>
    <row r="61" customFormat="false" ht="24.75" hidden="false" customHeight="true" outlineLevel="0" collapsed="false">
      <c r="A61" s="22" t="s">
        <v>9763</v>
      </c>
      <c r="B61" s="22" t="s">
        <v>9248</v>
      </c>
      <c r="C61" s="22" t="s">
        <v>14445</v>
      </c>
      <c r="D61" s="23" t="s">
        <v>13993</v>
      </c>
      <c r="E61" s="22" t="s">
        <v>14446</v>
      </c>
      <c r="F61" s="35" t="s">
        <v>14416</v>
      </c>
    </row>
    <row r="62" customFormat="false" ht="24.75" hidden="false" customHeight="true" outlineLevel="0" collapsed="false">
      <c r="A62" s="22" t="s">
        <v>9763</v>
      </c>
      <c r="B62" s="22" t="s">
        <v>9248</v>
      </c>
      <c r="C62" s="22" t="s">
        <v>14491</v>
      </c>
      <c r="D62" s="23" t="s">
        <v>14492</v>
      </c>
      <c r="E62" s="22" t="s">
        <v>14493</v>
      </c>
      <c r="F62" s="35" t="s">
        <v>14416</v>
      </c>
    </row>
    <row r="63" customFormat="false" ht="24.75" hidden="false" customHeight="true" outlineLevel="0" collapsed="false">
      <c r="A63" s="22" t="s">
        <v>9763</v>
      </c>
      <c r="B63" s="22" t="s">
        <v>9248</v>
      </c>
      <c r="C63" s="22" t="s">
        <v>14452</v>
      </c>
      <c r="D63" s="23" t="s">
        <v>13997</v>
      </c>
      <c r="E63" s="22" t="s">
        <v>14453</v>
      </c>
      <c r="F63" s="53" t="s">
        <v>14420</v>
      </c>
    </row>
    <row r="64" customFormat="false" ht="24.75" hidden="false" customHeight="true" outlineLevel="0" collapsed="false">
      <c r="A64" s="22" t="s">
        <v>9763</v>
      </c>
      <c r="B64" s="22" t="s">
        <v>9248</v>
      </c>
      <c r="C64" s="22" t="s">
        <v>14494</v>
      </c>
      <c r="D64" s="23" t="s">
        <v>14495</v>
      </c>
      <c r="E64" s="22" t="s">
        <v>14496</v>
      </c>
      <c r="F64" s="53" t="s">
        <v>14420</v>
      </c>
    </row>
    <row r="65" customFormat="false" ht="15" hidden="false" customHeight="true" outlineLevel="0" collapsed="false">
      <c r="A65" s="22" t="s">
        <v>9763</v>
      </c>
      <c r="B65" s="22" t="s">
        <v>9248</v>
      </c>
      <c r="C65" s="22" t="s">
        <v>14497</v>
      </c>
      <c r="D65" s="23" t="s">
        <v>14498</v>
      </c>
      <c r="E65" s="22" t="s">
        <v>14499</v>
      </c>
      <c r="F65" s="53" t="s">
        <v>14420</v>
      </c>
    </row>
    <row r="66" customFormat="false" ht="49.5" hidden="false" customHeight="true" outlineLevel="0" collapsed="false">
      <c r="A66" s="22" t="s">
        <v>9763</v>
      </c>
      <c r="B66" s="22" t="s">
        <v>9248</v>
      </c>
      <c r="C66" s="22" t="s">
        <v>14421</v>
      </c>
      <c r="D66" s="23" t="s">
        <v>14422</v>
      </c>
      <c r="E66" s="22" t="s">
        <v>14423</v>
      </c>
      <c r="F66" s="53" t="s">
        <v>14420</v>
      </c>
    </row>
    <row r="67" customFormat="false" ht="24.75" hidden="false" customHeight="true" outlineLevel="0" collapsed="false">
      <c r="A67" s="22" t="s">
        <v>9763</v>
      </c>
      <c r="B67" s="22" t="s">
        <v>9248</v>
      </c>
      <c r="C67" s="22" t="s">
        <v>14430</v>
      </c>
      <c r="D67" s="23" t="s">
        <v>14022</v>
      </c>
      <c r="E67" s="22" t="s">
        <v>14431</v>
      </c>
      <c r="F67" s="53" t="s">
        <v>14420</v>
      </c>
    </row>
    <row r="68" customFormat="false" ht="24.75" hidden="false" customHeight="true" outlineLevel="0" collapsed="false">
      <c r="A68" s="22" t="s">
        <v>9787</v>
      </c>
      <c r="B68" s="22" t="s">
        <v>9248</v>
      </c>
      <c r="C68" s="22" t="s">
        <v>14500</v>
      </c>
      <c r="D68" s="23" t="s">
        <v>14501</v>
      </c>
      <c r="E68" s="22" t="s">
        <v>14502</v>
      </c>
      <c r="F68" s="35" t="s">
        <v>14416</v>
      </c>
    </row>
    <row r="69" customFormat="false" ht="15" hidden="false" customHeight="true" outlineLevel="0" collapsed="false">
      <c r="A69" s="22" t="s">
        <v>9787</v>
      </c>
      <c r="B69" s="22" t="s">
        <v>9248</v>
      </c>
      <c r="C69" s="22" t="s">
        <v>14503</v>
      </c>
      <c r="D69" s="23" t="s">
        <v>14504</v>
      </c>
      <c r="E69" s="22" t="s">
        <v>14505</v>
      </c>
      <c r="F69" s="53" t="s">
        <v>14420</v>
      </c>
    </row>
    <row r="70" customFormat="false" ht="15" hidden="false" customHeight="true" outlineLevel="0" collapsed="false">
      <c r="A70" s="22" t="s">
        <v>9787</v>
      </c>
      <c r="B70" s="22" t="s">
        <v>9248</v>
      </c>
      <c r="C70" s="22" t="s">
        <v>14506</v>
      </c>
      <c r="D70" s="23" t="s">
        <v>14507</v>
      </c>
      <c r="E70" s="22" t="s">
        <v>14508</v>
      </c>
      <c r="F70" s="35" t="s">
        <v>14416</v>
      </c>
    </row>
    <row r="71" customFormat="false" ht="24.75" hidden="false" customHeight="true" outlineLevel="0" collapsed="false">
      <c r="A71" s="22" t="s">
        <v>9787</v>
      </c>
      <c r="B71" s="22" t="s">
        <v>9248</v>
      </c>
      <c r="C71" s="22" t="s">
        <v>14432</v>
      </c>
      <c r="D71" s="23" t="s">
        <v>13765</v>
      </c>
      <c r="E71" s="22" t="s">
        <v>14433</v>
      </c>
      <c r="F71" s="35" t="s">
        <v>14416</v>
      </c>
    </row>
    <row r="72" customFormat="false" ht="24.75" hidden="false" customHeight="true" outlineLevel="0" collapsed="false">
      <c r="A72" s="22" t="s">
        <v>9812</v>
      </c>
      <c r="B72" s="22" t="s">
        <v>9248</v>
      </c>
      <c r="C72" s="22" t="s">
        <v>14509</v>
      </c>
      <c r="D72" s="23" t="s">
        <v>14510</v>
      </c>
      <c r="E72" s="22" t="s">
        <v>14511</v>
      </c>
      <c r="F72" s="35" t="s">
        <v>14416</v>
      </c>
    </row>
    <row r="73" customFormat="false" ht="15" hidden="false" customHeight="true" outlineLevel="0" collapsed="false">
      <c r="A73" s="22" t="s">
        <v>9812</v>
      </c>
      <c r="B73" s="22" t="s">
        <v>9248</v>
      </c>
      <c r="C73" s="22" t="s">
        <v>14512</v>
      </c>
      <c r="D73" s="23" t="s">
        <v>14513</v>
      </c>
      <c r="E73" s="22" t="s">
        <v>14514</v>
      </c>
      <c r="F73" s="35" t="s">
        <v>14416</v>
      </c>
    </row>
    <row r="74" customFormat="false" ht="24.75" hidden="false" customHeight="true" outlineLevel="0" collapsed="false">
      <c r="A74" s="22" t="s">
        <v>9835</v>
      </c>
      <c r="B74" s="22" t="s">
        <v>9248</v>
      </c>
      <c r="C74" s="22" t="s">
        <v>14515</v>
      </c>
      <c r="D74" s="23" t="s">
        <v>14516</v>
      </c>
      <c r="E74" s="22" t="s">
        <v>14517</v>
      </c>
      <c r="F74" s="35" t="s">
        <v>14416</v>
      </c>
    </row>
    <row r="75" customFormat="false" ht="15" hidden="false" customHeight="true" outlineLevel="0" collapsed="false">
      <c r="A75" s="22" t="s">
        <v>9835</v>
      </c>
      <c r="B75" s="22" t="s">
        <v>9248</v>
      </c>
      <c r="C75" s="22" t="s">
        <v>14518</v>
      </c>
      <c r="D75" s="23" t="s">
        <v>14519</v>
      </c>
      <c r="E75" s="22" t="s">
        <v>14520</v>
      </c>
      <c r="F75" s="35" t="s">
        <v>14416</v>
      </c>
    </row>
    <row r="76" customFormat="false" ht="24.75" hidden="false" customHeight="true" outlineLevel="0" collapsed="false">
      <c r="A76" s="22" t="s">
        <v>9859</v>
      </c>
      <c r="B76" s="22" t="s">
        <v>9248</v>
      </c>
      <c r="C76" s="22" t="s">
        <v>14515</v>
      </c>
      <c r="D76" s="23" t="s">
        <v>14516</v>
      </c>
      <c r="E76" s="22" t="s">
        <v>14517</v>
      </c>
      <c r="F76" s="35" t="s">
        <v>14416</v>
      </c>
    </row>
    <row r="77" customFormat="false" ht="24.75" hidden="false" customHeight="true" outlineLevel="0" collapsed="false">
      <c r="A77" s="22" t="s">
        <v>9859</v>
      </c>
      <c r="B77" s="22" t="s">
        <v>9248</v>
      </c>
      <c r="C77" s="22" t="s">
        <v>14521</v>
      </c>
      <c r="D77" s="23" t="s">
        <v>14522</v>
      </c>
      <c r="E77" s="22" t="s">
        <v>14523</v>
      </c>
      <c r="F77" s="35" t="s">
        <v>14416</v>
      </c>
    </row>
    <row r="78" customFormat="false" ht="15" hidden="false" customHeight="true" outlineLevel="0" collapsed="false">
      <c r="A78" s="22" t="s">
        <v>9859</v>
      </c>
      <c r="B78" s="22" t="s">
        <v>9248</v>
      </c>
      <c r="C78" s="22" t="s">
        <v>14518</v>
      </c>
      <c r="D78" s="23" t="s">
        <v>14519</v>
      </c>
      <c r="E78" s="22" t="s">
        <v>14520</v>
      </c>
      <c r="F78" s="35" t="s">
        <v>14416</v>
      </c>
    </row>
    <row r="79" customFormat="false" ht="24.75" hidden="false" customHeight="true" outlineLevel="0" collapsed="false">
      <c r="A79" s="22" t="s">
        <v>9880</v>
      </c>
      <c r="B79" s="22" t="s">
        <v>9248</v>
      </c>
      <c r="C79" s="22" t="s">
        <v>14524</v>
      </c>
      <c r="D79" s="23" t="s">
        <v>14525</v>
      </c>
      <c r="E79" s="22" t="s">
        <v>14526</v>
      </c>
      <c r="F79" s="35" t="s">
        <v>14416</v>
      </c>
    </row>
    <row r="80" customFormat="false" ht="15" hidden="false" customHeight="true" outlineLevel="0" collapsed="false">
      <c r="A80" s="22" t="s">
        <v>9880</v>
      </c>
      <c r="B80" s="22" t="s">
        <v>9248</v>
      </c>
      <c r="C80" s="22" t="s">
        <v>14506</v>
      </c>
      <c r="D80" s="23" t="s">
        <v>14507</v>
      </c>
      <c r="E80" s="22" t="s">
        <v>14508</v>
      </c>
      <c r="F80" s="35" t="s">
        <v>14416</v>
      </c>
    </row>
    <row r="81" customFormat="false" ht="24.75" hidden="false" customHeight="true" outlineLevel="0" collapsed="false">
      <c r="A81" s="22" t="s">
        <v>9880</v>
      </c>
      <c r="B81" s="22" t="s">
        <v>9248</v>
      </c>
      <c r="C81" s="22" t="s">
        <v>14432</v>
      </c>
      <c r="D81" s="23" t="s">
        <v>13765</v>
      </c>
      <c r="E81" s="22" t="s">
        <v>14433</v>
      </c>
      <c r="F81" s="35" t="s">
        <v>14416</v>
      </c>
    </row>
    <row r="82" customFormat="false" ht="37.5" hidden="false" customHeight="true" outlineLevel="0" collapsed="false">
      <c r="A82" s="22" t="s">
        <v>9880</v>
      </c>
      <c r="B82" s="22" t="s">
        <v>9248</v>
      </c>
      <c r="C82" s="22" t="s">
        <v>14427</v>
      </c>
      <c r="D82" s="23" t="s">
        <v>14428</v>
      </c>
      <c r="E82" s="22" t="s">
        <v>14429</v>
      </c>
      <c r="F82" s="35" t="s">
        <v>14416</v>
      </c>
    </row>
    <row r="83" customFormat="false" ht="49.5" hidden="false" customHeight="true" outlineLevel="0" collapsed="false">
      <c r="A83" s="22" t="s">
        <v>9880</v>
      </c>
      <c r="B83" s="22" t="s">
        <v>9248</v>
      </c>
      <c r="C83" s="22" t="s">
        <v>14421</v>
      </c>
      <c r="D83" s="23" t="s">
        <v>14422</v>
      </c>
      <c r="E83" s="22" t="s">
        <v>14423</v>
      </c>
      <c r="F83" s="53" t="s">
        <v>14420</v>
      </c>
    </row>
    <row r="84" customFormat="false" ht="15" hidden="false" customHeight="true" outlineLevel="0" collapsed="false">
      <c r="A84" s="22" t="s">
        <v>9904</v>
      </c>
      <c r="B84" s="22" t="s">
        <v>9248</v>
      </c>
      <c r="C84" s="22" t="s">
        <v>14527</v>
      </c>
      <c r="D84" s="23" t="s">
        <v>14528</v>
      </c>
      <c r="E84" s="22" t="s">
        <v>14529</v>
      </c>
      <c r="F84" s="35" t="s">
        <v>14416</v>
      </c>
    </row>
    <row r="85" customFormat="false" ht="24.75" hidden="false" customHeight="true" outlineLevel="0" collapsed="false">
      <c r="A85" s="22" t="s">
        <v>9904</v>
      </c>
      <c r="B85" s="22" t="s">
        <v>9248</v>
      </c>
      <c r="C85" s="22" t="s">
        <v>14530</v>
      </c>
      <c r="D85" s="23" t="s">
        <v>13752</v>
      </c>
      <c r="E85" s="22" t="s">
        <v>14531</v>
      </c>
      <c r="F85" s="35" t="s">
        <v>14416</v>
      </c>
    </row>
    <row r="86" customFormat="false" ht="15" hidden="false" customHeight="true" outlineLevel="0" collapsed="false">
      <c r="A86" s="22" t="s">
        <v>9904</v>
      </c>
      <c r="B86" s="22" t="s">
        <v>9248</v>
      </c>
      <c r="C86" s="22" t="s">
        <v>14434</v>
      </c>
      <c r="D86" s="23" t="s">
        <v>14435</v>
      </c>
      <c r="E86" s="22" t="s">
        <v>14436</v>
      </c>
      <c r="F86" s="53" t="s">
        <v>14420</v>
      </c>
    </row>
    <row r="87" customFormat="false" ht="15" hidden="false" customHeight="true" outlineLevel="0" collapsed="false">
      <c r="A87" s="22" t="s">
        <v>9904</v>
      </c>
      <c r="B87" s="22" t="s">
        <v>9248</v>
      </c>
      <c r="C87" s="22" t="s">
        <v>14506</v>
      </c>
      <c r="D87" s="23" t="s">
        <v>14507</v>
      </c>
      <c r="E87" s="22" t="s">
        <v>14508</v>
      </c>
      <c r="F87" s="35" t="s">
        <v>14416</v>
      </c>
    </row>
    <row r="88" customFormat="false" ht="24.75" hidden="false" customHeight="true" outlineLevel="0" collapsed="false">
      <c r="A88" s="22" t="s">
        <v>9904</v>
      </c>
      <c r="B88" s="22" t="s">
        <v>9248</v>
      </c>
      <c r="C88" s="22" t="s">
        <v>14432</v>
      </c>
      <c r="D88" s="23" t="s">
        <v>13765</v>
      </c>
      <c r="E88" s="22" t="s">
        <v>14433</v>
      </c>
      <c r="F88" s="35" t="s">
        <v>14416</v>
      </c>
    </row>
    <row r="89" customFormat="false" ht="15" hidden="false" customHeight="true" outlineLevel="0" collapsed="false">
      <c r="A89" s="22" t="s">
        <v>9927</v>
      </c>
      <c r="B89" s="22" t="s">
        <v>9248</v>
      </c>
      <c r="C89" s="22" t="s">
        <v>14518</v>
      </c>
      <c r="D89" s="23" t="s">
        <v>14519</v>
      </c>
      <c r="E89" s="22" t="s">
        <v>14520</v>
      </c>
      <c r="F89" s="35" t="s">
        <v>14416</v>
      </c>
    </row>
    <row r="90" customFormat="false" ht="24.75" hidden="false" customHeight="true" outlineLevel="0" collapsed="false">
      <c r="A90" s="22" t="s">
        <v>9927</v>
      </c>
      <c r="B90" s="22" t="s">
        <v>9248</v>
      </c>
      <c r="C90" s="22" t="s">
        <v>14521</v>
      </c>
      <c r="D90" s="23" t="s">
        <v>14522</v>
      </c>
      <c r="E90" s="22" t="s">
        <v>14523</v>
      </c>
      <c r="F90" s="35" t="s">
        <v>14416</v>
      </c>
    </row>
    <row r="91" customFormat="false" ht="15" hidden="false" customHeight="true" outlineLevel="0" collapsed="false">
      <c r="A91" s="22" t="s">
        <v>9927</v>
      </c>
      <c r="B91" s="22" t="s">
        <v>9248</v>
      </c>
      <c r="C91" s="22" t="s">
        <v>14506</v>
      </c>
      <c r="D91" s="23" t="s">
        <v>14507</v>
      </c>
      <c r="E91" s="22" t="s">
        <v>14508</v>
      </c>
      <c r="F91" s="35" t="s">
        <v>14416</v>
      </c>
    </row>
    <row r="92" customFormat="false" ht="24.75" hidden="false" customHeight="true" outlineLevel="0" collapsed="false">
      <c r="A92" s="22" t="s">
        <v>9927</v>
      </c>
      <c r="B92" s="22" t="s">
        <v>9248</v>
      </c>
      <c r="C92" s="22" t="s">
        <v>14432</v>
      </c>
      <c r="D92" s="23" t="s">
        <v>13765</v>
      </c>
      <c r="E92" s="22" t="s">
        <v>14433</v>
      </c>
      <c r="F92" s="35" t="s">
        <v>14416</v>
      </c>
    </row>
    <row r="93" customFormat="false" ht="15" hidden="false" customHeight="true" outlineLevel="0" collapsed="false">
      <c r="A93" s="22" t="s">
        <v>9950</v>
      </c>
      <c r="B93" s="22" t="s">
        <v>9248</v>
      </c>
      <c r="C93" s="22" t="s">
        <v>14506</v>
      </c>
      <c r="D93" s="23" t="s">
        <v>14507</v>
      </c>
      <c r="E93" s="22" t="s">
        <v>14508</v>
      </c>
      <c r="F93" s="35" t="s">
        <v>14416</v>
      </c>
    </row>
    <row r="94" customFormat="false" ht="24.75" hidden="false" customHeight="true" outlineLevel="0" collapsed="false">
      <c r="A94" s="22" t="s">
        <v>9950</v>
      </c>
      <c r="B94" s="22" t="s">
        <v>9248</v>
      </c>
      <c r="C94" s="22" t="s">
        <v>14432</v>
      </c>
      <c r="D94" s="23" t="s">
        <v>13765</v>
      </c>
      <c r="E94" s="22" t="s">
        <v>14433</v>
      </c>
      <c r="F94" s="35" t="s">
        <v>14416</v>
      </c>
    </row>
    <row r="95" customFormat="false" ht="24.75" hidden="false" customHeight="true" outlineLevel="0" collapsed="false">
      <c r="A95" s="22" t="s">
        <v>9972</v>
      </c>
      <c r="B95" s="22" t="s">
        <v>9248</v>
      </c>
      <c r="C95" s="22" t="s">
        <v>14532</v>
      </c>
      <c r="D95" s="23" t="s">
        <v>14533</v>
      </c>
      <c r="E95" s="22" t="s">
        <v>14534</v>
      </c>
      <c r="F95" s="35" t="s">
        <v>14416</v>
      </c>
    </row>
    <row r="96" customFormat="false" ht="24.75" hidden="false" customHeight="true" outlineLevel="0" collapsed="false">
      <c r="A96" s="22" t="s">
        <v>9972</v>
      </c>
      <c r="B96" s="22" t="s">
        <v>9248</v>
      </c>
      <c r="C96" s="22" t="s">
        <v>14535</v>
      </c>
      <c r="D96" s="23" t="s">
        <v>14005</v>
      </c>
      <c r="E96" s="22" t="s">
        <v>14536</v>
      </c>
      <c r="F96" s="35" t="s">
        <v>14416</v>
      </c>
    </row>
    <row r="97" customFormat="false" ht="15" hidden="false" customHeight="true" outlineLevel="0" collapsed="false">
      <c r="A97" s="22" t="s">
        <v>9972</v>
      </c>
      <c r="B97" s="22" t="s">
        <v>9248</v>
      </c>
      <c r="C97" s="22" t="s">
        <v>14437</v>
      </c>
      <c r="D97" s="23" t="s">
        <v>13984</v>
      </c>
      <c r="E97" s="22" t="s">
        <v>14438</v>
      </c>
      <c r="F97" s="35" t="s">
        <v>14416</v>
      </c>
    </row>
    <row r="98" customFormat="false" ht="24.75" hidden="false" customHeight="true" outlineLevel="0" collapsed="false">
      <c r="A98" s="22" t="s">
        <v>9996</v>
      </c>
      <c r="B98" s="22" t="s">
        <v>9248</v>
      </c>
      <c r="C98" s="22" t="s">
        <v>14535</v>
      </c>
      <c r="D98" s="23" t="s">
        <v>14005</v>
      </c>
      <c r="E98" s="22" t="s">
        <v>14536</v>
      </c>
      <c r="F98" s="35" t="s">
        <v>14416</v>
      </c>
    </row>
    <row r="99" customFormat="false" ht="37.5" hidden="false" customHeight="true" outlineLevel="0" collapsed="false">
      <c r="A99" s="22" t="s">
        <v>9996</v>
      </c>
      <c r="B99" s="22" t="s">
        <v>9248</v>
      </c>
      <c r="C99" s="22" t="s">
        <v>14427</v>
      </c>
      <c r="D99" s="23" t="s">
        <v>14428</v>
      </c>
      <c r="E99" s="22" t="s">
        <v>14429</v>
      </c>
      <c r="F99" s="35" t="s">
        <v>14416</v>
      </c>
    </row>
    <row r="100" customFormat="false" ht="24.75" hidden="false" customHeight="true" outlineLevel="0" collapsed="false">
      <c r="A100" s="22" t="s">
        <v>9996</v>
      </c>
      <c r="B100" s="22" t="s">
        <v>9248</v>
      </c>
      <c r="C100" s="22" t="s">
        <v>14537</v>
      </c>
      <c r="D100" s="23" t="s">
        <v>14538</v>
      </c>
      <c r="E100" s="22" t="s">
        <v>14539</v>
      </c>
      <c r="F100" s="53" t="s">
        <v>14420</v>
      </c>
    </row>
    <row r="101" customFormat="false" ht="24.75" hidden="false" customHeight="true" outlineLevel="0" collapsed="false">
      <c r="A101" s="22" t="s">
        <v>9996</v>
      </c>
      <c r="B101" s="22" t="s">
        <v>9248</v>
      </c>
      <c r="C101" s="22" t="s">
        <v>14540</v>
      </c>
      <c r="D101" s="23" t="s">
        <v>14541</v>
      </c>
      <c r="E101" s="22" t="s">
        <v>14542</v>
      </c>
      <c r="F101" s="53" t="s">
        <v>14420</v>
      </c>
    </row>
    <row r="102" customFormat="false" ht="15" hidden="false" customHeight="true" outlineLevel="0" collapsed="false">
      <c r="A102" s="22" t="s">
        <v>9996</v>
      </c>
      <c r="B102" s="22" t="s">
        <v>9248</v>
      </c>
      <c r="C102" s="22" t="s">
        <v>14543</v>
      </c>
      <c r="D102" s="23" t="s">
        <v>14544</v>
      </c>
      <c r="E102" s="22" t="s">
        <v>14545</v>
      </c>
      <c r="F102" s="53" t="s">
        <v>14420</v>
      </c>
    </row>
    <row r="103" customFormat="false" ht="15" hidden="false" customHeight="true" outlineLevel="0" collapsed="false">
      <c r="A103" s="22" t="s">
        <v>9996</v>
      </c>
      <c r="B103" s="22" t="s">
        <v>9248</v>
      </c>
      <c r="C103" s="22" t="s">
        <v>14546</v>
      </c>
      <c r="D103" s="23" t="s">
        <v>14547</v>
      </c>
      <c r="E103" s="22" t="s">
        <v>14548</v>
      </c>
      <c r="F103" s="53" t="s">
        <v>14420</v>
      </c>
    </row>
    <row r="104" customFormat="false" ht="24.75" hidden="false" customHeight="true" outlineLevel="0" collapsed="false">
      <c r="A104" s="22" t="s">
        <v>9996</v>
      </c>
      <c r="B104" s="22" t="s">
        <v>9248</v>
      </c>
      <c r="C104" s="22" t="s">
        <v>14549</v>
      </c>
      <c r="D104" s="23" t="s">
        <v>14550</v>
      </c>
      <c r="E104" s="22"/>
      <c r="F104" s="35" t="s">
        <v>14416</v>
      </c>
    </row>
    <row r="105" customFormat="false" ht="24.75" hidden="false" customHeight="true" outlineLevel="0" collapsed="false">
      <c r="A105" s="22" t="s">
        <v>9996</v>
      </c>
      <c r="B105" s="22" t="s">
        <v>9248</v>
      </c>
      <c r="C105" s="22" t="s">
        <v>14551</v>
      </c>
      <c r="D105" s="23" t="s">
        <v>14552</v>
      </c>
      <c r="E105" s="22"/>
      <c r="F105" s="35" t="s">
        <v>14416</v>
      </c>
    </row>
    <row r="106" customFormat="false" ht="24.75" hidden="false" customHeight="true" outlineLevel="0" collapsed="false">
      <c r="A106" s="22" t="s">
        <v>10018</v>
      </c>
      <c r="B106" s="22" t="s">
        <v>9248</v>
      </c>
      <c r="C106" s="22" t="s">
        <v>14535</v>
      </c>
      <c r="D106" s="23" t="s">
        <v>14005</v>
      </c>
      <c r="E106" s="22" t="s">
        <v>14536</v>
      </c>
      <c r="F106" s="35" t="s">
        <v>14416</v>
      </c>
    </row>
    <row r="107" customFormat="false" ht="37.5" hidden="false" customHeight="true" outlineLevel="0" collapsed="false">
      <c r="A107" s="22" t="s">
        <v>10018</v>
      </c>
      <c r="B107" s="22" t="s">
        <v>9248</v>
      </c>
      <c r="C107" s="22" t="s">
        <v>14553</v>
      </c>
      <c r="D107" s="23" t="s">
        <v>14014</v>
      </c>
      <c r="E107" s="22" t="s">
        <v>14554</v>
      </c>
      <c r="F107" s="35" t="s">
        <v>14416</v>
      </c>
    </row>
    <row r="108" customFormat="false" ht="24.75" hidden="false" customHeight="true" outlineLevel="0" collapsed="false">
      <c r="A108" s="22" t="s">
        <v>10018</v>
      </c>
      <c r="B108" s="22" t="s">
        <v>9248</v>
      </c>
      <c r="C108" s="22" t="s">
        <v>14555</v>
      </c>
      <c r="D108" s="23" t="s">
        <v>14556</v>
      </c>
      <c r="E108" s="22" t="s">
        <v>14557</v>
      </c>
      <c r="F108" s="53" t="s">
        <v>14420</v>
      </c>
    </row>
    <row r="109" customFormat="false" ht="24.75" hidden="false" customHeight="true" outlineLevel="0" collapsed="false">
      <c r="A109" s="22" t="s">
        <v>10018</v>
      </c>
      <c r="B109" s="22" t="s">
        <v>9248</v>
      </c>
      <c r="C109" s="22" t="s">
        <v>14461</v>
      </c>
      <c r="D109" s="23" t="s">
        <v>13728</v>
      </c>
      <c r="E109" s="22" t="s">
        <v>14462</v>
      </c>
      <c r="F109" s="35" t="s">
        <v>14416</v>
      </c>
    </row>
    <row r="110" customFormat="false" ht="24.75" hidden="false" customHeight="true" outlineLevel="0" collapsed="false">
      <c r="A110" s="22" t="s">
        <v>10018</v>
      </c>
      <c r="B110" s="22" t="s">
        <v>9248</v>
      </c>
      <c r="C110" s="22" t="s">
        <v>14551</v>
      </c>
      <c r="D110" s="23" t="s">
        <v>14552</v>
      </c>
      <c r="E110" s="22"/>
      <c r="F110" s="35" t="s">
        <v>14416</v>
      </c>
    </row>
    <row r="111" customFormat="false" ht="24.75" hidden="false" customHeight="true" outlineLevel="0" collapsed="false">
      <c r="A111" s="22" t="s">
        <v>10039</v>
      </c>
      <c r="B111" s="22" t="s">
        <v>9248</v>
      </c>
      <c r="C111" s="22" t="s">
        <v>14535</v>
      </c>
      <c r="D111" s="23" t="s">
        <v>14005</v>
      </c>
      <c r="E111" s="22" t="s">
        <v>14536</v>
      </c>
      <c r="F111" s="35" t="s">
        <v>14416</v>
      </c>
    </row>
    <row r="112" customFormat="false" ht="24.75" hidden="false" customHeight="true" outlineLevel="0" collapsed="false">
      <c r="A112" s="22" t="s">
        <v>10039</v>
      </c>
      <c r="B112" s="22" t="s">
        <v>9248</v>
      </c>
      <c r="C112" s="22" t="s">
        <v>14540</v>
      </c>
      <c r="D112" s="23" t="s">
        <v>14541</v>
      </c>
      <c r="E112" s="22" t="s">
        <v>14542</v>
      </c>
      <c r="F112" s="53" t="s">
        <v>14420</v>
      </c>
    </row>
    <row r="113" customFormat="false" ht="24.75" hidden="false" customHeight="true" outlineLevel="0" collapsed="false">
      <c r="A113" s="22" t="s">
        <v>10039</v>
      </c>
      <c r="B113" s="22" t="s">
        <v>9248</v>
      </c>
      <c r="C113" s="22" t="s">
        <v>14555</v>
      </c>
      <c r="D113" s="23" t="s">
        <v>14556</v>
      </c>
      <c r="E113" s="22" t="s">
        <v>14557</v>
      </c>
      <c r="F113" s="53" t="s">
        <v>14420</v>
      </c>
    </row>
    <row r="114" customFormat="false" ht="37.5" hidden="false" customHeight="true" outlineLevel="0" collapsed="false">
      <c r="A114" s="22" t="s">
        <v>10039</v>
      </c>
      <c r="B114" s="22" t="s">
        <v>9248</v>
      </c>
      <c r="C114" s="22" t="s">
        <v>14553</v>
      </c>
      <c r="D114" s="23" t="s">
        <v>14014</v>
      </c>
      <c r="E114" s="22" t="s">
        <v>14554</v>
      </c>
      <c r="F114" s="35" t="s">
        <v>14416</v>
      </c>
    </row>
    <row r="115" customFormat="false" ht="15" hidden="false" customHeight="true" outlineLevel="0" collapsed="false">
      <c r="A115" s="22" t="s">
        <v>10039</v>
      </c>
      <c r="B115" s="22" t="s">
        <v>9248</v>
      </c>
      <c r="C115" s="22" t="s">
        <v>14543</v>
      </c>
      <c r="D115" s="23" t="s">
        <v>14544</v>
      </c>
      <c r="E115" s="22" t="s">
        <v>14545</v>
      </c>
      <c r="F115" s="53" t="s">
        <v>14420</v>
      </c>
    </row>
    <row r="116" customFormat="false" ht="24.75" hidden="false" customHeight="true" outlineLevel="0" collapsed="false">
      <c r="A116" s="22" t="s">
        <v>10039</v>
      </c>
      <c r="B116" s="22" t="s">
        <v>9248</v>
      </c>
      <c r="C116" s="22" t="s">
        <v>14549</v>
      </c>
      <c r="D116" s="23" t="s">
        <v>14550</v>
      </c>
      <c r="E116" s="22"/>
      <c r="F116" s="35" t="s">
        <v>14416</v>
      </c>
    </row>
    <row r="117" customFormat="false" ht="24.75" hidden="false" customHeight="true" outlineLevel="0" collapsed="false">
      <c r="A117" s="22" t="s">
        <v>10039</v>
      </c>
      <c r="B117" s="22" t="s">
        <v>9248</v>
      </c>
      <c r="C117" s="22" t="s">
        <v>14551</v>
      </c>
      <c r="D117" s="23" t="s">
        <v>14552</v>
      </c>
      <c r="E117" s="22"/>
      <c r="F117" s="35" t="s">
        <v>14416</v>
      </c>
    </row>
    <row r="118" customFormat="false" ht="37.5" hidden="false" customHeight="true" outlineLevel="0" collapsed="false">
      <c r="A118" s="22" t="s">
        <v>10062</v>
      </c>
      <c r="B118" s="22" t="s">
        <v>9248</v>
      </c>
      <c r="C118" s="22" t="s">
        <v>14553</v>
      </c>
      <c r="D118" s="23" t="s">
        <v>14014</v>
      </c>
      <c r="E118" s="22" t="s">
        <v>14554</v>
      </c>
      <c r="F118" s="35" t="s">
        <v>14416</v>
      </c>
    </row>
    <row r="119" customFormat="false" ht="24.75" hidden="false" customHeight="true" outlineLevel="0" collapsed="false">
      <c r="A119" s="22" t="s">
        <v>10062</v>
      </c>
      <c r="B119" s="22" t="s">
        <v>9248</v>
      </c>
      <c r="C119" s="22" t="s">
        <v>14535</v>
      </c>
      <c r="D119" s="23" t="s">
        <v>14005</v>
      </c>
      <c r="E119" s="22" t="s">
        <v>14536</v>
      </c>
      <c r="F119" s="35" t="s">
        <v>14416</v>
      </c>
    </row>
    <row r="120" customFormat="false" ht="15" hidden="false" customHeight="true" outlineLevel="0" collapsed="false">
      <c r="A120" s="22" t="s">
        <v>10062</v>
      </c>
      <c r="B120" s="22" t="s">
        <v>9248</v>
      </c>
      <c r="C120" s="22" t="s">
        <v>14434</v>
      </c>
      <c r="D120" s="23" t="s">
        <v>14435</v>
      </c>
      <c r="E120" s="22" t="s">
        <v>14436</v>
      </c>
      <c r="F120" s="53" t="s">
        <v>14420</v>
      </c>
    </row>
    <row r="121" customFormat="false" ht="15" hidden="false" customHeight="true" outlineLevel="0" collapsed="false">
      <c r="A121" s="22" t="s">
        <v>10086</v>
      </c>
      <c r="B121" s="22" t="s">
        <v>9248</v>
      </c>
      <c r="C121" s="22" t="s">
        <v>14558</v>
      </c>
      <c r="D121" s="23" t="s">
        <v>14559</v>
      </c>
      <c r="E121" s="22" t="s">
        <v>14560</v>
      </c>
      <c r="F121" s="35" t="s">
        <v>14416</v>
      </c>
    </row>
    <row r="122" customFormat="false" ht="15" hidden="false" customHeight="true" outlineLevel="0" collapsed="false">
      <c r="A122" s="22" t="s">
        <v>10086</v>
      </c>
      <c r="B122" s="22" t="s">
        <v>9248</v>
      </c>
      <c r="C122" s="22" t="s">
        <v>14561</v>
      </c>
      <c r="D122" s="23" t="s">
        <v>14562</v>
      </c>
      <c r="E122" s="22" t="s">
        <v>14563</v>
      </c>
      <c r="F122" s="53" t="s">
        <v>14420</v>
      </c>
    </row>
    <row r="123" customFormat="false" ht="24.75" hidden="false" customHeight="true" outlineLevel="0" collapsed="false">
      <c r="A123" s="22" t="s">
        <v>10086</v>
      </c>
      <c r="B123" s="22" t="s">
        <v>9248</v>
      </c>
      <c r="C123" s="22" t="s">
        <v>14430</v>
      </c>
      <c r="D123" s="23" t="s">
        <v>14022</v>
      </c>
      <c r="E123" s="22" t="s">
        <v>14431</v>
      </c>
      <c r="F123" s="53" t="s">
        <v>14420</v>
      </c>
    </row>
    <row r="124" customFormat="false" ht="24.75" hidden="false" customHeight="true" outlineLevel="0" collapsed="false">
      <c r="A124" s="22" t="s">
        <v>10109</v>
      </c>
      <c r="B124" s="22" t="s">
        <v>9248</v>
      </c>
      <c r="C124" s="22" t="s">
        <v>14430</v>
      </c>
      <c r="D124" s="23" t="s">
        <v>14022</v>
      </c>
      <c r="E124" s="22" t="s">
        <v>14431</v>
      </c>
      <c r="F124" s="53" t="s">
        <v>14420</v>
      </c>
    </row>
    <row r="125" customFormat="false" ht="37.5" hidden="false" customHeight="true" outlineLevel="0" collapsed="false">
      <c r="A125" s="22" t="s">
        <v>10129</v>
      </c>
      <c r="B125" s="22" t="s">
        <v>9248</v>
      </c>
      <c r="C125" s="22" t="s">
        <v>14427</v>
      </c>
      <c r="D125" s="23" t="s">
        <v>14428</v>
      </c>
      <c r="E125" s="22" t="s">
        <v>14429</v>
      </c>
      <c r="F125" s="35" t="s">
        <v>14416</v>
      </c>
    </row>
    <row r="126" customFormat="false" ht="24.75" hidden="false" customHeight="true" outlineLevel="0" collapsed="false">
      <c r="A126" s="22" t="s">
        <v>10129</v>
      </c>
      <c r="B126" s="22" t="s">
        <v>9248</v>
      </c>
      <c r="C126" s="22" t="s">
        <v>14461</v>
      </c>
      <c r="D126" s="23" t="s">
        <v>13728</v>
      </c>
      <c r="E126" s="22" t="s">
        <v>14462</v>
      </c>
      <c r="F126" s="35" t="s">
        <v>14416</v>
      </c>
    </row>
    <row r="127" customFormat="false" ht="24.75" hidden="false" customHeight="true" outlineLevel="0" collapsed="false">
      <c r="A127" s="22" t="s">
        <v>10129</v>
      </c>
      <c r="B127" s="22" t="s">
        <v>9248</v>
      </c>
      <c r="C127" s="22" t="s">
        <v>14535</v>
      </c>
      <c r="D127" s="23" t="s">
        <v>14005</v>
      </c>
      <c r="E127" s="22" t="s">
        <v>14536</v>
      </c>
      <c r="F127" s="35" t="s">
        <v>14416</v>
      </c>
    </row>
    <row r="128" customFormat="false" ht="24.75" hidden="false" customHeight="true" outlineLevel="0" collapsed="false">
      <c r="A128" s="22" t="s">
        <v>10129</v>
      </c>
      <c r="B128" s="22" t="s">
        <v>9248</v>
      </c>
      <c r="C128" s="22" t="s">
        <v>14549</v>
      </c>
      <c r="D128" s="23" t="s">
        <v>14550</v>
      </c>
      <c r="E128" s="22"/>
      <c r="F128" s="35" t="s">
        <v>14416</v>
      </c>
    </row>
    <row r="129" customFormat="false" ht="24.75" hidden="false" customHeight="true" outlineLevel="0" collapsed="false">
      <c r="A129" s="22" t="s">
        <v>10129</v>
      </c>
      <c r="B129" s="22" t="s">
        <v>9248</v>
      </c>
      <c r="C129" s="22" t="s">
        <v>14551</v>
      </c>
      <c r="D129" s="23" t="s">
        <v>14552</v>
      </c>
      <c r="E129" s="22"/>
      <c r="F129" s="35" t="s">
        <v>14416</v>
      </c>
    </row>
    <row r="130" customFormat="false" ht="15" hidden="false" customHeight="true" outlineLevel="0" collapsed="false">
      <c r="A130" s="22" t="s">
        <v>10129</v>
      </c>
      <c r="B130" s="22" t="s">
        <v>9248</v>
      </c>
      <c r="C130" s="22" t="s">
        <v>14564</v>
      </c>
      <c r="D130" s="23" t="s">
        <v>14533</v>
      </c>
      <c r="E130" s="22"/>
      <c r="F130" s="35" t="s">
        <v>14416</v>
      </c>
    </row>
    <row r="131" customFormat="false" ht="24.75" hidden="false" customHeight="true" outlineLevel="0" collapsed="false">
      <c r="A131" s="22" t="s">
        <v>10153</v>
      </c>
      <c r="B131" s="22" t="s">
        <v>9248</v>
      </c>
      <c r="C131" s="22" t="s">
        <v>14565</v>
      </c>
      <c r="D131" s="23" t="s">
        <v>13710</v>
      </c>
      <c r="E131" s="22"/>
      <c r="F131" s="35" t="s">
        <v>14416</v>
      </c>
    </row>
    <row r="132" customFormat="false" ht="15" hidden="false" customHeight="true" outlineLevel="0" collapsed="false">
      <c r="A132" s="22" t="s">
        <v>10153</v>
      </c>
      <c r="B132" s="22" t="s">
        <v>9248</v>
      </c>
      <c r="C132" s="22" t="s">
        <v>14566</v>
      </c>
      <c r="D132" s="23" t="s">
        <v>13783</v>
      </c>
      <c r="E132" s="22"/>
      <c r="F132" s="35" t="s">
        <v>14416</v>
      </c>
    </row>
    <row r="133" customFormat="false" ht="15" hidden="false" customHeight="true" outlineLevel="0" collapsed="false">
      <c r="A133" s="22" t="s">
        <v>10153</v>
      </c>
      <c r="B133" s="22" t="s">
        <v>9248</v>
      </c>
      <c r="C133" s="22" t="s">
        <v>14567</v>
      </c>
      <c r="D133" s="23" t="s">
        <v>14568</v>
      </c>
      <c r="E133" s="22"/>
      <c r="F133" s="53" t="s">
        <v>14420</v>
      </c>
    </row>
    <row r="134" customFormat="false" ht="15" hidden="false" customHeight="true" outlineLevel="0" collapsed="false">
      <c r="A134" s="22" t="s">
        <v>10178</v>
      </c>
      <c r="B134" s="22" t="s">
        <v>9248</v>
      </c>
      <c r="C134" s="22" t="s">
        <v>14566</v>
      </c>
      <c r="D134" s="23" t="s">
        <v>13783</v>
      </c>
      <c r="E134" s="22"/>
      <c r="F134" s="35" t="s">
        <v>14416</v>
      </c>
    </row>
    <row r="135" customFormat="false" ht="15" hidden="false" customHeight="true" outlineLevel="0" collapsed="false">
      <c r="A135" s="22" t="s">
        <v>10178</v>
      </c>
      <c r="B135" s="22" t="s">
        <v>9248</v>
      </c>
      <c r="C135" s="22" t="s">
        <v>14569</v>
      </c>
      <c r="D135" s="23" t="s">
        <v>14570</v>
      </c>
      <c r="E135" s="22"/>
      <c r="F135" s="35" t="s">
        <v>14416</v>
      </c>
    </row>
    <row r="136" customFormat="false" ht="15" hidden="false" customHeight="true" outlineLevel="0" collapsed="false">
      <c r="A136" s="22" t="s">
        <v>10178</v>
      </c>
      <c r="B136" s="22" t="s">
        <v>9248</v>
      </c>
      <c r="C136" s="22" t="s">
        <v>14571</v>
      </c>
      <c r="D136" s="23" t="s">
        <v>14033</v>
      </c>
      <c r="E136" s="22"/>
      <c r="F136" s="35" t="s">
        <v>14416</v>
      </c>
    </row>
    <row r="137" customFormat="false" ht="15" hidden="false" customHeight="true" outlineLevel="0" collapsed="false">
      <c r="A137" s="22" t="s">
        <v>10178</v>
      </c>
      <c r="B137" s="22" t="s">
        <v>9248</v>
      </c>
      <c r="C137" s="22" t="s">
        <v>14572</v>
      </c>
      <c r="D137" s="23" t="s">
        <v>14573</v>
      </c>
      <c r="E137" s="22"/>
      <c r="F137" s="35" t="s">
        <v>14416</v>
      </c>
    </row>
    <row r="138" customFormat="false" ht="15" hidden="false" customHeight="true" outlineLevel="0" collapsed="false">
      <c r="A138" s="22" t="s">
        <v>10178</v>
      </c>
      <c r="B138" s="22" t="s">
        <v>9248</v>
      </c>
      <c r="C138" s="22" t="s">
        <v>14574</v>
      </c>
      <c r="D138" s="23" t="s">
        <v>14103</v>
      </c>
      <c r="E138" s="22"/>
      <c r="F138" s="35" t="s">
        <v>14416</v>
      </c>
    </row>
    <row r="139" customFormat="false" ht="15" hidden="false" customHeight="true" outlineLevel="0" collapsed="false">
      <c r="A139" s="22" t="s">
        <v>10178</v>
      </c>
      <c r="B139" s="22" t="s">
        <v>9248</v>
      </c>
      <c r="C139" s="22" t="s">
        <v>14575</v>
      </c>
      <c r="D139" s="23" t="s">
        <v>14099</v>
      </c>
      <c r="E139" s="22"/>
      <c r="F139" s="35" t="s">
        <v>14416</v>
      </c>
    </row>
    <row r="140" customFormat="false" ht="15" hidden="false" customHeight="true" outlineLevel="0" collapsed="false">
      <c r="A140" s="22" t="s">
        <v>10178</v>
      </c>
      <c r="B140" s="22" t="s">
        <v>9248</v>
      </c>
      <c r="C140" s="22" t="s">
        <v>14576</v>
      </c>
      <c r="D140" s="23" t="s">
        <v>14577</v>
      </c>
      <c r="E140" s="22"/>
      <c r="F140" s="35" t="s">
        <v>14416</v>
      </c>
    </row>
    <row r="141" customFormat="false" ht="15" hidden="false" customHeight="true" outlineLevel="0" collapsed="false">
      <c r="A141" s="22" t="s">
        <v>10178</v>
      </c>
      <c r="B141" s="22" t="s">
        <v>9248</v>
      </c>
      <c r="C141" s="22" t="s">
        <v>14578</v>
      </c>
      <c r="D141" s="23" t="s">
        <v>14095</v>
      </c>
      <c r="E141" s="22"/>
      <c r="F141" s="35" t="s">
        <v>14416</v>
      </c>
    </row>
    <row r="142" customFormat="false" ht="15" hidden="false" customHeight="true" outlineLevel="0" collapsed="false">
      <c r="A142" s="22" t="s">
        <v>10178</v>
      </c>
      <c r="B142" s="22" t="s">
        <v>9248</v>
      </c>
      <c r="C142" s="22" t="s">
        <v>14579</v>
      </c>
      <c r="D142" s="23" t="s">
        <v>14580</v>
      </c>
      <c r="E142" s="22"/>
      <c r="F142" s="35" t="s">
        <v>14416</v>
      </c>
    </row>
    <row r="143" customFormat="false" ht="15" hidden="false" customHeight="true" outlineLevel="0" collapsed="false">
      <c r="A143" s="22" t="s">
        <v>10178</v>
      </c>
      <c r="B143" s="22" t="s">
        <v>9248</v>
      </c>
      <c r="C143" s="22" t="s">
        <v>14581</v>
      </c>
      <c r="D143" s="23" t="s">
        <v>14087</v>
      </c>
      <c r="E143" s="22"/>
      <c r="F143" s="35" t="s">
        <v>14416</v>
      </c>
    </row>
    <row r="144" customFormat="false" ht="15" hidden="false" customHeight="true" outlineLevel="0" collapsed="false">
      <c r="A144" s="22" t="s">
        <v>10178</v>
      </c>
      <c r="B144" s="22" t="s">
        <v>9248</v>
      </c>
      <c r="C144" s="22" t="s">
        <v>14582</v>
      </c>
      <c r="D144" s="23" t="s">
        <v>14583</v>
      </c>
      <c r="E144" s="22"/>
      <c r="F144" s="35" t="s">
        <v>14416</v>
      </c>
    </row>
    <row r="145" customFormat="false" ht="15" hidden="false" customHeight="true" outlineLevel="0" collapsed="false">
      <c r="A145" s="22" t="s">
        <v>10178</v>
      </c>
      <c r="B145" s="22" t="s">
        <v>9248</v>
      </c>
      <c r="C145" s="22" t="s">
        <v>14584</v>
      </c>
      <c r="D145" s="23" t="s">
        <v>14585</v>
      </c>
      <c r="E145" s="22"/>
      <c r="F145" s="35" t="s">
        <v>14416</v>
      </c>
    </row>
    <row r="146" customFormat="false" ht="15" hidden="false" customHeight="true" outlineLevel="0" collapsed="false">
      <c r="A146" s="22" t="s">
        <v>10178</v>
      </c>
      <c r="B146" s="22" t="s">
        <v>9248</v>
      </c>
      <c r="C146" s="22" t="s">
        <v>14586</v>
      </c>
      <c r="D146" s="23" t="s">
        <v>14587</v>
      </c>
      <c r="E146" s="22"/>
      <c r="F146" s="35" t="s">
        <v>14416</v>
      </c>
    </row>
    <row r="147" customFormat="false" ht="24.75" hidden="false" customHeight="true" outlineLevel="0" collapsed="false">
      <c r="A147" s="22" t="s">
        <v>10178</v>
      </c>
      <c r="B147" s="22" t="s">
        <v>9248</v>
      </c>
      <c r="C147" s="22" t="s">
        <v>14588</v>
      </c>
      <c r="D147" s="23" t="s">
        <v>14091</v>
      </c>
      <c r="E147" s="22"/>
      <c r="F147" s="53" t="s">
        <v>14420</v>
      </c>
    </row>
    <row r="148" customFormat="false" ht="15" hidden="false" customHeight="true" outlineLevel="0" collapsed="false">
      <c r="A148" s="22" t="s">
        <v>10178</v>
      </c>
      <c r="B148" s="22" t="s">
        <v>9248</v>
      </c>
      <c r="C148" s="22" t="s">
        <v>14589</v>
      </c>
      <c r="D148" s="23" t="s">
        <v>14590</v>
      </c>
      <c r="E148" s="22"/>
      <c r="F148" s="53" t="s">
        <v>14420</v>
      </c>
    </row>
    <row r="149" customFormat="false" ht="15" hidden="false" customHeight="true" outlineLevel="0" collapsed="false">
      <c r="A149" s="22" t="s">
        <v>10178</v>
      </c>
      <c r="B149" s="22" t="s">
        <v>9248</v>
      </c>
      <c r="C149" s="22" t="s">
        <v>14591</v>
      </c>
      <c r="D149" s="23" t="s">
        <v>14592</v>
      </c>
      <c r="E149" s="22"/>
      <c r="F149" s="53" t="s">
        <v>14420</v>
      </c>
    </row>
    <row r="150" customFormat="false" ht="24.75" hidden="false" customHeight="true" outlineLevel="0" collapsed="false">
      <c r="A150" s="22" t="s">
        <v>10178</v>
      </c>
      <c r="B150" s="22" t="s">
        <v>9248</v>
      </c>
      <c r="C150" s="22" t="s">
        <v>14593</v>
      </c>
      <c r="D150" s="23" t="s">
        <v>14594</v>
      </c>
      <c r="E150" s="22"/>
      <c r="F150" s="53" t="s">
        <v>14420</v>
      </c>
    </row>
    <row r="151" customFormat="false" ht="15" hidden="false" customHeight="true" outlineLevel="0" collapsed="false">
      <c r="A151" s="22" t="s">
        <v>10199</v>
      </c>
      <c r="B151" s="22" t="s">
        <v>9248</v>
      </c>
      <c r="C151" s="22" t="s">
        <v>14569</v>
      </c>
      <c r="D151" s="23" t="s">
        <v>14570</v>
      </c>
      <c r="E151" s="22"/>
      <c r="F151" s="35" t="s">
        <v>14416</v>
      </c>
    </row>
    <row r="152" customFormat="false" ht="15" hidden="false" customHeight="true" outlineLevel="0" collapsed="false">
      <c r="A152" s="22" t="s">
        <v>10199</v>
      </c>
      <c r="B152" s="22" t="s">
        <v>9248</v>
      </c>
      <c r="C152" s="22" t="s">
        <v>14582</v>
      </c>
      <c r="D152" s="23" t="s">
        <v>14583</v>
      </c>
      <c r="E152" s="22"/>
      <c r="F152" s="35" t="s">
        <v>14416</v>
      </c>
    </row>
    <row r="153" customFormat="false" ht="15" hidden="false" customHeight="true" outlineLevel="0" collapsed="false">
      <c r="A153" s="22" t="s">
        <v>10199</v>
      </c>
      <c r="B153" s="22" t="s">
        <v>9248</v>
      </c>
      <c r="C153" s="22" t="s">
        <v>14567</v>
      </c>
      <c r="D153" s="23" t="s">
        <v>14568</v>
      </c>
      <c r="E153" s="22"/>
      <c r="F153" s="53" t="s">
        <v>14420</v>
      </c>
    </row>
    <row r="154" customFormat="false" ht="24.75" hidden="false" customHeight="true" outlineLevel="0" collapsed="false">
      <c r="A154" s="22" t="s">
        <v>10199</v>
      </c>
      <c r="B154" s="22" t="s">
        <v>9248</v>
      </c>
      <c r="C154" s="22" t="s">
        <v>14588</v>
      </c>
      <c r="D154" s="23" t="s">
        <v>14091</v>
      </c>
      <c r="E154" s="22"/>
      <c r="F154" s="53" t="s">
        <v>14420</v>
      </c>
    </row>
    <row r="155" customFormat="false" ht="15" hidden="false" customHeight="true" outlineLevel="0" collapsed="false">
      <c r="A155" s="22" t="s">
        <v>10222</v>
      </c>
      <c r="B155" s="22" t="s">
        <v>9248</v>
      </c>
      <c r="C155" s="22" t="s">
        <v>14569</v>
      </c>
      <c r="D155" s="23" t="s">
        <v>14570</v>
      </c>
      <c r="E155" s="22"/>
      <c r="F155" s="35" t="s">
        <v>14416</v>
      </c>
    </row>
    <row r="156" customFormat="false" ht="24.75" hidden="false" customHeight="true" outlineLevel="0" collapsed="false">
      <c r="A156" s="22" t="s">
        <v>10222</v>
      </c>
      <c r="B156" s="22" t="s">
        <v>9248</v>
      </c>
      <c r="C156" s="22" t="s">
        <v>14595</v>
      </c>
      <c r="D156" s="23" t="s">
        <v>14596</v>
      </c>
      <c r="E156" s="22"/>
      <c r="F156" s="53" t="s">
        <v>14420</v>
      </c>
    </row>
    <row r="157" customFormat="false" ht="15" hidden="false" customHeight="true" outlineLevel="0" collapsed="false">
      <c r="A157" s="22" t="s">
        <v>10222</v>
      </c>
      <c r="B157" s="22" t="s">
        <v>9248</v>
      </c>
      <c r="C157" s="22" t="s">
        <v>14581</v>
      </c>
      <c r="D157" s="23" t="s">
        <v>14087</v>
      </c>
      <c r="E157" s="22"/>
      <c r="F157" s="35" t="s">
        <v>14416</v>
      </c>
    </row>
    <row r="158" customFormat="false" ht="15" hidden="false" customHeight="true" outlineLevel="0" collapsed="false">
      <c r="A158" s="22" t="s">
        <v>10245</v>
      </c>
      <c r="B158" s="22" t="s">
        <v>9248</v>
      </c>
      <c r="C158" s="22" t="s">
        <v>14566</v>
      </c>
      <c r="D158" s="23" t="s">
        <v>13783</v>
      </c>
      <c r="E158" s="22"/>
      <c r="F158" s="35" t="s">
        <v>14416</v>
      </c>
    </row>
    <row r="159" customFormat="false" ht="37.5" hidden="false" customHeight="true" outlineLevel="0" collapsed="false">
      <c r="A159" s="22" t="s">
        <v>10245</v>
      </c>
      <c r="B159" s="22" t="s">
        <v>9248</v>
      </c>
      <c r="C159" s="22" t="s">
        <v>14597</v>
      </c>
      <c r="D159" s="23" t="s">
        <v>14041</v>
      </c>
      <c r="E159" s="22"/>
      <c r="F159" s="53" t="s">
        <v>14420</v>
      </c>
    </row>
    <row r="160" customFormat="false" ht="15" hidden="false" customHeight="true" outlineLevel="0" collapsed="false">
      <c r="A160" s="22" t="s">
        <v>10245</v>
      </c>
      <c r="B160" s="22" t="s">
        <v>9248</v>
      </c>
      <c r="C160" s="22" t="s">
        <v>14598</v>
      </c>
      <c r="D160" s="23" t="s">
        <v>14599</v>
      </c>
      <c r="E160" s="22"/>
      <c r="F160" s="53" t="s">
        <v>14420</v>
      </c>
    </row>
    <row r="161" customFormat="false" ht="15" hidden="false" customHeight="true" outlineLevel="0" collapsed="false">
      <c r="A161" s="22" t="s">
        <v>10267</v>
      </c>
      <c r="B161" s="22" t="s">
        <v>9248</v>
      </c>
      <c r="C161" s="22" t="s">
        <v>14566</v>
      </c>
      <c r="D161" s="23" t="s">
        <v>13783</v>
      </c>
      <c r="E161" s="22"/>
      <c r="F161" s="35" t="s">
        <v>14416</v>
      </c>
    </row>
    <row r="162" customFormat="false" ht="37.5" hidden="false" customHeight="true" outlineLevel="0" collapsed="false">
      <c r="A162" s="22" t="s">
        <v>10267</v>
      </c>
      <c r="B162" s="22" t="s">
        <v>9248</v>
      </c>
      <c r="C162" s="22" t="s">
        <v>14597</v>
      </c>
      <c r="D162" s="23" t="s">
        <v>14041</v>
      </c>
      <c r="E162" s="22"/>
      <c r="F162" s="53" t="s">
        <v>14420</v>
      </c>
    </row>
    <row r="163" customFormat="false" ht="15" hidden="false" customHeight="true" outlineLevel="0" collapsed="false">
      <c r="A163" s="22" t="s">
        <v>10267</v>
      </c>
      <c r="B163" s="22" t="s">
        <v>9248</v>
      </c>
      <c r="C163" s="22" t="s">
        <v>14598</v>
      </c>
      <c r="D163" s="23" t="s">
        <v>14599</v>
      </c>
      <c r="E163" s="22"/>
      <c r="F163" s="53" t="s">
        <v>14420</v>
      </c>
    </row>
    <row r="164" customFormat="false" ht="15" hidden="false" customHeight="true" outlineLevel="0" collapsed="false">
      <c r="A164" s="22" t="s">
        <v>10287</v>
      </c>
      <c r="B164" s="22" t="s">
        <v>9248</v>
      </c>
      <c r="C164" s="22" t="s">
        <v>14566</v>
      </c>
      <c r="D164" s="23" t="s">
        <v>13783</v>
      </c>
      <c r="E164" s="22"/>
      <c r="F164" s="35" t="s">
        <v>14416</v>
      </c>
    </row>
    <row r="165" customFormat="false" ht="37.5" hidden="false" customHeight="true" outlineLevel="0" collapsed="false">
      <c r="A165" s="22" t="s">
        <v>10287</v>
      </c>
      <c r="B165" s="22" t="s">
        <v>9248</v>
      </c>
      <c r="C165" s="22" t="s">
        <v>14597</v>
      </c>
      <c r="D165" s="23" t="s">
        <v>14041</v>
      </c>
      <c r="E165" s="22"/>
      <c r="F165" s="53" t="s">
        <v>14420</v>
      </c>
    </row>
    <row r="166" customFormat="false" ht="15" hidden="false" customHeight="true" outlineLevel="0" collapsed="false">
      <c r="A166" s="22" t="s">
        <v>10287</v>
      </c>
      <c r="B166" s="22" t="s">
        <v>9248</v>
      </c>
      <c r="C166" s="22" t="s">
        <v>14598</v>
      </c>
      <c r="D166" s="23" t="s">
        <v>14599</v>
      </c>
      <c r="E166" s="22"/>
      <c r="F166" s="53" t="s">
        <v>14420</v>
      </c>
    </row>
    <row r="167" customFormat="false" ht="15" hidden="false" customHeight="true" outlineLevel="0" collapsed="false">
      <c r="A167" s="22" t="s">
        <v>10287</v>
      </c>
      <c r="B167" s="22" t="s">
        <v>9248</v>
      </c>
      <c r="C167" s="22" t="s">
        <v>14600</v>
      </c>
      <c r="D167" s="23" t="s">
        <v>14601</v>
      </c>
      <c r="E167" s="22"/>
      <c r="F167" s="53" t="s">
        <v>14420</v>
      </c>
    </row>
    <row r="168" customFormat="false" ht="15" hidden="false" customHeight="true" outlineLevel="0" collapsed="false">
      <c r="A168" s="22" t="s">
        <v>10307</v>
      </c>
      <c r="B168" s="22" t="s">
        <v>9248</v>
      </c>
      <c r="C168" s="22" t="s">
        <v>14566</v>
      </c>
      <c r="D168" s="23" t="s">
        <v>13783</v>
      </c>
      <c r="E168" s="22"/>
      <c r="F168" s="35" t="s">
        <v>14416</v>
      </c>
    </row>
    <row r="169" customFormat="false" ht="37.5" hidden="false" customHeight="true" outlineLevel="0" collapsed="false">
      <c r="A169" s="22" t="s">
        <v>10307</v>
      </c>
      <c r="B169" s="22" t="s">
        <v>9248</v>
      </c>
      <c r="C169" s="22" t="s">
        <v>14597</v>
      </c>
      <c r="D169" s="23" t="s">
        <v>14041</v>
      </c>
      <c r="E169" s="22"/>
      <c r="F169" s="53" t="s">
        <v>14420</v>
      </c>
    </row>
    <row r="170" customFormat="false" ht="15" hidden="false" customHeight="true" outlineLevel="0" collapsed="false">
      <c r="A170" s="22" t="s">
        <v>10307</v>
      </c>
      <c r="B170" s="22" t="s">
        <v>9248</v>
      </c>
      <c r="C170" s="22" t="s">
        <v>14598</v>
      </c>
      <c r="D170" s="23" t="s">
        <v>14599</v>
      </c>
      <c r="E170" s="22"/>
      <c r="F170" s="53" t="s">
        <v>14420</v>
      </c>
    </row>
    <row r="171" customFormat="false" ht="15" hidden="false" customHeight="true" outlineLevel="0" collapsed="false">
      <c r="A171" s="22" t="s">
        <v>10328</v>
      </c>
      <c r="B171" s="22" t="s">
        <v>9248</v>
      </c>
      <c r="C171" s="22" t="s">
        <v>14566</v>
      </c>
      <c r="D171" s="23" t="s">
        <v>13783</v>
      </c>
      <c r="E171" s="22"/>
      <c r="F171" s="35" t="s">
        <v>14416</v>
      </c>
    </row>
    <row r="172" customFormat="false" ht="37.5" hidden="false" customHeight="true" outlineLevel="0" collapsed="false">
      <c r="A172" s="22" t="s">
        <v>10328</v>
      </c>
      <c r="B172" s="22" t="s">
        <v>9248</v>
      </c>
      <c r="C172" s="22" t="s">
        <v>14597</v>
      </c>
      <c r="D172" s="23" t="s">
        <v>14041</v>
      </c>
      <c r="E172" s="22"/>
      <c r="F172" s="53" t="s">
        <v>14420</v>
      </c>
    </row>
    <row r="173" customFormat="false" ht="15" hidden="false" customHeight="true" outlineLevel="0" collapsed="false">
      <c r="A173" s="22" t="s">
        <v>10343</v>
      </c>
      <c r="B173" s="22" t="s">
        <v>9248</v>
      </c>
      <c r="C173" s="22" t="s">
        <v>14566</v>
      </c>
      <c r="D173" s="23" t="s">
        <v>13783</v>
      </c>
      <c r="E173" s="22"/>
      <c r="F173" s="35" t="s">
        <v>14416</v>
      </c>
    </row>
    <row r="174" customFormat="false" ht="15" hidden="false" customHeight="true" outlineLevel="0" collapsed="false">
      <c r="A174" s="22" t="s">
        <v>10363</v>
      </c>
      <c r="B174" s="22" t="s">
        <v>9248</v>
      </c>
      <c r="C174" s="22" t="s">
        <v>14566</v>
      </c>
      <c r="D174" s="23" t="s">
        <v>13783</v>
      </c>
      <c r="E174" s="22"/>
      <c r="F174" s="35" t="s">
        <v>14416</v>
      </c>
    </row>
    <row r="175" customFormat="false" ht="24.75" hidden="false" customHeight="true" outlineLevel="0" collapsed="false">
      <c r="A175" s="22" t="s">
        <v>10363</v>
      </c>
      <c r="B175" s="22" t="s">
        <v>9248</v>
      </c>
      <c r="C175" s="22" t="s">
        <v>14595</v>
      </c>
      <c r="D175" s="23" t="s">
        <v>14596</v>
      </c>
      <c r="E175" s="22"/>
      <c r="F175" s="53" t="s">
        <v>14420</v>
      </c>
    </row>
    <row r="176" customFormat="false" ht="15" hidden="false" customHeight="true" outlineLevel="0" collapsed="false">
      <c r="A176" s="22" t="s">
        <v>10363</v>
      </c>
      <c r="B176" s="22" t="s">
        <v>9248</v>
      </c>
      <c r="C176" s="22" t="s">
        <v>14600</v>
      </c>
      <c r="D176" s="23" t="s">
        <v>14601</v>
      </c>
      <c r="E176" s="22"/>
      <c r="F176" s="53" t="s">
        <v>14420</v>
      </c>
    </row>
    <row r="177" customFormat="false" ht="15" hidden="false" customHeight="true" outlineLevel="0" collapsed="false">
      <c r="A177" s="22" t="s">
        <v>10363</v>
      </c>
      <c r="B177" s="22" t="s">
        <v>9248</v>
      </c>
      <c r="C177" s="22" t="s">
        <v>14567</v>
      </c>
      <c r="D177" s="23" t="s">
        <v>14568</v>
      </c>
      <c r="E177" s="22"/>
      <c r="F177" s="53" t="s">
        <v>14420</v>
      </c>
    </row>
    <row r="178" customFormat="false" ht="15" hidden="false" customHeight="true" outlineLevel="0" collapsed="false">
      <c r="A178" s="22" t="s">
        <v>10363</v>
      </c>
      <c r="B178" s="22" t="s">
        <v>9248</v>
      </c>
      <c r="C178" s="22" t="s">
        <v>14602</v>
      </c>
      <c r="D178" s="23" t="s">
        <v>14603</v>
      </c>
      <c r="E178" s="22"/>
      <c r="F178" s="53" t="s">
        <v>14420</v>
      </c>
    </row>
    <row r="179" customFormat="false" ht="15" hidden="false" customHeight="true" outlineLevel="0" collapsed="false">
      <c r="A179" s="22" t="s">
        <v>10384</v>
      </c>
      <c r="B179" s="22" t="s">
        <v>9248</v>
      </c>
      <c r="C179" s="22" t="s">
        <v>14566</v>
      </c>
      <c r="D179" s="23" t="s">
        <v>13783</v>
      </c>
      <c r="E179" s="22"/>
      <c r="F179" s="35" t="s">
        <v>14416</v>
      </c>
    </row>
    <row r="180" customFormat="false" ht="24.75" hidden="false" customHeight="true" outlineLevel="0" collapsed="false">
      <c r="A180" s="22" t="s">
        <v>10384</v>
      </c>
      <c r="B180" s="22" t="s">
        <v>9248</v>
      </c>
      <c r="C180" s="22" t="s">
        <v>14604</v>
      </c>
      <c r="D180" s="23" t="s">
        <v>14065</v>
      </c>
      <c r="E180" s="22"/>
      <c r="F180" s="35" t="s">
        <v>14416</v>
      </c>
    </row>
    <row r="181" customFormat="false" ht="24.75" hidden="false" customHeight="true" outlineLevel="0" collapsed="false">
      <c r="A181" s="22" t="s">
        <v>10384</v>
      </c>
      <c r="B181" s="22" t="s">
        <v>9248</v>
      </c>
      <c r="C181" s="22" t="s">
        <v>14595</v>
      </c>
      <c r="D181" s="23" t="s">
        <v>14596</v>
      </c>
      <c r="E181" s="22"/>
      <c r="F181" s="53" t="s">
        <v>14420</v>
      </c>
    </row>
    <row r="182" customFormat="false" ht="37.5" hidden="false" customHeight="true" outlineLevel="0" collapsed="false">
      <c r="A182" s="22" t="s">
        <v>10384</v>
      </c>
      <c r="B182" s="22" t="s">
        <v>9248</v>
      </c>
      <c r="C182" s="22" t="s">
        <v>14597</v>
      </c>
      <c r="D182" s="23" t="s">
        <v>14041</v>
      </c>
      <c r="E182" s="22"/>
      <c r="F182" s="53" t="s">
        <v>14420</v>
      </c>
    </row>
    <row r="183" customFormat="false" ht="24.75" hidden="false" customHeight="true" outlineLevel="0" collapsed="false">
      <c r="A183" s="22" t="s">
        <v>10384</v>
      </c>
      <c r="B183" s="22" t="s">
        <v>9248</v>
      </c>
      <c r="C183" s="22" t="s">
        <v>14605</v>
      </c>
      <c r="D183" s="23" t="s">
        <v>14606</v>
      </c>
      <c r="E183" s="22"/>
      <c r="F183" s="53" t="s">
        <v>14420</v>
      </c>
    </row>
    <row r="184" customFormat="false" ht="15" hidden="false" customHeight="true" outlineLevel="0" collapsed="false">
      <c r="A184" s="22" t="s">
        <v>10384</v>
      </c>
      <c r="B184" s="22" t="s">
        <v>9248</v>
      </c>
      <c r="C184" s="22" t="s">
        <v>14607</v>
      </c>
      <c r="D184" s="23" t="s">
        <v>14608</v>
      </c>
      <c r="E184" s="22"/>
      <c r="F184" s="53" t="s">
        <v>14420</v>
      </c>
    </row>
    <row r="185" customFormat="false" ht="24.75" hidden="false" customHeight="true" outlineLevel="0" collapsed="false">
      <c r="A185" s="22" t="s">
        <v>10384</v>
      </c>
      <c r="B185" s="22" t="s">
        <v>9248</v>
      </c>
      <c r="C185" s="22" t="s">
        <v>14609</v>
      </c>
      <c r="D185" s="23" t="s">
        <v>14610</v>
      </c>
      <c r="E185" s="22"/>
      <c r="F185" s="35" t="s">
        <v>14416</v>
      </c>
    </row>
    <row r="186" customFormat="false" ht="24.75" hidden="false" customHeight="true" outlineLevel="0" collapsed="false">
      <c r="A186" s="22" t="s">
        <v>10384</v>
      </c>
      <c r="B186" s="22" t="s">
        <v>9248</v>
      </c>
      <c r="C186" s="22" t="s">
        <v>14611</v>
      </c>
      <c r="D186" s="23" t="s">
        <v>14612</v>
      </c>
      <c r="E186" s="22"/>
      <c r="F186" s="35" t="s">
        <v>14416</v>
      </c>
    </row>
    <row r="187" customFormat="false" ht="15" hidden="false" customHeight="true" outlineLevel="0" collapsed="false">
      <c r="A187" s="22" t="s">
        <v>10405</v>
      </c>
      <c r="B187" s="22" t="s">
        <v>9248</v>
      </c>
      <c r="C187" s="22" t="s">
        <v>14566</v>
      </c>
      <c r="D187" s="23" t="s">
        <v>13783</v>
      </c>
      <c r="E187" s="22"/>
      <c r="F187" s="35" t="s">
        <v>14416</v>
      </c>
    </row>
    <row r="188" customFormat="false" ht="24.75" hidden="false" customHeight="true" outlineLevel="0" collapsed="false">
      <c r="A188" s="22" t="s">
        <v>10405</v>
      </c>
      <c r="B188" s="22" t="s">
        <v>9248</v>
      </c>
      <c r="C188" s="22" t="s">
        <v>14613</v>
      </c>
      <c r="D188" s="23" t="s">
        <v>14073</v>
      </c>
      <c r="E188" s="22"/>
      <c r="F188" s="53" t="s">
        <v>14420</v>
      </c>
    </row>
    <row r="189" customFormat="false" ht="24.75" hidden="false" customHeight="true" outlineLevel="0" collapsed="false">
      <c r="A189" s="22" t="s">
        <v>10405</v>
      </c>
      <c r="B189" s="22" t="s">
        <v>9248</v>
      </c>
      <c r="C189" s="22" t="s">
        <v>14604</v>
      </c>
      <c r="D189" s="23" t="s">
        <v>14065</v>
      </c>
      <c r="E189" s="22"/>
      <c r="F189" s="35" t="s">
        <v>14416</v>
      </c>
    </row>
    <row r="190" customFormat="false" ht="15" hidden="false" customHeight="true" outlineLevel="0" collapsed="false">
      <c r="A190" s="22" t="s">
        <v>10425</v>
      </c>
      <c r="B190" s="22" t="s">
        <v>9248</v>
      </c>
      <c r="C190" s="22" t="s">
        <v>14566</v>
      </c>
      <c r="D190" s="23" t="s">
        <v>13783</v>
      </c>
      <c r="E190" s="22"/>
      <c r="F190" s="35" t="s">
        <v>14416</v>
      </c>
    </row>
    <row r="191" customFormat="false" ht="24.75" hidden="false" customHeight="true" outlineLevel="0" collapsed="false">
      <c r="A191" s="22" t="s">
        <v>10425</v>
      </c>
      <c r="B191" s="22" t="s">
        <v>9248</v>
      </c>
      <c r="C191" s="22" t="s">
        <v>14613</v>
      </c>
      <c r="D191" s="23" t="s">
        <v>14073</v>
      </c>
      <c r="E191" s="22"/>
      <c r="F191" s="53" t="s">
        <v>14420</v>
      </c>
    </row>
    <row r="192" customFormat="false" ht="37.5" hidden="false" customHeight="true" outlineLevel="0" collapsed="false">
      <c r="A192" s="22" t="s">
        <v>10425</v>
      </c>
      <c r="B192" s="22" t="s">
        <v>9248</v>
      </c>
      <c r="C192" s="22" t="s">
        <v>14597</v>
      </c>
      <c r="D192" s="23" t="s">
        <v>14041</v>
      </c>
      <c r="E192" s="22"/>
      <c r="F192" s="53" t="s">
        <v>14420</v>
      </c>
    </row>
    <row r="193" customFormat="false" ht="15" hidden="false" customHeight="true" outlineLevel="0" collapsed="false">
      <c r="A193" s="22" t="s">
        <v>10441</v>
      </c>
      <c r="B193" s="22" t="s">
        <v>9248</v>
      </c>
      <c r="C193" s="22" t="s">
        <v>14566</v>
      </c>
      <c r="D193" s="23" t="s">
        <v>13783</v>
      </c>
      <c r="E193" s="22"/>
      <c r="F193" s="35" t="s">
        <v>14416</v>
      </c>
    </row>
    <row r="194" customFormat="false" ht="24.75" hidden="false" customHeight="true" outlineLevel="0" collapsed="false">
      <c r="A194" s="22" t="s">
        <v>10441</v>
      </c>
      <c r="B194" s="22" t="s">
        <v>9248</v>
      </c>
      <c r="C194" s="22" t="s">
        <v>14613</v>
      </c>
      <c r="D194" s="23" t="s">
        <v>14073</v>
      </c>
      <c r="E194" s="22"/>
      <c r="F194" s="53" t="s">
        <v>14420</v>
      </c>
    </row>
    <row r="195" customFormat="false" ht="37.5" hidden="false" customHeight="true" outlineLevel="0" collapsed="false">
      <c r="A195" s="22" t="s">
        <v>10441</v>
      </c>
      <c r="B195" s="22" t="s">
        <v>9248</v>
      </c>
      <c r="C195" s="22" t="s">
        <v>14597</v>
      </c>
      <c r="D195" s="23" t="s">
        <v>14041</v>
      </c>
      <c r="E195" s="22"/>
      <c r="F195" s="53" t="s">
        <v>14420</v>
      </c>
    </row>
    <row r="196" customFormat="false" ht="15" hidden="false" customHeight="true" outlineLevel="0" collapsed="false">
      <c r="A196" s="22" t="s">
        <v>10441</v>
      </c>
      <c r="B196" s="22" t="s">
        <v>9248</v>
      </c>
      <c r="C196" s="22" t="s">
        <v>14602</v>
      </c>
      <c r="D196" s="23" t="s">
        <v>14603</v>
      </c>
      <c r="E196" s="22"/>
      <c r="F196" s="53" t="s">
        <v>14420</v>
      </c>
    </row>
    <row r="197" customFormat="false" ht="15" hidden="false" customHeight="true" outlineLevel="0" collapsed="false">
      <c r="A197" s="22" t="s">
        <v>10457</v>
      </c>
      <c r="B197" s="22" t="s">
        <v>9248</v>
      </c>
      <c r="C197" s="22" t="s">
        <v>14566</v>
      </c>
      <c r="D197" s="23" t="s">
        <v>13783</v>
      </c>
      <c r="E197" s="22"/>
      <c r="F197" s="35" t="s">
        <v>14416</v>
      </c>
    </row>
    <row r="198" customFormat="false" ht="37.5" hidden="false" customHeight="true" outlineLevel="0" collapsed="false">
      <c r="A198" s="22" t="s">
        <v>10457</v>
      </c>
      <c r="B198" s="22" t="s">
        <v>9248</v>
      </c>
      <c r="C198" s="22" t="s">
        <v>14597</v>
      </c>
      <c r="D198" s="23" t="s">
        <v>14041</v>
      </c>
      <c r="E198" s="22"/>
      <c r="F198" s="53" t="s">
        <v>14420</v>
      </c>
    </row>
    <row r="199" customFormat="false" ht="24.75" hidden="false" customHeight="true" outlineLevel="0" collapsed="false">
      <c r="A199" s="22" t="s">
        <v>10457</v>
      </c>
      <c r="B199" s="22" t="s">
        <v>9248</v>
      </c>
      <c r="C199" s="22" t="s">
        <v>14595</v>
      </c>
      <c r="D199" s="23" t="s">
        <v>14596</v>
      </c>
      <c r="E199" s="22"/>
      <c r="F199" s="53" t="s">
        <v>14420</v>
      </c>
    </row>
    <row r="200" customFormat="false" ht="15" hidden="false" customHeight="true" outlineLevel="0" collapsed="false">
      <c r="A200" s="22" t="s">
        <v>10478</v>
      </c>
      <c r="B200" s="22" t="s">
        <v>9248</v>
      </c>
      <c r="C200" s="22" t="s">
        <v>14566</v>
      </c>
      <c r="D200" s="23" t="s">
        <v>13783</v>
      </c>
      <c r="E200" s="22"/>
      <c r="F200" s="35" t="s">
        <v>14416</v>
      </c>
    </row>
    <row r="201" customFormat="false" ht="15" hidden="false" customHeight="true" outlineLevel="0" collapsed="false">
      <c r="A201" s="22" t="s">
        <v>10478</v>
      </c>
      <c r="B201" s="22" t="s">
        <v>9248</v>
      </c>
      <c r="C201" s="22" t="s">
        <v>14614</v>
      </c>
      <c r="D201" s="23" t="s">
        <v>14615</v>
      </c>
      <c r="E201" s="22"/>
      <c r="F201" s="35" t="s">
        <v>14416</v>
      </c>
    </row>
    <row r="202" customFormat="false" ht="15" hidden="false" customHeight="true" outlineLevel="0" collapsed="false">
      <c r="A202" s="22" t="s">
        <v>10478</v>
      </c>
      <c r="B202" s="22" t="s">
        <v>9248</v>
      </c>
      <c r="C202" s="22" t="s">
        <v>14581</v>
      </c>
      <c r="D202" s="23" t="s">
        <v>14087</v>
      </c>
      <c r="E202" s="22"/>
      <c r="F202" s="35" t="s">
        <v>14416</v>
      </c>
    </row>
    <row r="203" customFormat="false" ht="24.75" hidden="false" customHeight="true" outlineLevel="0" collapsed="false">
      <c r="A203" s="22" t="s">
        <v>10478</v>
      </c>
      <c r="B203" s="22" t="s">
        <v>9248</v>
      </c>
      <c r="C203" s="22" t="s">
        <v>14588</v>
      </c>
      <c r="D203" s="23" t="s">
        <v>14091</v>
      </c>
      <c r="E203" s="22"/>
      <c r="F203" s="53" t="s">
        <v>14420</v>
      </c>
    </row>
    <row r="204" customFormat="false" ht="15" hidden="false" customHeight="true" outlineLevel="0" collapsed="false">
      <c r="A204" s="22" t="s">
        <v>10501</v>
      </c>
      <c r="B204" s="22" t="s">
        <v>9248</v>
      </c>
      <c r="C204" s="22" t="s">
        <v>14566</v>
      </c>
      <c r="D204" s="23" t="s">
        <v>13783</v>
      </c>
      <c r="E204" s="22"/>
      <c r="F204" s="35" t="s">
        <v>14416</v>
      </c>
    </row>
    <row r="205" customFormat="false" ht="15" hidden="false" customHeight="true" outlineLevel="0" collapsed="false">
      <c r="A205" s="22" t="s">
        <v>10501</v>
      </c>
      <c r="B205" s="22" t="s">
        <v>9248</v>
      </c>
      <c r="C205" s="22" t="s">
        <v>14574</v>
      </c>
      <c r="D205" s="23" t="s">
        <v>14103</v>
      </c>
      <c r="E205" s="22"/>
      <c r="F205" s="35" t="s">
        <v>14416</v>
      </c>
    </row>
    <row r="206" customFormat="false" ht="24.75" hidden="false" customHeight="true" outlineLevel="0" collapsed="false">
      <c r="A206" s="22" t="s">
        <v>10501</v>
      </c>
      <c r="B206" s="22" t="s">
        <v>9248</v>
      </c>
      <c r="C206" s="22" t="s">
        <v>14613</v>
      </c>
      <c r="D206" s="23" t="s">
        <v>14073</v>
      </c>
      <c r="E206" s="22"/>
      <c r="F206" s="53" t="s">
        <v>14420</v>
      </c>
    </row>
    <row r="207" customFormat="false" ht="15" hidden="false" customHeight="true" outlineLevel="0" collapsed="false">
      <c r="A207" s="22" t="s">
        <v>10501</v>
      </c>
      <c r="B207" s="22" t="s">
        <v>9248</v>
      </c>
      <c r="C207" s="22" t="s">
        <v>14581</v>
      </c>
      <c r="D207" s="23" t="s">
        <v>14087</v>
      </c>
      <c r="E207" s="22"/>
      <c r="F207" s="35" t="s">
        <v>14416</v>
      </c>
    </row>
    <row r="208" customFormat="false" ht="15" hidden="false" customHeight="true" outlineLevel="0" collapsed="false">
      <c r="A208" s="22" t="s">
        <v>10519</v>
      </c>
      <c r="B208" s="22" t="s">
        <v>9248</v>
      </c>
      <c r="C208" s="22" t="s">
        <v>14566</v>
      </c>
      <c r="D208" s="23" t="s">
        <v>13783</v>
      </c>
      <c r="E208" s="22"/>
      <c r="F208" s="35" t="s">
        <v>14416</v>
      </c>
    </row>
    <row r="209" customFormat="false" ht="24.75" hidden="false" customHeight="true" outlineLevel="0" collapsed="false">
      <c r="A209" s="22" t="s">
        <v>10519</v>
      </c>
      <c r="B209" s="22" t="s">
        <v>9248</v>
      </c>
      <c r="C209" s="22" t="s">
        <v>14595</v>
      </c>
      <c r="D209" s="23" t="s">
        <v>14596</v>
      </c>
      <c r="E209" s="22"/>
      <c r="F209" s="53" t="s">
        <v>14420</v>
      </c>
    </row>
    <row r="210" customFormat="false" ht="15" hidden="false" customHeight="true" outlineLevel="0" collapsed="false">
      <c r="A210" s="22" t="s">
        <v>10534</v>
      </c>
      <c r="B210" s="22" t="s">
        <v>9248</v>
      </c>
      <c r="C210" s="22" t="s">
        <v>14566</v>
      </c>
      <c r="D210" s="23" t="s">
        <v>13783</v>
      </c>
      <c r="E210" s="22"/>
      <c r="F210" s="35" t="s">
        <v>14416</v>
      </c>
    </row>
    <row r="211" customFormat="false" ht="37.5" hidden="false" customHeight="true" outlineLevel="0" collapsed="false">
      <c r="A211" s="22" t="s">
        <v>10534</v>
      </c>
      <c r="B211" s="22" t="s">
        <v>9248</v>
      </c>
      <c r="C211" s="22" t="s">
        <v>14597</v>
      </c>
      <c r="D211" s="23" t="s">
        <v>14041</v>
      </c>
      <c r="E211" s="22"/>
      <c r="F211" s="53" t="s">
        <v>14420</v>
      </c>
    </row>
    <row r="212" customFormat="false" ht="24.75" hidden="false" customHeight="true" outlineLevel="0" collapsed="false">
      <c r="A212" s="22" t="s">
        <v>10534</v>
      </c>
      <c r="B212" s="22" t="s">
        <v>9248</v>
      </c>
      <c r="C212" s="22" t="s">
        <v>14595</v>
      </c>
      <c r="D212" s="23" t="s">
        <v>14596</v>
      </c>
      <c r="E212" s="22"/>
      <c r="F212" s="53" t="s">
        <v>14420</v>
      </c>
    </row>
    <row r="213" customFormat="false" ht="15" hidden="false" customHeight="true" outlineLevel="0" collapsed="false">
      <c r="A213" s="22" t="s">
        <v>10553</v>
      </c>
      <c r="B213" s="22" t="s">
        <v>9248</v>
      </c>
      <c r="C213" s="22" t="s">
        <v>14566</v>
      </c>
      <c r="D213" s="23" t="s">
        <v>13783</v>
      </c>
      <c r="E213" s="22"/>
      <c r="F213" s="35" t="s">
        <v>14416</v>
      </c>
    </row>
    <row r="214" customFormat="false" ht="37.5" hidden="false" customHeight="true" outlineLevel="0" collapsed="false">
      <c r="A214" s="22" t="s">
        <v>10553</v>
      </c>
      <c r="B214" s="22" t="s">
        <v>9248</v>
      </c>
      <c r="C214" s="22" t="s">
        <v>14597</v>
      </c>
      <c r="D214" s="23" t="s">
        <v>14041</v>
      </c>
      <c r="E214" s="22"/>
      <c r="F214" s="53" t="s">
        <v>14420</v>
      </c>
    </row>
    <row r="215" customFormat="false" ht="15" hidden="false" customHeight="true" outlineLevel="0" collapsed="false">
      <c r="A215" s="22" t="s">
        <v>10568</v>
      </c>
      <c r="B215" s="22" t="s">
        <v>9248</v>
      </c>
      <c r="C215" s="22" t="s">
        <v>14566</v>
      </c>
      <c r="D215" s="23" t="s">
        <v>13783</v>
      </c>
      <c r="E215" s="22"/>
      <c r="F215" s="35" t="s">
        <v>14416</v>
      </c>
    </row>
    <row r="216" customFormat="false" ht="37.5" hidden="false" customHeight="true" outlineLevel="0" collapsed="false">
      <c r="A216" s="22" t="s">
        <v>10568</v>
      </c>
      <c r="B216" s="22" t="s">
        <v>9248</v>
      </c>
      <c r="C216" s="22" t="s">
        <v>14597</v>
      </c>
      <c r="D216" s="23" t="s">
        <v>14041</v>
      </c>
      <c r="E216" s="22"/>
      <c r="F216" s="53" t="s">
        <v>14420</v>
      </c>
    </row>
    <row r="217" customFormat="false" ht="15" hidden="false" customHeight="true" outlineLevel="0" collapsed="false">
      <c r="A217" s="22" t="s">
        <v>10583</v>
      </c>
      <c r="B217" s="22" t="s">
        <v>9248</v>
      </c>
      <c r="C217" s="22" t="s">
        <v>14566</v>
      </c>
      <c r="D217" s="23" t="s">
        <v>13783</v>
      </c>
      <c r="E217" s="22"/>
      <c r="F217" s="35" t="s">
        <v>14416</v>
      </c>
    </row>
    <row r="218" customFormat="false" ht="24.75" hidden="false" customHeight="true" outlineLevel="0" collapsed="false">
      <c r="A218" s="22" t="s">
        <v>10583</v>
      </c>
      <c r="B218" s="22" t="s">
        <v>9248</v>
      </c>
      <c r="C218" s="22" t="s">
        <v>14595</v>
      </c>
      <c r="D218" s="23" t="s">
        <v>14596</v>
      </c>
      <c r="E218" s="22"/>
      <c r="F218" s="53" t="s">
        <v>14420</v>
      </c>
    </row>
    <row r="219" customFormat="false" ht="24.75" hidden="false" customHeight="true" outlineLevel="0" collapsed="false">
      <c r="A219" s="22" t="s">
        <v>10583</v>
      </c>
      <c r="B219" s="22" t="s">
        <v>9248</v>
      </c>
      <c r="C219" s="22" t="s">
        <v>14604</v>
      </c>
      <c r="D219" s="23" t="s">
        <v>14065</v>
      </c>
      <c r="E219" s="22"/>
      <c r="F219" s="35" t="s">
        <v>14416</v>
      </c>
    </row>
    <row r="220" customFormat="false" ht="15" hidden="false" customHeight="true" outlineLevel="0" collapsed="false">
      <c r="A220" s="22" t="s">
        <v>10601</v>
      </c>
      <c r="B220" s="22" t="s">
        <v>9248</v>
      </c>
      <c r="C220" s="22" t="s">
        <v>14566</v>
      </c>
      <c r="D220" s="23" t="s">
        <v>13783</v>
      </c>
      <c r="E220" s="22"/>
      <c r="F220" s="35" t="s">
        <v>14416</v>
      </c>
    </row>
    <row r="221" customFormat="false" ht="24.75" hidden="false" customHeight="true" outlineLevel="0" collapsed="false">
      <c r="A221" s="22" t="s">
        <v>10601</v>
      </c>
      <c r="B221" s="22" t="s">
        <v>9248</v>
      </c>
      <c r="C221" s="22" t="s">
        <v>14613</v>
      </c>
      <c r="D221" s="23" t="s">
        <v>14073</v>
      </c>
      <c r="E221" s="22"/>
      <c r="F221" s="53" t="s">
        <v>14420</v>
      </c>
    </row>
    <row r="222" customFormat="false" ht="15" hidden="false" customHeight="true" outlineLevel="0" collapsed="false">
      <c r="A222" s="22" t="s">
        <v>10601</v>
      </c>
      <c r="B222" s="22" t="s">
        <v>9248</v>
      </c>
      <c r="C222" s="22" t="s">
        <v>14579</v>
      </c>
      <c r="D222" s="23" t="s">
        <v>14580</v>
      </c>
      <c r="E222" s="22"/>
      <c r="F222" s="35" t="s">
        <v>14416</v>
      </c>
    </row>
    <row r="223" customFormat="false" ht="15" hidden="false" customHeight="true" outlineLevel="0" collapsed="false">
      <c r="A223" s="22" t="s">
        <v>10601</v>
      </c>
      <c r="B223" s="22" t="s">
        <v>9248</v>
      </c>
      <c r="C223" s="22" t="s">
        <v>14581</v>
      </c>
      <c r="D223" s="23" t="s">
        <v>14087</v>
      </c>
      <c r="E223" s="22"/>
      <c r="F223" s="35" t="s">
        <v>14416</v>
      </c>
    </row>
    <row r="224" customFormat="false" ht="15" hidden="false" customHeight="true" outlineLevel="0" collapsed="false">
      <c r="A224" s="22" t="s">
        <v>10617</v>
      </c>
      <c r="B224" s="22" t="s">
        <v>9248</v>
      </c>
      <c r="C224" s="22" t="s">
        <v>14566</v>
      </c>
      <c r="D224" s="23" t="s">
        <v>13783</v>
      </c>
      <c r="E224" s="22"/>
      <c r="F224" s="35" t="s">
        <v>14416</v>
      </c>
    </row>
    <row r="225" customFormat="false" ht="15" hidden="false" customHeight="true" outlineLevel="0" collapsed="false">
      <c r="A225" s="22" t="s">
        <v>10617</v>
      </c>
      <c r="B225" s="22" t="s">
        <v>9248</v>
      </c>
      <c r="C225" s="22" t="s">
        <v>14616</v>
      </c>
      <c r="D225" s="23" t="s">
        <v>14617</v>
      </c>
      <c r="E225" s="22"/>
      <c r="F225" s="35" t="s">
        <v>14416</v>
      </c>
    </row>
    <row r="226" customFormat="false" ht="24.75" hidden="false" customHeight="true" outlineLevel="0" collapsed="false">
      <c r="A226" s="22" t="s">
        <v>10617</v>
      </c>
      <c r="B226" s="22" t="s">
        <v>9248</v>
      </c>
      <c r="C226" s="22" t="s">
        <v>14604</v>
      </c>
      <c r="D226" s="23" t="s">
        <v>14065</v>
      </c>
      <c r="E226" s="22"/>
      <c r="F226" s="35" t="s">
        <v>14416</v>
      </c>
    </row>
    <row r="227" customFormat="false" ht="15" hidden="false" customHeight="true" outlineLevel="0" collapsed="false">
      <c r="A227" s="22" t="s">
        <v>10617</v>
      </c>
      <c r="B227" s="22" t="s">
        <v>9248</v>
      </c>
      <c r="C227" s="22" t="s">
        <v>14618</v>
      </c>
      <c r="D227" s="23" t="s">
        <v>14619</v>
      </c>
      <c r="E227" s="22"/>
      <c r="F227" s="53" t="s">
        <v>14420</v>
      </c>
    </row>
    <row r="228" customFormat="false" ht="15" hidden="false" customHeight="true" outlineLevel="0" collapsed="false">
      <c r="A228" s="22" t="s">
        <v>10637</v>
      </c>
      <c r="B228" s="22" t="s">
        <v>9248</v>
      </c>
      <c r="C228" s="22" t="s">
        <v>14566</v>
      </c>
      <c r="D228" s="23" t="s">
        <v>13783</v>
      </c>
      <c r="E228" s="22"/>
      <c r="F228" s="35" t="s">
        <v>14416</v>
      </c>
    </row>
    <row r="229" customFormat="false" ht="15" hidden="false" customHeight="true" outlineLevel="0" collapsed="false">
      <c r="A229" s="22" t="s">
        <v>10637</v>
      </c>
      <c r="B229" s="22" t="s">
        <v>9248</v>
      </c>
      <c r="C229" s="22" t="s">
        <v>14574</v>
      </c>
      <c r="D229" s="23" t="s">
        <v>14103</v>
      </c>
      <c r="E229" s="22"/>
      <c r="F229" s="35" t="s">
        <v>14416</v>
      </c>
    </row>
    <row r="230" customFormat="false" ht="24.75" hidden="false" customHeight="true" outlineLevel="0" collapsed="false">
      <c r="A230" s="22" t="s">
        <v>10637</v>
      </c>
      <c r="B230" s="22" t="s">
        <v>9248</v>
      </c>
      <c r="C230" s="22" t="s">
        <v>14613</v>
      </c>
      <c r="D230" s="23" t="s">
        <v>14073</v>
      </c>
      <c r="E230" s="22"/>
      <c r="F230" s="53" t="s">
        <v>14420</v>
      </c>
    </row>
    <row r="231" customFormat="false" ht="15" hidden="false" customHeight="true" outlineLevel="0" collapsed="false">
      <c r="A231" s="22" t="s">
        <v>10654</v>
      </c>
      <c r="B231" s="22" t="s">
        <v>9248</v>
      </c>
      <c r="C231" s="22" t="s">
        <v>14566</v>
      </c>
      <c r="D231" s="23" t="s">
        <v>13783</v>
      </c>
      <c r="E231" s="22"/>
      <c r="F231" s="35" t="s">
        <v>14416</v>
      </c>
    </row>
    <row r="232" customFormat="false" ht="15" hidden="false" customHeight="true" outlineLevel="0" collapsed="false">
      <c r="A232" s="22" t="s">
        <v>10654</v>
      </c>
      <c r="B232" s="22" t="s">
        <v>9248</v>
      </c>
      <c r="C232" s="22" t="s">
        <v>14582</v>
      </c>
      <c r="D232" s="23" t="s">
        <v>14583</v>
      </c>
      <c r="E232" s="22"/>
      <c r="F232" s="35" t="s">
        <v>14416</v>
      </c>
    </row>
    <row r="233" customFormat="false" ht="24.75" hidden="false" customHeight="true" outlineLevel="0" collapsed="false">
      <c r="A233" s="22" t="s">
        <v>10654</v>
      </c>
      <c r="B233" s="22" t="s">
        <v>9248</v>
      </c>
      <c r="C233" s="22" t="s">
        <v>14604</v>
      </c>
      <c r="D233" s="23" t="s">
        <v>14065</v>
      </c>
      <c r="E233" s="22"/>
      <c r="F233" s="35" t="s">
        <v>14416</v>
      </c>
    </row>
    <row r="234" customFormat="false" ht="15" hidden="false" customHeight="true" outlineLevel="0" collapsed="false">
      <c r="A234" s="22" t="s">
        <v>10670</v>
      </c>
      <c r="B234" s="22" t="s">
        <v>9248</v>
      </c>
      <c r="C234" s="22" t="s">
        <v>14566</v>
      </c>
      <c r="D234" s="23" t="s">
        <v>13783</v>
      </c>
      <c r="E234" s="22"/>
      <c r="F234" s="35" t="s">
        <v>14416</v>
      </c>
    </row>
    <row r="235" customFormat="false" ht="15" hidden="false" customHeight="true" outlineLevel="0" collapsed="false">
      <c r="A235" s="22" t="s">
        <v>10670</v>
      </c>
      <c r="B235" s="22" t="s">
        <v>9248</v>
      </c>
      <c r="C235" s="22" t="s">
        <v>14574</v>
      </c>
      <c r="D235" s="23" t="s">
        <v>14103</v>
      </c>
      <c r="E235" s="22"/>
      <c r="F235" s="35" t="s">
        <v>14416</v>
      </c>
    </row>
    <row r="236" customFormat="false" ht="37.5" hidden="false" customHeight="true" outlineLevel="0" collapsed="false">
      <c r="A236" s="22" t="s">
        <v>10670</v>
      </c>
      <c r="B236" s="22" t="s">
        <v>9248</v>
      </c>
      <c r="C236" s="22" t="s">
        <v>14597</v>
      </c>
      <c r="D236" s="23" t="s">
        <v>14041</v>
      </c>
      <c r="E236" s="22"/>
      <c r="F236" s="53" t="s">
        <v>14420</v>
      </c>
    </row>
    <row r="237" customFormat="false" ht="24.75" hidden="false" customHeight="true" outlineLevel="0" collapsed="false">
      <c r="A237" s="22" t="s">
        <v>10670</v>
      </c>
      <c r="B237" s="22" t="s">
        <v>9248</v>
      </c>
      <c r="C237" s="22" t="s">
        <v>14595</v>
      </c>
      <c r="D237" s="23" t="s">
        <v>14596</v>
      </c>
      <c r="E237" s="22"/>
      <c r="F237" s="53" t="s">
        <v>14420</v>
      </c>
    </row>
    <row r="238" customFormat="false" ht="15" hidden="false" customHeight="true" outlineLevel="0" collapsed="false">
      <c r="A238" s="22" t="s">
        <v>10692</v>
      </c>
      <c r="B238" s="22" t="s">
        <v>9248</v>
      </c>
      <c r="C238" s="22" t="s">
        <v>14566</v>
      </c>
      <c r="D238" s="23" t="s">
        <v>13783</v>
      </c>
      <c r="E238" s="22"/>
      <c r="F238" s="35" t="s">
        <v>14416</v>
      </c>
    </row>
    <row r="239" customFormat="false" ht="24.75" hidden="false" customHeight="true" outlineLevel="0" collapsed="false">
      <c r="A239" s="22" t="s">
        <v>10692</v>
      </c>
      <c r="B239" s="22" t="s">
        <v>9248</v>
      </c>
      <c r="C239" s="22" t="s">
        <v>14595</v>
      </c>
      <c r="D239" s="23" t="s">
        <v>14596</v>
      </c>
      <c r="E239" s="22"/>
      <c r="F239" s="53" t="s">
        <v>14420</v>
      </c>
    </row>
    <row r="240" customFormat="false" ht="15" hidden="false" customHeight="true" outlineLevel="0" collapsed="false">
      <c r="A240" s="22" t="s">
        <v>10706</v>
      </c>
      <c r="B240" s="22" t="s">
        <v>9248</v>
      </c>
      <c r="C240" s="22" t="s">
        <v>14566</v>
      </c>
      <c r="D240" s="23" t="s">
        <v>13783</v>
      </c>
      <c r="E240" s="22"/>
      <c r="F240" s="35" t="s">
        <v>14416</v>
      </c>
    </row>
    <row r="241" customFormat="false" ht="24.75" hidden="false" customHeight="true" outlineLevel="0" collapsed="false">
      <c r="A241" s="22" t="s">
        <v>10706</v>
      </c>
      <c r="B241" s="22" t="s">
        <v>9248</v>
      </c>
      <c r="C241" s="22" t="s">
        <v>14604</v>
      </c>
      <c r="D241" s="23" t="s">
        <v>14065</v>
      </c>
      <c r="E241" s="22"/>
      <c r="F241" s="35" t="s">
        <v>14416</v>
      </c>
    </row>
    <row r="242" customFormat="false" ht="15" hidden="false" customHeight="true" outlineLevel="0" collapsed="false">
      <c r="A242" s="22" t="s">
        <v>10706</v>
      </c>
      <c r="B242" s="22" t="s">
        <v>9248</v>
      </c>
      <c r="C242" s="22" t="s">
        <v>14581</v>
      </c>
      <c r="D242" s="23" t="s">
        <v>14087</v>
      </c>
      <c r="E242" s="22"/>
      <c r="F242" s="35" t="s">
        <v>14416</v>
      </c>
    </row>
    <row r="243" customFormat="false" ht="15" hidden="false" customHeight="true" outlineLevel="0" collapsed="false">
      <c r="A243" s="22" t="s">
        <v>10723</v>
      </c>
      <c r="B243" s="22" t="s">
        <v>9248</v>
      </c>
      <c r="C243" s="22" t="s">
        <v>14566</v>
      </c>
      <c r="D243" s="23" t="s">
        <v>13783</v>
      </c>
      <c r="E243" s="22"/>
      <c r="F243" s="35" t="s">
        <v>14416</v>
      </c>
    </row>
    <row r="244" customFormat="false" ht="24.75" hidden="false" customHeight="true" outlineLevel="0" collapsed="false">
      <c r="A244" s="22" t="s">
        <v>10723</v>
      </c>
      <c r="B244" s="22" t="s">
        <v>9248</v>
      </c>
      <c r="C244" s="22" t="s">
        <v>14604</v>
      </c>
      <c r="D244" s="23" t="s">
        <v>14065</v>
      </c>
      <c r="E244" s="22"/>
      <c r="F244" s="35" t="s">
        <v>14416</v>
      </c>
    </row>
    <row r="245" customFormat="false" ht="37.5" hidden="false" customHeight="true" outlineLevel="0" collapsed="false">
      <c r="A245" s="22" t="s">
        <v>10723</v>
      </c>
      <c r="B245" s="22" t="s">
        <v>9248</v>
      </c>
      <c r="C245" s="22" t="s">
        <v>14597</v>
      </c>
      <c r="D245" s="23" t="s">
        <v>14041</v>
      </c>
      <c r="E245" s="22"/>
      <c r="F245" s="53" t="s">
        <v>14420</v>
      </c>
    </row>
    <row r="246" customFormat="false" ht="24.75" hidden="false" customHeight="true" outlineLevel="0" collapsed="false">
      <c r="A246" s="22" t="s">
        <v>10723</v>
      </c>
      <c r="B246" s="22" t="s">
        <v>9248</v>
      </c>
      <c r="C246" s="22" t="s">
        <v>14595</v>
      </c>
      <c r="D246" s="23" t="s">
        <v>14596</v>
      </c>
      <c r="E246" s="22"/>
      <c r="F246" s="53" t="s">
        <v>14420</v>
      </c>
    </row>
    <row r="247" customFormat="false" ht="15" hidden="false" customHeight="true" outlineLevel="0" collapsed="false">
      <c r="A247" s="22" t="s">
        <v>10743</v>
      </c>
      <c r="B247" s="22" t="s">
        <v>9248</v>
      </c>
      <c r="C247" s="22" t="s">
        <v>14566</v>
      </c>
      <c r="D247" s="23" t="s">
        <v>13783</v>
      </c>
      <c r="E247" s="22"/>
      <c r="F247" s="35" t="s">
        <v>14416</v>
      </c>
    </row>
    <row r="248" customFormat="false" ht="24.75" hidden="false" customHeight="true" outlineLevel="0" collapsed="false">
      <c r="A248" s="22" t="s">
        <v>10743</v>
      </c>
      <c r="B248" s="22" t="s">
        <v>9248</v>
      </c>
      <c r="C248" s="22" t="s">
        <v>14620</v>
      </c>
      <c r="D248" s="23" t="s">
        <v>14621</v>
      </c>
      <c r="E248" s="22"/>
      <c r="F248" s="35" t="s">
        <v>14416</v>
      </c>
    </row>
    <row r="249" customFormat="false" ht="24.75" hidden="false" customHeight="true" outlineLevel="0" collapsed="false">
      <c r="A249" s="22" t="s">
        <v>10743</v>
      </c>
      <c r="B249" s="22" t="s">
        <v>9248</v>
      </c>
      <c r="C249" s="22" t="s">
        <v>14604</v>
      </c>
      <c r="D249" s="23" t="s">
        <v>14065</v>
      </c>
      <c r="E249" s="22"/>
      <c r="F249" s="35" t="s">
        <v>14416</v>
      </c>
    </row>
    <row r="250" customFormat="false" ht="15" hidden="false" customHeight="true" outlineLevel="0" collapsed="false">
      <c r="A250" s="22" t="s">
        <v>10762</v>
      </c>
      <c r="B250" s="22" t="s">
        <v>9248</v>
      </c>
      <c r="C250" s="22" t="s">
        <v>14574</v>
      </c>
      <c r="D250" s="23" t="s">
        <v>14103</v>
      </c>
      <c r="E250" s="22"/>
      <c r="F250" s="35" t="s">
        <v>14416</v>
      </c>
    </row>
    <row r="251" customFormat="false" ht="24.75" hidden="false" customHeight="true" outlineLevel="0" collapsed="false">
      <c r="A251" s="22" t="s">
        <v>10762</v>
      </c>
      <c r="B251" s="22" t="s">
        <v>9248</v>
      </c>
      <c r="C251" s="22" t="s">
        <v>14620</v>
      </c>
      <c r="D251" s="23" t="s">
        <v>14621</v>
      </c>
      <c r="E251" s="22"/>
      <c r="F251" s="35" t="s">
        <v>14416</v>
      </c>
    </row>
    <row r="252" customFormat="false" ht="24.75" hidden="false" customHeight="true" outlineLevel="0" collapsed="false">
      <c r="A252" s="22" t="s">
        <v>10762</v>
      </c>
      <c r="B252" s="22" t="s">
        <v>9248</v>
      </c>
      <c r="C252" s="22" t="s">
        <v>14622</v>
      </c>
      <c r="D252" s="23" t="s">
        <v>14037</v>
      </c>
      <c r="E252" s="22"/>
      <c r="F252" s="35" t="s">
        <v>14416</v>
      </c>
    </row>
    <row r="253" customFormat="false" ht="24.75" hidden="false" customHeight="true" outlineLevel="0" collapsed="false">
      <c r="A253" s="22" t="s">
        <v>10762</v>
      </c>
      <c r="B253" s="22" t="s">
        <v>9248</v>
      </c>
      <c r="C253" s="22" t="s">
        <v>14623</v>
      </c>
      <c r="D253" s="23" t="s">
        <v>14624</v>
      </c>
      <c r="E253" s="22"/>
      <c r="F253" s="53" t="s">
        <v>14420</v>
      </c>
    </row>
    <row r="254" customFormat="false" ht="24.75" hidden="false" customHeight="true" outlineLevel="0" collapsed="false">
      <c r="A254" s="22" t="s">
        <v>10784</v>
      </c>
      <c r="B254" s="22" t="s">
        <v>9248</v>
      </c>
      <c r="C254" s="22" t="s">
        <v>14622</v>
      </c>
      <c r="D254" s="23" t="s">
        <v>14037</v>
      </c>
      <c r="E254" s="22"/>
      <c r="F254" s="35" t="s">
        <v>14416</v>
      </c>
    </row>
    <row r="255" customFormat="false" ht="24.75" hidden="false" customHeight="true" outlineLevel="0" collapsed="false">
      <c r="A255" s="22" t="s">
        <v>10784</v>
      </c>
      <c r="B255" s="22" t="s">
        <v>9248</v>
      </c>
      <c r="C255" s="22" t="s">
        <v>14625</v>
      </c>
      <c r="D255" s="23" t="s">
        <v>14626</v>
      </c>
      <c r="E255" s="22"/>
      <c r="F255" s="53" t="s">
        <v>14420</v>
      </c>
    </row>
    <row r="256" customFormat="false" ht="37.5" hidden="false" customHeight="true" outlineLevel="0" collapsed="false">
      <c r="A256" s="22" t="s">
        <v>10784</v>
      </c>
      <c r="B256" s="22" t="s">
        <v>9248</v>
      </c>
      <c r="C256" s="22" t="s">
        <v>14597</v>
      </c>
      <c r="D256" s="23" t="s">
        <v>14041</v>
      </c>
      <c r="E256" s="22"/>
      <c r="F256" s="53" t="s">
        <v>14420</v>
      </c>
    </row>
    <row r="257" customFormat="false" ht="15" hidden="false" customHeight="true" outlineLevel="0" collapsed="false">
      <c r="A257" s="22" t="s">
        <v>10784</v>
      </c>
      <c r="B257" s="22" t="s">
        <v>9248</v>
      </c>
      <c r="C257" s="22" t="s">
        <v>14598</v>
      </c>
      <c r="D257" s="23" t="s">
        <v>14599</v>
      </c>
      <c r="E257" s="22"/>
      <c r="F257" s="53" t="s">
        <v>14420</v>
      </c>
    </row>
    <row r="258" customFormat="false" ht="24.75" hidden="false" customHeight="true" outlineLevel="0" collapsed="false">
      <c r="A258" s="22" t="s">
        <v>10784</v>
      </c>
      <c r="B258" s="22" t="s">
        <v>9248</v>
      </c>
      <c r="C258" s="22" t="s">
        <v>14611</v>
      </c>
      <c r="D258" s="23" t="s">
        <v>14612</v>
      </c>
      <c r="E258" s="22"/>
      <c r="F258" s="35" t="s">
        <v>14416</v>
      </c>
    </row>
    <row r="259" customFormat="false" ht="15" hidden="false" customHeight="true" outlineLevel="0" collapsed="false">
      <c r="A259" s="22" t="s">
        <v>10800</v>
      </c>
      <c r="B259" s="22" t="s">
        <v>9248</v>
      </c>
      <c r="C259" s="22" t="s">
        <v>14579</v>
      </c>
      <c r="D259" s="23" t="s">
        <v>14580</v>
      </c>
      <c r="E259" s="22"/>
      <c r="F259" s="35" t="s">
        <v>14416</v>
      </c>
    </row>
    <row r="260" customFormat="false" ht="15" hidden="false" customHeight="true" outlineLevel="0" collapsed="false">
      <c r="A260" s="22" t="s">
        <v>10800</v>
      </c>
      <c r="B260" s="22" t="s">
        <v>9248</v>
      </c>
      <c r="C260" s="22" t="s">
        <v>14627</v>
      </c>
      <c r="D260" s="23" t="s">
        <v>14628</v>
      </c>
      <c r="E260" s="22"/>
      <c r="F260" s="53" t="s">
        <v>14420</v>
      </c>
    </row>
    <row r="261" customFormat="false" ht="15" hidden="false" customHeight="true" outlineLevel="0" collapsed="false">
      <c r="A261" s="22" t="s">
        <v>10820</v>
      </c>
      <c r="B261" s="22" t="s">
        <v>9248</v>
      </c>
      <c r="C261" s="22" t="s">
        <v>14581</v>
      </c>
      <c r="D261" s="23" t="s">
        <v>14087</v>
      </c>
      <c r="E261" s="22"/>
      <c r="F261" s="35" t="s">
        <v>14416</v>
      </c>
    </row>
    <row r="262" customFormat="false" ht="24.75" hidden="false" customHeight="true" outlineLevel="0" collapsed="false">
      <c r="A262" s="22" t="s">
        <v>10820</v>
      </c>
      <c r="B262" s="22" t="s">
        <v>9248</v>
      </c>
      <c r="C262" s="22" t="s">
        <v>14588</v>
      </c>
      <c r="D262" s="23" t="s">
        <v>14091</v>
      </c>
      <c r="E262" s="22"/>
      <c r="F262" s="53" t="s">
        <v>14420</v>
      </c>
    </row>
    <row r="263" customFormat="false" ht="15" hidden="false" customHeight="true" outlineLevel="0" collapsed="false">
      <c r="A263" s="22" t="s">
        <v>10820</v>
      </c>
      <c r="B263" s="22" t="s">
        <v>9248</v>
      </c>
      <c r="C263" s="22" t="s">
        <v>14567</v>
      </c>
      <c r="D263" s="23" t="s">
        <v>14568</v>
      </c>
      <c r="E263" s="22"/>
      <c r="F263" s="53" t="s">
        <v>14420</v>
      </c>
    </row>
    <row r="264" customFormat="false" ht="15" hidden="false" customHeight="true" outlineLevel="0" collapsed="false">
      <c r="A264" s="22" t="s">
        <v>10837</v>
      </c>
      <c r="B264" s="22" t="s">
        <v>9248</v>
      </c>
      <c r="C264" s="22" t="s">
        <v>14629</v>
      </c>
      <c r="D264" s="23" t="s">
        <v>14630</v>
      </c>
      <c r="E264" s="22"/>
      <c r="F264" s="35" t="s">
        <v>14416</v>
      </c>
    </row>
    <row r="265" customFormat="false" ht="15" hidden="false" customHeight="true" outlineLevel="0" collapsed="false">
      <c r="A265" s="22" t="s">
        <v>10837</v>
      </c>
      <c r="B265" s="22" t="s">
        <v>9248</v>
      </c>
      <c r="C265" s="22" t="s">
        <v>14575</v>
      </c>
      <c r="D265" s="23" t="s">
        <v>14099</v>
      </c>
      <c r="E265" s="22"/>
      <c r="F265" s="35" t="s">
        <v>14416</v>
      </c>
    </row>
    <row r="266" customFormat="false" ht="15" hidden="false" customHeight="true" outlineLevel="0" collapsed="false">
      <c r="A266" s="22" t="s">
        <v>10837</v>
      </c>
      <c r="B266" s="22" t="s">
        <v>9248</v>
      </c>
      <c r="C266" s="22" t="s">
        <v>14631</v>
      </c>
      <c r="D266" s="23" t="s">
        <v>14632</v>
      </c>
      <c r="E266" s="22"/>
      <c r="F266" s="53" t="s">
        <v>14420</v>
      </c>
    </row>
    <row r="267" customFormat="false" ht="24.75" hidden="false" customHeight="true" outlineLevel="0" collapsed="false">
      <c r="A267" s="22" t="s">
        <v>10837</v>
      </c>
      <c r="B267" s="22" t="s">
        <v>9248</v>
      </c>
      <c r="C267" s="22" t="s">
        <v>14633</v>
      </c>
      <c r="D267" s="23" t="s">
        <v>14634</v>
      </c>
      <c r="E267" s="22"/>
      <c r="F267" s="53" t="s">
        <v>14420</v>
      </c>
    </row>
    <row r="268" customFormat="false" ht="15" hidden="false" customHeight="true" outlineLevel="0" collapsed="false">
      <c r="A268" s="22" t="s">
        <v>10837</v>
      </c>
      <c r="B268" s="22" t="s">
        <v>9248</v>
      </c>
      <c r="C268" s="22" t="s">
        <v>14635</v>
      </c>
      <c r="D268" s="23" t="s">
        <v>14636</v>
      </c>
      <c r="E268" s="22"/>
      <c r="F268" s="53" t="s">
        <v>14420</v>
      </c>
    </row>
    <row r="269" customFormat="false" ht="24.75" hidden="false" customHeight="true" outlineLevel="0" collapsed="false">
      <c r="A269" s="22" t="s">
        <v>10837</v>
      </c>
      <c r="B269" s="22" t="s">
        <v>9248</v>
      </c>
      <c r="C269" s="22" t="s">
        <v>14609</v>
      </c>
      <c r="D269" s="23" t="s">
        <v>14610</v>
      </c>
      <c r="E269" s="22"/>
      <c r="F269" s="35" t="s">
        <v>14416</v>
      </c>
    </row>
    <row r="270" customFormat="false" ht="15" hidden="false" customHeight="true" outlineLevel="0" collapsed="false">
      <c r="A270" s="22" t="s">
        <v>10858</v>
      </c>
      <c r="B270" s="22" t="s">
        <v>9248</v>
      </c>
      <c r="C270" s="22" t="s">
        <v>14576</v>
      </c>
      <c r="D270" s="23" t="s">
        <v>14577</v>
      </c>
      <c r="E270" s="22"/>
      <c r="F270" s="35" t="s">
        <v>14416</v>
      </c>
    </row>
    <row r="271" customFormat="false" ht="15" hidden="false" customHeight="true" outlineLevel="0" collapsed="false">
      <c r="A271" s="22" t="s">
        <v>10858</v>
      </c>
      <c r="B271" s="22" t="s">
        <v>9248</v>
      </c>
      <c r="C271" s="22" t="s">
        <v>14637</v>
      </c>
      <c r="D271" s="23" t="s">
        <v>14638</v>
      </c>
      <c r="E271" s="22"/>
      <c r="F271" s="53" t="s">
        <v>14420</v>
      </c>
    </row>
    <row r="272" customFormat="false" ht="15" hidden="false" customHeight="true" outlineLevel="0" collapsed="false">
      <c r="A272" s="22" t="s">
        <v>10876</v>
      </c>
      <c r="B272" s="22" t="s">
        <v>9248</v>
      </c>
      <c r="C272" s="22" t="s">
        <v>14578</v>
      </c>
      <c r="D272" s="23" t="s">
        <v>14095</v>
      </c>
      <c r="E272" s="22"/>
      <c r="F272" s="35" t="s">
        <v>14416</v>
      </c>
    </row>
    <row r="273" customFormat="false" ht="15" hidden="false" customHeight="true" outlineLevel="0" collapsed="false">
      <c r="A273" s="22" t="s">
        <v>10876</v>
      </c>
      <c r="B273" s="22" t="s">
        <v>9248</v>
      </c>
      <c r="C273" s="22" t="s">
        <v>14639</v>
      </c>
      <c r="D273" s="23" t="s">
        <v>14640</v>
      </c>
      <c r="E273" s="22"/>
      <c r="F273" s="35" t="s">
        <v>14416</v>
      </c>
    </row>
    <row r="274" customFormat="false" ht="24.75" hidden="false" customHeight="true" outlineLevel="0" collapsed="false">
      <c r="A274" s="22" t="s">
        <v>10876</v>
      </c>
      <c r="B274" s="22" t="s">
        <v>9248</v>
      </c>
      <c r="C274" s="22" t="s">
        <v>14641</v>
      </c>
      <c r="D274" s="23" t="s">
        <v>14642</v>
      </c>
      <c r="E274" s="22"/>
      <c r="F274" s="53" t="s">
        <v>14420</v>
      </c>
    </row>
    <row r="275" customFormat="false" ht="15" hidden="false" customHeight="true" outlineLevel="0" collapsed="false">
      <c r="A275" s="22" t="s">
        <v>10895</v>
      </c>
      <c r="B275" s="22" t="s">
        <v>9248</v>
      </c>
      <c r="C275" s="22" t="s">
        <v>14582</v>
      </c>
      <c r="D275" s="23" t="s">
        <v>14583</v>
      </c>
      <c r="E275" s="22"/>
      <c r="F275" s="35" t="s">
        <v>14416</v>
      </c>
    </row>
    <row r="276" customFormat="false" ht="24.75" hidden="false" customHeight="true" outlineLevel="0" collapsed="false">
      <c r="A276" s="22" t="s">
        <v>10895</v>
      </c>
      <c r="B276" s="22" t="s">
        <v>9248</v>
      </c>
      <c r="C276" s="22" t="s">
        <v>14643</v>
      </c>
      <c r="D276" s="23" t="s">
        <v>14644</v>
      </c>
      <c r="E276" s="22"/>
      <c r="F276" s="53" t="s">
        <v>14420</v>
      </c>
    </row>
    <row r="277" customFormat="false" ht="24.75" hidden="false" customHeight="true" outlineLevel="0" collapsed="false">
      <c r="A277" s="22" t="s">
        <v>10895</v>
      </c>
      <c r="B277" s="22" t="s">
        <v>9248</v>
      </c>
      <c r="C277" s="22" t="s">
        <v>14588</v>
      </c>
      <c r="D277" s="23" t="s">
        <v>14091</v>
      </c>
      <c r="E277" s="22"/>
      <c r="F277" s="53" t="s">
        <v>14420</v>
      </c>
    </row>
    <row r="278" customFormat="false" ht="15" hidden="false" customHeight="true" outlineLevel="0" collapsed="false">
      <c r="A278" s="22" t="s">
        <v>10909</v>
      </c>
      <c r="B278" s="22" t="s">
        <v>9248</v>
      </c>
      <c r="C278" s="22" t="s">
        <v>14572</v>
      </c>
      <c r="D278" s="23" t="s">
        <v>14573</v>
      </c>
      <c r="E278" s="22"/>
      <c r="F278" s="35" t="s">
        <v>14416</v>
      </c>
    </row>
    <row r="279" customFormat="false" ht="15" hidden="false" customHeight="true" outlineLevel="0" collapsed="false">
      <c r="A279" s="22" t="s">
        <v>10909</v>
      </c>
      <c r="B279" s="22" t="s">
        <v>9248</v>
      </c>
      <c r="C279" s="22" t="s">
        <v>14584</v>
      </c>
      <c r="D279" s="23" t="s">
        <v>14585</v>
      </c>
      <c r="E279" s="22"/>
      <c r="F279" s="35" t="s">
        <v>14416</v>
      </c>
    </row>
    <row r="280" customFormat="false" ht="15" hidden="false" customHeight="true" outlineLevel="0" collapsed="false">
      <c r="A280" s="22" t="s">
        <v>10926</v>
      </c>
      <c r="B280" s="22" t="s">
        <v>9248</v>
      </c>
      <c r="C280" s="22" t="s">
        <v>14586</v>
      </c>
      <c r="D280" s="23" t="s">
        <v>14587</v>
      </c>
      <c r="E280" s="22"/>
      <c r="F280" s="35" t="s">
        <v>14416</v>
      </c>
    </row>
    <row r="281" customFormat="false" ht="15" hidden="false" customHeight="true" outlineLevel="0" collapsed="false">
      <c r="A281" s="22" t="s">
        <v>10926</v>
      </c>
      <c r="B281" s="22" t="s">
        <v>9248</v>
      </c>
      <c r="C281" s="22" t="s">
        <v>14566</v>
      </c>
      <c r="D281" s="23" t="s">
        <v>13783</v>
      </c>
      <c r="E281" s="22"/>
      <c r="F281" s="35" t="s">
        <v>14416</v>
      </c>
    </row>
    <row r="282" customFormat="false" ht="15" hidden="false" customHeight="true" outlineLevel="0" collapsed="false">
      <c r="A282" s="22" t="s">
        <v>10941</v>
      </c>
      <c r="B282" s="22" t="s">
        <v>9248</v>
      </c>
      <c r="C282" s="22" t="s">
        <v>14579</v>
      </c>
      <c r="D282" s="23" t="s">
        <v>14580</v>
      </c>
      <c r="E282" s="22"/>
      <c r="F282" s="35" t="s">
        <v>14416</v>
      </c>
    </row>
    <row r="283" customFormat="false" ht="15" hidden="false" customHeight="true" outlineLevel="0" collapsed="false">
      <c r="A283" s="22" t="s">
        <v>10941</v>
      </c>
      <c r="B283" s="22" t="s">
        <v>9248</v>
      </c>
      <c r="C283" s="22" t="s">
        <v>14581</v>
      </c>
      <c r="D283" s="23" t="s">
        <v>14087</v>
      </c>
      <c r="E283" s="22"/>
      <c r="F283" s="35" t="s">
        <v>14416</v>
      </c>
    </row>
    <row r="284" customFormat="false" ht="15" hidden="false" customHeight="true" outlineLevel="0" collapsed="false">
      <c r="A284" s="22" t="s">
        <v>10941</v>
      </c>
      <c r="B284" s="22" t="s">
        <v>9248</v>
      </c>
      <c r="C284" s="22" t="s">
        <v>14574</v>
      </c>
      <c r="D284" s="23" t="s">
        <v>14103</v>
      </c>
      <c r="E284" s="22"/>
      <c r="F284" s="35" t="s">
        <v>14416</v>
      </c>
    </row>
    <row r="285" customFormat="false" ht="15" hidden="false" customHeight="true" outlineLevel="0" collapsed="false">
      <c r="A285" s="22" t="s">
        <v>10959</v>
      </c>
      <c r="B285" s="22" t="s">
        <v>9248</v>
      </c>
      <c r="C285" s="22" t="s">
        <v>14574</v>
      </c>
      <c r="D285" s="23" t="s">
        <v>14103</v>
      </c>
      <c r="E285" s="22"/>
      <c r="F285" s="35" t="s">
        <v>14416</v>
      </c>
    </row>
    <row r="286" customFormat="false" ht="15" hidden="false" customHeight="true" outlineLevel="0" collapsed="false">
      <c r="A286" s="22" t="s">
        <v>10974</v>
      </c>
      <c r="B286" s="22" t="s">
        <v>9248</v>
      </c>
      <c r="C286" s="22" t="s">
        <v>14629</v>
      </c>
      <c r="D286" s="23" t="s">
        <v>14630</v>
      </c>
      <c r="E286" s="22"/>
      <c r="F286" s="35" t="s">
        <v>14416</v>
      </c>
    </row>
    <row r="287" customFormat="false" ht="15" hidden="false" customHeight="true" outlineLevel="0" collapsed="false">
      <c r="A287" s="22" t="s">
        <v>10974</v>
      </c>
      <c r="B287" s="22" t="s">
        <v>9248</v>
      </c>
      <c r="C287" s="22" t="s">
        <v>14575</v>
      </c>
      <c r="D287" s="23" t="s">
        <v>14099</v>
      </c>
      <c r="E287" s="22"/>
      <c r="F287" s="35" t="s">
        <v>14416</v>
      </c>
    </row>
    <row r="288" customFormat="false" ht="15" hidden="false" customHeight="true" outlineLevel="0" collapsed="false">
      <c r="A288" s="22" t="s">
        <v>10974</v>
      </c>
      <c r="B288" s="22" t="s">
        <v>9248</v>
      </c>
      <c r="C288" s="22" t="s">
        <v>14576</v>
      </c>
      <c r="D288" s="23" t="s">
        <v>14577</v>
      </c>
      <c r="E288" s="22"/>
      <c r="F288" s="35" t="s">
        <v>14416</v>
      </c>
    </row>
    <row r="289" customFormat="false" ht="15" hidden="false" customHeight="true" outlineLevel="0" collapsed="false">
      <c r="A289" s="22" t="s">
        <v>10974</v>
      </c>
      <c r="B289" s="22" t="s">
        <v>9248</v>
      </c>
      <c r="C289" s="22" t="s">
        <v>14574</v>
      </c>
      <c r="D289" s="23" t="s">
        <v>14103</v>
      </c>
      <c r="E289" s="22"/>
      <c r="F289" s="35" t="s">
        <v>14416</v>
      </c>
    </row>
    <row r="290" customFormat="false" ht="15" hidden="false" customHeight="true" outlineLevel="0" collapsed="false">
      <c r="A290" s="22" t="s">
        <v>10989</v>
      </c>
      <c r="B290" s="22" t="s">
        <v>9248</v>
      </c>
      <c r="C290" s="22" t="s">
        <v>14645</v>
      </c>
      <c r="D290" s="23" t="s">
        <v>14646</v>
      </c>
      <c r="E290" s="22"/>
      <c r="F290" s="35" t="s">
        <v>14416</v>
      </c>
    </row>
    <row r="291" customFormat="false" ht="15" hidden="false" customHeight="true" outlineLevel="0" collapsed="false">
      <c r="A291" s="22" t="s">
        <v>11007</v>
      </c>
      <c r="B291" s="22" t="s">
        <v>9248</v>
      </c>
      <c r="C291" s="22" t="s">
        <v>14602</v>
      </c>
      <c r="D291" s="23" t="s">
        <v>14603</v>
      </c>
      <c r="E291" s="22"/>
      <c r="F291" s="53" t="s">
        <v>14420</v>
      </c>
    </row>
    <row r="292" customFormat="false" ht="15" hidden="false" customHeight="true" outlineLevel="0" collapsed="false">
      <c r="A292" s="22" t="s">
        <v>11025</v>
      </c>
      <c r="B292" s="22" t="s">
        <v>9248</v>
      </c>
      <c r="C292" s="22" t="s">
        <v>14574</v>
      </c>
      <c r="D292" s="23" t="s">
        <v>14103</v>
      </c>
      <c r="E292" s="22"/>
      <c r="F292" s="35" t="s">
        <v>14416</v>
      </c>
    </row>
    <row r="293" customFormat="false" ht="15" hidden="false" customHeight="true" outlineLevel="0" collapsed="false">
      <c r="A293" s="22" t="s">
        <v>11025</v>
      </c>
      <c r="B293" s="22" t="s">
        <v>9248</v>
      </c>
      <c r="C293" s="22" t="s">
        <v>14575</v>
      </c>
      <c r="D293" s="23" t="s">
        <v>14099</v>
      </c>
      <c r="E293" s="22"/>
      <c r="F293" s="35" t="s">
        <v>14416</v>
      </c>
    </row>
    <row r="294" customFormat="false" ht="15" hidden="false" customHeight="true" outlineLevel="0" collapsed="false">
      <c r="A294" s="22" t="s">
        <v>11025</v>
      </c>
      <c r="B294" s="22" t="s">
        <v>9248</v>
      </c>
      <c r="C294" s="22" t="s">
        <v>14629</v>
      </c>
      <c r="D294" s="23" t="s">
        <v>14630</v>
      </c>
      <c r="E294" s="22"/>
      <c r="F294" s="35" t="s">
        <v>14416</v>
      </c>
    </row>
    <row r="295" customFormat="false" ht="15" hidden="false" customHeight="true" outlineLevel="0" collapsed="false">
      <c r="A295" s="22" t="s">
        <v>11025</v>
      </c>
      <c r="B295" s="22" t="s">
        <v>9248</v>
      </c>
      <c r="C295" s="22" t="s">
        <v>14567</v>
      </c>
      <c r="D295" s="23" t="s">
        <v>14568</v>
      </c>
      <c r="E295" s="22"/>
      <c r="F295" s="53" t="s">
        <v>14420</v>
      </c>
    </row>
    <row r="296" customFormat="false" ht="15" hidden="false" customHeight="true" outlineLevel="0" collapsed="false">
      <c r="A296" s="22" t="s">
        <v>11025</v>
      </c>
      <c r="B296" s="22" t="s">
        <v>9248</v>
      </c>
      <c r="C296" s="22" t="s">
        <v>14598</v>
      </c>
      <c r="D296" s="23" t="s">
        <v>14599</v>
      </c>
      <c r="E296" s="22"/>
      <c r="F296" s="53" t="s">
        <v>14420</v>
      </c>
    </row>
    <row r="297" customFormat="false" ht="15" hidden="false" customHeight="true" outlineLevel="0" collapsed="false">
      <c r="A297" s="22" t="s">
        <v>11035</v>
      </c>
      <c r="B297" s="22" t="s">
        <v>9248</v>
      </c>
      <c r="C297" s="22" t="s">
        <v>14567</v>
      </c>
      <c r="D297" s="23" t="s">
        <v>14568</v>
      </c>
      <c r="E297" s="22"/>
      <c r="F297" s="53" t="s">
        <v>14420</v>
      </c>
    </row>
    <row r="298" customFormat="false" ht="15" hidden="false" customHeight="true" outlineLevel="0" collapsed="false">
      <c r="A298" s="22" t="s">
        <v>11050</v>
      </c>
      <c r="B298" s="22" t="s">
        <v>9248</v>
      </c>
      <c r="C298" s="22" t="s">
        <v>14571</v>
      </c>
      <c r="D298" s="23" t="s">
        <v>14033</v>
      </c>
      <c r="E298" s="22"/>
      <c r="F298" s="35" t="s">
        <v>14416</v>
      </c>
    </row>
    <row r="299" customFormat="false" ht="15" hidden="false" customHeight="true" outlineLevel="0" collapsed="false">
      <c r="A299" s="22" t="s">
        <v>11050</v>
      </c>
      <c r="B299" s="22" t="s">
        <v>9248</v>
      </c>
      <c r="C299" s="22" t="s">
        <v>14647</v>
      </c>
      <c r="D299" s="23" t="s">
        <v>14648</v>
      </c>
      <c r="E299" s="22"/>
      <c r="F299" s="35" t="s">
        <v>14416</v>
      </c>
    </row>
    <row r="300" customFormat="false" ht="37.5" hidden="false" customHeight="true" outlineLevel="0" collapsed="false">
      <c r="A300" s="22" t="s">
        <v>11050</v>
      </c>
      <c r="B300" s="22" t="s">
        <v>9248</v>
      </c>
      <c r="C300" s="22" t="s">
        <v>14597</v>
      </c>
      <c r="D300" s="23" t="s">
        <v>14041</v>
      </c>
      <c r="E300" s="22"/>
      <c r="F300" s="53" t="s">
        <v>14420</v>
      </c>
    </row>
    <row r="301" customFormat="false" ht="15" hidden="false" customHeight="true" outlineLevel="0" collapsed="false">
      <c r="A301" s="22" t="s">
        <v>11050</v>
      </c>
      <c r="B301" s="22" t="s">
        <v>9248</v>
      </c>
      <c r="C301" s="22" t="s">
        <v>14600</v>
      </c>
      <c r="D301" s="23" t="s">
        <v>14601</v>
      </c>
      <c r="E301" s="22"/>
      <c r="F301" s="53" t="s">
        <v>14420</v>
      </c>
    </row>
    <row r="302" customFormat="false" ht="15" hidden="false" customHeight="true" outlineLevel="0" collapsed="false">
      <c r="A302" s="22" t="s">
        <v>11050</v>
      </c>
      <c r="B302" s="22" t="s">
        <v>9248</v>
      </c>
      <c r="C302" s="22" t="s">
        <v>14567</v>
      </c>
      <c r="D302" s="23" t="s">
        <v>14568</v>
      </c>
      <c r="E302" s="22"/>
      <c r="F302" s="53" t="s">
        <v>14420</v>
      </c>
    </row>
    <row r="303" customFormat="false" ht="24.75" hidden="false" customHeight="true" outlineLevel="0" collapsed="false">
      <c r="A303" s="22" t="s">
        <v>11050</v>
      </c>
      <c r="B303" s="22" t="s">
        <v>9248</v>
      </c>
      <c r="C303" s="22" t="s">
        <v>14611</v>
      </c>
      <c r="D303" s="23" t="s">
        <v>14612</v>
      </c>
      <c r="E303" s="22"/>
      <c r="F303" s="35" t="s">
        <v>14416</v>
      </c>
    </row>
    <row r="304" customFormat="false" ht="15" hidden="false" customHeight="true" outlineLevel="0" collapsed="false">
      <c r="A304" s="22" t="s">
        <v>11071</v>
      </c>
      <c r="B304" s="22" t="s">
        <v>9248</v>
      </c>
      <c r="C304" s="22" t="s">
        <v>14571</v>
      </c>
      <c r="D304" s="23" t="s">
        <v>14033</v>
      </c>
      <c r="E304" s="22"/>
      <c r="F304" s="35" t="s">
        <v>14416</v>
      </c>
    </row>
    <row r="305" customFormat="false" ht="15" hidden="false" customHeight="true" outlineLevel="0" collapsed="false">
      <c r="A305" s="22" t="s">
        <v>11071</v>
      </c>
      <c r="B305" s="22" t="s">
        <v>9248</v>
      </c>
      <c r="C305" s="22" t="s">
        <v>14647</v>
      </c>
      <c r="D305" s="23" t="s">
        <v>14648</v>
      </c>
      <c r="E305" s="22"/>
      <c r="F305" s="35" t="s">
        <v>14416</v>
      </c>
    </row>
    <row r="306" customFormat="false" ht="15" hidden="false" customHeight="true" outlineLevel="0" collapsed="false">
      <c r="A306" s="22" t="s">
        <v>11084</v>
      </c>
      <c r="B306" s="22" t="s">
        <v>9248</v>
      </c>
      <c r="C306" s="22" t="s">
        <v>14571</v>
      </c>
      <c r="D306" s="23" t="s">
        <v>14033</v>
      </c>
      <c r="E306" s="22"/>
      <c r="F306" s="35" t="s">
        <v>14416</v>
      </c>
    </row>
    <row r="307" customFormat="false" ht="15" hidden="false" customHeight="true" outlineLevel="0" collapsed="false">
      <c r="A307" s="22" t="s">
        <v>11084</v>
      </c>
      <c r="B307" s="22" t="s">
        <v>9248</v>
      </c>
      <c r="C307" s="22" t="s">
        <v>14647</v>
      </c>
      <c r="D307" s="23" t="s">
        <v>14648</v>
      </c>
      <c r="E307" s="22"/>
      <c r="F307" s="35" t="s">
        <v>14416</v>
      </c>
    </row>
    <row r="308" customFormat="false" ht="24.75" hidden="false" customHeight="true" outlineLevel="0" collapsed="false">
      <c r="A308" s="22" t="s">
        <v>11084</v>
      </c>
      <c r="B308" s="22" t="s">
        <v>9248</v>
      </c>
      <c r="C308" s="22" t="s">
        <v>14649</v>
      </c>
      <c r="D308" s="23" t="s">
        <v>14650</v>
      </c>
      <c r="E308" s="22"/>
      <c r="F308" s="53" t="s">
        <v>14420</v>
      </c>
    </row>
    <row r="309" customFormat="false" ht="24.75" hidden="false" customHeight="true" outlineLevel="0" collapsed="false">
      <c r="A309" s="22" t="s">
        <v>11084</v>
      </c>
      <c r="B309" s="22" t="s">
        <v>9248</v>
      </c>
      <c r="C309" s="22" t="s">
        <v>14609</v>
      </c>
      <c r="D309" s="23" t="s">
        <v>14610</v>
      </c>
      <c r="E309" s="22"/>
      <c r="F309" s="35" t="s">
        <v>14416</v>
      </c>
    </row>
    <row r="310" customFormat="false" ht="15" hidden="false" customHeight="true" outlineLevel="0" collapsed="false">
      <c r="A310" s="22" t="s">
        <v>11104</v>
      </c>
      <c r="B310" s="22" t="s">
        <v>9248</v>
      </c>
      <c r="C310" s="22" t="s">
        <v>14571</v>
      </c>
      <c r="D310" s="23" t="s">
        <v>14033</v>
      </c>
      <c r="E310" s="22"/>
      <c r="F310" s="35" t="s">
        <v>14416</v>
      </c>
    </row>
    <row r="311" customFormat="false" ht="37.5" hidden="false" customHeight="true" outlineLevel="0" collapsed="false">
      <c r="A311" s="22" t="s">
        <v>11104</v>
      </c>
      <c r="B311" s="22" t="s">
        <v>9248</v>
      </c>
      <c r="C311" s="22" t="s">
        <v>14597</v>
      </c>
      <c r="D311" s="23" t="s">
        <v>14041</v>
      </c>
      <c r="E311" s="22"/>
      <c r="F311" s="53" t="s">
        <v>14420</v>
      </c>
    </row>
    <row r="312" customFormat="false" ht="15" hidden="false" customHeight="true" outlineLevel="0" collapsed="false">
      <c r="A312" s="22" t="s">
        <v>11104</v>
      </c>
      <c r="B312" s="22" t="s">
        <v>9248</v>
      </c>
      <c r="C312" s="22" t="s">
        <v>14598</v>
      </c>
      <c r="D312" s="23" t="s">
        <v>14599</v>
      </c>
      <c r="E312" s="22"/>
      <c r="F312" s="53" t="s">
        <v>14420</v>
      </c>
    </row>
    <row r="313" customFormat="false" ht="15" hidden="false" customHeight="true" outlineLevel="0" collapsed="false">
      <c r="A313" s="22" t="s">
        <v>11104</v>
      </c>
      <c r="B313" s="22" t="s">
        <v>9248</v>
      </c>
      <c r="C313" s="22" t="s">
        <v>14567</v>
      </c>
      <c r="D313" s="23" t="s">
        <v>14568</v>
      </c>
      <c r="E313" s="22"/>
      <c r="F313" s="53" t="s">
        <v>14420</v>
      </c>
    </row>
    <row r="314" customFormat="false" ht="15" hidden="false" customHeight="true" outlineLevel="0" collapsed="false">
      <c r="A314" s="22" t="s">
        <v>11104</v>
      </c>
      <c r="B314" s="22" t="s">
        <v>9248</v>
      </c>
      <c r="C314" s="22" t="s">
        <v>14600</v>
      </c>
      <c r="D314" s="23" t="s">
        <v>14601</v>
      </c>
      <c r="E314" s="22"/>
      <c r="F314" s="53" t="s">
        <v>14420</v>
      </c>
    </row>
    <row r="315" customFormat="false" ht="15" hidden="false" customHeight="true" outlineLevel="0" collapsed="false">
      <c r="A315" s="22" t="s">
        <v>11121</v>
      </c>
      <c r="B315" s="22" t="s">
        <v>9248</v>
      </c>
      <c r="C315" s="22" t="s">
        <v>14571</v>
      </c>
      <c r="D315" s="23" t="s">
        <v>14033</v>
      </c>
      <c r="E315" s="22"/>
      <c r="F315" s="35" t="s">
        <v>14416</v>
      </c>
    </row>
    <row r="316" customFormat="false" ht="15" hidden="false" customHeight="true" outlineLevel="0" collapsed="false">
      <c r="A316" s="22" t="s">
        <v>11121</v>
      </c>
      <c r="B316" s="22" t="s">
        <v>9248</v>
      </c>
      <c r="C316" s="22" t="s">
        <v>14567</v>
      </c>
      <c r="D316" s="23" t="s">
        <v>14568</v>
      </c>
      <c r="E316" s="22"/>
      <c r="F316" s="53" t="s">
        <v>14420</v>
      </c>
    </row>
    <row r="317" customFormat="false" ht="15" hidden="false" customHeight="true" outlineLevel="0" collapsed="false">
      <c r="A317" s="22" t="s">
        <v>11121</v>
      </c>
      <c r="B317" s="22" t="s">
        <v>9248</v>
      </c>
      <c r="C317" s="22" t="s">
        <v>14600</v>
      </c>
      <c r="D317" s="23" t="s">
        <v>14601</v>
      </c>
      <c r="E317" s="22"/>
      <c r="F317" s="53" t="s">
        <v>14420</v>
      </c>
    </row>
    <row r="318" customFormat="false" ht="15" hidden="false" customHeight="true" outlineLevel="0" collapsed="false">
      <c r="A318" s="22" t="s">
        <v>11121</v>
      </c>
      <c r="B318" s="22" t="s">
        <v>9248</v>
      </c>
      <c r="C318" s="22" t="s">
        <v>14635</v>
      </c>
      <c r="D318" s="23" t="s">
        <v>14636</v>
      </c>
      <c r="E318" s="22"/>
      <c r="F318" s="53" t="s">
        <v>14420</v>
      </c>
    </row>
    <row r="319" customFormat="false" ht="37.5" hidden="false" customHeight="true" outlineLevel="0" collapsed="false">
      <c r="A319" s="22" t="s">
        <v>11137</v>
      </c>
      <c r="B319" s="22" t="s">
        <v>9248</v>
      </c>
      <c r="C319" s="22" t="s">
        <v>14597</v>
      </c>
      <c r="D319" s="23" t="s">
        <v>14041</v>
      </c>
      <c r="E319" s="22"/>
      <c r="F319" s="53" t="s">
        <v>14420</v>
      </c>
    </row>
    <row r="320" customFormat="false" ht="24.75" hidden="false" customHeight="true" outlineLevel="0" collapsed="false">
      <c r="A320" s="22" t="s">
        <v>11137</v>
      </c>
      <c r="B320" s="22" t="s">
        <v>9248</v>
      </c>
      <c r="C320" s="22" t="s">
        <v>14595</v>
      </c>
      <c r="D320" s="23" t="s">
        <v>14596</v>
      </c>
      <c r="E320" s="22"/>
      <c r="F320" s="53" t="s">
        <v>14420</v>
      </c>
    </row>
    <row r="321" customFormat="false" ht="15" hidden="false" customHeight="true" outlineLevel="0" collapsed="false">
      <c r="A321" s="22" t="s">
        <v>11137</v>
      </c>
      <c r="B321" s="22" t="s">
        <v>9248</v>
      </c>
      <c r="C321" s="22" t="s">
        <v>14571</v>
      </c>
      <c r="D321" s="23" t="s">
        <v>14033</v>
      </c>
      <c r="E321" s="22"/>
      <c r="F321" s="35" t="s">
        <v>14416</v>
      </c>
    </row>
    <row r="322" customFormat="false" ht="24.75" hidden="false" customHeight="true" outlineLevel="0" collapsed="false">
      <c r="A322" s="22" t="s">
        <v>11137</v>
      </c>
      <c r="B322" s="22" t="s">
        <v>9248</v>
      </c>
      <c r="C322" s="22" t="s">
        <v>14611</v>
      </c>
      <c r="D322" s="23" t="s">
        <v>14612</v>
      </c>
      <c r="E322" s="22"/>
      <c r="F322" s="35" t="s">
        <v>14416</v>
      </c>
    </row>
    <row r="323" customFormat="false" ht="15" hidden="false" customHeight="true" outlineLevel="0" collapsed="false">
      <c r="A323" s="22" t="s">
        <v>11149</v>
      </c>
      <c r="B323" s="22" t="s">
        <v>9248</v>
      </c>
      <c r="C323" s="22" t="s">
        <v>14574</v>
      </c>
      <c r="D323" s="23" t="s">
        <v>14103</v>
      </c>
      <c r="E323" s="22"/>
      <c r="F323" s="35" t="s">
        <v>14416</v>
      </c>
    </row>
    <row r="324" customFormat="false" ht="24.75" hidden="false" customHeight="true" outlineLevel="0" collapsed="false">
      <c r="A324" s="22" t="s">
        <v>11149</v>
      </c>
      <c r="B324" s="22" t="s">
        <v>9248</v>
      </c>
      <c r="C324" s="22" t="s">
        <v>14623</v>
      </c>
      <c r="D324" s="23" t="s">
        <v>14624</v>
      </c>
      <c r="E324" s="22"/>
      <c r="F324" s="53" t="s">
        <v>14420</v>
      </c>
    </row>
    <row r="325" customFormat="false" ht="15" hidden="false" customHeight="true" outlineLevel="0" collapsed="false">
      <c r="A325" s="22" t="s">
        <v>11149</v>
      </c>
      <c r="B325" s="22" t="s">
        <v>9248</v>
      </c>
      <c r="C325" s="22" t="s">
        <v>14635</v>
      </c>
      <c r="D325" s="23" t="s">
        <v>14636</v>
      </c>
      <c r="E325" s="22"/>
      <c r="F325" s="53" t="s">
        <v>14420</v>
      </c>
    </row>
    <row r="326" customFormat="false" ht="15" hidden="false" customHeight="true" outlineLevel="0" collapsed="false">
      <c r="A326" s="22" t="s">
        <v>11163</v>
      </c>
      <c r="B326" s="22" t="s">
        <v>9248</v>
      </c>
      <c r="C326" s="22" t="s">
        <v>14579</v>
      </c>
      <c r="D326" s="23" t="s">
        <v>14580</v>
      </c>
      <c r="E326" s="22"/>
      <c r="F326" s="35" t="s">
        <v>14416</v>
      </c>
    </row>
    <row r="327" customFormat="false" ht="15" hidden="false" customHeight="true" outlineLevel="0" collapsed="false">
      <c r="A327" s="22" t="s">
        <v>11163</v>
      </c>
      <c r="B327" s="22" t="s">
        <v>9248</v>
      </c>
      <c r="C327" s="22" t="s">
        <v>14581</v>
      </c>
      <c r="D327" s="23" t="s">
        <v>14087</v>
      </c>
      <c r="E327" s="22"/>
      <c r="F327" s="35" t="s">
        <v>14416</v>
      </c>
    </row>
    <row r="328" customFormat="false" ht="15" hidden="false" customHeight="true" outlineLevel="0" collapsed="false">
      <c r="A328" s="22" t="s">
        <v>11163</v>
      </c>
      <c r="B328" s="22" t="s">
        <v>9248</v>
      </c>
      <c r="C328" s="22" t="s">
        <v>14575</v>
      </c>
      <c r="D328" s="23" t="s">
        <v>14099</v>
      </c>
      <c r="E328" s="22"/>
      <c r="F328" s="35" t="s">
        <v>14416</v>
      </c>
    </row>
    <row r="329" customFormat="false" ht="15" hidden="false" customHeight="true" outlineLevel="0" collapsed="false">
      <c r="A329" s="22" t="s">
        <v>11163</v>
      </c>
      <c r="B329" s="22" t="s">
        <v>9248</v>
      </c>
      <c r="C329" s="22" t="s">
        <v>14647</v>
      </c>
      <c r="D329" s="23" t="s">
        <v>14648</v>
      </c>
      <c r="E329" s="22"/>
      <c r="F329" s="35" t="s">
        <v>14416</v>
      </c>
    </row>
    <row r="330" customFormat="false" ht="24.75" hidden="false" customHeight="true" outlineLevel="0" collapsed="false">
      <c r="A330" s="22" t="s">
        <v>11163</v>
      </c>
      <c r="B330" s="22" t="s">
        <v>9248</v>
      </c>
      <c r="C330" s="22" t="s">
        <v>14588</v>
      </c>
      <c r="D330" s="23" t="s">
        <v>14091</v>
      </c>
      <c r="E330" s="22"/>
      <c r="F330" s="53" t="s">
        <v>14420</v>
      </c>
    </row>
    <row r="331" customFormat="false" ht="15" hidden="false" customHeight="true" outlineLevel="0" collapsed="false">
      <c r="A331" s="22" t="s">
        <v>11163</v>
      </c>
      <c r="B331" s="22" t="s">
        <v>9248</v>
      </c>
      <c r="C331" s="22" t="s">
        <v>14598</v>
      </c>
      <c r="D331" s="23" t="s">
        <v>14599</v>
      </c>
      <c r="E331" s="22"/>
      <c r="F331" s="53" t="s">
        <v>14420</v>
      </c>
    </row>
    <row r="332" customFormat="false" ht="24.75" hidden="false" customHeight="true" outlineLevel="0" collapsed="false">
      <c r="A332" s="22" t="s">
        <v>11163</v>
      </c>
      <c r="B332" s="22" t="s">
        <v>9248</v>
      </c>
      <c r="C332" s="22" t="s">
        <v>14609</v>
      </c>
      <c r="D332" s="23" t="s">
        <v>14610</v>
      </c>
      <c r="E332" s="22"/>
      <c r="F332" s="35" t="s">
        <v>14416</v>
      </c>
    </row>
    <row r="333" customFormat="false" ht="15" hidden="false" customHeight="true" outlineLevel="0" collapsed="false">
      <c r="A333" s="22" t="s">
        <v>11176</v>
      </c>
      <c r="B333" s="22" t="s">
        <v>9248</v>
      </c>
      <c r="C333" s="22" t="s">
        <v>14571</v>
      </c>
      <c r="D333" s="23" t="s">
        <v>14033</v>
      </c>
      <c r="E333" s="22"/>
      <c r="F333" s="35" t="s">
        <v>14416</v>
      </c>
    </row>
    <row r="334" customFormat="false" ht="15" hidden="false" customHeight="true" outlineLevel="0" collapsed="false">
      <c r="A334" s="22" t="s">
        <v>11176</v>
      </c>
      <c r="B334" s="22" t="s">
        <v>9248</v>
      </c>
      <c r="C334" s="22" t="s">
        <v>14581</v>
      </c>
      <c r="D334" s="23" t="s">
        <v>14087</v>
      </c>
      <c r="E334" s="22"/>
      <c r="F334" s="35" t="s">
        <v>14416</v>
      </c>
    </row>
    <row r="335" customFormat="false" ht="24.75" hidden="false" customHeight="true" outlineLevel="0" collapsed="false">
      <c r="A335" s="22" t="s">
        <v>11189</v>
      </c>
      <c r="B335" s="22" t="s">
        <v>9248</v>
      </c>
      <c r="C335" s="22" t="s">
        <v>14651</v>
      </c>
      <c r="D335" s="23" t="s">
        <v>14652</v>
      </c>
      <c r="E335" s="22" t="s">
        <v>14653</v>
      </c>
      <c r="F335" s="53" t="s">
        <v>14420</v>
      </c>
    </row>
    <row r="336" customFormat="false" ht="15" hidden="false" customHeight="true" outlineLevel="0" collapsed="false">
      <c r="A336" s="22" t="s">
        <v>11189</v>
      </c>
      <c r="B336" s="22" t="s">
        <v>9248</v>
      </c>
      <c r="C336" s="22" t="s">
        <v>14654</v>
      </c>
      <c r="D336" s="23" t="s">
        <v>14655</v>
      </c>
      <c r="E336" s="22" t="s">
        <v>14656</v>
      </c>
      <c r="F336" s="53" t="s">
        <v>14420</v>
      </c>
    </row>
    <row r="337" customFormat="false" ht="15" hidden="false" customHeight="true" outlineLevel="0" collapsed="false">
      <c r="A337" s="22" t="s">
        <v>11211</v>
      </c>
      <c r="B337" s="22" t="s">
        <v>9248</v>
      </c>
      <c r="C337" s="22" t="s">
        <v>14657</v>
      </c>
      <c r="D337" s="23" t="s">
        <v>14658</v>
      </c>
      <c r="E337" s="22" t="s">
        <v>14659</v>
      </c>
      <c r="F337" s="53" t="s">
        <v>14420</v>
      </c>
    </row>
    <row r="338" customFormat="false" ht="24.75" hidden="false" customHeight="true" outlineLevel="0" collapsed="false">
      <c r="A338" s="22" t="s">
        <v>11211</v>
      </c>
      <c r="B338" s="22" t="s">
        <v>9248</v>
      </c>
      <c r="C338" s="22" t="s">
        <v>14660</v>
      </c>
      <c r="D338" s="23" t="s">
        <v>14661</v>
      </c>
      <c r="E338" s="22"/>
      <c r="F338" s="35" t="s">
        <v>14416</v>
      </c>
    </row>
    <row r="339" customFormat="false" ht="24.75" hidden="false" customHeight="true" outlineLevel="0" collapsed="false">
      <c r="A339" s="22" t="s">
        <v>11234</v>
      </c>
      <c r="B339" s="22" t="s">
        <v>9248</v>
      </c>
      <c r="C339" s="22" t="s">
        <v>14662</v>
      </c>
      <c r="D339" s="23" t="s">
        <v>14663</v>
      </c>
      <c r="E339" s="22" t="s">
        <v>14664</v>
      </c>
      <c r="F339" s="35" t="s">
        <v>14416</v>
      </c>
    </row>
    <row r="340" customFormat="false" ht="24.75" hidden="false" customHeight="true" outlineLevel="0" collapsed="false">
      <c r="A340" s="22" t="s">
        <v>11234</v>
      </c>
      <c r="B340" s="22" t="s">
        <v>9248</v>
      </c>
      <c r="C340" s="22" t="s">
        <v>14665</v>
      </c>
      <c r="D340" s="23" t="s">
        <v>14666</v>
      </c>
      <c r="E340" s="22" t="s">
        <v>14667</v>
      </c>
      <c r="F340" s="35" t="s">
        <v>14416</v>
      </c>
    </row>
    <row r="341" customFormat="false" ht="24.75" hidden="false" customHeight="true" outlineLevel="0" collapsed="false">
      <c r="A341" s="22" t="s">
        <v>11234</v>
      </c>
      <c r="B341" s="22" t="s">
        <v>9248</v>
      </c>
      <c r="C341" s="22" t="s">
        <v>14668</v>
      </c>
      <c r="D341" s="23" t="s">
        <v>14179</v>
      </c>
      <c r="E341" s="22" t="s">
        <v>14669</v>
      </c>
      <c r="F341" s="53" t="s">
        <v>14420</v>
      </c>
    </row>
    <row r="342" customFormat="false" ht="24.75" hidden="false" customHeight="true" outlineLevel="0" collapsed="false">
      <c r="A342" s="22" t="s">
        <v>11258</v>
      </c>
      <c r="B342" s="22" t="s">
        <v>9248</v>
      </c>
      <c r="C342" s="22" t="s">
        <v>14670</v>
      </c>
      <c r="D342" s="23" t="s">
        <v>14671</v>
      </c>
      <c r="E342" s="22" t="s">
        <v>14672</v>
      </c>
      <c r="F342" s="53" t="s">
        <v>14420</v>
      </c>
    </row>
    <row r="343" customFormat="false" ht="15" hidden="false" customHeight="true" outlineLevel="0" collapsed="false">
      <c r="A343" s="22" t="s">
        <v>11258</v>
      </c>
      <c r="B343" s="22" t="s">
        <v>9248</v>
      </c>
      <c r="C343" s="22" t="s">
        <v>14673</v>
      </c>
      <c r="D343" s="23" t="s">
        <v>14674</v>
      </c>
      <c r="E343" s="22" t="s">
        <v>14675</v>
      </c>
      <c r="F343" s="53" t="s">
        <v>14420</v>
      </c>
    </row>
    <row r="344" customFormat="false" ht="24.75" hidden="false" customHeight="true" outlineLevel="0" collapsed="false">
      <c r="A344" s="22" t="s">
        <v>11258</v>
      </c>
      <c r="B344" s="22" t="s">
        <v>9248</v>
      </c>
      <c r="C344" s="22" t="s">
        <v>14676</v>
      </c>
      <c r="D344" s="23" t="s">
        <v>14677</v>
      </c>
      <c r="E344" s="22" t="s">
        <v>14678</v>
      </c>
      <c r="F344" s="53" t="s">
        <v>14420</v>
      </c>
    </row>
    <row r="345" customFormat="false" ht="24.75" hidden="false" customHeight="true" outlineLevel="0" collapsed="false">
      <c r="A345" s="22" t="s">
        <v>11282</v>
      </c>
      <c r="B345" s="22" t="s">
        <v>9248</v>
      </c>
      <c r="C345" s="22" t="s">
        <v>14679</v>
      </c>
      <c r="D345" s="23" t="s">
        <v>14115</v>
      </c>
      <c r="E345" s="22" t="s">
        <v>14680</v>
      </c>
      <c r="F345" s="53" t="s">
        <v>14420</v>
      </c>
    </row>
    <row r="346" customFormat="false" ht="24.75" hidden="false" customHeight="true" outlineLevel="0" collapsed="false">
      <c r="A346" s="22" t="s">
        <v>11282</v>
      </c>
      <c r="B346" s="22" t="s">
        <v>9248</v>
      </c>
      <c r="C346" s="22" t="s">
        <v>14681</v>
      </c>
      <c r="D346" s="23" t="s">
        <v>14682</v>
      </c>
      <c r="E346" s="22" t="s">
        <v>14683</v>
      </c>
      <c r="F346" s="53" t="s">
        <v>14420</v>
      </c>
    </row>
    <row r="347" customFormat="false" ht="37.5" hidden="false" customHeight="true" outlineLevel="0" collapsed="false">
      <c r="A347" s="22" t="s">
        <v>11282</v>
      </c>
      <c r="B347" s="22" t="s">
        <v>9248</v>
      </c>
      <c r="C347" s="22" t="s">
        <v>14684</v>
      </c>
      <c r="D347" s="23" t="s">
        <v>14685</v>
      </c>
      <c r="E347" s="22" t="s">
        <v>14686</v>
      </c>
      <c r="F347" s="35" t="s">
        <v>14416</v>
      </c>
    </row>
    <row r="348" customFormat="false" ht="24.75" hidden="false" customHeight="true" outlineLevel="0" collapsed="false">
      <c r="A348" s="22" t="s">
        <v>11282</v>
      </c>
      <c r="B348" s="22" t="s">
        <v>9248</v>
      </c>
      <c r="C348" s="22" t="s">
        <v>14687</v>
      </c>
      <c r="D348" s="23" t="s">
        <v>14688</v>
      </c>
      <c r="E348" s="22" t="s">
        <v>14689</v>
      </c>
      <c r="F348" s="35" t="s">
        <v>14416</v>
      </c>
    </row>
    <row r="349" customFormat="false" ht="15" hidden="false" customHeight="true" outlineLevel="0" collapsed="false">
      <c r="A349" s="22" t="s">
        <v>11282</v>
      </c>
      <c r="B349" s="22" t="s">
        <v>9248</v>
      </c>
      <c r="C349" s="22" t="s">
        <v>14690</v>
      </c>
      <c r="D349" s="23" t="s">
        <v>14183</v>
      </c>
      <c r="E349" s="22" t="s">
        <v>14691</v>
      </c>
      <c r="F349" s="35" t="s">
        <v>14416</v>
      </c>
    </row>
    <row r="350" customFormat="false" ht="24.75" hidden="false" customHeight="true" outlineLevel="0" collapsed="false">
      <c r="A350" s="22" t="s">
        <v>11282</v>
      </c>
      <c r="B350" s="22" t="s">
        <v>9248</v>
      </c>
      <c r="C350" s="22" t="s">
        <v>14692</v>
      </c>
      <c r="D350" s="23" t="s">
        <v>14693</v>
      </c>
      <c r="E350" s="22" t="s">
        <v>14694</v>
      </c>
      <c r="F350" s="35" t="s">
        <v>14416</v>
      </c>
    </row>
    <row r="351" customFormat="false" ht="37.5" hidden="false" customHeight="true" outlineLevel="0" collapsed="false">
      <c r="A351" s="22" t="s">
        <v>11282</v>
      </c>
      <c r="B351" s="22" t="s">
        <v>9248</v>
      </c>
      <c r="C351" s="22" t="s">
        <v>14695</v>
      </c>
      <c r="D351" s="23" t="s">
        <v>14120</v>
      </c>
      <c r="E351" s="22" t="s">
        <v>14696</v>
      </c>
      <c r="F351" s="35" t="s">
        <v>14416</v>
      </c>
    </row>
    <row r="352" customFormat="false" ht="24.75" hidden="false" customHeight="true" outlineLevel="0" collapsed="false">
      <c r="A352" s="22" t="s">
        <v>11282</v>
      </c>
      <c r="B352" s="22" t="s">
        <v>9248</v>
      </c>
      <c r="C352" s="22" t="s">
        <v>14697</v>
      </c>
      <c r="D352" s="23" t="s">
        <v>14698</v>
      </c>
      <c r="E352" s="22" t="s">
        <v>14699</v>
      </c>
      <c r="F352" s="53" t="s">
        <v>14420</v>
      </c>
    </row>
    <row r="353" customFormat="false" ht="24.75" hidden="false" customHeight="true" outlineLevel="0" collapsed="false">
      <c r="A353" s="22" t="s">
        <v>11282</v>
      </c>
      <c r="B353" s="22" t="s">
        <v>9248</v>
      </c>
      <c r="C353" s="22" t="s">
        <v>14700</v>
      </c>
      <c r="D353" s="23" t="s">
        <v>14701</v>
      </c>
      <c r="E353" s="22" t="s">
        <v>14702</v>
      </c>
      <c r="F353" s="53" t="s">
        <v>14420</v>
      </c>
    </row>
    <row r="354" customFormat="false" ht="24.75" hidden="false" customHeight="true" outlineLevel="0" collapsed="false">
      <c r="A354" s="22" t="s">
        <v>11282</v>
      </c>
      <c r="B354" s="22" t="s">
        <v>9248</v>
      </c>
      <c r="C354" s="22" t="s">
        <v>14703</v>
      </c>
      <c r="D354" s="23" t="s">
        <v>14704</v>
      </c>
      <c r="E354" s="22" t="s">
        <v>14705</v>
      </c>
      <c r="F354" s="53" t="s">
        <v>14420</v>
      </c>
    </row>
    <row r="355" customFormat="false" ht="24.75" hidden="false" customHeight="true" outlineLevel="0" collapsed="false">
      <c r="A355" s="22" t="s">
        <v>11282</v>
      </c>
      <c r="B355" s="22" t="s">
        <v>9248</v>
      </c>
      <c r="C355" s="22" t="s">
        <v>14706</v>
      </c>
      <c r="D355" s="23" t="s">
        <v>14707</v>
      </c>
      <c r="E355" s="22"/>
      <c r="F355" s="35" t="s">
        <v>14416</v>
      </c>
    </row>
    <row r="356" customFormat="false" ht="15" hidden="false" customHeight="true" outlineLevel="0" collapsed="false">
      <c r="A356" s="22" t="s">
        <v>11282</v>
      </c>
      <c r="B356" s="22" t="s">
        <v>9248</v>
      </c>
      <c r="C356" s="22" t="s">
        <v>14708</v>
      </c>
      <c r="D356" s="23" t="s">
        <v>14709</v>
      </c>
      <c r="E356" s="22"/>
      <c r="F356" s="35" t="s">
        <v>14416</v>
      </c>
    </row>
    <row r="357" customFormat="false" ht="15" hidden="false" customHeight="true" outlineLevel="0" collapsed="false">
      <c r="A357" s="22" t="s">
        <v>11282</v>
      </c>
      <c r="B357" s="22" t="s">
        <v>9248</v>
      </c>
      <c r="C357" s="22" t="s">
        <v>14710</v>
      </c>
      <c r="D357" s="23" t="s">
        <v>14711</v>
      </c>
      <c r="E357" s="22" t="s">
        <v>14712</v>
      </c>
      <c r="F357" s="35" t="s">
        <v>14416</v>
      </c>
    </row>
    <row r="358" customFormat="false" ht="24.75" hidden="false" customHeight="true" outlineLevel="0" collapsed="false">
      <c r="A358" s="22" t="s">
        <v>11306</v>
      </c>
      <c r="B358" s="22" t="s">
        <v>9248</v>
      </c>
      <c r="C358" s="22" t="s">
        <v>14713</v>
      </c>
      <c r="D358" s="23" t="s">
        <v>14124</v>
      </c>
      <c r="E358" s="22" t="s">
        <v>14714</v>
      </c>
      <c r="F358" s="53" t="s">
        <v>14420</v>
      </c>
    </row>
    <row r="359" customFormat="false" ht="24.75" hidden="false" customHeight="true" outlineLevel="0" collapsed="false">
      <c r="A359" s="22" t="s">
        <v>11306</v>
      </c>
      <c r="B359" s="22" t="s">
        <v>9248</v>
      </c>
      <c r="C359" s="22" t="s">
        <v>14715</v>
      </c>
      <c r="D359" s="23" t="s">
        <v>14716</v>
      </c>
      <c r="E359" s="22" t="s">
        <v>14717</v>
      </c>
      <c r="F359" s="53" t="s">
        <v>14420</v>
      </c>
    </row>
    <row r="360" customFormat="false" ht="37.5" hidden="false" customHeight="true" outlineLevel="0" collapsed="false">
      <c r="A360" s="22" t="s">
        <v>11306</v>
      </c>
      <c r="B360" s="22" t="s">
        <v>9248</v>
      </c>
      <c r="C360" s="22" t="s">
        <v>14695</v>
      </c>
      <c r="D360" s="23" t="s">
        <v>14120</v>
      </c>
      <c r="E360" s="22" t="s">
        <v>14696</v>
      </c>
      <c r="F360" s="35" t="s">
        <v>14416</v>
      </c>
    </row>
    <row r="361" customFormat="false" ht="24.75" hidden="false" customHeight="true" outlineLevel="0" collapsed="false">
      <c r="A361" s="22" t="s">
        <v>11306</v>
      </c>
      <c r="B361" s="22" t="s">
        <v>9248</v>
      </c>
      <c r="C361" s="22" t="s">
        <v>14687</v>
      </c>
      <c r="D361" s="23" t="s">
        <v>14688</v>
      </c>
      <c r="E361" s="22" t="s">
        <v>14689</v>
      </c>
      <c r="F361" s="35" t="s">
        <v>14416</v>
      </c>
    </row>
    <row r="362" customFormat="false" ht="15" hidden="false" customHeight="true" outlineLevel="0" collapsed="false">
      <c r="A362" s="22" t="s">
        <v>11306</v>
      </c>
      <c r="B362" s="22" t="s">
        <v>9248</v>
      </c>
      <c r="C362" s="22" t="s">
        <v>14690</v>
      </c>
      <c r="D362" s="23" t="s">
        <v>14183</v>
      </c>
      <c r="E362" s="22" t="s">
        <v>14691</v>
      </c>
      <c r="F362" s="35" t="s">
        <v>14416</v>
      </c>
    </row>
    <row r="363" customFormat="false" ht="24.75" hidden="false" customHeight="true" outlineLevel="0" collapsed="false">
      <c r="A363" s="22" t="s">
        <v>11328</v>
      </c>
      <c r="B363" s="22" t="s">
        <v>9248</v>
      </c>
      <c r="C363" s="22" t="s">
        <v>14718</v>
      </c>
      <c r="D363" s="23" t="s">
        <v>14129</v>
      </c>
      <c r="E363" s="22" t="s">
        <v>14719</v>
      </c>
      <c r="F363" s="53" t="s">
        <v>14420</v>
      </c>
    </row>
    <row r="364" customFormat="false" ht="24.75" hidden="false" customHeight="true" outlineLevel="0" collapsed="false">
      <c r="A364" s="22" t="s">
        <v>11328</v>
      </c>
      <c r="B364" s="22" t="s">
        <v>9248</v>
      </c>
      <c r="C364" s="22" t="s">
        <v>14720</v>
      </c>
      <c r="D364" s="23" t="s">
        <v>14721</v>
      </c>
      <c r="E364" s="22" t="s">
        <v>14722</v>
      </c>
      <c r="F364" s="53" t="s">
        <v>14420</v>
      </c>
    </row>
    <row r="365" customFormat="false" ht="24.75" hidden="false" customHeight="true" outlineLevel="0" collapsed="false">
      <c r="A365" s="22" t="s">
        <v>11353</v>
      </c>
      <c r="B365" s="22" t="s">
        <v>9248</v>
      </c>
      <c r="C365" s="22" t="s">
        <v>14718</v>
      </c>
      <c r="D365" s="23" t="s">
        <v>14129</v>
      </c>
      <c r="E365" s="22" t="s">
        <v>14719</v>
      </c>
      <c r="F365" s="53" t="s">
        <v>14420</v>
      </c>
    </row>
    <row r="366" customFormat="false" ht="24.75" hidden="false" customHeight="true" outlineLevel="0" collapsed="false">
      <c r="A366" s="22" t="s">
        <v>11353</v>
      </c>
      <c r="B366" s="22" t="s">
        <v>9248</v>
      </c>
      <c r="C366" s="22" t="s">
        <v>14723</v>
      </c>
      <c r="D366" s="23" t="s">
        <v>14724</v>
      </c>
      <c r="E366" s="22" t="s">
        <v>14678</v>
      </c>
      <c r="F366" s="53" t="s">
        <v>14420</v>
      </c>
    </row>
    <row r="367" customFormat="false" ht="24.75" hidden="false" customHeight="true" outlineLevel="0" collapsed="false">
      <c r="A367" s="22" t="s">
        <v>11353</v>
      </c>
      <c r="B367" s="22" t="s">
        <v>9248</v>
      </c>
      <c r="C367" s="22" t="s">
        <v>14725</v>
      </c>
      <c r="D367" s="23" t="s">
        <v>14134</v>
      </c>
      <c r="E367" s="22" t="s">
        <v>14726</v>
      </c>
      <c r="F367" s="53" t="s">
        <v>14420</v>
      </c>
    </row>
    <row r="368" customFormat="false" ht="24.75" hidden="false" customHeight="true" outlineLevel="0" collapsed="false">
      <c r="A368" s="22" t="s">
        <v>11353</v>
      </c>
      <c r="B368" s="22" t="s">
        <v>9248</v>
      </c>
      <c r="C368" s="22" t="s">
        <v>14727</v>
      </c>
      <c r="D368" s="23" t="s">
        <v>14162</v>
      </c>
      <c r="E368" s="22" t="s">
        <v>14728</v>
      </c>
      <c r="F368" s="53" t="s">
        <v>14420</v>
      </c>
    </row>
    <row r="369" customFormat="false" ht="15" hidden="false" customHeight="true" outlineLevel="0" collapsed="false">
      <c r="A369" s="22" t="s">
        <v>11353</v>
      </c>
      <c r="B369" s="22" t="s">
        <v>9248</v>
      </c>
      <c r="C369" s="22" t="s">
        <v>14729</v>
      </c>
      <c r="D369" s="23" t="s">
        <v>14730</v>
      </c>
      <c r="E369" s="22" t="s">
        <v>14731</v>
      </c>
      <c r="F369" s="53" t="s">
        <v>14420</v>
      </c>
    </row>
    <row r="370" customFormat="false" ht="15" hidden="false" customHeight="true" outlineLevel="0" collapsed="false">
      <c r="A370" s="22" t="s">
        <v>11353</v>
      </c>
      <c r="B370" s="22" t="s">
        <v>9248</v>
      </c>
      <c r="C370" s="22" t="s">
        <v>14732</v>
      </c>
      <c r="D370" s="23" t="s">
        <v>14733</v>
      </c>
      <c r="E370" s="22"/>
      <c r="F370" s="35" t="s">
        <v>14416</v>
      </c>
    </row>
    <row r="371" customFormat="false" ht="24.75" hidden="false" customHeight="true" outlineLevel="0" collapsed="false">
      <c r="A371" s="22" t="s">
        <v>11376</v>
      </c>
      <c r="B371" s="22" t="s">
        <v>9248</v>
      </c>
      <c r="C371" s="22" t="s">
        <v>14734</v>
      </c>
      <c r="D371" s="23" t="s">
        <v>14157</v>
      </c>
      <c r="E371" s="22" t="s">
        <v>14678</v>
      </c>
      <c r="F371" s="53" t="s">
        <v>14420</v>
      </c>
    </row>
    <row r="372" customFormat="false" ht="37.5" hidden="false" customHeight="true" outlineLevel="0" collapsed="false">
      <c r="A372" s="22" t="s">
        <v>11376</v>
      </c>
      <c r="B372" s="22" t="s">
        <v>9248</v>
      </c>
      <c r="C372" s="22" t="s">
        <v>14735</v>
      </c>
      <c r="D372" s="23" t="s">
        <v>14736</v>
      </c>
      <c r="E372" s="22" t="s">
        <v>14737</v>
      </c>
      <c r="F372" s="35" t="s">
        <v>14416</v>
      </c>
    </row>
    <row r="373" customFormat="false" ht="24.75" hidden="false" customHeight="true" outlineLevel="0" collapsed="false">
      <c r="A373" s="22" t="s">
        <v>11376</v>
      </c>
      <c r="B373" s="22" t="s">
        <v>9248</v>
      </c>
      <c r="C373" s="22" t="s">
        <v>14738</v>
      </c>
      <c r="D373" s="23" t="s">
        <v>14739</v>
      </c>
      <c r="E373" s="22" t="s">
        <v>14740</v>
      </c>
      <c r="F373" s="35" t="s">
        <v>14416</v>
      </c>
    </row>
    <row r="374" customFormat="false" ht="15" hidden="false" customHeight="true" outlineLevel="0" collapsed="false">
      <c r="A374" s="22" t="s">
        <v>11400</v>
      </c>
      <c r="B374" s="22" t="s">
        <v>9248</v>
      </c>
      <c r="C374" s="22" t="s">
        <v>14741</v>
      </c>
      <c r="D374" s="23" t="s">
        <v>14742</v>
      </c>
      <c r="E374" s="22" t="s">
        <v>14743</v>
      </c>
      <c r="F374" s="53" t="s">
        <v>14420</v>
      </c>
    </row>
    <row r="375" customFormat="false" ht="24.75" hidden="false" customHeight="true" outlineLevel="0" collapsed="false">
      <c r="A375" s="22" t="s">
        <v>11400</v>
      </c>
      <c r="B375" s="22" t="s">
        <v>9248</v>
      </c>
      <c r="C375" s="22" t="s">
        <v>14718</v>
      </c>
      <c r="D375" s="23" t="s">
        <v>14129</v>
      </c>
      <c r="E375" s="22" t="s">
        <v>14719</v>
      </c>
      <c r="F375" s="53" t="s">
        <v>14420</v>
      </c>
    </row>
    <row r="376" customFormat="false" ht="24.75" hidden="false" customHeight="true" outlineLevel="0" collapsed="false">
      <c r="A376" s="22" t="s">
        <v>11422</v>
      </c>
      <c r="B376" s="22" t="s">
        <v>9248</v>
      </c>
      <c r="C376" s="22" t="s">
        <v>14744</v>
      </c>
      <c r="D376" s="23" t="s">
        <v>14745</v>
      </c>
      <c r="E376" s="22" t="s">
        <v>14746</v>
      </c>
      <c r="F376" s="53" t="s">
        <v>14420</v>
      </c>
    </row>
    <row r="377" customFormat="false" ht="24.75" hidden="false" customHeight="true" outlineLevel="0" collapsed="false">
      <c r="A377" s="22" t="s">
        <v>11422</v>
      </c>
      <c r="B377" s="22" t="s">
        <v>9248</v>
      </c>
      <c r="C377" s="22" t="s">
        <v>14747</v>
      </c>
      <c r="D377" s="23" t="s">
        <v>14171</v>
      </c>
      <c r="E377" s="22" t="s">
        <v>14748</v>
      </c>
      <c r="F377" s="53" t="s">
        <v>14420</v>
      </c>
    </row>
    <row r="378" customFormat="false" ht="24.75" hidden="false" customHeight="true" outlineLevel="0" collapsed="false">
      <c r="A378" s="22" t="s">
        <v>11422</v>
      </c>
      <c r="B378" s="22" t="s">
        <v>9248</v>
      </c>
      <c r="C378" s="22" t="s">
        <v>14727</v>
      </c>
      <c r="D378" s="23" t="s">
        <v>14162</v>
      </c>
      <c r="E378" s="22" t="s">
        <v>14728</v>
      </c>
      <c r="F378" s="53" t="s">
        <v>14420</v>
      </c>
    </row>
    <row r="379" customFormat="false" ht="24.75" hidden="false" customHeight="true" outlineLevel="0" collapsed="false">
      <c r="A379" s="22" t="s">
        <v>11422</v>
      </c>
      <c r="B379" s="22" t="s">
        <v>9248</v>
      </c>
      <c r="C379" s="22" t="s">
        <v>14749</v>
      </c>
      <c r="D379" s="23" t="s">
        <v>14750</v>
      </c>
      <c r="E379" s="22"/>
      <c r="F379" s="35" t="s">
        <v>14416</v>
      </c>
    </row>
    <row r="380" customFormat="false" ht="24.75" hidden="false" customHeight="true" outlineLevel="0" collapsed="false">
      <c r="A380" s="22" t="s">
        <v>11446</v>
      </c>
      <c r="B380" s="22" t="s">
        <v>9248</v>
      </c>
      <c r="C380" s="22" t="s">
        <v>14747</v>
      </c>
      <c r="D380" s="23" t="s">
        <v>14171</v>
      </c>
      <c r="E380" s="22" t="s">
        <v>14748</v>
      </c>
      <c r="F380" s="53" t="s">
        <v>14420</v>
      </c>
    </row>
    <row r="381" customFormat="false" ht="24.75" hidden="false" customHeight="true" outlineLevel="0" collapsed="false">
      <c r="A381" s="22" t="s">
        <v>11446</v>
      </c>
      <c r="B381" s="22" t="s">
        <v>9248</v>
      </c>
      <c r="C381" s="22" t="s">
        <v>14744</v>
      </c>
      <c r="D381" s="23" t="s">
        <v>14745</v>
      </c>
      <c r="E381" s="22" t="s">
        <v>14746</v>
      </c>
      <c r="F381" s="53" t="s">
        <v>14420</v>
      </c>
    </row>
    <row r="382" customFormat="false" ht="24.75" hidden="false" customHeight="true" outlineLevel="0" collapsed="false">
      <c r="A382" s="22" t="s">
        <v>11446</v>
      </c>
      <c r="B382" s="22" t="s">
        <v>9248</v>
      </c>
      <c r="C382" s="22" t="s">
        <v>14725</v>
      </c>
      <c r="D382" s="23" t="s">
        <v>14134</v>
      </c>
      <c r="E382" s="22" t="s">
        <v>14726</v>
      </c>
      <c r="F382" s="53" t="s">
        <v>14420</v>
      </c>
    </row>
    <row r="383" customFormat="false" ht="24.75" hidden="false" customHeight="true" outlineLevel="0" collapsed="false">
      <c r="A383" s="22" t="s">
        <v>11446</v>
      </c>
      <c r="B383" s="22" t="s">
        <v>9248</v>
      </c>
      <c r="C383" s="22" t="s">
        <v>14727</v>
      </c>
      <c r="D383" s="23" t="s">
        <v>14162</v>
      </c>
      <c r="E383" s="22" t="s">
        <v>14728</v>
      </c>
      <c r="F383" s="53" t="s">
        <v>14420</v>
      </c>
    </row>
    <row r="384" customFormat="false" ht="24.75" hidden="false" customHeight="true" outlineLevel="0" collapsed="false">
      <c r="A384" s="22" t="s">
        <v>11470</v>
      </c>
      <c r="B384" s="22" t="s">
        <v>9248</v>
      </c>
      <c r="C384" s="22" t="s">
        <v>14662</v>
      </c>
      <c r="D384" s="23" t="s">
        <v>14663</v>
      </c>
      <c r="E384" s="22" t="s">
        <v>14664</v>
      </c>
      <c r="F384" s="35" t="s">
        <v>14416</v>
      </c>
    </row>
    <row r="385" customFormat="false" ht="24.75" hidden="false" customHeight="true" outlineLevel="0" collapsed="false">
      <c r="A385" s="22" t="s">
        <v>11470</v>
      </c>
      <c r="B385" s="22" t="s">
        <v>9248</v>
      </c>
      <c r="C385" s="22" t="s">
        <v>14751</v>
      </c>
      <c r="D385" s="23" t="s">
        <v>14752</v>
      </c>
      <c r="E385" s="22" t="s">
        <v>14753</v>
      </c>
      <c r="F385" s="53" t="s">
        <v>14420</v>
      </c>
    </row>
    <row r="386" customFormat="false" ht="15" hidden="false" customHeight="true" outlineLevel="0" collapsed="false">
      <c r="A386" s="22" t="s">
        <v>11470</v>
      </c>
      <c r="B386" s="22" t="s">
        <v>9248</v>
      </c>
      <c r="C386" s="22" t="s">
        <v>14729</v>
      </c>
      <c r="D386" s="23" t="s">
        <v>14730</v>
      </c>
      <c r="E386" s="22" t="s">
        <v>14731</v>
      </c>
      <c r="F386" s="53" t="s">
        <v>14420</v>
      </c>
    </row>
    <row r="387" customFormat="false" ht="24.75" hidden="false" customHeight="true" outlineLevel="0" collapsed="false">
      <c r="A387" s="22" t="s">
        <v>11492</v>
      </c>
      <c r="B387" s="22" t="s">
        <v>9248</v>
      </c>
      <c r="C387" s="22" t="s">
        <v>14754</v>
      </c>
      <c r="D387" s="23" t="s">
        <v>14755</v>
      </c>
      <c r="E387" s="22" t="s">
        <v>14756</v>
      </c>
      <c r="F387" s="53" t="s">
        <v>14420</v>
      </c>
    </row>
    <row r="388" customFormat="false" ht="24.75" hidden="false" customHeight="true" outlineLevel="0" collapsed="false">
      <c r="A388" s="22" t="s">
        <v>11492</v>
      </c>
      <c r="B388" s="22" t="s">
        <v>9248</v>
      </c>
      <c r="C388" s="22" t="s">
        <v>14757</v>
      </c>
      <c r="D388" s="23" t="s">
        <v>14758</v>
      </c>
      <c r="E388" s="22" t="s">
        <v>14759</v>
      </c>
      <c r="F388" s="53" t="s">
        <v>14420</v>
      </c>
    </row>
    <row r="389" customFormat="false" ht="24.75" hidden="false" customHeight="true" outlineLevel="0" collapsed="false">
      <c r="A389" s="22" t="s">
        <v>11492</v>
      </c>
      <c r="B389" s="22" t="s">
        <v>9248</v>
      </c>
      <c r="C389" s="22" t="s">
        <v>14749</v>
      </c>
      <c r="D389" s="23" t="s">
        <v>14750</v>
      </c>
      <c r="E389" s="22"/>
      <c r="F389" s="35" t="s">
        <v>14416</v>
      </c>
    </row>
    <row r="390" customFormat="false" ht="24.75" hidden="false" customHeight="true" outlineLevel="0" collapsed="false">
      <c r="A390" s="22" t="s">
        <v>11514</v>
      </c>
      <c r="B390" s="22" t="s">
        <v>9248</v>
      </c>
      <c r="C390" s="22" t="s">
        <v>14757</v>
      </c>
      <c r="D390" s="23" t="s">
        <v>14758</v>
      </c>
      <c r="E390" s="22" t="s">
        <v>14759</v>
      </c>
      <c r="F390" s="53" t="s">
        <v>14420</v>
      </c>
    </row>
    <row r="391" customFormat="false" ht="24.75" hidden="false" customHeight="true" outlineLevel="0" collapsed="false">
      <c r="A391" s="22" t="s">
        <v>11514</v>
      </c>
      <c r="B391" s="22" t="s">
        <v>9248</v>
      </c>
      <c r="C391" s="22" t="s">
        <v>14760</v>
      </c>
      <c r="D391" s="23" t="s">
        <v>14761</v>
      </c>
      <c r="E391" s="22" t="s">
        <v>14678</v>
      </c>
      <c r="F391" s="35" t="s">
        <v>14416</v>
      </c>
    </row>
    <row r="392" customFormat="false" ht="24.75" hidden="false" customHeight="true" outlineLevel="0" collapsed="false">
      <c r="A392" s="22" t="s">
        <v>11514</v>
      </c>
      <c r="B392" s="22" t="s">
        <v>9248</v>
      </c>
      <c r="C392" s="22" t="s">
        <v>14662</v>
      </c>
      <c r="D392" s="23" t="s">
        <v>14663</v>
      </c>
      <c r="E392" s="22" t="s">
        <v>14664</v>
      </c>
      <c r="F392" s="35" t="s">
        <v>14416</v>
      </c>
    </row>
    <row r="393" customFormat="false" ht="15" hidden="false" customHeight="true" outlineLevel="0" collapsed="false">
      <c r="A393" s="22" t="s">
        <v>11514</v>
      </c>
      <c r="B393" s="22" t="s">
        <v>9248</v>
      </c>
      <c r="C393" s="22" t="s">
        <v>14762</v>
      </c>
      <c r="D393" s="23" t="s">
        <v>14763</v>
      </c>
      <c r="E393" s="22" t="s">
        <v>14764</v>
      </c>
      <c r="F393" s="53" t="s">
        <v>14420</v>
      </c>
    </row>
    <row r="394" customFormat="false" ht="24.75" hidden="false" customHeight="true" outlineLevel="0" collapsed="false">
      <c r="A394" s="22" t="s">
        <v>11514</v>
      </c>
      <c r="B394" s="22" t="s">
        <v>9248</v>
      </c>
      <c r="C394" s="22" t="s">
        <v>14765</v>
      </c>
      <c r="D394" s="23" t="s">
        <v>14750</v>
      </c>
      <c r="E394" s="22" t="s">
        <v>14766</v>
      </c>
      <c r="F394" s="35" t="s">
        <v>14416</v>
      </c>
    </row>
    <row r="395" customFormat="false" ht="15" hidden="false" customHeight="true" outlineLevel="0" collapsed="false">
      <c r="A395" s="22" t="s">
        <v>11537</v>
      </c>
      <c r="B395" s="22" t="s">
        <v>9248</v>
      </c>
      <c r="C395" s="22" t="s">
        <v>14767</v>
      </c>
      <c r="D395" s="23" t="s">
        <v>14768</v>
      </c>
      <c r="E395" s="22" t="s">
        <v>14769</v>
      </c>
      <c r="F395" s="53" t="s">
        <v>14420</v>
      </c>
    </row>
    <row r="396" customFormat="false" ht="24.75" hidden="false" customHeight="true" outlineLevel="0" collapsed="false">
      <c r="A396" s="22" t="s">
        <v>11537</v>
      </c>
      <c r="B396" s="22" t="s">
        <v>9248</v>
      </c>
      <c r="C396" s="22" t="s">
        <v>14747</v>
      </c>
      <c r="D396" s="23" t="s">
        <v>14171</v>
      </c>
      <c r="E396" s="22" t="s">
        <v>14748</v>
      </c>
      <c r="F396" s="53" t="s">
        <v>14420</v>
      </c>
    </row>
    <row r="397" customFormat="false" ht="24.75" hidden="false" customHeight="true" outlineLevel="0" collapsed="false">
      <c r="A397" s="22" t="s">
        <v>11537</v>
      </c>
      <c r="B397" s="22" t="s">
        <v>9248</v>
      </c>
      <c r="C397" s="22" t="s">
        <v>14770</v>
      </c>
      <c r="D397" s="23" t="s">
        <v>14771</v>
      </c>
      <c r="E397" s="22"/>
      <c r="F397" s="35" t="s">
        <v>14416</v>
      </c>
    </row>
    <row r="398" customFormat="false" ht="15" hidden="false" customHeight="true" outlineLevel="0" collapsed="false">
      <c r="A398" s="22" t="s">
        <v>11537</v>
      </c>
      <c r="B398" s="22" t="s">
        <v>9248</v>
      </c>
      <c r="C398" s="22" t="s">
        <v>14772</v>
      </c>
      <c r="D398" s="23" t="s">
        <v>14773</v>
      </c>
      <c r="E398" s="22"/>
      <c r="F398" s="35" t="s">
        <v>14416</v>
      </c>
    </row>
    <row r="399" customFormat="false" ht="24.75" hidden="false" customHeight="true" outlineLevel="0" collapsed="false">
      <c r="A399" s="22" t="s">
        <v>11537</v>
      </c>
      <c r="B399" s="22" t="s">
        <v>9248</v>
      </c>
      <c r="C399" s="22" t="s">
        <v>14774</v>
      </c>
      <c r="D399" s="23" t="s">
        <v>14775</v>
      </c>
      <c r="E399" s="22" t="s">
        <v>14776</v>
      </c>
      <c r="F399" s="35" t="s">
        <v>14416</v>
      </c>
    </row>
    <row r="400" customFormat="false" ht="15" hidden="false" customHeight="true" outlineLevel="0" collapsed="false">
      <c r="A400" s="22" t="s">
        <v>11559</v>
      </c>
      <c r="B400" s="22" t="s">
        <v>9248</v>
      </c>
      <c r="C400" s="22" t="s">
        <v>14777</v>
      </c>
      <c r="D400" s="23" t="s">
        <v>14778</v>
      </c>
      <c r="E400" s="22" t="s">
        <v>14779</v>
      </c>
      <c r="F400" s="53" t="s">
        <v>14420</v>
      </c>
    </row>
    <row r="401" customFormat="false" ht="24.75" hidden="false" customHeight="true" outlineLevel="0" collapsed="false">
      <c r="A401" s="22" t="s">
        <v>11559</v>
      </c>
      <c r="B401" s="22" t="s">
        <v>9248</v>
      </c>
      <c r="C401" s="22" t="s">
        <v>14725</v>
      </c>
      <c r="D401" s="23" t="s">
        <v>14134</v>
      </c>
      <c r="E401" s="22" t="s">
        <v>14726</v>
      </c>
      <c r="F401" s="53" t="s">
        <v>14420</v>
      </c>
    </row>
    <row r="402" customFormat="false" ht="24.75" hidden="false" customHeight="true" outlineLevel="0" collapsed="false">
      <c r="A402" s="22" t="s">
        <v>11559</v>
      </c>
      <c r="B402" s="22" t="s">
        <v>9248</v>
      </c>
      <c r="C402" s="22" t="s">
        <v>14662</v>
      </c>
      <c r="D402" s="23" t="s">
        <v>14663</v>
      </c>
      <c r="E402" s="22" t="s">
        <v>14664</v>
      </c>
      <c r="F402" s="35" t="s">
        <v>14416</v>
      </c>
    </row>
    <row r="403" customFormat="false" ht="24.75" hidden="false" customHeight="true" outlineLevel="0" collapsed="false">
      <c r="A403" s="22" t="s">
        <v>11579</v>
      </c>
      <c r="B403" s="22" t="s">
        <v>9248</v>
      </c>
      <c r="C403" s="22" t="s">
        <v>14727</v>
      </c>
      <c r="D403" s="23" t="s">
        <v>14162</v>
      </c>
      <c r="E403" s="22" t="s">
        <v>14728</v>
      </c>
      <c r="F403" s="53" t="s">
        <v>14420</v>
      </c>
    </row>
    <row r="404" customFormat="false" ht="24.75" hidden="false" customHeight="true" outlineLevel="0" collapsed="false">
      <c r="A404" s="22" t="s">
        <v>11579</v>
      </c>
      <c r="B404" s="22" t="s">
        <v>9248</v>
      </c>
      <c r="C404" s="22" t="s">
        <v>14754</v>
      </c>
      <c r="D404" s="23" t="s">
        <v>14755</v>
      </c>
      <c r="E404" s="22" t="s">
        <v>14756</v>
      </c>
      <c r="F404" s="53" t="s">
        <v>14420</v>
      </c>
    </row>
    <row r="405" customFormat="false" ht="24.75" hidden="false" customHeight="true" outlineLevel="0" collapsed="false">
      <c r="A405" s="22" t="s">
        <v>11579</v>
      </c>
      <c r="B405" s="22" t="s">
        <v>9248</v>
      </c>
      <c r="C405" s="22" t="s">
        <v>14662</v>
      </c>
      <c r="D405" s="23" t="s">
        <v>14663</v>
      </c>
      <c r="E405" s="22" t="s">
        <v>14664</v>
      </c>
      <c r="F405" s="35" t="s">
        <v>14416</v>
      </c>
    </row>
    <row r="406" customFormat="false" ht="15" hidden="false" customHeight="true" outlineLevel="0" collapsed="false">
      <c r="A406" s="22" t="s">
        <v>11579</v>
      </c>
      <c r="B406" s="22" t="s">
        <v>9248</v>
      </c>
      <c r="C406" s="22" t="s">
        <v>14729</v>
      </c>
      <c r="D406" s="23" t="s">
        <v>14730</v>
      </c>
      <c r="E406" s="22" t="s">
        <v>14731</v>
      </c>
      <c r="F406" s="53" t="s">
        <v>14420</v>
      </c>
    </row>
    <row r="407" customFormat="false" ht="15" hidden="false" customHeight="true" outlineLevel="0" collapsed="false">
      <c r="A407" s="22" t="s">
        <v>11601</v>
      </c>
      <c r="B407" s="22" t="s">
        <v>9248</v>
      </c>
      <c r="C407" s="22" t="s">
        <v>14780</v>
      </c>
      <c r="D407" s="23" t="s">
        <v>14781</v>
      </c>
      <c r="E407" s="22" t="s">
        <v>14782</v>
      </c>
      <c r="F407" s="53" t="s">
        <v>14420</v>
      </c>
    </row>
    <row r="408" customFormat="false" ht="24.75" hidden="false" customHeight="true" outlineLevel="0" collapsed="false">
      <c r="A408" s="22" t="s">
        <v>11601</v>
      </c>
      <c r="B408" s="22" t="s">
        <v>9248</v>
      </c>
      <c r="C408" s="22" t="s">
        <v>14662</v>
      </c>
      <c r="D408" s="23" t="s">
        <v>14663</v>
      </c>
      <c r="E408" s="22" t="s">
        <v>14664</v>
      </c>
      <c r="F408" s="35" t="s">
        <v>14416</v>
      </c>
    </row>
    <row r="409" customFormat="false" ht="24.75" hidden="false" customHeight="true" outlineLevel="0" collapsed="false">
      <c r="A409" s="22" t="s">
        <v>11601</v>
      </c>
      <c r="B409" s="22" t="s">
        <v>9248</v>
      </c>
      <c r="C409" s="22" t="s">
        <v>14783</v>
      </c>
      <c r="D409" s="23" t="s">
        <v>14784</v>
      </c>
      <c r="E409" s="22"/>
      <c r="F409" s="35" t="s">
        <v>14416</v>
      </c>
    </row>
    <row r="410" customFormat="false" ht="24.75" hidden="false" customHeight="true" outlineLevel="0" collapsed="false">
      <c r="A410" s="22" t="s">
        <v>11623</v>
      </c>
      <c r="B410" s="22" t="s">
        <v>9248</v>
      </c>
      <c r="C410" s="22" t="s">
        <v>14662</v>
      </c>
      <c r="D410" s="23" t="s">
        <v>14663</v>
      </c>
      <c r="E410" s="22" t="s">
        <v>14664</v>
      </c>
      <c r="F410" s="35" t="s">
        <v>14416</v>
      </c>
    </row>
    <row r="411" customFormat="false" ht="24.75" hidden="false" customHeight="true" outlineLevel="0" collapsed="false">
      <c r="A411" s="22" t="s">
        <v>11623</v>
      </c>
      <c r="B411" s="22" t="s">
        <v>9248</v>
      </c>
      <c r="C411" s="22" t="s">
        <v>14785</v>
      </c>
      <c r="D411" s="23" t="s">
        <v>14786</v>
      </c>
      <c r="E411" s="22"/>
      <c r="F411" s="35" t="s">
        <v>14416</v>
      </c>
    </row>
    <row r="412" customFormat="false" ht="24.75" hidden="false" customHeight="true" outlineLevel="0" collapsed="false">
      <c r="A412" s="22" t="s">
        <v>11645</v>
      </c>
      <c r="B412" s="22" t="s">
        <v>9248</v>
      </c>
      <c r="C412" s="22" t="s">
        <v>14787</v>
      </c>
      <c r="D412" s="23" t="s">
        <v>14788</v>
      </c>
      <c r="E412" s="22" t="s">
        <v>14789</v>
      </c>
      <c r="F412" s="53" t="s">
        <v>14420</v>
      </c>
    </row>
    <row r="413" customFormat="false" ht="24.75" hidden="false" customHeight="true" outlineLevel="0" collapsed="false">
      <c r="A413" s="22" t="s">
        <v>11645</v>
      </c>
      <c r="B413" s="22" t="s">
        <v>9248</v>
      </c>
      <c r="C413" s="22" t="s">
        <v>14790</v>
      </c>
      <c r="D413" s="23" t="s">
        <v>14791</v>
      </c>
      <c r="E413" s="22" t="s">
        <v>14792</v>
      </c>
      <c r="F413" s="53" t="s">
        <v>14420</v>
      </c>
    </row>
    <row r="414" customFormat="false" ht="15" hidden="false" customHeight="true" outlineLevel="0" collapsed="false">
      <c r="A414" s="22" t="s">
        <v>11645</v>
      </c>
      <c r="B414" s="22" t="s">
        <v>9248</v>
      </c>
      <c r="C414" s="22" t="s">
        <v>14690</v>
      </c>
      <c r="D414" s="23" t="s">
        <v>14183</v>
      </c>
      <c r="E414" s="22" t="s">
        <v>14691</v>
      </c>
      <c r="F414" s="35" t="s">
        <v>14416</v>
      </c>
    </row>
    <row r="415" customFormat="false" ht="24.75" hidden="false" customHeight="true" outlineLevel="0" collapsed="false">
      <c r="A415" s="22" t="s">
        <v>11645</v>
      </c>
      <c r="B415" s="22" t="s">
        <v>9248</v>
      </c>
      <c r="C415" s="22" t="s">
        <v>14754</v>
      </c>
      <c r="D415" s="23" t="s">
        <v>14755</v>
      </c>
      <c r="E415" s="22" t="s">
        <v>14756</v>
      </c>
      <c r="F415" s="53" t="s">
        <v>14420</v>
      </c>
    </row>
    <row r="416" customFormat="false" ht="15" hidden="false" customHeight="true" outlineLevel="0" collapsed="false">
      <c r="A416" s="22" t="s">
        <v>11667</v>
      </c>
      <c r="B416" s="22" t="s">
        <v>9248</v>
      </c>
      <c r="C416" s="22" t="s">
        <v>14762</v>
      </c>
      <c r="D416" s="23" t="s">
        <v>14763</v>
      </c>
      <c r="E416" s="22" t="s">
        <v>14764</v>
      </c>
      <c r="F416" s="53" t="s">
        <v>14420</v>
      </c>
    </row>
    <row r="417" customFormat="false" ht="24.75" hidden="false" customHeight="true" outlineLevel="0" collapsed="false">
      <c r="A417" s="22" t="s">
        <v>11667</v>
      </c>
      <c r="B417" s="22" t="s">
        <v>9248</v>
      </c>
      <c r="C417" s="22" t="s">
        <v>14793</v>
      </c>
      <c r="D417" s="23" t="s">
        <v>14794</v>
      </c>
      <c r="E417" s="22" t="s">
        <v>14737</v>
      </c>
      <c r="F417" s="35" t="s">
        <v>14416</v>
      </c>
    </row>
    <row r="418" customFormat="false" ht="24.75" hidden="false" customHeight="true" outlineLevel="0" collapsed="false">
      <c r="A418" s="22" t="s">
        <v>11667</v>
      </c>
      <c r="B418" s="22" t="s">
        <v>9248</v>
      </c>
      <c r="C418" s="22" t="s">
        <v>14795</v>
      </c>
      <c r="D418" s="23" t="s">
        <v>14796</v>
      </c>
      <c r="E418" s="22" t="s">
        <v>14797</v>
      </c>
      <c r="F418" s="35" t="s">
        <v>14416</v>
      </c>
    </row>
    <row r="419" customFormat="false" ht="24.75" hidden="false" customHeight="true" outlineLevel="0" collapsed="false">
      <c r="A419" s="22" t="s">
        <v>11667</v>
      </c>
      <c r="B419" s="22" t="s">
        <v>9248</v>
      </c>
      <c r="C419" s="22" t="s">
        <v>14798</v>
      </c>
      <c r="D419" s="23" t="s">
        <v>14799</v>
      </c>
      <c r="E419" s="22" t="s">
        <v>14800</v>
      </c>
      <c r="F419" s="53" t="s">
        <v>14420</v>
      </c>
    </row>
    <row r="420" customFormat="false" ht="24.75" hidden="false" customHeight="true" outlineLevel="0" collapsed="false">
      <c r="A420" s="22" t="s">
        <v>11667</v>
      </c>
      <c r="B420" s="22" t="s">
        <v>9248</v>
      </c>
      <c r="C420" s="22" t="s">
        <v>14801</v>
      </c>
      <c r="D420" s="23" t="s">
        <v>14802</v>
      </c>
      <c r="E420" s="22" t="s">
        <v>14803</v>
      </c>
      <c r="F420" s="35" t="s">
        <v>14416</v>
      </c>
    </row>
    <row r="421" customFormat="false" ht="24.75" hidden="false" customHeight="true" outlineLevel="0" collapsed="false">
      <c r="A421" s="22" t="s">
        <v>11667</v>
      </c>
      <c r="B421" s="22" t="s">
        <v>9248</v>
      </c>
      <c r="C421" s="22" t="s">
        <v>14804</v>
      </c>
      <c r="D421" s="23" t="s">
        <v>14188</v>
      </c>
      <c r="E421" s="22" t="s">
        <v>14805</v>
      </c>
      <c r="F421" s="53" t="s">
        <v>14420</v>
      </c>
    </row>
    <row r="422" customFormat="false" ht="24.75" hidden="false" customHeight="true" outlineLevel="0" collapsed="false">
      <c r="A422" s="22" t="s">
        <v>11667</v>
      </c>
      <c r="B422" s="22" t="s">
        <v>9248</v>
      </c>
      <c r="C422" s="22" t="s">
        <v>14806</v>
      </c>
      <c r="D422" s="23" t="s">
        <v>14807</v>
      </c>
      <c r="E422" s="22" t="s">
        <v>14808</v>
      </c>
      <c r="F422" s="53" t="s">
        <v>14420</v>
      </c>
    </row>
    <row r="423" customFormat="false" ht="24.75" hidden="false" customHeight="true" outlineLevel="0" collapsed="false">
      <c r="A423" s="22" t="s">
        <v>11667</v>
      </c>
      <c r="B423" s="22" t="s">
        <v>9248</v>
      </c>
      <c r="C423" s="22" t="s">
        <v>14809</v>
      </c>
      <c r="D423" s="23" t="s">
        <v>14810</v>
      </c>
      <c r="E423" s="22" t="s">
        <v>14811</v>
      </c>
      <c r="F423" s="35" t="s">
        <v>14416</v>
      </c>
    </row>
    <row r="424" customFormat="false" ht="24.75" hidden="false" customHeight="true" outlineLevel="0" collapsed="false">
      <c r="A424" s="22" t="s">
        <v>11667</v>
      </c>
      <c r="B424" s="22" t="s">
        <v>9248</v>
      </c>
      <c r="C424" s="22" t="s">
        <v>14812</v>
      </c>
      <c r="D424" s="23" t="s">
        <v>14813</v>
      </c>
      <c r="E424" s="22" t="s">
        <v>14814</v>
      </c>
      <c r="F424" s="53" t="s">
        <v>14420</v>
      </c>
    </row>
    <row r="425" customFormat="false" ht="15" hidden="false" customHeight="true" outlineLevel="0" collapsed="false">
      <c r="A425" s="22" t="s">
        <v>11667</v>
      </c>
      <c r="B425" s="22" t="s">
        <v>9248</v>
      </c>
      <c r="C425" s="22" t="s">
        <v>14815</v>
      </c>
      <c r="D425" s="23" t="s">
        <v>14816</v>
      </c>
      <c r="E425" s="22"/>
      <c r="F425" s="53" t="s">
        <v>14420</v>
      </c>
    </row>
    <row r="426" customFormat="false" ht="15" hidden="false" customHeight="true" outlineLevel="0" collapsed="false">
      <c r="A426" s="22" t="s">
        <v>11667</v>
      </c>
      <c r="B426" s="22" t="s">
        <v>9248</v>
      </c>
      <c r="C426" s="22" t="s">
        <v>14817</v>
      </c>
      <c r="D426" s="23" t="s">
        <v>14818</v>
      </c>
      <c r="E426" s="22" t="s">
        <v>14819</v>
      </c>
      <c r="F426" s="53" t="s">
        <v>14420</v>
      </c>
    </row>
    <row r="427" customFormat="false" ht="24.75" hidden="false" customHeight="true" outlineLevel="0" collapsed="false">
      <c r="A427" s="22" t="s">
        <v>11667</v>
      </c>
      <c r="B427" s="22" t="s">
        <v>9248</v>
      </c>
      <c r="C427" s="22" t="s">
        <v>14820</v>
      </c>
      <c r="D427" s="23" t="s">
        <v>14821</v>
      </c>
      <c r="E427" s="22"/>
      <c r="F427" s="35" t="s">
        <v>14416</v>
      </c>
    </row>
    <row r="428" customFormat="false" ht="24.75" hidden="false" customHeight="true" outlineLevel="0" collapsed="false">
      <c r="A428" s="22" t="s">
        <v>11690</v>
      </c>
      <c r="B428" s="22" t="s">
        <v>9248</v>
      </c>
      <c r="C428" s="22" t="s">
        <v>14822</v>
      </c>
      <c r="D428" s="23" t="s">
        <v>14823</v>
      </c>
      <c r="E428" s="22" t="s">
        <v>14824</v>
      </c>
      <c r="F428" s="53" t="s">
        <v>14420</v>
      </c>
    </row>
    <row r="429" customFormat="false" ht="15" hidden="false" customHeight="true" outlineLevel="0" collapsed="false">
      <c r="A429" s="22" t="s">
        <v>11690</v>
      </c>
      <c r="B429" s="22" t="s">
        <v>9248</v>
      </c>
      <c r="C429" s="22" t="s">
        <v>14825</v>
      </c>
      <c r="D429" s="23" t="s">
        <v>14826</v>
      </c>
      <c r="E429" s="22" t="s">
        <v>14827</v>
      </c>
      <c r="F429" s="53" t="s">
        <v>14420</v>
      </c>
    </row>
    <row r="430" customFormat="false" ht="15" hidden="false" customHeight="true" outlineLevel="0" collapsed="false">
      <c r="A430" s="22" t="s">
        <v>11690</v>
      </c>
      <c r="B430" s="22" t="s">
        <v>9248</v>
      </c>
      <c r="C430" s="22" t="s">
        <v>14729</v>
      </c>
      <c r="D430" s="23" t="s">
        <v>14730</v>
      </c>
      <c r="E430" s="22" t="s">
        <v>14731</v>
      </c>
      <c r="F430" s="53" t="s">
        <v>14420</v>
      </c>
    </row>
    <row r="431" customFormat="false" ht="15" hidden="false" customHeight="true" outlineLevel="0" collapsed="false">
      <c r="A431" s="22" t="s">
        <v>11690</v>
      </c>
      <c r="B431" s="22" t="s">
        <v>9248</v>
      </c>
      <c r="C431" s="22" t="s">
        <v>14828</v>
      </c>
      <c r="D431" s="23" t="s">
        <v>14829</v>
      </c>
      <c r="E431" s="22"/>
      <c r="F431" s="35" t="s">
        <v>14416</v>
      </c>
    </row>
    <row r="432" customFormat="false" ht="15" hidden="false" customHeight="true" outlineLevel="0" collapsed="false">
      <c r="A432" s="22" t="s">
        <v>11690</v>
      </c>
      <c r="B432" s="22" t="s">
        <v>9248</v>
      </c>
      <c r="C432" s="22" t="s">
        <v>14830</v>
      </c>
      <c r="D432" s="23" t="s">
        <v>14831</v>
      </c>
      <c r="E432" s="22"/>
      <c r="F432" s="35" t="s">
        <v>14416</v>
      </c>
    </row>
    <row r="433" customFormat="false" ht="24.75" hidden="false" customHeight="true" outlineLevel="0" collapsed="false">
      <c r="A433" s="22" t="s">
        <v>11690</v>
      </c>
      <c r="B433" s="22" t="s">
        <v>9248</v>
      </c>
      <c r="C433" s="22" t="s">
        <v>14832</v>
      </c>
      <c r="D433" s="23" t="s">
        <v>14833</v>
      </c>
      <c r="E433" s="22"/>
      <c r="F433" s="35" t="s">
        <v>14416</v>
      </c>
    </row>
    <row r="434" customFormat="false" ht="24.75" hidden="false" customHeight="true" outlineLevel="0" collapsed="false">
      <c r="A434" s="22" t="s">
        <v>11712</v>
      </c>
      <c r="B434" s="22" t="s">
        <v>9248</v>
      </c>
      <c r="C434" s="22" t="s">
        <v>14834</v>
      </c>
      <c r="D434" s="23" t="s">
        <v>14835</v>
      </c>
      <c r="E434" s="22" t="s">
        <v>14836</v>
      </c>
      <c r="F434" s="53" t="s">
        <v>14420</v>
      </c>
    </row>
    <row r="435" customFormat="false" ht="15" hidden="false" customHeight="true" outlineLevel="0" collapsed="false">
      <c r="A435" s="22" t="s">
        <v>11712</v>
      </c>
      <c r="B435" s="22" t="s">
        <v>9248</v>
      </c>
      <c r="C435" s="22" t="s">
        <v>14825</v>
      </c>
      <c r="D435" s="23" t="s">
        <v>14826</v>
      </c>
      <c r="E435" s="22" t="s">
        <v>14827</v>
      </c>
      <c r="F435" s="53" t="s">
        <v>14420</v>
      </c>
    </row>
    <row r="436" customFormat="false" ht="24.75" hidden="false" customHeight="true" outlineLevel="0" collapsed="false">
      <c r="A436" s="22" t="s">
        <v>11712</v>
      </c>
      <c r="B436" s="22" t="s">
        <v>9248</v>
      </c>
      <c r="C436" s="22" t="s">
        <v>14837</v>
      </c>
      <c r="D436" s="23" t="s">
        <v>14139</v>
      </c>
      <c r="E436" s="22" t="s">
        <v>14838</v>
      </c>
      <c r="F436" s="53" t="s">
        <v>14420</v>
      </c>
    </row>
    <row r="437" customFormat="false" ht="15" hidden="false" customHeight="true" outlineLevel="0" collapsed="false">
      <c r="A437" s="22" t="s">
        <v>11712</v>
      </c>
      <c r="B437" s="22" t="s">
        <v>9248</v>
      </c>
      <c r="C437" s="22" t="s">
        <v>14839</v>
      </c>
      <c r="D437" s="23" t="s">
        <v>14840</v>
      </c>
      <c r="E437" s="22" t="s">
        <v>14841</v>
      </c>
      <c r="F437" s="53" t="s">
        <v>14420</v>
      </c>
    </row>
    <row r="438" customFormat="false" ht="24.75" hidden="false" customHeight="true" outlineLevel="0" collapsed="false">
      <c r="A438" s="22" t="s">
        <v>11712</v>
      </c>
      <c r="B438" s="22" t="s">
        <v>9248</v>
      </c>
      <c r="C438" s="22" t="s">
        <v>14842</v>
      </c>
      <c r="D438" s="23" t="s">
        <v>14843</v>
      </c>
      <c r="E438" s="22"/>
      <c r="F438" s="35" t="s">
        <v>14416</v>
      </c>
    </row>
    <row r="439" customFormat="false" ht="24.75" hidden="false" customHeight="true" outlineLevel="0" collapsed="false">
      <c r="A439" s="22" t="s">
        <v>11712</v>
      </c>
      <c r="B439" s="22" t="s">
        <v>9248</v>
      </c>
      <c r="C439" s="22" t="s">
        <v>14844</v>
      </c>
      <c r="D439" s="23" t="s">
        <v>14845</v>
      </c>
      <c r="E439" s="22"/>
      <c r="F439" s="35" t="s">
        <v>14416</v>
      </c>
    </row>
    <row r="440" customFormat="false" ht="24.75" hidden="false" customHeight="true" outlineLevel="0" collapsed="false">
      <c r="A440" s="22" t="s">
        <v>11712</v>
      </c>
      <c r="B440" s="22" t="s">
        <v>9248</v>
      </c>
      <c r="C440" s="22" t="s">
        <v>14832</v>
      </c>
      <c r="D440" s="23" t="s">
        <v>14833</v>
      </c>
      <c r="E440" s="22"/>
      <c r="F440" s="35" t="s">
        <v>14416</v>
      </c>
    </row>
    <row r="441" customFormat="false" ht="24.75" hidden="false" customHeight="true" outlineLevel="0" collapsed="false">
      <c r="A441" s="22" t="s">
        <v>11734</v>
      </c>
      <c r="B441" s="22" t="s">
        <v>9248</v>
      </c>
      <c r="C441" s="22" t="s">
        <v>14846</v>
      </c>
      <c r="D441" s="23" t="s">
        <v>14847</v>
      </c>
      <c r="E441" s="22" t="s">
        <v>14848</v>
      </c>
      <c r="F441" s="53" t="s">
        <v>14420</v>
      </c>
    </row>
    <row r="442" customFormat="false" ht="15" hidden="false" customHeight="true" outlineLevel="0" collapsed="false">
      <c r="A442" s="22" t="s">
        <v>11734</v>
      </c>
      <c r="B442" s="22" t="s">
        <v>9248</v>
      </c>
      <c r="C442" s="22" t="s">
        <v>14849</v>
      </c>
      <c r="D442" s="23" t="s">
        <v>14144</v>
      </c>
      <c r="E442" s="22" t="s">
        <v>14850</v>
      </c>
      <c r="F442" s="53" t="s">
        <v>14420</v>
      </c>
    </row>
    <row r="443" customFormat="false" ht="15" hidden="false" customHeight="true" outlineLevel="0" collapsed="false">
      <c r="A443" s="22" t="s">
        <v>11734</v>
      </c>
      <c r="B443" s="22" t="s">
        <v>9248</v>
      </c>
      <c r="C443" s="22" t="s">
        <v>14839</v>
      </c>
      <c r="D443" s="23" t="s">
        <v>14840</v>
      </c>
      <c r="E443" s="22" t="s">
        <v>14841</v>
      </c>
      <c r="F443" s="53" t="s">
        <v>14420</v>
      </c>
    </row>
    <row r="444" customFormat="false" ht="24.75" hidden="false" customHeight="true" outlineLevel="0" collapsed="false">
      <c r="A444" s="22" t="s">
        <v>11757</v>
      </c>
      <c r="B444" s="22" t="s">
        <v>9248</v>
      </c>
      <c r="C444" s="22" t="s">
        <v>14837</v>
      </c>
      <c r="D444" s="23" t="s">
        <v>14139</v>
      </c>
      <c r="E444" s="22" t="s">
        <v>14838</v>
      </c>
      <c r="F444" s="53" t="s">
        <v>14420</v>
      </c>
    </row>
    <row r="445" customFormat="false" ht="15" hidden="false" customHeight="true" outlineLevel="0" collapsed="false">
      <c r="A445" s="22" t="s">
        <v>11757</v>
      </c>
      <c r="B445" s="22" t="s">
        <v>9248</v>
      </c>
      <c r="C445" s="22" t="s">
        <v>14851</v>
      </c>
      <c r="D445" s="23" t="s">
        <v>14852</v>
      </c>
      <c r="E445" s="22" t="s">
        <v>14853</v>
      </c>
      <c r="F445" s="53" t="s">
        <v>14420</v>
      </c>
    </row>
    <row r="446" customFormat="false" ht="15" hidden="false" customHeight="true" outlineLevel="0" collapsed="false">
      <c r="A446" s="22" t="s">
        <v>11757</v>
      </c>
      <c r="B446" s="22" t="s">
        <v>9248</v>
      </c>
      <c r="C446" s="22" t="s">
        <v>14839</v>
      </c>
      <c r="D446" s="23" t="s">
        <v>14840</v>
      </c>
      <c r="E446" s="22" t="s">
        <v>14841</v>
      </c>
      <c r="F446" s="53" t="s">
        <v>14420</v>
      </c>
    </row>
    <row r="447" customFormat="false" ht="24.75" hidden="false" customHeight="true" outlineLevel="0" collapsed="false">
      <c r="A447" s="22" t="s">
        <v>11757</v>
      </c>
      <c r="B447" s="22" t="s">
        <v>9248</v>
      </c>
      <c r="C447" s="22" t="s">
        <v>14703</v>
      </c>
      <c r="D447" s="23" t="s">
        <v>14704</v>
      </c>
      <c r="E447" s="22" t="s">
        <v>14705</v>
      </c>
      <c r="F447" s="53" t="s">
        <v>14420</v>
      </c>
    </row>
    <row r="448" customFormat="false" ht="24.75" hidden="false" customHeight="true" outlineLevel="0" collapsed="false">
      <c r="A448" s="22" t="s">
        <v>11757</v>
      </c>
      <c r="B448" s="22" t="s">
        <v>9248</v>
      </c>
      <c r="C448" s="22" t="s">
        <v>14834</v>
      </c>
      <c r="D448" s="23" t="s">
        <v>14835</v>
      </c>
      <c r="E448" s="22" t="s">
        <v>14836</v>
      </c>
      <c r="F448" s="53" t="s">
        <v>14420</v>
      </c>
    </row>
    <row r="449" customFormat="false" ht="24.75" hidden="false" customHeight="true" outlineLevel="0" collapsed="false">
      <c r="A449" s="22" t="s">
        <v>11757</v>
      </c>
      <c r="B449" s="22" t="s">
        <v>9248</v>
      </c>
      <c r="C449" s="22" t="s">
        <v>14854</v>
      </c>
      <c r="D449" s="23" t="s">
        <v>14855</v>
      </c>
      <c r="E449" s="22"/>
      <c r="F449" s="35" t="s">
        <v>14416</v>
      </c>
    </row>
    <row r="450" customFormat="false" ht="24.75" hidden="false" customHeight="true" outlineLevel="0" collapsed="false">
      <c r="A450" s="22" t="s">
        <v>11757</v>
      </c>
      <c r="B450" s="22" t="s">
        <v>9248</v>
      </c>
      <c r="C450" s="22" t="s">
        <v>14842</v>
      </c>
      <c r="D450" s="23" t="s">
        <v>14843</v>
      </c>
      <c r="E450" s="22"/>
      <c r="F450" s="35" t="s">
        <v>14416</v>
      </c>
    </row>
    <row r="451" customFormat="false" ht="24.75" hidden="false" customHeight="true" outlineLevel="0" collapsed="false">
      <c r="A451" s="22" t="s">
        <v>11779</v>
      </c>
      <c r="B451" s="22" t="s">
        <v>9248</v>
      </c>
      <c r="C451" s="22" t="s">
        <v>14856</v>
      </c>
      <c r="D451" s="23" t="s">
        <v>14149</v>
      </c>
      <c r="E451" s="22" t="s">
        <v>14857</v>
      </c>
      <c r="F451" s="53" t="s">
        <v>14420</v>
      </c>
    </row>
    <row r="452" customFormat="false" ht="24.75" hidden="false" customHeight="true" outlineLevel="0" collapsed="false">
      <c r="A452" s="22" t="s">
        <v>11779</v>
      </c>
      <c r="B452" s="22" t="s">
        <v>9248</v>
      </c>
      <c r="C452" s="22" t="s">
        <v>14858</v>
      </c>
      <c r="D452" s="23" t="s">
        <v>14859</v>
      </c>
      <c r="E452" s="22"/>
      <c r="F452" s="35" t="s">
        <v>14416</v>
      </c>
    </row>
    <row r="453" customFormat="false" ht="24.75" hidden="false" customHeight="true" outlineLevel="0" collapsed="false">
      <c r="A453" s="22" t="s">
        <v>11802</v>
      </c>
      <c r="B453" s="22" t="s">
        <v>9248</v>
      </c>
      <c r="C453" s="22" t="s">
        <v>14727</v>
      </c>
      <c r="D453" s="23" t="s">
        <v>14162</v>
      </c>
      <c r="E453" s="22" t="s">
        <v>14728</v>
      </c>
      <c r="F453" s="53" t="s">
        <v>14420</v>
      </c>
    </row>
    <row r="454" customFormat="false" ht="24.75" hidden="false" customHeight="true" outlineLevel="0" collapsed="false">
      <c r="A454" s="22" t="s">
        <v>11802</v>
      </c>
      <c r="B454" s="22" t="s">
        <v>9248</v>
      </c>
      <c r="C454" s="22" t="s">
        <v>14665</v>
      </c>
      <c r="D454" s="23" t="s">
        <v>14666</v>
      </c>
      <c r="E454" s="22" t="s">
        <v>14667</v>
      </c>
      <c r="F454" s="35" t="s">
        <v>14416</v>
      </c>
    </row>
    <row r="455" customFormat="false" ht="24.75" hidden="false" customHeight="true" outlineLevel="0" collapsed="false">
      <c r="A455" s="22" t="s">
        <v>11802</v>
      </c>
      <c r="B455" s="22" t="s">
        <v>9248</v>
      </c>
      <c r="C455" s="22" t="s">
        <v>14668</v>
      </c>
      <c r="D455" s="23" t="s">
        <v>14179</v>
      </c>
      <c r="E455" s="22" t="s">
        <v>14669</v>
      </c>
      <c r="F455" s="53" t="s">
        <v>14420</v>
      </c>
    </row>
    <row r="456" customFormat="false" ht="24.75" hidden="false" customHeight="true" outlineLevel="0" collapsed="false">
      <c r="A456" s="22" t="s">
        <v>11802</v>
      </c>
      <c r="B456" s="22" t="s">
        <v>9248</v>
      </c>
      <c r="C456" s="22" t="s">
        <v>14747</v>
      </c>
      <c r="D456" s="23" t="s">
        <v>14171</v>
      </c>
      <c r="E456" s="22" t="s">
        <v>14748</v>
      </c>
      <c r="F456" s="53" t="s">
        <v>14420</v>
      </c>
    </row>
    <row r="457" customFormat="false" ht="24.75" hidden="false" customHeight="true" outlineLevel="0" collapsed="false">
      <c r="A457" s="22" t="s">
        <v>11802</v>
      </c>
      <c r="B457" s="22" t="s">
        <v>9248</v>
      </c>
      <c r="C457" s="22" t="s">
        <v>14725</v>
      </c>
      <c r="D457" s="23" t="s">
        <v>14134</v>
      </c>
      <c r="E457" s="22" t="s">
        <v>14726</v>
      </c>
      <c r="F457" s="53" t="s">
        <v>14420</v>
      </c>
    </row>
    <row r="458" customFormat="false" ht="24.75" hidden="false" customHeight="true" outlineLevel="0" collapsed="false">
      <c r="A458" s="22" t="s">
        <v>11824</v>
      </c>
      <c r="B458" s="22" t="s">
        <v>9248</v>
      </c>
      <c r="C458" s="22" t="s">
        <v>14860</v>
      </c>
      <c r="D458" s="23" t="s">
        <v>14861</v>
      </c>
      <c r="E458" s="22" t="s">
        <v>14862</v>
      </c>
      <c r="F458" s="53" t="s">
        <v>14420</v>
      </c>
    </row>
    <row r="459" customFormat="false" ht="37.5" hidden="false" customHeight="true" outlineLevel="0" collapsed="false">
      <c r="A459" s="22" t="s">
        <v>11824</v>
      </c>
      <c r="B459" s="22" t="s">
        <v>9248</v>
      </c>
      <c r="C459" s="22" t="s">
        <v>14695</v>
      </c>
      <c r="D459" s="23" t="s">
        <v>14120</v>
      </c>
      <c r="E459" s="22" t="s">
        <v>14696</v>
      </c>
      <c r="F459" s="35" t="s">
        <v>14416</v>
      </c>
    </row>
    <row r="460" customFormat="false" ht="24.75" hidden="false" customHeight="true" outlineLevel="0" collapsed="false">
      <c r="A460" s="22" t="s">
        <v>11845</v>
      </c>
      <c r="B460" s="22" t="s">
        <v>9248</v>
      </c>
      <c r="C460" s="22" t="s">
        <v>14718</v>
      </c>
      <c r="D460" s="23" t="s">
        <v>14129</v>
      </c>
      <c r="E460" s="22" t="s">
        <v>14719</v>
      </c>
      <c r="F460" s="53" t="s">
        <v>14420</v>
      </c>
    </row>
    <row r="461" customFormat="false" ht="24.75" hidden="false" customHeight="true" outlineLevel="0" collapsed="false">
      <c r="A461" s="22" t="s">
        <v>11845</v>
      </c>
      <c r="B461" s="22" t="s">
        <v>9248</v>
      </c>
      <c r="C461" s="22" t="s">
        <v>14720</v>
      </c>
      <c r="D461" s="23" t="s">
        <v>14721</v>
      </c>
      <c r="E461" s="22" t="s">
        <v>14722</v>
      </c>
      <c r="F461" s="53" t="s">
        <v>14420</v>
      </c>
    </row>
    <row r="462" customFormat="false" ht="24.75" hidden="false" customHeight="true" outlineLevel="0" collapsed="false">
      <c r="A462" s="22" t="s">
        <v>11845</v>
      </c>
      <c r="B462" s="22" t="s">
        <v>9248</v>
      </c>
      <c r="C462" s="22" t="s">
        <v>14863</v>
      </c>
      <c r="D462" s="23" t="s">
        <v>14864</v>
      </c>
      <c r="E462" s="22"/>
      <c r="F462" s="35" t="s">
        <v>14416</v>
      </c>
    </row>
    <row r="463" customFormat="false" ht="24.75" hidden="false" customHeight="true" outlineLevel="0" collapsed="false">
      <c r="A463" s="22" t="s">
        <v>11845</v>
      </c>
      <c r="B463" s="22" t="s">
        <v>9248</v>
      </c>
      <c r="C463" s="22" t="s">
        <v>14865</v>
      </c>
      <c r="D463" s="23" t="s">
        <v>14866</v>
      </c>
      <c r="E463" s="22"/>
      <c r="F463" s="35" t="s">
        <v>14416</v>
      </c>
    </row>
    <row r="464" customFormat="false" ht="24.75" hidden="false" customHeight="true" outlineLevel="0" collapsed="false">
      <c r="A464" s="22" t="s">
        <v>11845</v>
      </c>
      <c r="B464" s="22" t="s">
        <v>9248</v>
      </c>
      <c r="C464" s="22" t="s">
        <v>14858</v>
      </c>
      <c r="D464" s="23" t="s">
        <v>14859</v>
      </c>
      <c r="E464" s="22" t="s">
        <v>14867</v>
      </c>
      <c r="F464" s="35" t="s">
        <v>14416</v>
      </c>
    </row>
    <row r="465" customFormat="false" ht="15" hidden="false" customHeight="true" outlineLevel="0" collapsed="false">
      <c r="A465" s="22" t="s">
        <v>11845</v>
      </c>
      <c r="B465" s="22" t="s">
        <v>9248</v>
      </c>
      <c r="C465" s="22" t="s">
        <v>14868</v>
      </c>
      <c r="D465" s="23" t="s">
        <v>14869</v>
      </c>
      <c r="E465" s="22"/>
      <c r="F465" s="35" t="s">
        <v>14416</v>
      </c>
    </row>
    <row r="466" customFormat="false" ht="24.75" hidden="false" customHeight="true" outlineLevel="0" collapsed="false">
      <c r="A466" s="22" t="s">
        <v>11868</v>
      </c>
      <c r="B466" s="22" t="s">
        <v>9248</v>
      </c>
      <c r="C466" s="22" t="s">
        <v>14870</v>
      </c>
      <c r="D466" s="23" t="s">
        <v>14153</v>
      </c>
      <c r="E466" s="22" t="s">
        <v>14871</v>
      </c>
      <c r="F466" s="53" t="s">
        <v>14420</v>
      </c>
    </row>
    <row r="467" customFormat="false" ht="24.75" hidden="false" customHeight="true" outlineLevel="0" collapsed="false">
      <c r="A467" s="22" t="s">
        <v>11868</v>
      </c>
      <c r="B467" s="22" t="s">
        <v>9248</v>
      </c>
      <c r="C467" s="22" t="s">
        <v>14727</v>
      </c>
      <c r="D467" s="23" t="s">
        <v>14162</v>
      </c>
      <c r="E467" s="22" t="s">
        <v>14728</v>
      </c>
      <c r="F467" s="53" t="s">
        <v>14420</v>
      </c>
    </row>
    <row r="468" customFormat="false" ht="24.75" hidden="false" customHeight="true" outlineLevel="0" collapsed="false">
      <c r="A468" s="22" t="s">
        <v>11868</v>
      </c>
      <c r="B468" s="22" t="s">
        <v>9248</v>
      </c>
      <c r="C468" s="22" t="s">
        <v>14703</v>
      </c>
      <c r="D468" s="23" t="s">
        <v>14704</v>
      </c>
      <c r="E468" s="22" t="s">
        <v>14705</v>
      </c>
      <c r="F468" s="53" t="s">
        <v>14420</v>
      </c>
    </row>
    <row r="469" customFormat="false" ht="15" hidden="false" customHeight="true" outlineLevel="0" collapsed="false">
      <c r="A469" s="22" t="s">
        <v>11890</v>
      </c>
      <c r="B469" s="22" t="s">
        <v>9248</v>
      </c>
      <c r="C469" s="22" t="s">
        <v>14872</v>
      </c>
      <c r="D469" s="23" t="s">
        <v>14873</v>
      </c>
      <c r="E469" s="22" t="s">
        <v>14874</v>
      </c>
      <c r="F469" s="53" t="s">
        <v>14420</v>
      </c>
    </row>
    <row r="470" customFormat="false" ht="24.75" hidden="false" customHeight="true" outlineLevel="0" collapsed="false">
      <c r="A470" s="22" t="s">
        <v>11911</v>
      </c>
      <c r="B470" s="22" t="s">
        <v>9248</v>
      </c>
      <c r="C470" s="22" t="s">
        <v>14687</v>
      </c>
      <c r="D470" s="23" t="s">
        <v>14688</v>
      </c>
      <c r="E470" s="22" t="s">
        <v>14689</v>
      </c>
      <c r="F470" s="35" t="s">
        <v>14416</v>
      </c>
    </row>
    <row r="471" customFormat="false" ht="24.75" hidden="false" customHeight="true" outlineLevel="0" collapsed="false">
      <c r="A471" s="22" t="s">
        <v>11911</v>
      </c>
      <c r="B471" s="22" t="s">
        <v>9248</v>
      </c>
      <c r="C471" s="22" t="s">
        <v>14727</v>
      </c>
      <c r="D471" s="23" t="s">
        <v>14162</v>
      </c>
      <c r="E471" s="22" t="s">
        <v>14728</v>
      </c>
      <c r="F471" s="53" t="s">
        <v>14420</v>
      </c>
    </row>
    <row r="472" customFormat="false" ht="24.75" hidden="false" customHeight="true" outlineLevel="0" collapsed="false">
      <c r="A472" s="22" t="s">
        <v>11911</v>
      </c>
      <c r="B472" s="22" t="s">
        <v>9248</v>
      </c>
      <c r="C472" s="22" t="s">
        <v>14837</v>
      </c>
      <c r="D472" s="23" t="s">
        <v>14139</v>
      </c>
      <c r="E472" s="22" t="s">
        <v>14838</v>
      </c>
      <c r="F472" s="53" t="s">
        <v>14420</v>
      </c>
    </row>
    <row r="473" customFormat="false" ht="24.75" hidden="false" customHeight="true" outlineLevel="0" collapsed="false">
      <c r="A473" s="22" t="s">
        <v>11911</v>
      </c>
      <c r="B473" s="22" t="s">
        <v>9248</v>
      </c>
      <c r="C473" s="22" t="s">
        <v>14718</v>
      </c>
      <c r="D473" s="23" t="s">
        <v>14129</v>
      </c>
      <c r="E473" s="22" t="s">
        <v>14719</v>
      </c>
      <c r="F473" s="53" t="s">
        <v>14420</v>
      </c>
    </row>
    <row r="474" customFormat="false" ht="24.75" hidden="false" customHeight="true" outlineLevel="0" collapsed="false">
      <c r="A474" s="22" t="s">
        <v>11911</v>
      </c>
      <c r="B474" s="22" t="s">
        <v>9248</v>
      </c>
      <c r="C474" s="22" t="s">
        <v>14725</v>
      </c>
      <c r="D474" s="23" t="s">
        <v>14134</v>
      </c>
      <c r="E474" s="22" t="s">
        <v>14726</v>
      </c>
      <c r="F474" s="53" t="s">
        <v>14420</v>
      </c>
    </row>
    <row r="475" customFormat="false" ht="37.5" hidden="false" customHeight="true" outlineLevel="0" collapsed="false">
      <c r="A475" s="22" t="s">
        <v>11911</v>
      </c>
      <c r="B475" s="22" t="s">
        <v>9248</v>
      </c>
      <c r="C475" s="22" t="s">
        <v>14695</v>
      </c>
      <c r="D475" s="23" t="s">
        <v>14120</v>
      </c>
      <c r="E475" s="22" t="s">
        <v>14696</v>
      </c>
      <c r="F475" s="35" t="s">
        <v>14416</v>
      </c>
    </row>
    <row r="476" customFormat="false" ht="24.75" hidden="false" customHeight="true" outlineLevel="0" collapsed="false">
      <c r="A476" s="22" t="s">
        <v>11911</v>
      </c>
      <c r="B476" s="22" t="s">
        <v>9248</v>
      </c>
      <c r="C476" s="22" t="s">
        <v>14665</v>
      </c>
      <c r="D476" s="23" t="s">
        <v>14666</v>
      </c>
      <c r="E476" s="22" t="s">
        <v>14667</v>
      </c>
      <c r="F476" s="35" t="s">
        <v>14416</v>
      </c>
    </row>
    <row r="477" customFormat="false" ht="24.75" hidden="false" customHeight="true" outlineLevel="0" collapsed="false">
      <c r="A477" s="22" t="s">
        <v>11911</v>
      </c>
      <c r="B477" s="22" t="s">
        <v>9248</v>
      </c>
      <c r="C477" s="22" t="s">
        <v>14668</v>
      </c>
      <c r="D477" s="23" t="s">
        <v>14179</v>
      </c>
      <c r="E477" s="22" t="s">
        <v>14669</v>
      </c>
      <c r="F477" s="53" t="s">
        <v>14420</v>
      </c>
    </row>
    <row r="478" customFormat="false" ht="24.75" hidden="false" customHeight="true" outlineLevel="0" collapsed="false">
      <c r="A478" s="22" t="s">
        <v>11911</v>
      </c>
      <c r="B478" s="22" t="s">
        <v>9248</v>
      </c>
      <c r="C478" s="22" t="s">
        <v>14875</v>
      </c>
      <c r="D478" s="23" t="s">
        <v>14876</v>
      </c>
      <c r="E478" s="22" t="s">
        <v>14877</v>
      </c>
      <c r="F478" s="53" t="s">
        <v>14420</v>
      </c>
    </row>
    <row r="479" customFormat="false" ht="15" hidden="false" customHeight="true" outlineLevel="0" collapsed="false">
      <c r="A479" s="22" t="s">
        <v>11911</v>
      </c>
      <c r="B479" s="22" t="s">
        <v>9248</v>
      </c>
      <c r="C479" s="22" t="s">
        <v>14729</v>
      </c>
      <c r="D479" s="23" t="s">
        <v>14730</v>
      </c>
      <c r="E479" s="22" t="s">
        <v>14731</v>
      </c>
      <c r="F479" s="53" t="s">
        <v>14420</v>
      </c>
    </row>
    <row r="480" customFormat="false" ht="24.75" hidden="false" customHeight="true" outlineLevel="0" collapsed="false">
      <c r="A480" s="22" t="s">
        <v>11911</v>
      </c>
      <c r="B480" s="22" t="s">
        <v>9248</v>
      </c>
      <c r="C480" s="22" t="s">
        <v>14747</v>
      </c>
      <c r="D480" s="23" t="s">
        <v>14171</v>
      </c>
      <c r="E480" s="22" t="s">
        <v>14748</v>
      </c>
      <c r="F480" s="53" t="s">
        <v>14420</v>
      </c>
    </row>
    <row r="481" customFormat="false" ht="15" hidden="false" customHeight="true" outlineLevel="0" collapsed="false">
      <c r="A481" s="22" t="s">
        <v>11911</v>
      </c>
      <c r="B481" s="22" t="s">
        <v>9248</v>
      </c>
      <c r="C481" s="22" t="s">
        <v>14868</v>
      </c>
      <c r="D481" s="23" t="s">
        <v>14869</v>
      </c>
      <c r="E481" s="22"/>
      <c r="F481" s="35" t="s">
        <v>14416</v>
      </c>
    </row>
    <row r="482" customFormat="false" ht="15" hidden="false" customHeight="true" outlineLevel="0" collapsed="false">
      <c r="A482" s="22" t="s">
        <v>11911</v>
      </c>
      <c r="B482" s="22" t="s">
        <v>9248</v>
      </c>
      <c r="C482" s="22" t="s">
        <v>14710</v>
      </c>
      <c r="D482" s="23" t="s">
        <v>14711</v>
      </c>
      <c r="E482" s="22"/>
      <c r="F482" s="35" t="s">
        <v>14416</v>
      </c>
    </row>
    <row r="483" customFormat="false" ht="24.75" hidden="false" customHeight="true" outlineLevel="0" collapsed="false">
      <c r="A483" s="22" t="s">
        <v>11931</v>
      </c>
      <c r="B483" s="22" t="s">
        <v>9248</v>
      </c>
      <c r="C483" s="22" t="s">
        <v>14878</v>
      </c>
      <c r="D483" s="23" t="s">
        <v>14206</v>
      </c>
      <c r="E483" s="22" t="s">
        <v>14879</v>
      </c>
      <c r="F483" s="53" t="s">
        <v>14420</v>
      </c>
    </row>
    <row r="484" customFormat="false" ht="24.75" hidden="false" customHeight="true" outlineLevel="0" collapsed="false">
      <c r="A484" s="22" t="s">
        <v>11931</v>
      </c>
      <c r="B484" s="22" t="s">
        <v>9248</v>
      </c>
      <c r="C484" s="22" t="s">
        <v>14880</v>
      </c>
      <c r="D484" s="23" t="s">
        <v>14881</v>
      </c>
      <c r="E484" s="22" t="s">
        <v>14882</v>
      </c>
      <c r="F484" s="53" t="s">
        <v>14420</v>
      </c>
    </row>
    <row r="485" customFormat="false" ht="24.75" hidden="false" customHeight="true" outlineLevel="0" collapsed="false">
      <c r="A485" s="22" t="s">
        <v>11931</v>
      </c>
      <c r="B485" s="22" t="s">
        <v>9248</v>
      </c>
      <c r="C485" s="22" t="s">
        <v>14883</v>
      </c>
      <c r="D485" s="23" t="s">
        <v>14884</v>
      </c>
      <c r="E485" s="22" t="s">
        <v>14885</v>
      </c>
      <c r="F485" s="53" t="s">
        <v>14420</v>
      </c>
    </row>
    <row r="486" customFormat="false" ht="24.75" hidden="false" customHeight="true" outlineLevel="0" collapsed="false">
      <c r="A486" s="22" t="s">
        <v>11931</v>
      </c>
      <c r="B486" s="22" t="s">
        <v>9248</v>
      </c>
      <c r="C486" s="22" t="s">
        <v>14886</v>
      </c>
      <c r="D486" s="23" t="s">
        <v>14887</v>
      </c>
      <c r="E486" s="22" t="s">
        <v>14888</v>
      </c>
      <c r="F486" s="53" t="s">
        <v>14420</v>
      </c>
    </row>
    <row r="487" customFormat="false" ht="24.75" hidden="false" customHeight="true" outlineLevel="0" collapsed="false">
      <c r="A487" s="22" t="s">
        <v>11931</v>
      </c>
      <c r="B487" s="22" t="s">
        <v>9248</v>
      </c>
      <c r="C487" s="22" t="s">
        <v>14889</v>
      </c>
      <c r="D487" s="23" t="s">
        <v>14890</v>
      </c>
      <c r="E487" s="22" t="s">
        <v>14891</v>
      </c>
      <c r="F487" s="53" t="s">
        <v>14420</v>
      </c>
    </row>
    <row r="488" customFormat="false" ht="24.75" hidden="false" customHeight="true" outlineLevel="0" collapsed="false">
      <c r="A488" s="22" t="s">
        <v>11931</v>
      </c>
      <c r="B488" s="22" t="s">
        <v>9248</v>
      </c>
      <c r="C488" s="22" t="s">
        <v>14892</v>
      </c>
      <c r="D488" s="23" t="s">
        <v>14893</v>
      </c>
      <c r="E488" s="22" t="s">
        <v>14894</v>
      </c>
      <c r="F488" s="53" t="s">
        <v>14420</v>
      </c>
    </row>
    <row r="489" customFormat="false" ht="15" hidden="false" customHeight="true" outlineLevel="0" collapsed="false">
      <c r="A489" s="22" t="s">
        <v>11931</v>
      </c>
      <c r="B489" s="22" t="s">
        <v>9248</v>
      </c>
      <c r="C489" s="22" t="s">
        <v>14895</v>
      </c>
      <c r="D489" s="23" t="s">
        <v>14896</v>
      </c>
      <c r="E489" s="22" t="s">
        <v>14897</v>
      </c>
      <c r="F489" s="53" t="s">
        <v>14420</v>
      </c>
    </row>
    <row r="490" customFormat="false" ht="24.75" hidden="false" customHeight="true" outlineLevel="0" collapsed="false">
      <c r="A490" s="22" t="s">
        <v>11931</v>
      </c>
      <c r="B490" s="22" t="s">
        <v>9248</v>
      </c>
      <c r="C490" s="22" t="s">
        <v>14898</v>
      </c>
      <c r="D490" s="23" t="s">
        <v>14899</v>
      </c>
      <c r="E490" s="22" t="s">
        <v>14900</v>
      </c>
      <c r="F490" s="53" t="s">
        <v>14420</v>
      </c>
    </row>
    <row r="491" customFormat="false" ht="37.5" hidden="false" customHeight="true" outlineLevel="0" collapsed="false">
      <c r="A491" s="22" t="s">
        <v>11931</v>
      </c>
      <c r="B491" s="22" t="s">
        <v>9248</v>
      </c>
      <c r="C491" s="22" t="s">
        <v>14901</v>
      </c>
      <c r="D491" s="23" t="s">
        <v>14197</v>
      </c>
      <c r="E491" s="22" t="s">
        <v>14902</v>
      </c>
      <c r="F491" s="53" t="s">
        <v>14420</v>
      </c>
    </row>
    <row r="492" customFormat="false" ht="24.75" hidden="false" customHeight="true" outlineLevel="0" collapsed="false">
      <c r="A492" s="22" t="s">
        <v>11931</v>
      </c>
      <c r="B492" s="22" t="s">
        <v>9248</v>
      </c>
      <c r="C492" s="22" t="s">
        <v>14903</v>
      </c>
      <c r="D492" s="23" t="s">
        <v>14904</v>
      </c>
      <c r="E492" s="22" t="s">
        <v>14905</v>
      </c>
      <c r="F492" s="53" t="s">
        <v>14420</v>
      </c>
    </row>
    <row r="493" customFormat="false" ht="15" hidden="false" customHeight="true" outlineLevel="0" collapsed="false">
      <c r="A493" s="22" t="s">
        <v>11931</v>
      </c>
      <c r="B493" s="22" t="s">
        <v>9248</v>
      </c>
      <c r="C493" s="22" t="s">
        <v>14906</v>
      </c>
      <c r="D493" s="23" t="s">
        <v>14907</v>
      </c>
      <c r="E493" s="22"/>
      <c r="F493" s="35" t="s">
        <v>14416</v>
      </c>
    </row>
    <row r="494" customFormat="false" ht="15" hidden="false" customHeight="true" outlineLevel="0" collapsed="false">
      <c r="A494" s="22" t="s">
        <v>11931</v>
      </c>
      <c r="B494" s="22" t="s">
        <v>9248</v>
      </c>
      <c r="C494" s="22" t="s">
        <v>14908</v>
      </c>
      <c r="D494" s="23" t="s">
        <v>14909</v>
      </c>
      <c r="E494" s="22"/>
      <c r="F494" s="35" t="s">
        <v>14416</v>
      </c>
    </row>
    <row r="495" customFormat="false" ht="24.75" hidden="false" customHeight="true" outlineLevel="0" collapsed="false">
      <c r="A495" s="22" t="s">
        <v>11931</v>
      </c>
      <c r="B495" s="22" t="s">
        <v>9248</v>
      </c>
      <c r="C495" s="22" t="s">
        <v>14910</v>
      </c>
      <c r="D495" s="23" t="s">
        <v>14911</v>
      </c>
      <c r="E495" s="22"/>
      <c r="F495" s="35" t="s">
        <v>14416</v>
      </c>
    </row>
    <row r="496" customFormat="false" ht="24.75" hidden="false" customHeight="true" outlineLevel="0" collapsed="false">
      <c r="A496" s="22" t="s">
        <v>11931</v>
      </c>
      <c r="B496" s="22" t="s">
        <v>9248</v>
      </c>
      <c r="C496" s="22" t="s">
        <v>14912</v>
      </c>
      <c r="D496" s="23" t="s">
        <v>14913</v>
      </c>
      <c r="E496" s="22"/>
      <c r="F496" s="35" t="s">
        <v>14416</v>
      </c>
    </row>
    <row r="497" customFormat="false" ht="24.75" hidden="false" customHeight="true" outlineLevel="0" collapsed="false">
      <c r="A497" s="22" t="s">
        <v>11931</v>
      </c>
      <c r="B497" s="22" t="s">
        <v>9248</v>
      </c>
      <c r="C497" s="22" t="s">
        <v>14914</v>
      </c>
      <c r="D497" s="23" t="s">
        <v>14915</v>
      </c>
      <c r="E497" s="22"/>
      <c r="F497" s="35" t="s">
        <v>14416</v>
      </c>
    </row>
    <row r="498" customFormat="false" ht="15" hidden="false" customHeight="true" outlineLevel="0" collapsed="false">
      <c r="A498" s="22" t="s">
        <v>11931</v>
      </c>
      <c r="B498" s="22" t="s">
        <v>9248</v>
      </c>
      <c r="C498" s="22" t="s">
        <v>14916</v>
      </c>
      <c r="D498" s="23" t="s">
        <v>14917</v>
      </c>
      <c r="E498" s="22"/>
      <c r="F498" s="35" t="s">
        <v>14416</v>
      </c>
    </row>
    <row r="499" customFormat="false" ht="24.75" hidden="false" customHeight="true" outlineLevel="0" collapsed="false">
      <c r="A499" s="22" t="s">
        <v>11954</v>
      </c>
      <c r="B499" s="22" t="s">
        <v>9248</v>
      </c>
      <c r="C499" s="22" t="s">
        <v>14892</v>
      </c>
      <c r="D499" s="23" t="s">
        <v>14893</v>
      </c>
      <c r="E499" s="22" t="s">
        <v>14894</v>
      </c>
      <c r="F499" s="53" t="s">
        <v>14420</v>
      </c>
    </row>
    <row r="500" customFormat="false" ht="24.75" hidden="false" customHeight="true" outlineLevel="0" collapsed="false">
      <c r="A500" s="22" t="s">
        <v>11954</v>
      </c>
      <c r="B500" s="22" t="s">
        <v>9248</v>
      </c>
      <c r="C500" s="22" t="s">
        <v>14918</v>
      </c>
      <c r="D500" s="23" t="s">
        <v>14919</v>
      </c>
      <c r="E500" s="22" t="s">
        <v>14920</v>
      </c>
      <c r="F500" s="53" t="s">
        <v>14420</v>
      </c>
    </row>
    <row r="501" customFormat="false" ht="24.75" hidden="false" customHeight="true" outlineLevel="0" collapsed="false">
      <c r="A501" s="22" t="s">
        <v>11954</v>
      </c>
      <c r="B501" s="22" t="s">
        <v>9248</v>
      </c>
      <c r="C501" s="22" t="s">
        <v>14878</v>
      </c>
      <c r="D501" s="23" t="s">
        <v>14206</v>
      </c>
      <c r="E501" s="22" t="s">
        <v>14879</v>
      </c>
      <c r="F501" s="53" t="s">
        <v>14420</v>
      </c>
    </row>
    <row r="502" customFormat="false" ht="24.75" hidden="false" customHeight="true" outlineLevel="0" collapsed="false">
      <c r="A502" s="22" t="s">
        <v>11954</v>
      </c>
      <c r="B502" s="22" t="s">
        <v>9248</v>
      </c>
      <c r="C502" s="22" t="s">
        <v>14921</v>
      </c>
      <c r="D502" s="23" t="s">
        <v>14192</v>
      </c>
      <c r="E502" s="22" t="s">
        <v>14922</v>
      </c>
      <c r="F502" s="53" t="s">
        <v>14420</v>
      </c>
    </row>
    <row r="503" customFormat="false" ht="24.75" hidden="false" customHeight="true" outlineLevel="0" collapsed="false">
      <c r="A503" s="22" t="s">
        <v>11954</v>
      </c>
      <c r="B503" s="22" t="s">
        <v>9248</v>
      </c>
      <c r="C503" s="22" t="s">
        <v>14923</v>
      </c>
      <c r="D503" s="23" t="s">
        <v>14924</v>
      </c>
      <c r="E503" s="22" t="s">
        <v>14925</v>
      </c>
      <c r="F503" s="53" t="s">
        <v>14420</v>
      </c>
    </row>
    <row r="504" customFormat="false" ht="24.75" hidden="false" customHeight="true" outlineLevel="0" collapsed="false">
      <c r="A504" s="22" t="s">
        <v>11954</v>
      </c>
      <c r="B504" s="22" t="s">
        <v>9248</v>
      </c>
      <c r="C504" s="22" t="s">
        <v>14889</v>
      </c>
      <c r="D504" s="23" t="s">
        <v>14890</v>
      </c>
      <c r="E504" s="22" t="s">
        <v>14891</v>
      </c>
      <c r="F504" s="53" t="s">
        <v>14420</v>
      </c>
    </row>
    <row r="505" customFormat="false" ht="24.75" hidden="false" customHeight="true" outlineLevel="0" collapsed="false">
      <c r="A505" s="22" t="s">
        <v>11954</v>
      </c>
      <c r="B505" s="22" t="s">
        <v>9248</v>
      </c>
      <c r="C505" s="22" t="s">
        <v>14926</v>
      </c>
      <c r="D505" s="23" t="s">
        <v>14927</v>
      </c>
      <c r="E505" s="22" t="s">
        <v>14928</v>
      </c>
      <c r="F505" s="35" t="s">
        <v>14416</v>
      </c>
    </row>
    <row r="506" customFormat="false" ht="24.75" hidden="false" customHeight="true" outlineLevel="0" collapsed="false">
      <c r="A506" s="22" t="s">
        <v>11978</v>
      </c>
      <c r="B506" s="22" t="s">
        <v>9248</v>
      </c>
      <c r="C506" s="22" t="s">
        <v>14929</v>
      </c>
      <c r="D506" s="23" t="s">
        <v>14930</v>
      </c>
      <c r="E506" s="22" t="s">
        <v>14931</v>
      </c>
      <c r="F506" s="53" t="s">
        <v>14420</v>
      </c>
    </row>
    <row r="507" customFormat="false" ht="24.75" hidden="false" customHeight="true" outlineLevel="0" collapsed="false">
      <c r="A507" s="22" t="s">
        <v>11978</v>
      </c>
      <c r="B507" s="22" t="s">
        <v>9248</v>
      </c>
      <c r="C507" s="22" t="s">
        <v>14921</v>
      </c>
      <c r="D507" s="23" t="s">
        <v>14192</v>
      </c>
      <c r="E507" s="22" t="s">
        <v>14922</v>
      </c>
      <c r="F507" s="53" t="s">
        <v>14420</v>
      </c>
    </row>
    <row r="508" customFormat="false" ht="24.75" hidden="false" customHeight="true" outlineLevel="0" collapsed="false">
      <c r="A508" s="22" t="s">
        <v>11978</v>
      </c>
      <c r="B508" s="22" t="s">
        <v>9248</v>
      </c>
      <c r="C508" s="22" t="s">
        <v>14932</v>
      </c>
      <c r="D508" s="23" t="s">
        <v>14933</v>
      </c>
      <c r="E508" s="22" t="s">
        <v>14934</v>
      </c>
      <c r="F508" s="53" t="s">
        <v>14420</v>
      </c>
    </row>
    <row r="509" customFormat="false" ht="24.75" hidden="false" customHeight="true" outlineLevel="0" collapsed="false">
      <c r="A509" s="22" t="s">
        <v>11978</v>
      </c>
      <c r="B509" s="22" t="s">
        <v>9248</v>
      </c>
      <c r="C509" s="22" t="s">
        <v>14935</v>
      </c>
      <c r="D509" s="23" t="s">
        <v>14936</v>
      </c>
      <c r="E509" s="22" t="s">
        <v>14937</v>
      </c>
      <c r="F509" s="53" t="s">
        <v>14420</v>
      </c>
    </row>
    <row r="510" customFormat="false" ht="24.75" hidden="false" customHeight="true" outlineLevel="0" collapsed="false">
      <c r="A510" s="22" t="s">
        <v>11978</v>
      </c>
      <c r="B510" s="22" t="s">
        <v>9248</v>
      </c>
      <c r="C510" s="22" t="s">
        <v>14938</v>
      </c>
      <c r="D510" s="23" t="s">
        <v>14939</v>
      </c>
      <c r="E510" s="22" t="s">
        <v>14940</v>
      </c>
      <c r="F510" s="53" t="s">
        <v>14420</v>
      </c>
    </row>
    <row r="511" customFormat="false" ht="24.75" hidden="false" customHeight="true" outlineLevel="0" collapsed="false">
      <c r="A511" s="22" t="s">
        <v>11978</v>
      </c>
      <c r="B511" s="22" t="s">
        <v>9248</v>
      </c>
      <c r="C511" s="22" t="s">
        <v>14941</v>
      </c>
      <c r="D511" s="23" t="s">
        <v>14942</v>
      </c>
      <c r="E511" s="22" t="s">
        <v>14943</v>
      </c>
      <c r="F511" s="53" t="s">
        <v>14420</v>
      </c>
    </row>
    <row r="512" customFormat="false" ht="24.75" hidden="false" customHeight="true" outlineLevel="0" collapsed="false">
      <c r="A512" s="22" t="s">
        <v>11978</v>
      </c>
      <c r="B512" s="22" t="s">
        <v>9248</v>
      </c>
      <c r="C512" s="22" t="s">
        <v>14944</v>
      </c>
      <c r="D512" s="23" t="s">
        <v>14945</v>
      </c>
      <c r="E512" s="22" t="s">
        <v>14946</v>
      </c>
      <c r="F512" s="53" t="s">
        <v>14420</v>
      </c>
    </row>
    <row r="513" customFormat="false" ht="37.5" hidden="false" customHeight="true" outlineLevel="0" collapsed="false">
      <c r="A513" s="22" t="s">
        <v>11978</v>
      </c>
      <c r="B513" s="22" t="s">
        <v>9248</v>
      </c>
      <c r="C513" s="22" t="s">
        <v>14947</v>
      </c>
      <c r="D513" s="23" t="s">
        <v>14948</v>
      </c>
      <c r="E513" s="22" t="s">
        <v>14949</v>
      </c>
      <c r="F513" s="53" t="s">
        <v>14420</v>
      </c>
    </row>
    <row r="514" customFormat="false" ht="24.75" hidden="false" customHeight="true" outlineLevel="0" collapsed="false">
      <c r="A514" s="22" t="s">
        <v>11978</v>
      </c>
      <c r="B514" s="22" t="s">
        <v>9248</v>
      </c>
      <c r="C514" s="22" t="s">
        <v>14903</v>
      </c>
      <c r="D514" s="23" t="s">
        <v>14904</v>
      </c>
      <c r="E514" s="22" t="s">
        <v>14905</v>
      </c>
      <c r="F514" s="53" t="s">
        <v>14420</v>
      </c>
    </row>
    <row r="515" customFormat="false" ht="15" hidden="false" customHeight="true" outlineLevel="0" collapsed="false">
      <c r="A515" s="22" t="s">
        <v>11978</v>
      </c>
      <c r="B515" s="22" t="s">
        <v>9248</v>
      </c>
      <c r="C515" s="22" t="s">
        <v>14950</v>
      </c>
      <c r="D515" s="23" t="s">
        <v>14951</v>
      </c>
      <c r="E515" s="22"/>
      <c r="F515" s="35" t="s">
        <v>14416</v>
      </c>
    </row>
    <row r="516" customFormat="false" ht="24.75" hidden="false" customHeight="true" outlineLevel="0" collapsed="false">
      <c r="A516" s="22" t="s">
        <v>11978</v>
      </c>
      <c r="B516" s="22" t="s">
        <v>9248</v>
      </c>
      <c r="C516" s="22" t="s">
        <v>14952</v>
      </c>
      <c r="D516" s="23" t="s">
        <v>14953</v>
      </c>
      <c r="E516" s="22"/>
      <c r="F516" s="35" t="s">
        <v>14416</v>
      </c>
    </row>
    <row r="517" customFormat="false" ht="24.75" hidden="false" customHeight="true" outlineLevel="0" collapsed="false">
      <c r="A517" s="22" t="s">
        <v>12002</v>
      </c>
      <c r="B517" s="22" t="s">
        <v>9248</v>
      </c>
      <c r="C517" s="22" t="s">
        <v>14929</v>
      </c>
      <c r="D517" s="23" t="s">
        <v>14930</v>
      </c>
      <c r="E517" s="22" t="s">
        <v>14931</v>
      </c>
      <c r="F517" s="53" t="s">
        <v>14420</v>
      </c>
    </row>
    <row r="518" customFormat="false" ht="24.75" hidden="false" customHeight="true" outlineLevel="0" collapsed="false">
      <c r="A518" s="22" t="s">
        <v>12002</v>
      </c>
      <c r="B518" s="22" t="s">
        <v>9248</v>
      </c>
      <c r="C518" s="22" t="s">
        <v>14903</v>
      </c>
      <c r="D518" s="23" t="s">
        <v>14904</v>
      </c>
      <c r="E518" s="22" t="s">
        <v>14905</v>
      </c>
      <c r="F518" s="53" t="s">
        <v>14420</v>
      </c>
    </row>
    <row r="519" customFormat="false" ht="24.75" hidden="false" customHeight="true" outlineLevel="0" collapsed="false">
      <c r="A519" s="22" t="s">
        <v>12002</v>
      </c>
      <c r="B519" s="22" t="s">
        <v>9248</v>
      </c>
      <c r="C519" s="22" t="s">
        <v>14954</v>
      </c>
      <c r="D519" s="23" t="s">
        <v>14955</v>
      </c>
      <c r="E519" s="22" t="s">
        <v>14956</v>
      </c>
      <c r="F519" s="53" t="s">
        <v>14420</v>
      </c>
    </row>
    <row r="520" customFormat="false" ht="15" hidden="false" customHeight="true" outlineLevel="0" collapsed="false">
      <c r="A520" s="22" t="s">
        <v>12002</v>
      </c>
      <c r="B520" s="22" t="s">
        <v>9248</v>
      </c>
      <c r="C520" s="22" t="s">
        <v>14957</v>
      </c>
      <c r="D520" s="23" t="s">
        <v>14958</v>
      </c>
      <c r="E520" s="22" t="s">
        <v>14959</v>
      </c>
      <c r="F520" s="53" t="s">
        <v>14420</v>
      </c>
    </row>
    <row r="521" customFormat="false" ht="24.75" hidden="false" customHeight="true" outlineLevel="0" collapsed="false">
      <c r="A521" s="22" t="s">
        <v>12002</v>
      </c>
      <c r="B521" s="22" t="s">
        <v>9248</v>
      </c>
      <c r="C521" s="22" t="s">
        <v>14960</v>
      </c>
      <c r="D521" s="23" t="s">
        <v>14961</v>
      </c>
      <c r="E521" s="22" t="s">
        <v>14962</v>
      </c>
      <c r="F521" s="35" t="s">
        <v>14416</v>
      </c>
    </row>
    <row r="522" customFormat="false" ht="37.5" hidden="false" customHeight="true" outlineLevel="0" collapsed="false">
      <c r="A522" s="22" t="s">
        <v>12002</v>
      </c>
      <c r="B522" s="22" t="s">
        <v>9248</v>
      </c>
      <c r="C522" s="22" t="s">
        <v>14901</v>
      </c>
      <c r="D522" s="23" t="s">
        <v>14197</v>
      </c>
      <c r="E522" s="22" t="s">
        <v>14902</v>
      </c>
      <c r="F522" s="53" t="s">
        <v>14420</v>
      </c>
    </row>
    <row r="523" customFormat="false" ht="15" hidden="false" customHeight="true" outlineLevel="0" collapsed="false">
      <c r="A523" s="22" t="s">
        <v>12002</v>
      </c>
      <c r="B523" s="22" t="s">
        <v>9248</v>
      </c>
      <c r="C523" s="22" t="s">
        <v>14963</v>
      </c>
      <c r="D523" s="23" t="s">
        <v>14964</v>
      </c>
      <c r="E523" s="22" t="s">
        <v>14965</v>
      </c>
      <c r="F523" s="53" t="s">
        <v>14420</v>
      </c>
    </row>
    <row r="524" customFormat="false" ht="24.75" hidden="false" customHeight="true" outlineLevel="0" collapsed="false">
      <c r="A524" s="22" t="s">
        <v>12002</v>
      </c>
      <c r="B524" s="22" t="s">
        <v>9248</v>
      </c>
      <c r="C524" s="22" t="s">
        <v>14966</v>
      </c>
      <c r="D524" s="23" t="s">
        <v>14967</v>
      </c>
      <c r="E524" s="22" t="s">
        <v>14968</v>
      </c>
      <c r="F524" s="53" t="s">
        <v>14420</v>
      </c>
    </row>
    <row r="525" customFormat="false" ht="24.75" hidden="false" customHeight="true" outlineLevel="0" collapsed="false">
      <c r="A525" s="22" t="s">
        <v>12002</v>
      </c>
      <c r="B525" s="22" t="s">
        <v>9248</v>
      </c>
      <c r="C525" s="22" t="s">
        <v>14969</v>
      </c>
      <c r="D525" s="23" t="s">
        <v>14970</v>
      </c>
      <c r="E525" s="22" t="s">
        <v>14971</v>
      </c>
      <c r="F525" s="53" t="s">
        <v>14420</v>
      </c>
    </row>
    <row r="526" customFormat="false" ht="15" hidden="false" customHeight="true" outlineLevel="0" collapsed="false">
      <c r="A526" s="22" t="s">
        <v>12002</v>
      </c>
      <c r="B526" s="22" t="s">
        <v>9248</v>
      </c>
      <c r="C526" s="22" t="s">
        <v>14916</v>
      </c>
      <c r="D526" s="23" t="s">
        <v>14917</v>
      </c>
      <c r="E526" s="22"/>
      <c r="F526" s="35" t="s">
        <v>14416</v>
      </c>
    </row>
    <row r="527" customFormat="false" ht="24.75" hidden="false" customHeight="true" outlineLevel="0" collapsed="false">
      <c r="A527" s="22" t="s">
        <v>12002</v>
      </c>
      <c r="B527" s="22" t="s">
        <v>9248</v>
      </c>
      <c r="C527" s="22" t="s">
        <v>14972</v>
      </c>
      <c r="D527" s="23" t="s">
        <v>14973</v>
      </c>
      <c r="E527" s="22"/>
      <c r="F527" s="35" t="s">
        <v>14416</v>
      </c>
    </row>
    <row r="528" customFormat="false" ht="24.75" hidden="false" customHeight="true" outlineLevel="0" collapsed="false">
      <c r="A528" s="22" t="s">
        <v>12027</v>
      </c>
      <c r="B528" s="22" t="s">
        <v>9248</v>
      </c>
      <c r="C528" s="22" t="s">
        <v>14921</v>
      </c>
      <c r="D528" s="23" t="s">
        <v>14192</v>
      </c>
      <c r="E528" s="22" t="s">
        <v>14922</v>
      </c>
      <c r="F528" s="53" t="s">
        <v>14420</v>
      </c>
    </row>
    <row r="529" customFormat="false" ht="24.75" hidden="false" customHeight="true" outlineLevel="0" collapsed="false">
      <c r="A529" s="22" t="s">
        <v>12027</v>
      </c>
      <c r="B529" s="22" t="s">
        <v>9248</v>
      </c>
      <c r="C529" s="22" t="s">
        <v>14932</v>
      </c>
      <c r="D529" s="23" t="s">
        <v>14933</v>
      </c>
      <c r="E529" s="22" t="s">
        <v>14934</v>
      </c>
      <c r="F529" s="53" t="s">
        <v>14420</v>
      </c>
    </row>
    <row r="530" customFormat="false" ht="24.75" hidden="false" customHeight="true" outlineLevel="0" collapsed="false">
      <c r="A530" s="22" t="s">
        <v>12027</v>
      </c>
      <c r="B530" s="22" t="s">
        <v>9248</v>
      </c>
      <c r="C530" s="22" t="s">
        <v>14935</v>
      </c>
      <c r="D530" s="23" t="s">
        <v>14936</v>
      </c>
      <c r="E530" s="22" t="s">
        <v>14937</v>
      </c>
      <c r="F530" s="53" t="s">
        <v>14420</v>
      </c>
    </row>
    <row r="531" customFormat="false" ht="24.75" hidden="false" customHeight="true" outlineLevel="0" collapsed="false">
      <c r="A531" s="22" t="s">
        <v>12027</v>
      </c>
      <c r="B531" s="22" t="s">
        <v>9248</v>
      </c>
      <c r="C531" s="22" t="s">
        <v>14938</v>
      </c>
      <c r="D531" s="23" t="s">
        <v>14939</v>
      </c>
      <c r="E531" s="22" t="s">
        <v>14940</v>
      </c>
      <c r="F531" s="53" t="s">
        <v>14420</v>
      </c>
    </row>
    <row r="532" customFormat="false" ht="24.75" hidden="false" customHeight="true" outlineLevel="0" collapsed="false">
      <c r="A532" s="22" t="s">
        <v>12027</v>
      </c>
      <c r="B532" s="22" t="s">
        <v>9248</v>
      </c>
      <c r="C532" s="22" t="s">
        <v>14974</v>
      </c>
      <c r="D532" s="23" t="s">
        <v>14975</v>
      </c>
      <c r="E532" s="22" t="s">
        <v>14976</v>
      </c>
      <c r="F532" s="53" t="s">
        <v>14420</v>
      </c>
    </row>
    <row r="533" customFormat="false" ht="24.75" hidden="false" customHeight="true" outlineLevel="0" collapsed="false">
      <c r="A533" s="22" t="s">
        <v>12027</v>
      </c>
      <c r="B533" s="22" t="s">
        <v>9248</v>
      </c>
      <c r="C533" s="22" t="s">
        <v>14941</v>
      </c>
      <c r="D533" s="23" t="s">
        <v>14942</v>
      </c>
      <c r="E533" s="22" t="s">
        <v>14943</v>
      </c>
      <c r="F533" s="53" t="s">
        <v>14420</v>
      </c>
    </row>
    <row r="534" customFormat="false" ht="15" hidden="false" customHeight="true" outlineLevel="0" collapsed="false">
      <c r="A534" s="22" t="s">
        <v>12027</v>
      </c>
      <c r="B534" s="22" t="s">
        <v>9248</v>
      </c>
      <c r="C534" s="22" t="s">
        <v>14977</v>
      </c>
      <c r="D534" s="23" t="s">
        <v>14951</v>
      </c>
      <c r="E534" s="22"/>
      <c r="F534" s="35" t="s">
        <v>14416</v>
      </c>
    </row>
    <row r="535" customFormat="false" ht="15" hidden="false" customHeight="true" outlineLevel="0" collapsed="false">
      <c r="A535" s="22" t="s">
        <v>12027</v>
      </c>
      <c r="B535" s="22" t="s">
        <v>9248</v>
      </c>
      <c r="C535" s="22" t="s">
        <v>14978</v>
      </c>
      <c r="D535" s="23" t="s">
        <v>14979</v>
      </c>
      <c r="E535" s="22"/>
      <c r="F535" s="35" t="s">
        <v>14416</v>
      </c>
    </row>
    <row r="536" customFormat="false" ht="24.75" hidden="false" customHeight="true" outlineLevel="0" collapsed="false">
      <c r="A536" s="22" t="s">
        <v>12027</v>
      </c>
      <c r="B536" s="22" t="s">
        <v>9248</v>
      </c>
      <c r="C536" s="22" t="s">
        <v>14980</v>
      </c>
      <c r="D536" s="23" t="s">
        <v>14953</v>
      </c>
      <c r="E536" s="22"/>
      <c r="F536" s="35" t="s">
        <v>14416</v>
      </c>
    </row>
    <row r="537" customFormat="false" ht="24.75" hidden="false" customHeight="true" outlineLevel="0" collapsed="false">
      <c r="A537" s="22" t="s">
        <v>12027</v>
      </c>
      <c r="B537" s="22" t="s">
        <v>9248</v>
      </c>
      <c r="C537" s="22" t="s">
        <v>14981</v>
      </c>
      <c r="D537" s="23" t="s">
        <v>14970</v>
      </c>
      <c r="E537" s="22" t="s">
        <v>14982</v>
      </c>
      <c r="F537" s="53" t="s">
        <v>14420</v>
      </c>
    </row>
    <row r="538" customFormat="false" ht="24.75" hidden="false" customHeight="true" outlineLevel="0" collapsed="false">
      <c r="A538" s="22" t="s">
        <v>12051</v>
      </c>
      <c r="B538" s="22" t="s">
        <v>9248</v>
      </c>
      <c r="C538" s="22" t="s">
        <v>14929</v>
      </c>
      <c r="D538" s="23" t="s">
        <v>14930</v>
      </c>
      <c r="E538" s="22" t="s">
        <v>14931</v>
      </c>
      <c r="F538" s="53" t="s">
        <v>14420</v>
      </c>
    </row>
    <row r="539" customFormat="false" ht="24.75" hidden="false" customHeight="true" outlineLevel="0" collapsed="false">
      <c r="A539" s="22" t="s">
        <v>12051</v>
      </c>
      <c r="B539" s="22" t="s">
        <v>9248</v>
      </c>
      <c r="C539" s="22" t="s">
        <v>14903</v>
      </c>
      <c r="D539" s="23" t="s">
        <v>14904</v>
      </c>
      <c r="E539" s="22" t="s">
        <v>14905</v>
      </c>
      <c r="F539" s="53" t="s">
        <v>14420</v>
      </c>
    </row>
    <row r="540" customFormat="false" ht="15" hidden="false" customHeight="true" outlineLevel="0" collapsed="false">
      <c r="A540" s="22" t="s">
        <v>12051</v>
      </c>
      <c r="B540" s="22" t="s">
        <v>9248</v>
      </c>
      <c r="C540" s="22" t="s">
        <v>14983</v>
      </c>
      <c r="D540" s="23" t="s">
        <v>14984</v>
      </c>
      <c r="E540" s="22"/>
      <c r="F540" s="35" t="s">
        <v>14416</v>
      </c>
    </row>
    <row r="541" customFormat="false" ht="24.75" hidden="false" customHeight="true" outlineLevel="0" collapsed="false">
      <c r="A541" s="22" t="s">
        <v>12074</v>
      </c>
      <c r="B541" s="22" t="s">
        <v>9248</v>
      </c>
      <c r="C541" s="22" t="s">
        <v>14966</v>
      </c>
      <c r="D541" s="23" t="s">
        <v>14967</v>
      </c>
      <c r="E541" s="22" t="s">
        <v>14968</v>
      </c>
      <c r="F541" s="53" t="s">
        <v>14420</v>
      </c>
    </row>
    <row r="542" customFormat="false" ht="24.75" hidden="false" customHeight="true" outlineLevel="0" collapsed="false">
      <c r="A542" s="22" t="s">
        <v>12074</v>
      </c>
      <c r="B542" s="22" t="s">
        <v>9248</v>
      </c>
      <c r="C542" s="22" t="s">
        <v>14921</v>
      </c>
      <c r="D542" s="23" t="s">
        <v>14192</v>
      </c>
      <c r="E542" s="22" t="s">
        <v>14922</v>
      </c>
      <c r="F542" s="53" t="s">
        <v>14420</v>
      </c>
    </row>
    <row r="543" customFormat="false" ht="24.75" hidden="false" customHeight="true" outlineLevel="0" collapsed="false">
      <c r="A543" s="22" t="s">
        <v>12074</v>
      </c>
      <c r="B543" s="22" t="s">
        <v>9248</v>
      </c>
      <c r="C543" s="22" t="s">
        <v>14932</v>
      </c>
      <c r="D543" s="23" t="s">
        <v>14933</v>
      </c>
      <c r="E543" s="22" t="s">
        <v>14934</v>
      </c>
      <c r="F543" s="53" t="s">
        <v>14420</v>
      </c>
    </row>
    <row r="544" customFormat="false" ht="24.75" hidden="false" customHeight="true" outlineLevel="0" collapsed="false">
      <c r="A544" s="22" t="s">
        <v>12074</v>
      </c>
      <c r="B544" s="22" t="s">
        <v>9248</v>
      </c>
      <c r="C544" s="22" t="s">
        <v>14903</v>
      </c>
      <c r="D544" s="23" t="s">
        <v>14904</v>
      </c>
      <c r="E544" s="22" t="s">
        <v>14905</v>
      </c>
      <c r="F544" s="53" t="s">
        <v>14420</v>
      </c>
    </row>
    <row r="545" customFormat="false" ht="37.5" hidden="false" customHeight="true" outlineLevel="0" collapsed="false">
      <c r="A545" s="22" t="s">
        <v>12096</v>
      </c>
      <c r="B545" s="22" t="s">
        <v>9248</v>
      </c>
      <c r="C545" s="22" t="s">
        <v>14901</v>
      </c>
      <c r="D545" s="23" t="s">
        <v>14197</v>
      </c>
      <c r="E545" s="22" t="s">
        <v>14902</v>
      </c>
      <c r="F545" s="53" t="s">
        <v>14420</v>
      </c>
    </row>
    <row r="546" customFormat="false" ht="24.75" hidden="false" customHeight="true" outlineLevel="0" collapsed="false">
      <c r="A546" s="22" t="s">
        <v>12096</v>
      </c>
      <c r="B546" s="22" t="s">
        <v>9248</v>
      </c>
      <c r="C546" s="22" t="s">
        <v>14985</v>
      </c>
      <c r="D546" s="23" t="s">
        <v>14202</v>
      </c>
      <c r="E546" s="22" t="s">
        <v>14986</v>
      </c>
      <c r="F546" s="53" t="s">
        <v>14420</v>
      </c>
    </row>
    <row r="547" customFormat="false" ht="24.75" hidden="false" customHeight="true" outlineLevel="0" collapsed="false">
      <c r="A547" s="22" t="s">
        <v>12096</v>
      </c>
      <c r="B547" s="22" t="s">
        <v>9248</v>
      </c>
      <c r="C547" s="22" t="s">
        <v>14921</v>
      </c>
      <c r="D547" s="23" t="s">
        <v>14192</v>
      </c>
      <c r="E547" s="22" t="s">
        <v>14922</v>
      </c>
      <c r="F547" s="53" t="s">
        <v>14420</v>
      </c>
    </row>
    <row r="548" customFormat="false" ht="24.75" hidden="false" customHeight="true" outlineLevel="0" collapsed="false">
      <c r="A548" s="22" t="s">
        <v>12121</v>
      </c>
      <c r="B548" s="22" t="s">
        <v>9248</v>
      </c>
      <c r="C548" s="22" t="s">
        <v>14985</v>
      </c>
      <c r="D548" s="23" t="s">
        <v>14202</v>
      </c>
      <c r="E548" s="22" t="s">
        <v>14986</v>
      </c>
      <c r="F548" s="53" t="s">
        <v>14420</v>
      </c>
    </row>
    <row r="549" customFormat="false" ht="24.75" hidden="false" customHeight="true" outlineLevel="0" collapsed="false">
      <c r="A549" s="22" t="s">
        <v>12121</v>
      </c>
      <c r="B549" s="22" t="s">
        <v>9248</v>
      </c>
      <c r="C549" s="22" t="s">
        <v>14903</v>
      </c>
      <c r="D549" s="23" t="s">
        <v>14904</v>
      </c>
      <c r="E549" s="22" t="s">
        <v>14905</v>
      </c>
      <c r="F549" s="53" t="s">
        <v>14420</v>
      </c>
    </row>
    <row r="550" customFormat="false" ht="24.75" hidden="false" customHeight="true" outlineLevel="0" collapsed="false">
      <c r="A550" s="22" t="s">
        <v>12121</v>
      </c>
      <c r="B550" s="22" t="s">
        <v>9248</v>
      </c>
      <c r="C550" s="22" t="s">
        <v>14987</v>
      </c>
      <c r="D550" s="23" t="s">
        <v>14988</v>
      </c>
      <c r="E550" s="22" t="s">
        <v>14989</v>
      </c>
      <c r="F550" s="53" t="s">
        <v>14420</v>
      </c>
    </row>
    <row r="551" customFormat="false" ht="15" hidden="false" customHeight="true" outlineLevel="0" collapsed="false">
      <c r="A551" s="22" t="s">
        <v>12121</v>
      </c>
      <c r="B551" s="22" t="s">
        <v>9248</v>
      </c>
      <c r="C551" s="22" t="s">
        <v>14990</v>
      </c>
      <c r="D551" s="23" t="s">
        <v>14991</v>
      </c>
      <c r="E551" s="22" t="s">
        <v>14992</v>
      </c>
      <c r="F551" s="53" t="s">
        <v>14420</v>
      </c>
    </row>
    <row r="552" customFormat="false" ht="37.5" hidden="false" customHeight="true" outlineLevel="0" collapsed="false">
      <c r="A552" s="22" t="s">
        <v>12121</v>
      </c>
      <c r="B552" s="22" t="s">
        <v>9248</v>
      </c>
      <c r="C552" s="22" t="s">
        <v>14947</v>
      </c>
      <c r="D552" s="23" t="s">
        <v>14948</v>
      </c>
      <c r="E552" s="22" t="s">
        <v>14949</v>
      </c>
      <c r="F552" s="53" t="s">
        <v>14420</v>
      </c>
    </row>
    <row r="553" customFormat="false" ht="24.75" hidden="false" customHeight="true" outlineLevel="0" collapsed="false">
      <c r="A553" s="22" t="s">
        <v>12121</v>
      </c>
      <c r="B553" s="22" t="s">
        <v>9248</v>
      </c>
      <c r="C553" s="22" t="s">
        <v>14993</v>
      </c>
      <c r="D553" s="23" t="s">
        <v>14970</v>
      </c>
      <c r="E553" s="22" t="s">
        <v>14994</v>
      </c>
      <c r="F553" s="53" t="s">
        <v>14420</v>
      </c>
    </row>
    <row r="554" customFormat="false" ht="15" hidden="false" customHeight="true" outlineLevel="0" collapsed="false">
      <c r="A554" s="22" t="s">
        <v>12121</v>
      </c>
      <c r="B554" s="22" t="s">
        <v>9248</v>
      </c>
      <c r="C554" s="22" t="s">
        <v>14995</v>
      </c>
      <c r="D554" s="23" t="s">
        <v>14917</v>
      </c>
      <c r="E554" s="22" t="s">
        <v>14996</v>
      </c>
      <c r="F554" s="35" t="s">
        <v>14416</v>
      </c>
    </row>
    <row r="555" customFormat="false" ht="24.75" hidden="false" customHeight="true" outlineLevel="0" collapsed="false">
      <c r="A555" s="22" t="s">
        <v>12146</v>
      </c>
      <c r="B555" s="22" t="s">
        <v>9248</v>
      </c>
      <c r="C555" s="22" t="s">
        <v>14921</v>
      </c>
      <c r="D555" s="23" t="s">
        <v>14192</v>
      </c>
      <c r="E555" s="22" t="s">
        <v>14922</v>
      </c>
      <c r="F555" s="53" t="s">
        <v>14420</v>
      </c>
    </row>
    <row r="556" customFormat="false" ht="24.75" hidden="false" customHeight="true" outlineLevel="0" collapsed="false">
      <c r="A556" s="22" t="s">
        <v>12146</v>
      </c>
      <c r="B556" s="22" t="s">
        <v>9248</v>
      </c>
      <c r="C556" s="22" t="s">
        <v>14954</v>
      </c>
      <c r="D556" s="23" t="s">
        <v>14955</v>
      </c>
      <c r="E556" s="22" t="s">
        <v>14956</v>
      </c>
      <c r="F556" s="53" t="s">
        <v>14420</v>
      </c>
    </row>
    <row r="557" customFormat="false" ht="37.5" hidden="false" customHeight="true" outlineLevel="0" collapsed="false">
      <c r="A557" s="22" t="s">
        <v>12146</v>
      </c>
      <c r="B557" s="22" t="s">
        <v>9248</v>
      </c>
      <c r="C557" s="22" t="s">
        <v>14901</v>
      </c>
      <c r="D557" s="23" t="s">
        <v>14197</v>
      </c>
      <c r="E557" s="22" t="s">
        <v>14902</v>
      </c>
      <c r="F557" s="53" t="s">
        <v>14420</v>
      </c>
    </row>
    <row r="558" customFormat="false" ht="24.75" hidden="false" customHeight="true" outlineLevel="0" collapsed="false">
      <c r="A558" s="22" t="s">
        <v>12171</v>
      </c>
      <c r="B558" s="22" t="s">
        <v>9248</v>
      </c>
      <c r="C558" s="22" t="s">
        <v>14997</v>
      </c>
      <c r="D558" s="23" t="s">
        <v>14998</v>
      </c>
      <c r="E558" s="22" t="s">
        <v>14999</v>
      </c>
      <c r="F558" s="53" t="s">
        <v>14420</v>
      </c>
    </row>
    <row r="559" customFormat="false" ht="24.75" hidden="false" customHeight="true" outlineLevel="0" collapsed="false">
      <c r="A559" s="22" t="s">
        <v>12171</v>
      </c>
      <c r="B559" s="22" t="s">
        <v>9248</v>
      </c>
      <c r="C559" s="22" t="s">
        <v>15000</v>
      </c>
      <c r="D559" s="23" t="s">
        <v>15001</v>
      </c>
      <c r="E559" s="22" t="s">
        <v>15002</v>
      </c>
      <c r="F559" s="53" t="s">
        <v>14420</v>
      </c>
    </row>
    <row r="560" customFormat="false" ht="24.75" hidden="false" customHeight="true" outlineLevel="0" collapsed="false">
      <c r="A560" s="22" t="s">
        <v>12171</v>
      </c>
      <c r="B560" s="22" t="s">
        <v>9248</v>
      </c>
      <c r="C560" s="22" t="s">
        <v>14903</v>
      </c>
      <c r="D560" s="23" t="s">
        <v>14904</v>
      </c>
      <c r="E560" s="22" t="s">
        <v>14905</v>
      </c>
      <c r="F560" s="53" t="s">
        <v>14420</v>
      </c>
    </row>
    <row r="561" customFormat="false" ht="24.75" hidden="false" customHeight="true" outlineLevel="0" collapsed="false">
      <c r="A561" s="22" t="s">
        <v>12194</v>
      </c>
      <c r="B561" s="22" t="s">
        <v>9248</v>
      </c>
      <c r="C561" s="22" t="s">
        <v>15003</v>
      </c>
      <c r="D561" s="23" t="s">
        <v>15004</v>
      </c>
      <c r="E561" s="22" t="s">
        <v>15005</v>
      </c>
      <c r="F561" s="53" t="s">
        <v>14420</v>
      </c>
    </row>
    <row r="562" customFormat="false" ht="24.75" hidden="false" customHeight="true" outlineLevel="0" collapsed="false">
      <c r="A562" s="22" t="s">
        <v>12194</v>
      </c>
      <c r="B562" s="22" t="s">
        <v>9248</v>
      </c>
      <c r="C562" s="22" t="s">
        <v>14932</v>
      </c>
      <c r="D562" s="23" t="s">
        <v>14933</v>
      </c>
      <c r="E562" s="22" t="s">
        <v>14934</v>
      </c>
      <c r="F562" s="53" t="s">
        <v>14420</v>
      </c>
    </row>
    <row r="563" customFormat="false" ht="24.75" hidden="false" customHeight="true" outlineLevel="0" collapsed="false">
      <c r="A563" s="22" t="s">
        <v>12219</v>
      </c>
      <c r="B563" s="22" t="s">
        <v>9248</v>
      </c>
      <c r="C563" s="22" t="s">
        <v>14923</v>
      </c>
      <c r="D563" s="23" t="s">
        <v>14924</v>
      </c>
      <c r="E563" s="22" t="s">
        <v>14925</v>
      </c>
      <c r="F563" s="53" t="s">
        <v>14420</v>
      </c>
    </row>
    <row r="564" customFormat="false" ht="24.75" hidden="false" customHeight="true" outlineLevel="0" collapsed="false">
      <c r="A564" s="22" t="s">
        <v>12219</v>
      </c>
      <c r="B564" s="22" t="s">
        <v>9248</v>
      </c>
      <c r="C564" s="22" t="s">
        <v>15006</v>
      </c>
      <c r="D564" s="23" t="s">
        <v>15007</v>
      </c>
      <c r="E564" s="22" t="s">
        <v>15008</v>
      </c>
      <c r="F564" s="53" t="s">
        <v>14420</v>
      </c>
    </row>
    <row r="565" customFormat="false" ht="24.75" hidden="false" customHeight="true" outlineLevel="0" collapsed="false">
      <c r="A565" s="22" t="s">
        <v>12219</v>
      </c>
      <c r="B565" s="22" t="s">
        <v>9248</v>
      </c>
      <c r="C565" s="22" t="s">
        <v>15009</v>
      </c>
      <c r="D565" s="23" t="s">
        <v>15010</v>
      </c>
      <c r="E565" s="22" t="s">
        <v>15011</v>
      </c>
      <c r="F565" s="53" t="s">
        <v>14420</v>
      </c>
    </row>
    <row r="566" customFormat="false" ht="24.75" hidden="false" customHeight="true" outlineLevel="0" collapsed="false">
      <c r="A566" s="22" t="s">
        <v>12219</v>
      </c>
      <c r="B566" s="22" t="s">
        <v>9248</v>
      </c>
      <c r="C566" s="22" t="s">
        <v>15012</v>
      </c>
      <c r="D566" s="23" t="s">
        <v>15013</v>
      </c>
      <c r="E566" s="22" t="s">
        <v>15014</v>
      </c>
      <c r="F566" s="53" t="s">
        <v>14420</v>
      </c>
    </row>
    <row r="567" customFormat="false" ht="24.75" hidden="false" customHeight="true" outlineLevel="0" collapsed="false">
      <c r="A567" s="22" t="s">
        <v>12219</v>
      </c>
      <c r="B567" s="22" t="s">
        <v>9248</v>
      </c>
      <c r="C567" s="22" t="s">
        <v>15015</v>
      </c>
      <c r="D567" s="23" t="s">
        <v>15016</v>
      </c>
      <c r="E567" s="22" t="s">
        <v>15017</v>
      </c>
      <c r="F567" s="35" t="s">
        <v>14416</v>
      </c>
    </row>
    <row r="568" customFormat="false" ht="24.75" hidden="false" customHeight="true" outlineLevel="0" collapsed="false">
      <c r="A568" s="22" t="s">
        <v>12219</v>
      </c>
      <c r="B568" s="22" t="s">
        <v>9248</v>
      </c>
      <c r="C568" s="22" t="s">
        <v>15018</v>
      </c>
      <c r="D568" s="23" t="s">
        <v>14927</v>
      </c>
      <c r="E568" s="22"/>
      <c r="F568" s="35" t="s">
        <v>14416</v>
      </c>
    </row>
    <row r="569" customFormat="false" ht="24.75" hidden="false" customHeight="true" outlineLevel="0" collapsed="false">
      <c r="A569" s="22" t="s">
        <v>12219</v>
      </c>
      <c r="B569" s="22" t="s">
        <v>9248</v>
      </c>
      <c r="C569" s="22" t="s">
        <v>15019</v>
      </c>
      <c r="D569" s="23" t="s">
        <v>15020</v>
      </c>
      <c r="E569" s="22"/>
      <c r="F569" s="35" t="s">
        <v>14416</v>
      </c>
    </row>
    <row r="570" customFormat="false" ht="24.75" hidden="false" customHeight="true" outlineLevel="0" collapsed="false">
      <c r="A570" s="22" t="s">
        <v>12242</v>
      </c>
      <c r="B570" s="22" t="s">
        <v>9248</v>
      </c>
      <c r="C570" s="22" t="s">
        <v>15015</v>
      </c>
      <c r="D570" s="23" t="s">
        <v>15016</v>
      </c>
      <c r="E570" s="22" t="s">
        <v>15017</v>
      </c>
      <c r="F570" s="35" t="s">
        <v>14416</v>
      </c>
    </row>
    <row r="571" customFormat="false" ht="24.75" hidden="false" customHeight="true" outlineLevel="0" collapsed="false">
      <c r="A571" s="22" t="s">
        <v>12242</v>
      </c>
      <c r="B571" s="22" t="s">
        <v>9248</v>
      </c>
      <c r="C571" s="22" t="s">
        <v>15021</v>
      </c>
      <c r="D571" s="23" t="s">
        <v>15022</v>
      </c>
      <c r="E571" s="22" t="s">
        <v>15023</v>
      </c>
      <c r="F571" s="53" t="s">
        <v>14420</v>
      </c>
    </row>
    <row r="572" customFormat="false" ht="24.75" hidden="false" customHeight="true" outlineLevel="0" collapsed="false">
      <c r="A572" s="22" t="s">
        <v>12242</v>
      </c>
      <c r="B572" s="22" t="s">
        <v>9248</v>
      </c>
      <c r="C572" s="22" t="s">
        <v>14898</v>
      </c>
      <c r="D572" s="23" t="s">
        <v>14899</v>
      </c>
      <c r="E572" s="22" t="s">
        <v>14900</v>
      </c>
      <c r="F572" s="53" t="s">
        <v>14420</v>
      </c>
    </row>
    <row r="573" customFormat="false" ht="24.75" hidden="false" customHeight="true" outlineLevel="0" collapsed="false">
      <c r="A573" s="22" t="s">
        <v>12242</v>
      </c>
      <c r="B573" s="22" t="s">
        <v>9248</v>
      </c>
      <c r="C573" s="22" t="s">
        <v>15024</v>
      </c>
      <c r="D573" s="23" t="s">
        <v>15025</v>
      </c>
      <c r="E573" s="22" t="s">
        <v>15026</v>
      </c>
      <c r="F573" s="53" t="s">
        <v>14420</v>
      </c>
    </row>
    <row r="574" customFormat="false" ht="24.75" hidden="false" customHeight="true" outlineLevel="0" collapsed="false">
      <c r="A574" s="22" t="s">
        <v>12267</v>
      </c>
      <c r="B574" s="22" t="s">
        <v>9248</v>
      </c>
      <c r="C574" s="22" t="s">
        <v>15015</v>
      </c>
      <c r="D574" s="23" t="s">
        <v>15016</v>
      </c>
      <c r="E574" s="22" t="s">
        <v>15017</v>
      </c>
      <c r="F574" s="35" t="s">
        <v>14416</v>
      </c>
    </row>
    <row r="575" customFormat="false" ht="24.75" hidden="false" customHeight="true" outlineLevel="0" collapsed="false">
      <c r="A575" s="22" t="s">
        <v>12267</v>
      </c>
      <c r="B575" s="22" t="s">
        <v>9248</v>
      </c>
      <c r="C575" s="22" t="s">
        <v>15006</v>
      </c>
      <c r="D575" s="23" t="s">
        <v>15007</v>
      </c>
      <c r="E575" s="22" t="s">
        <v>15008</v>
      </c>
      <c r="F575" s="53" t="s">
        <v>14420</v>
      </c>
    </row>
    <row r="576" customFormat="false" ht="24.75" hidden="false" customHeight="true" outlineLevel="0" collapsed="false">
      <c r="A576" s="22" t="s">
        <v>12267</v>
      </c>
      <c r="B576" s="22" t="s">
        <v>9248</v>
      </c>
      <c r="C576" s="22" t="s">
        <v>15027</v>
      </c>
      <c r="D576" s="23" t="s">
        <v>15028</v>
      </c>
      <c r="E576" s="22" t="s">
        <v>15029</v>
      </c>
      <c r="F576" s="53" t="s">
        <v>14420</v>
      </c>
    </row>
    <row r="577" customFormat="false" ht="24.75" hidden="false" customHeight="true" outlineLevel="0" collapsed="false">
      <c r="A577" s="22" t="s">
        <v>12267</v>
      </c>
      <c r="B577" s="22" t="s">
        <v>9248</v>
      </c>
      <c r="C577" s="22" t="s">
        <v>15024</v>
      </c>
      <c r="D577" s="23" t="s">
        <v>15025</v>
      </c>
      <c r="E577" s="22" t="s">
        <v>15026</v>
      </c>
      <c r="F577" s="53" t="s">
        <v>14420</v>
      </c>
    </row>
    <row r="578" customFormat="false" ht="24.75" hidden="false" customHeight="true" outlineLevel="0" collapsed="false">
      <c r="A578" s="22" t="s">
        <v>12291</v>
      </c>
      <c r="B578" s="22" t="s">
        <v>9248</v>
      </c>
      <c r="C578" s="22" t="s">
        <v>15015</v>
      </c>
      <c r="D578" s="23" t="s">
        <v>15016</v>
      </c>
      <c r="E578" s="22" t="s">
        <v>15017</v>
      </c>
      <c r="F578" s="35" t="s">
        <v>14416</v>
      </c>
    </row>
    <row r="579" customFormat="false" ht="15" hidden="false" customHeight="true" outlineLevel="0" collapsed="false">
      <c r="A579" s="22" t="s">
        <v>12291</v>
      </c>
      <c r="B579" s="22" t="s">
        <v>9248</v>
      </c>
      <c r="C579" s="22" t="s">
        <v>15030</v>
      </c>
      <c r="D579" s="23" t="s">
        <v>15031</v>
      </c>
      <c r="E579" s="22" t="s">
        <v>15032</v>
      </c>
      <c r="F579" s="53" t="s">
        <v>14420</v>
      </c>
    </row>
    <row r="580" customFormat="false" ht="24.75" hidden="false" customHeight="true" outlineLevel="0" collapsed="false">
      <c r="A580" s="22" t="s">
        <v>12313</v>
      </c>
      <c r="B580" s="22" t="s">
        <v>9248</v>
      </c>
      <c r="C580" s="22" t="s">
        <v>15015</v>
      </c>
      <c r="D580" s="23" t="s">
        <v>15016</v>
      </c>
      <c r="E580" s="22" t="s">
        <v>15017</v>
      </c>
      <c r="F580" s="35" t="s">
        <v>14416</v>
      </c>
    </row>
    <row r="581" customFormat="false" ht="15" hidden="false" customHeight="true" outlineLevel="0" collapsed="false">
      <c r="A581" s="22" t="s">
        <v>12335</v>
      </c>
      <c r="B581" s="22" t="s">
        <v>9248</v>
      </c>
      <c r="C581" s="22" t="s">
        <v>15033</v>
      </c>
      <c r="D581" s="23" t="s">
        <v>15034</v>
      </c>
      <c r="E581" s="22" t="s">
        <v>15035</v>
      </c>
      <c r="F581" s="53" t="s">
        <v>14420</v>
      </c>
    </row>
    <row r="582" customFormat="false" ht="24.75" hidden="false" customHeight="true" outlineLevel="0" collapsed="false">
      <c r="A582" s="22" t="s">
        <v>12335</v>
      </c>
      <c r="B582" s="22" t="s">
        <v>9248</v>
      </c>
      <c r="C582" s="22" t="s">
        <v>15036</v>
      </c>
      <c r="D582" s="23" t="s">
        <v>14215</v>
      </c>
      <c r="E582" s="22" t="s">
        <v>15037</v>
      </c>
      <c r="F582" s="53" t="s">
        <v>14420</v>
      </c>
    </row>
    <row r="583" customFormat="false" ht="24.75" hidden="false" customHeight="true" outlineLevel="0" collapsed="false">
      <c r="A583" s="22" t="s">
        <v>12335</v>
      </c>
      <c r="B583" s="22" t="s">
        <v>9248</v>
      </c>
      <c r="C583" s="22" t="s">
        <v>15038</v>
      </c>
      <c r="D583" s="23" t="s">
        <v>14211</v>
      </c>
      <c r="E583" s="22" t="s">
        <v>15039</v>
      </c>
      <c r="F583" s="53" t="s">
        <v>14420</v>
      </c>
    </row>
    <row r="584" customFormat="false" ht="15" hidden="false" customHeight="true" outlineLevel="0" collapsed="false">
      <c r="A584" s="22" t="s">
        <v>12359</v>
      </c>
      <c r="B584" s="22" t="s">
        <v>9248</v>
      </c>
      <c r="C584" s="22" t="s">
        <v>15033</v>
      </c>
      <c r="D584" s="23" t="s">
        <v>15034</v>
      </c>
      <c r="E584" s="22" t="s">
        <v>15035</v>
      </c>
      <c r="F584" s="53" t="s">
        <v>14420</v>
      </c>
    </row>
    <row r="585" customFormat="false" ht="24.75" hidden="false" customHeight="true" outlineLevel="0" collapsed="false">
      <c r="A585" s="22" t="s">
        <v>12382</v>
      </c>
      <c r="B585" s="22" t="s">
        <v>9248</v>
      </c>
      <c r="C585" s="22" t="s">
        <v>15036</v>
      </c>
      <c r="D585" s="23" t="s">
        <v>14215</v>
      </c>
      <c r="E585" s="22" t="s">
        <v>15037</v>
      </c>
      <c r="F585" s="53" t="s">
        <v>14420</v>
      </c>
    </row>
    <row r="586" customFormat="false" ht="24.75" hidden="false" customHeight="true" outlineLevel="0" collapsed="false">
      <c r="A586" s="22" t="s">
        <v>12403</v>
      </c>
      <c r="B586" s="22" t="s">
        <v>9248</v>
      </c>
      <c r="C586" s="22" t="s">
        <v>15040</v>
      </c>
      <c r="D586" s="23" t="s">
        <v>14220</v>
      </c>
      <c r="E586" s="22" t="s">
        <v>15041</v>
      </c>
      <c r="F586" s="53" t="s">
        <v>14420</v>
      </c>
    </row>
    <row r="587" customFormat="false" ht="24.75" hidden="false" customHeight="true" outlineLevel="0" collapsed="false">
      <c r="A587" s="22" t="s">
        <v>12425</v>
      </c>
      <c r="B587" s="22" t="s">
        <v>9248</v>
      </c>
      <c r="C587" s="22" t="s">
        <v>15038</v>
      </c>
      <c r="D587" s="23" t="s">
        <v>14211</v>
      </c>
      <c r="E587" s="22" t="s">
        <v>15039</v>
      </c>
      <c r="F587" s="53" t="s">
        <v>14420</v>
      </c>
    </row>
    <row r="588" customFormat="false" ht="15" hidden="false" customHeight="true" outlineLevel="0" collapsed="false">
      <c r="A588" s="22" t="s">
        <v>12425</v>
      </c>
      <c r="B588" s="22" t="s">
        <v>9248</v>
      </c>
      <c r="C588" s="22" t="s">
        <v>15042</v>
      </c>
      <c r="D588" s="23" t="s">
        <v>15043</v>
      </c>
      <c r="E588" s="22" t="s">
        <v>15044</v>
      </c>
      <c r="F588" s="53" t="s">
        <v>14420</v>
      </c>
    </row>
    <row r="589" customFormat="false" ht="15" hidden="false" customHeight="true" outlineLevel="0" collapsed="false">
      <c r="A589" s="22" t="s">
        <v>12425</v>
      </c>
      <c r="B589" s="22" t="s">
        <v>9248</v>
      </c>
      <c r="C589" s="22" t="s">
        <v>15045</v>
      </c>
      <c r="D589" s="23" t="s">
        <v>15046</v>
      </c>
      <c r="E589" s="22" t="s">
        <v>15047</v>
      </c>
      <c r="F589" s="53" t="s">
        <v>14420</v>
      </c>
    </row>
    <row r="590" customFormat="false" ht="15" hidden="false" customHeight="true" outlineLevel="0" collapsed="false">
      <c r="A590" s="22" t="s">
        <v>12443</v>
      </c>
      <c r="B590" s="22" t="s">
        <v>9248</v>
      </c>
      <c r="C590" s="22" t="s">
        <v>15048</v>
      </c>
      <c r="D590" s="23" t="s">
        <v>15049</v>
      </c>
      <c r="E590" s="22" t="s">
        <v>15050</v>
      </c>
      <c r="F590" s="53" t="s">
        <v>14420</v>
      </c>
    </row>
    <row r="591" customFormat="false" ht="15" hidden="false" customHeight="true" outlineLevel="0" collapsed="false">
      <c r="A591" s="22" t="s">
        <v>12462</v>
      </c>
      <c r="B591" s="22" t="s">
        <v>9248</v>
      </c>
      <c r="C591" s="22" t="s">
        <v>15051</v>
      </c>
      <c r="D591" s="23" t="s">
        <v>15052</v>
      </c>
      <c r="E591" s="22" t="s">
        <v>15053</v>
      </c>
      <c r="F591" s="53" t="s">
        <v>14420</v>
      </c>
    </row>
    <row r="592" customFormat="false" ht="24.75" hidden="false" customHeight="true" outlineLevel="0" collapsed="false">
      <c r="A592" s="22" t="s">
        <v>12480</v>
      </c>
      <c r="B592" s="22" t="s">
        <v>9248</v>
      </c>
      <c r="C592" s="22" t="s">
        <v>15054</v>
      </c>
      <c r="D592" s="23" t="s">
        <v>15055</v>
      </c>
      <c r="E592" s="22" t="s">
        <v>15056</v>
      </c>
      <c r="F592" s="53" t="s">
        <v>14420</v>
      </c>
    </row>
    <row r="593" customFormat="false" ht="15" hidden="false" customHeight="true" outlineLevel="0" collapsed="false">
      <c r="A593" s="22" t="s">
        <v>12502</v>
      </c>
      <c r="B593" s="22" t="s">
        <v>9248</v>
      </c>
      <c r="C593" s="22" t="s">
        <v>15057</v>
      </c>
      <c r="D593" s="23" t="s">
        <v>15058</v>
      </c>
      <c r="E593" s="22" t="s">
        <v>15059</v>
      </c>
      <c r="F593" s="53" t="s">
        <v>14420</v>
      </c>
    </row>
    <row r="594" customFormat="false" ht="24.75" hidden="false" customHeight="true" outlineLevel="0" collapsed="false">
      <c r="A594" s="22" t="s">
        <v>12502</v>
      </c>
      <c r="B594" s="22" t="s">
        <v>9248</v>
      </c>
      <c r="C594" s="22" t="s">
        <v>14886</v>
      </c>
      <c r="D594" s="23" t="s">
        <v>14887</v>
      </c>
      <c r="E594" s="22" t="s">
        <v>14888</v>
      </c>
      <c r="F594" s="53" t="s">
        <v>14420</v>
      </c>
    </row>
    <row r="595" customFormat="false" ht="24.75" hidden="false" customHeight="true" outlineLevel="0" collapsed="false">
      <c r="A595" s="22" t="s">
        <v>12502</v>
      </c>
      <c r="B595" s="22" t="s">
        <v>9248</v>
      </c>
      <c r="C595" s="22" t="s">
        <v>14892</v>
      </c>
      <c r="D595" s="23" t="s">
        <v>14893</v>
      </c>
      <c r="E595" s="22" t="s">
        <v>14894</v>
      </c>
      <c r="F595" s="53" t="s">
        <v>14420</v>
      </c>
    </row>
    <row r="596" customFormat="false" ht="24.75" hidden="false" customHeight="true" outlineLevel="0" collapsed="false">
      <c r="A596" s="22" t="s">
        <v>12502</v>
      </c>
      <c r="B596" s="22" t="s">
        <v>9248</v>
      </c>
      <c r="C596" s="22" t="s">
        <v>14918</v>
      </c>
      <c r="D596" s="23" t="s">
        <v>14919</v>
      </c>
      <c r="E596" s="22" t="s">
        <v>14920</v>
      </c>
      <c r="F596" s="53" t="s">
        <v>14420</v>
      </c>
    </row>
    <row r="597" customFormat="false" ht="24.75" hidden="false" customHeight="true" outlineLevel="0" collapsed="false">
      <c r="A597" s="22" t="s">
        <v>12502</v>
      </c>
      <c r="B597" s="22" t="s">
        <v>9248</v>
      </c>
      <c r="C597" s="22" t="s">
        <v>14914</v>
      </c>
      <c r="D597" s="23" t="s">
        <v>14915</v>
      </c>
      <c r="E597" s="22"/>
      <c r="F597" s="35" t="s">
        <v>14416</v>
      </c>
    </row>
    <row r="598" customFormat="false" ht="24.75" hidden="false" customHeight="true" outlineLevel="0" collapsed="false">
      <c r="A598" s="22" t="s">
        <v>12502</v>
      </c>
      <c r="B598" s="22" t="s">
        <v>9248</v>
      </c>
      <c r="C598" s="22" t="s">
        <v>15060</v>
      </c>
      <c r="D598" s="23" t="s">
        <v>14927</v>
      </c>
      <c r="E598" s="22"/>
      <c r="F598" s="35" t="s">
        <v>14416</v>
      </c>
    </row>
    <row r="599" customFormat="false" ht="24.75" hidden="false" customHeight="true" outlineLevel="0" collapsed="false">
      <c r="A599" s="22" t="s">
        <v>12502</v>
      </c>
      <c r="B599" s="22" t="s">
        <v>9248</v>
      </c>
      <c r="C599" s="22" t="s">
        <v>15061</v>
      </c>
      <c r="D599" s="23" t="s">
        <v>15020</v>
      </c>
      <c r="E599" s="22" t="s">
        <v>15062</v>
      </c>
      <c r="F599" s="35" t="s">
        <v>14416</v>
      </c>
    </row>
    <row r="600" customFormat="false" ht="24.75" hidden="false" customHeight="true" outlineLevel="0" collapsed="false">
      <c r="A600" s="22" t="s">
        <v>12526</v>
      </c>
      <c r="B600" s="22" t="s">
        <v>9248</v>
      </c>
      <c r="C600" s="22" t="s">
        <v>14886</v>
      </c>
      <c r="D600" s="23" t="s">
        <v>14887</v>
      </c>
      <c r="E600" s="22" t="s">
        <v>14888</v>
      </c>
      <c r="F600" s="53" t="s">
        <v>14420</v>
      </c>
    </row>
    <row r="601" customFormat="false" ht="24.75" hidden="false" customHeight="true" outlineLevel="0" collapsed="false">
      <c r="A601" s="22" t="s">
        <v>12526</v>
      </c>
      <c r="B601" s="22" t="s">
        <v>9248</v>
      </c>
      <c r="C601" s="22" t="s">
        <v>14892</v>
      </c>
      <c r="D601" s="23" t="s">
        <v>14893</v>
      </c>
      <c r="E601" s="22" t="s">
        <v>14894</v>
      </c>
      <c r="F601" s="53" t="s">
        <v>14420</v>
      </c>
    </row>
    <row r="602" customFormat="false" ht="24.75" hidden="false" customHeight="true" outlineLevel="0" collapsed="false">
      <c r="A602" s="22" t="s">
        <v>12526</v>
      </c>
      <c r="B602" s="22" t="s">
        <v>9248</v>
      </c>
      <c r="C602" s="22" t="s">
        <v>14878</v>
      </c>
      <c r="D602" s="23" t="s">
        <v>14206</v>
      </c>
      <c r="E602" s="22" t="s">
        <v>14879</v>
      </c>
      <c r="F602" s="53" t="s">
        <v>14420</v>
      </c>
    </row>
    <row r="603" customFormat="false" ht="15" hidden="false" customHeight="true" outlineLevel="0" collapsed="false">
      <c r="A603" s="22" t="s">
        <v>12526</v>
      </c>
      <c r="B603" s="22" t="s">
        <v>9248</v>
      </c>
      <c r="C603" s="22" t="s">
        <v>15057</v>
      </c>
      <c r="D603" s="23" t="s">
        <v>15058</v>
      </c>
      <c r="E603" s="22" t="s">
        <v>15059</v>
      </c>
      <c r="F603" s="53" t="s">
        <v>14420</v>
      </c>
    </row>
    <row r="604" customFormat="false" ht="15" hidden="false" customHeight="true" outlineLevel="0" collapsed="false">
      <c r="A604" s="22" t="s">
        <v>12526</v>
      </c>
      <c r="B604" s="22" t="s">
        <v>9248</v>
      </c>
      <c r="C604" s="22" t="s">
        <v>15063</v>
      </c>
      <c r="D604" s="23" t="s">
        <v>14907</v>
      </c>
      <c r="E604" s="22"/>
      <c r="F604" s="35" t="s">
        <v>14416</v>
      </c>
    </row>
    <row r="605" customFormat="false" ht="24.75" hidden="false" customHeight="true" outlineLevel="0" collapsed="false">
      <c r="A605" s="22" t="s">
        <v>12526</v>
      </c>
      <c r="B605" s="22" t="s">
        <v>9248</v>
      </c>
      <c r="C605" s="22" t="s">
        <v>15064</v>
      </c>
      <c r="D605" s="23" t="s">
        <v>14927</v>
      </c>
      <c r="E605" s="22" t="s">
        <v>15065</v>
      </c>
      <c r="F605" s="35" t="s">
        <v>14416</v>
      </c>
    </row>
    <row r="606" customFormat="false" ht="24.75" hidden="false" customHeight="true" outlineLevel="0" collapsed="false">
      <c r="A606" s="22" t="s">
        <v>12549</v>
      </c>
      <c r="B606" s="22" t="s">
        <v>9248</v>
      </c>
      <c r="C606" s="22" t="s">
        <v>15066</v>
      </c>
      <c r="D606" s="23" t="s">
        <v>13718</v>
      </c>
      <c r="E606" s="22" t="s">
        <v>15067</v>
      </c>
      <c r="F606" s="35" t="s">
        <v>14416</v>
      </c>
    </row>
    <row r="607" customFormat="false" ht="15" hidden="false" customHeight="true" outlineLevel="0" collapsed="false">
      <c r="A607" s="22" t="s">
        <v>12549</v>
      </c>
      <c r="B607" s="22" t="s">
        <v>9248</v>
      </c>
      <c r="C607" s="22" t="s">
        <v>15068</v>
      </c>
      <c r="D607" s="23" t="s">
        <v>15069</v>
      </c>
      <c r="E607" s="22" t="s">
        <v>15070</v>
      </c>
      <c r="F607" s="53" t="s">
        <v>14420</v>
      </c>
    </row>
    <row r="608" customFormat="false" ht="24.75" hidden="false" customHeight="true" outlineLevel="0" collapsed="false">
      <c r="A608" s="22" t="s">
        <v>12573</v>
      </c>
      <c r="B608" s="22" t="s">
        <v>9248</v>
      </c>
      <c r="C608" s="22" t="s">
        <v>15071</v>
      </c>
      <c r="D608" s="23" t="s">
        <v>14225</v>
      </c>
      <c r="E608" s="22" t="s">
        <v>15072</v>
      </c>
      <c r="F608" s="53" t="s">
        <v>14420</v>
      </c>
    </row>
    <row r="609" customFormat="false" ht="24.75" hidden="false" customHeight="true" outlineLevel="0" collapsed="false">
      <c r="A609" s="22" t="s">
        <v>12573</v>
      </c>
      <c r="B609" s="22" t="s">
        <v>9248</v>
      </c>
      <c r="C609" s="22" t="s">
        <v>15066</v>
      </c>
      <c r="D609" s="23" t="s">
        <v>13718</v>
      </c>
      <c r="E609" s="22" t="s">
        <v>15067</v>
      </c>
      <c r="F609" s="35" t="s">
        <v>14416</v>
      </c>
    </row>
    <row r="610" customFormat="false" ht="15" hidden="false" customHeight="true" outlineLevel="0" collapsed="false">
      <c r="A610" s="22" t="s">
        <v>12573</v>
      </c>
      <c r="B610" s="22" t="s">
        <v>9248</v>
      </c>
      <c r="C610" s="22" t="s">
        <v>15068</v>
      </c>
      <c r="D610" s="23" t="s">
        <v>15069</v>
      </c>
      <c r="E610" s="22" t="s">
        <v>15070</v>
      </c>
      <c r="F610" s="53" t="s">
        <v>14420</v>
      </c>
    </row>
    <row r="611" customFormat="false" ht="24.75" hidden="false" customHeight="true" outlineLevel="0" collapsed="false">
      <c r="A611" s="22" t="s">
        <v>12595</v>
      </c>
      <c r="B611" s="22" t="s">
        <v>9248</v>
      </c>
      <c r="C611" s="22" t="s">
        <v>15073</v>
      </c>
      <c r="D611" s="23" t="s">
        <v>15074</v>
      </c>
      <c r="E611" s="22" t="s">
        <v>15075</v>
      </c>
      <c r="F611" s="53" t="s">
        <v>14420</v>
      </c>
    </row>
    <row r="612" customFormat="false" ht="24.75" hidden="false" customHeight="true" outlineLevel="0" collapsed="false">
      <c r="A612" s="22" t="s">
        <v>12595</v>
      </c>
      <c r="B612" s="22" t="s">
        <v>9248</v>
      </c>
      <c r="C612" s="22" t="s">
        <v>15076</v>
      </c>
      <c r="D612" s="23" t="s">
        <v>15077</v>
      </c>
      <c r="E612" s="22" t="s">
        <v>15078</v>
      </c>
      <c r="F612" s="53" t="s">
        <v>14420</v>
      </c>
    </row>
    <row r="613" customFormat="false" ht="24.75" hidden="false" customHeight="true" outlineLevel="0" collapsed="false">
      <c r="A613" s="22" t="s">
        <v>12595</v>
      </c>
      <c r="B613" s="22" t="s">
        <v>9248</v>
      </c>
      <c r="C613" s="22" t="s">
        <v>15061</v>
      </c>
      <c r="D613" s="23" t="s">
        <v>15020</v>
      </c>
      <c r="E613" s="22" t="s">
        <v>15079</v>
      </c>
      <c r="F613" s="35" t="s">
        <v>14416</v>
      </c>
    </row>
    <row r="614" customFormat="false" ht="24.75" hidden="false" customHeight="true" outlineLevel="0" collapsed="false">
      <c r="A614" s="22" t="s">
        <v>12619</v>
      </c>
      <c r="B614" s="22" t="s">
        <v>9248</v>
      </c>
      <c r="C614" s="22" t="s">
        <v>15080</v>
      </c>
      <c r="D614" s="23" t="s">
        <v>15081</v>
      </c>
      <c r="E614" s="22" t="s">
        <v>15082</v>
      </c>
      <c r="F614" s="53" t="s">
        <v>14420</v>
      </c>
    </row>
    <row r="615" customFormat="false" ht="15" hidden="false" customHeight="true" outlineLevel="0" collapsed="false">
      <c r="A615" s="22" t="s">
        <v>12619</v>
      </c>
      <c r="B615" s="22" t="s">
        <v>9248</v>
      </c>
      <c r="C615" s="22" t="s">
        <v>14895</v>
      </c>
      <c r="D615" s="23" t="s">
        <v>14896</v>
      </c>
      <c r="E615" s="22" t="s">
        <v>14897</v>
      </c>
      <c r="F615" s="53" t="s">
        <v>14420</v>
      </c>
    </row>
    <row r="616" customFormat="false" ht="24.75" hidden="false" customHeight="true" outlineLevel="0" collapsed="false">
      <c r="A616" s="22" t="s">
        <v>12619</v>
      </c>
      <c r="B616" s="22" t="s">
        <v>9248</v>
      </c>
      <c r="C616" s="22" t="s">
        <v>14886</v>
      </c>
      <c r="D616" s="23" t="s">
        <v>14887</v>
      </c>
      <c r="E616" s="22" t="s">
        <v>14888</v>
      </c>
      <c r="F616" s="53" t="s">
        <v>14420</v>
      </c>
    </row>
    <row r="617" customFormat="false" ht="24.75" hidden="false" customHeight="true" outlineLevel="0" collapsed="false">
      <c r="A617" s="22" t="s">
        <v>12619</v>
      </c>
      <c r="B617" s="22" t="s">
        <v>9248</v>
      </c>
      <c r="C617" s="22" t="s">
        <v>14889</v>
      </c>
      <c r="D617" s="23" t="s">
        <v>14890</v>
      </c>
      <c r="E617" s="22" t="s">
        <v>14891</v>
      </c>
      <c r="F617" s="53" t="s">
        <v>14420</v>
      </c>
    </row>
    <row r="618" customFormat="false" ht="24.75" hidden="false" customHeight="true" outlineLevel="0" collapsed="false">
      <c r="A618" s="22" t="s">
        <v>12642</v>
      </c>
      <c r="B618" s="22" t="s">
        <v>9248</v>
      </c>
      <c r="C618" s="22" t="s">
        <v>15066</v>
      </c>
      <c r="D618" s="23" t="s">
        <v>13718</v>
      </c>
      <c r="E618" s="22" t="s">
        <v>15067</v>
      </c>
      <c r="F618" s="35" t="s">
        <v>14416</v>
      </c>
    </row>
    <row r="619" customFormat="false" ht="15" hidden="false" customHeight="true" outlineLevel="0" collapsed="false">
      <c r="A619" s="22" t="s">
        <v>12663</v>
      </c>
      <c r="B619" s="22" t="s">
        <v>9248</v>
      </c>
      <c r="C619" s="22" t="s">
        <v>15083</v>
      </c>
      <c r="D619" s="23" t="s">
        <v>15084</v>
      </c>
      <c r="E619" s="22" t="s">
        <v>15085</v>
      </c>
      <c r="F619" s="53" t="s">
        <v>14420</v>
      </c>
    </row>
    <row r="620" customFormat="false" ht="24.75" hidden="false" customHeight="true" outlineLevel="0" collapsed="false">
      <c r="A620" s="22" t="s">
        <v>12684</v>
      </c>
      <c r="B620" s="22" t="s">
        <v>9248</v>
      </c>
      <c r="C620" s="22" t="s">
        <v>15086</v>
      </c>
      <c r="D620" s="23" t="s">
        <v>14230</v>
      </c>
      <c r="E620" s="22" t="s">
        <v>15087</v>
      </c>
      <c r="F620" s="35" t="s">
        <v>14416</v>
      </c>
    </row>
    <row r="621" customFormat="false" ht="24.75" hidden="false" customHeight="true" outlineLevel="0" collapsed="false">
      <c r="A621" s="22" t="s">
        <v>12684</v>
      </c>
      <c r="B621" s="22" t="s">
        <v>9248</v>
      </c>
      <c r="C621" s="22" t="s">
        <v>15088</v>
      </c>
      <c r="D621" s="23" t="s">
        <v>15089</v>
      </c>
      <c r="E621" s="22" t="s">
        <v>15090</v>
      </c>
      <c r="F621" s="53" t="s">
        <v>14420</v>
      </c>
    </row>
    <row r="622" customFormat="false" ht="24.75" hidden="false" customHeight="true" outlineLevel="0" collapsed="false">
      <c r="A622" s="22" t="s">
        <v>12706</v>
      </c>
      <c r="B622" s="22" t="s">
        <v>9248</v>
      </c>
      <c r="C622" s="22" t="s">
        <v>15091</v>
      </c>
      <c r="D622" s="23" t="s">
        <v>15092</v>
      </c>
      <c r="E622" s="22" t="s">
        <v>15093</v>
      </c>
      <c r="F622" s="53" t="s">
        <v>14420</v>
      </c>
    </row>
    <row r="623" customFormat="false" ht="24.75" hidden="false" customHeight="true" outlineLevel="0" collapsed="false">
      <c r="A623" s="22" t="s">
        <v>12706</v>
      </c>
      <c r="B623" s="22" t="s">
        <v>9248</v>
      </c>
      <c r="C623" s="22" t="s">
        <v>15094</v>
      </c>
      <c r="D623" s="23" t="s">
        <v>15095</v>
      </c>
      <c r="E623" s="22" t="s">
        <v>15096</v>
      </c>
      <c r="F623" s="53" t="s">
        <v>14420</v>
      </c>
    </row>
    <row r="624" customFormat="false" ht="15" hidden="false" customHeight="true" outlineLevel="0" collapsed="false">
      <c r="A624" s="22" t="s">
        <v>12706</v>
      </c>
      <c r="B624" s="22" t="s">
        <v>9248</v>
      </c>
      <c r="C624" s="22" t="s">
        <v>15097</v>
      </c>
      <c r="D624" s="23" t="s">
        <v>15098</v>
      </c>
      <c r="E624" s="22" t="s">
        <v>15099</v>
      </c>
      <c r="F624" s="53" t="s">
        <v>14420</v>
      </c>
    </row>
    <row r="625" customFormat="false" ht="24.75" hidden="false" customHeight="true" outlineLevel="0" collapsed="false">
      <c r="A625" s="22" t="s">
        <v>12728</v>
      </c>
      <c r="B625" s="22" t="s">
        <v>9248</v>
      </c>
      <c r="C625" s="22" t="s">
        <v>14892</v>
      </c>
      <c r="D625" s="23" t="s">
        <v>14893</v>
      </c>
      <c r="E625" s="22" t="s">
        <v>14894</v>
      </c>
      <c r="F625" s="53" t="s">
        <v>14420</v>
      </c>
    </row>
    <row r="626" customFormat="false" ht="24.75" hidden="false" customHeight="true" outlineLevel="0" collapsed="false">
      <c r="A626" s="22" t="s">
        <v>12728</v>
      </c>
      <c r="B626" s="22" t="s">
        <v>9248</v>
      </c>
      <c r="C626" s="22" t="s">
        <v>15061</v>
      </c>
      <c r="D626" s="23" t="s">
        <v>15020</v>
      </c>
      <c r="E626" s="22" t="s">
        <v>15100</v>
      </c>
      <c r="F626" s="35" t="s">
        <v>14416</v>
      </c>
    </row>
    <row r="627" customFormat="false" ht="24.75" hidden="false" customHeight="true" outlineLevel="0" collapsed="false">
      <c r="A627" s="22" t="s">
        <v>12748</v>
      </c>
      <c r="B627" s="22" t="s">
        <v>9248</v>
      </c>
      <c r="C627" s="22" t="s">
        <v>15021</v>
      </c>
      <c r="D627" s="23" t="s">
        <v>15022</v>
      </c>
      <c r="E627" s="22" t="s">
        <v>15023</v>
      </c>
      <c r="F627" s="53" t="s">
        <v>14420</v>
      </c>
    </row>
    <row r="628" customFormat="false" ht="15" hidden="false" customHeight="true" outlineLevel="0" collapsed="false">
      <c r="A628" s="22" t="s">
        <v>12748</v>
      </c>
      <c r="B628" s="22" t="s">
        <v>9248</v>
      </c>
      <c r="C628" s="22" t="s">
        <v>14963</v>
      </c>
      <c r="D628" s="23" t="s">
        <v>14964</v>
      </c>
      <c r="E628" s="22" t="s">
        <v>14965</v>
      </c>
      <c r="F628" s="53" t="s">
        <v>14420</v>
      </c>
    </row>
    <row r="629" customFormat="false" ht="24.75" hidden="false" customHeight="true" outlineLevel="0" collapsed="false">
      <c r="A629" s="22" t="s">
        <v>12748</v>
      </c>
      <c r="B629" s="22" t="s">
        <v>9248</v>
      </c>
      <c r="C629" s="22" t="s">
        <v>14921</v>
      </c>
      <c r="D629" s="23" t="s">
        <v>14192</v>
      </c>
      <c r="E629" s="22" t="s">
        <v>14922</v>
      </c>
      <c r="F629" s="53" t="s">
        <v>14420</v>
      </c>
    </row>
    <row r="630" customFormat="false" ht="24.75" hidden="false" customHeight="true" outlineLevel="0" collapsed="false">
      <c r="A630" s="22" t="s">
        <v>12748</v>
      </c>
      <c r="B630" s="22" t="s">
        <v>9248</v>
      </c>
      <c r="C630" s="22" t="s">
        <v>14969</v>
      </c>
      <c r="D630" s="23" t="s">
        <v>14970</v>
      </c>
      <c r="E630" s="22" t="s">
        <v>15101</v>
      </c>
      <c r="F630" s="53" t="s">
        <v>14420</v>
      </c>
    </row>
    <row r="631" customFormat="false" ht="24.75" hidden="false" customHeight="true" outlineLevel="0" collapsed="false">
      <c r="A631" s="22" t="s">
        <v>12766</v>
      </c>
      <c r="B631" s="22" t="s">
        <v>9248</v>
      </c>
      <c r="C631" s="22" t="s">
        <v>15102</v>
      </c>
      <c r="D631" s="23" t="s">
        <v>14238</v>
      </c>
      <c r="E631" s="22" t="s">
        <v>15103</v>
      </c>
      <c r="F631" s="35" t="s">
        <v>14416</v>
      </c>
    </row>
    <row r="632" customFormat="false" ht="24.75" hidden="false" customHeight="true" outlineLevel="0" collapsed="false">
      <c r="A632" s="22" t="s">
        <v>12834</v>
      </c>
      <c r="B632" s="22" t="s">
        <v>9248</v>
      </c>
      <c r="C632" s="22" t="s">
        <v>15102</v>
      </c>
      <c r="D632" s="23" t="s">
        <v>14238</v>
      </c>
      <c r="E632" s="22" t="s">
        <v>15103</v>
      </c>
      <c r="F632" s="35" t="s">
        <v>14416</v>
      </c>
    </row>
    <row r="633" customFormat="false" ht="24.75" hidden="false" customHeight="true" outlineLevel="0" collapsed="false">
      <c r="A633" s="22" t="s">
        <v>12856</v>
      </c>
      <c r="B633" s="22" t="s">
        <v>9248</v>
      </c>
      <c r="C633" s="22" t="s">
        <v>15104</v>
      </c>
      <c r="D633" s="23" t="s">
        <v>15105</v>
      </c>
      <c r="E633" s="22" t="s">
        <v>15106</v>
      </c>
      <c r="F633" s="53" t="s">
        <v>14420</v>
      </c>
    </row>
    <row r="634" customFormat="false" ht="15" hidden="false" customHeight="true" outlineLevel="0" collapsed="false">
      <c r="A634" s="22" t="s">
        <v>12996</v>
      </c>
      <c r="B634" s="22" t="s">
        <v>9248</v>
      </c>
      <c r="C634" s="22" t="s">
        <v>15107</v>
      </c>
      <c r="D634" s="23" t="s">
        <v>15108</v>
      </c>
      <c r="E634" s="22" t="s">
        <v>15109</v>
      </c>
      <c r="F634" s="35" t="s">
        <v>14416</v>
      </c>
    </row>
    <row r="635" customFormat="false" ht="15" hidden="false" customHeight="true" outlineLevel="0" collapsed="false">
      <c r="A635" s="22" t="s">
        <v>12996</v>
      </c>
      <c r="B635" s="22" t="s">
        <v>9248</v>
      </c>
      <c r="C635" s="22" t="s">
        <v>15110</v>
      </c>
      <c r="D635" s="23" t="s">
        <v>15111</v>
      </c>
      <c r="E635" s="22" t="s">
        <v>15112</v>
      </c>
      <c r="F635" s="53" t="s">
        <v>14420</v>
      </c>
    </row>
    <row r="636" customFormat="false" ht="24.75" hidden="false" customHeight="true" outlineLevel="0" collapsed="false">
      <c r="A636" s="22" t="s">
        <v>12996</v>
      </c>
      <c r="B636" s="22" t="s">
        <v>9248</v>
      </c>
      <c r="C636" s="22" t="s">
        <v>15113</v>
      </c>
      <c r="D636" s="23" t="s">
        <v>15114</v>
      </c>
      <c r="E636" s="22" t="s">
        <v>15115</v>
      </c>
      <c r="F636" s="53" t="s">
        <v>14420</v>
      </c>
    </row>
    <row r="637" customFormat="false" ht="15" hidden="false" customHeight="true" outlineLevel="0" collapsed="false">
      <c r="A637" s="22" t="s">
        <v>12996</v>
      </c>
      <c r="B637" s="22" t="s">
        <v>9248</v>
      </c>
      <c r="C637" s="22" t="s">
        <v>15116</v>
      </c>
      <c r="D637" s="23" t="s">
        <v>15117</v>
      </c>
      <c r="E637" s="22" t="s">
        <v>15118</v>
      </c>
      <c r="F637" s="53" t="s">
        <v>14420</v>
      </c>
    </row>
    <row r="638" customFormat="false" ht="24.75" hidden="false" customHeight="true" outlineLevel="0" collapsed="false">
      <c r="A638" s="22" t="s">
        <v>12996</v>
      </c>
      <c r="B638" s="22" t="s">
        <v>9248</v>
      </c>
      <c r="C638" s="22" t="s">
        <v>15119</v>
      </c>
      <c r="D638" s="23" t="s">
        <v>14428</v>
      </c>
      <c r="E638" s="22" t="s">
        <v>15120</v>
      </c>
      <c r="F638" s="35" t="s">
        <v>14416</v>
      </c>
    </row>
    <row r="639" customFormat="false" ht="15" hidden="false" customHeight="true" outlineLevel="0" collapsed="false">
      <c r="A639" s="22" t="s">
        <v>13020</v>
      </c>
      <c r="B639" s="22" t="s">
        <v>9248</v>
      </c>
      <c r="C639" s="22" t="s">
        <v>15121</v>
      </c>
      <c r="D639" s="23" t="s">
        <v>14480</v>
      </c>
      <c r="E639" s="22" t="s">
        <v>15122</v>
      </c>
      <c r="F639" s="53" t="s">
        <v>14420</v>
      </c>
    </row>
    <row r="640" customFormat="false" ht="15" hidden="false" customHeight="true" outlineLevel="0" collapsed="false">
      <c r="A640" s="22" t="s">
        <v>13020</v>
      </c>
      <c r="B640" s="22" t="s">
        <v>9248</v>
      </c>
      <c r="C640" s="22" t="s">
        <v>15116</v>
      </c>
      <c r="D640" s="23" t="s">
        <v>15117</v>
      </c>
      <c r="E640" s="22" t="s">
        <v>15118</v>
      </c>
      <c r="F640" s="53" t="s">
        <v>14420</v>
      </c>
    </row>
    <row r="641" customFormat="false" ht="15" hidden="false" customHeight="true" outlineLevel="0" collapsed="false">
      <c r="A641" s="22" t="s">
        <v>13020</v>
      </c>
      <c r="B641" s="22" t="s">
        <v>9248</v>
      </c>
      <c r="C641" s="22" t="s">
        <v>15123</v>
      </c>
      <c r="D641" s="23" t="s">
        <v>15124</v>
      </c>
      <c r="E641" s="22" t="s">
        <v>15125</v>
      </c>
      <c r="F641" s="53" t="s">
        <v>14420</v>
      </c>
    </row>
    <row r="642" customFormat="false" ht="15" hidden="false" customHeight="true" outlineLevel="0" collapsed="false">
      <c r="A642" s="22" t="s">
        <v>13044</v>
      </c>
      <c r="B642" s="22" t="s">
        <v>9248</v>
      </c>
      <c r="C642" s="22" t="s">
        <v>15126</v>
      </c>
      <c r="D642" s="23" t="s">
        <v>15127</v>
      </c>
      <c r="E642" s="22" t="s">
        <v>15128</v>
      </c>
      <c r="F642" s="53" t="s">
        <v>14420</v>
      </c>
    </row>
    <row r="643" customFormat="false" ht="15" hidden="false" customHeight="true" outlineLevel="0" collapsed="false">
      <c r="A643" s="22" t="s">
        <v>13044</v>
      </c>
      <c r="B643" s="22" t="s">
        <v>9248</v>
      </c>
      <c r="C643" s="22" t="s">
        <v>15116</v>
      </c>
      <c r="D643" s="23" t="s">
        <v>15117</v>
      </c>
      <c r="E643" s="22" t="s">
        <v>15118</v>
      </c>
      <c r="F643" s="53" t="s">
        <v>14420</v>
      </c>
    </row>
    <row r="644" customFormat="false" ht="15" hidden="false" customHeight="true" outlineLevel="0" collapsed="false">
      <c r="A644" s="22" t="s">
        <v>13044</v>
      </c>
      <c r="B644" s="22" t="s">
        <v>9248</v>
      </c>
      <c r="C644" s="22" t="s">
        <v>15123</v>
      </c>
      <c r="D644" s="23" t="s">
        <v>15124</v>
      </c>
      <c r="E644" s="22" t="s">
        <v>15125</v>
      </c>
      <c r="F644" s="53" t="s">
        <v>14420</v>
      </c>
    </row>
    <row r="645" customFormat="false" ht="15" hidden="false" customHeight="true" outlineLevel="0" collapsed="false">
      <c r="A645" s="22" t="s">
        <v>13123</v>
      </c>
      <c r="B645" s="22" t="s">
        <v>9248</v>
      </c>
      <c r="C645" s="22" t="s">
        <v>15129</v>
      </c>
      <c r="D645" s="23" t="s">
        <v>15130</v>
      </c>
      <c r="E645" s="22" t="s">
        <v>15131</v>
      </c>
      <c r="F645" s="53" t="s">
        <v>14420</v>
      </c>
    </row>
    <row r="646" customFormat="false" ht="24.75" hidden="false" customHeight="true" outlineLevel="0" collapsed="false">
      <c r="A646" s="22" t="s">
        <v>13123</v>
      </c>
      <c r="B646" s="22" t="s">
        <v>9248</v>
      </c>
      <c r="C646" s="22" t="s">
        <v>15132</v>
      </c>
      <c r="D646" s="23" t="s">
        <v>15133</v>
      </c>
      <c r="E646" s="22" t="s">
        <v>15134</v>
      </c>
      <c r="F646" s="53" t="s">
        <v>14420</v>
      </c>
    </row>
    <row r="647" customFormat="false" ht="24.75" hidden="false" customHeight="true" outlineLevel="0" collapsed="false">
      <c r="A647" s="22" t="s">
        <v>13123</v>
      </c>
      <c r="B647" s="22" t="s">
        <v>9248</v>
      </c>
      <c r="C647" s="22" t="s">
        <v>15135</v>
      </c>
      <c r="D647" s="23" t="s">
        <v>15136</v>
      </c>
      <c r="E647" s="22" t="s">
        <v>15137</v>
      </c>
      <c r="F647" s="35" t="s">
        <v>14416</v>
      </c>
    </row>
    <row r="648" customFormat="false" ht="15" hidden="false" customHeight="true" outlineLevel="0" collapsed="false">
      <c r="A648" s="22" t="s">
        <v>13165</v>
      </c>
      <c r="B648" s="22" t="s">
        <v>9248</v>
      </c>
      <c r="C648" s="22" t="s">
        <v>15138</v>
      </c>
      <c r="D648" s="23" t="s">
        <v>14266</v>
      </c>
      <c r="E648" s="22" t="s">
        <v>15139</v>
      </c>
      <c r="F648" s="53" t="s">
        <v>14420</v>
      </c>
    </row>
    <row r="649" customFormat="false" ht="15" hidden="false" customHeight="true" outlineLevel="0" collapsed="false">
      <c r="A649" s="22" t="s">
        <v>13165</v>
      </c>
      <c r="B649" s="22" t="s">
        <v>9248</v>
      </c>
      <c r="C649" s="22" t="s">
        <v>15110</v>
      </c>
      <c r="D649" s="23" t="s">
        <v>15111</v>
      </c>
      <c r="E649" s="22" t="s">
        <v>15112</v>
      </c>
      <c r="F649" s="53" t="s">
        <v>14420</v>
      </c>
    </row>
    <row r="650" customFormat="false" ht="24.75" hidden="false" customHeight="true" outlineLevel="0" collapsed="false">
      <c r="A650" s="22" t="s">
        <v>13231</v>
      </c>
      <c r="B650" s="22" t="s">
        <v>9248</v>
      </c>
      <c r="C650" s="22" t="s">
        <v>15104</v>
      </c>
      <c r="D650" s="23" t="s">
        <v>15105</v>
      </c>
      <c r="E650" s="22" t="s">
        <v>15106</v>
      </c>
      <c r="F650" s="53" t="s">
        <v>14420</v>
      </c>
    </row>
    <row r="651" customFormat="false" ht="24.75" hidden="false" customHeight="true" outlineLevel="0" collapsed="false">
      <c r="A651" s="22" t="s">
        <v>13273</v>
      </c>
      <c r="B651" s="22" t="s">
        <v>9248</v>
      </c>
      <c r="C651" s="22" t="s">
        <v>15104</v>
      </c>
      <c r="D651" s="23" t="s">
        <v>15105</v>
      </c>
      <c r="E651" s="22" t="s">
        <v>15106</v>
      </c>
      <c r="F651" s="53" t="s">
        <v>14420</v>
      </c>
    </row>
    <row r="652" customFormat="false" ht="24.75" hidden="false" customHeight="true" outlineLevel="0" collapsed="false">
      <c r="A652" s="22" t="s">
        <v>13295</v>
      </c>
      <c r="B652" s="22" t="s">
        <v>9248</v>
      </c>
      <c r="C652" s="22" t="s">
        <v>15104</v>
      </c>
      <c r="D652" s="23" t="s">
        <v>15105</v>
      </c>
      <c r="E652" s="22" t="s">
        <v>15106</v>
      </c>
      <c r="F652" s="53" t="s">
        <v>14420</v>
      </c>
    </row>
    <row r="653" customFormat="false" ht="24.75" hidden="false" customHeight="true" outlineLevel="0" collapsed="false">
      <c r="A653" s="22" t="s">
        <v>13295</v>
      </c>
      <c r="B653" s="22" t="s">
        <v>9248</v>
      </c>
      <c r="C653" s="22" t="s">
        <v>15140</v>
      </c>
      <c r="D653" s="23" t="s">
        <v>15141</v>
      </c>
      <c r="E653" s="22" t="s">
        <v>15142</v>
      </c>
      <c r="F653" s="53" t="s">
        <v>14420</v>
      </c>
    </row>
    <row r="654" customFormat="false" ht="24.75" hidden="false" customHeight="true" outlineLevel="0" collapsed="false">
      <c r="A654" s="22" t="s">
        <v>13317</v>
      </c>
      <c r="B654" s="22" t="s">
        <v>9248</v>
      </c>
      <c r="C654" s="22" t="s">
        <v>15104</v>
      </c>
      <c r="D654" s="23" t="s">
        <v>15105</v>
      </c>
      <c r="E654" s="22" t="s">
        <v>15106</v>
      </c>
      <c r="F654" s="53" t="s">
        <v>14420</v>
      </c>
    </row>
    <row r="655" customFormat="false" ht="24.75" hidden="false" customHeight="true" outlineLevel="0" collapsed="false">
      <c r="A655" s="22" t="s">
        <v>13333</v>
      </c>
      <c r="B655" s="22" t="s">
        <v>9248</v>
      </c>
      <c r="C655" s="22" t="s">
        <v>15104</v>
      </c>
      <c r="D655" s="23" t="s">
        <v>15105</v>
      </c>
      <c r="E655" s="22" t="s">
        <v>15106</v>
      </c>
      <c r="F655" s="53" t="s">
        <v>14420</v>
      </c>
    </row>
    <row r="656" customFormat="false" ht="24.75" hidden="false" customHeight="true" outlineLevel="0" collapsed="false">
      <c r="A656" s="22" t="s">
        <v>13333</v>
      </c>
      <c r="B656" s="22" t="s">
        <v>9248</v>
      </c>
      <c r="C656" s="22" t="s">
        <v>15143</v>
      </c>
      <c r="D656" s="23" t="s">
        <v>14253</v>
      </c>
      <c r="E656" s="22" t="s">
        <v>15144</v>
      </c>
      <c r="F656" s="53" t="s">
        <v>14420</v>
      </c>
    </row>
    <row r="657" customFormat="false" ht="24.75" hidden="false" customHeight="true" outlineLevel="0" collapsed="false">
      <c r="A657" s="22" t="s">
        <v>13286</v>
      </c>
      <c r="B657" s="22" t="s">
        <v>9248</v>
      </c>
      <c r="C657" s="22" t="s">
        <v>15143</v>
      </c>
      <c r="D657" s="23" t="s">
        <v>14253</v>
      </c>
      <c r="E657" s="22" t="s">
        <v>15144</v>
      </c>
      <c r="F657" s="53" t="s">
        <v>14420</v>
      </c>
    </row>
    <row r="658" customFormat="false" ht="24.75" hidden="false" customHeight="true" outlineLevel="0" collapsed="false">
      <c r="A658" s="22" t="s">
        <v>13286</v>
      </c>
      <c r="B658" s="22" t="s">
        <v>9248</v>
      </c>
      <c r="C658" s="22" t="s">
        <v>15104</v>
      </c>
      <c r="D658" s="23" t="s">
        <v>15105</v>
      </c>
      <c r="E658" s="22" t="s">
        <v>15106</v>
      </c>
      <c r="F658" s="53" t="s">
        <v>14420</v>
      </c>
    </row>
    <row r="659" customFormat="false" ht="24.75" hidden="false" customHeight="true" outlineLevel="0" collapsed="false">
      <c r="A659" s="22" t="s">
        <v>13375</v>
      </c>
      <c r="B659" s="22" t="s">
        <v>9248</v>
      </c>
      <c r="C659" s="22" t="s">
        <v>15104</v>
      </c>
      <c r="D659" s="23" t="s">
        <v>15105</v>
      </c>
      <c r="E659" s="22" t="s">
        <v>15106</v>
      </c>
      <c r="F659" s="53" t="s">
        <v>14420</v>
      </c>
    </row>
    <row r="660" customFormat="false" ht="24.75" hidden="false" customHeight="true" outlineLevel="0" collapsed="false">
      <c r="A660" s="22" t="s">
        <v>13375</v>
      </c>
      <c r="B660" s="22" t="s">
        <v>9248</v>
      </c>
      <c r="C660" s="22" t="s">
        <v>15143</v>
      </c>
      <c r="D660" s="23" t="s">
        <v>14253</v>
      </c>
      <c r="E660" s="22" t="s">
        <v>15144</v>
      </c>
      <c r="F660" s="53" t="s">
        <v>14420</v>
      </c>
    </row>
    <row r="661" customFormat="false" ht="24.75" hidden="false" customHeight="true" outlineLevel="0" collapsed="false">
      <c r="A661" s="22" t="s">
        <v>13385</v>
      </c>
      <c r="B661" s="22" t="s">
        <v>9248</v>
      </c>
      <c r="C661" s="22" t="s">
        <v>15145</v>
      </c>
      <c r="D661" s="23" t="s">
        <v>15146</v>
      </c>
      <c r="E661" s="22" t="s">
        <v>15147</v>
      </c>
      <c r="F661" s="53" t="s">
        <v>14420</v>
      </c>
    </row>
    <row r="662" customFormat="false" ht="24.75" hidden="false" customHeight="true" outlineLevel="0" collapsed="false">
      <c r="A662" s="22" t="s">
        <v>13385</v>
      </c>
      <c r="B662" s="22" t="s">
        <v>9248</v>
      </c>
      <c r="C662" s="22" t="s">
        <v>15104</v>
      </c>
      <c r="D662" s="23" t="s">
        <v>15105</v>
      </c>
      <c r="E662" s="22" t="s">
        <v>15106</v>
      </c>
      <c r="F662" s="53" t="s">
        <v>14420</v>
      </c>
    </row>
    <row r="663" customFormat="false" ht="15" hidden="false" customHeight="true" outlineLevel="0" collapsed="false">
      <c r="A663" s="22" t="s">
        <v>13409</v>
      </c>
      <c r="B663" s="22" t="s">
        <v>9248</v>
      </c>
      <c r="C663" s="22" t="s">
        <v>15148</v>
      </c>
      <c r="D663" s="23" t="s">
        <v>14243</v>
      </c>
      <c r="E663" s="22" t="s">
        <v>15149</v>
      </c>
      <c r="F663" s="53" t="s">
        <v>14420</v>
      </c>
    </row>
    <row r="664" customFormat="false" ht="15" hidden="false" customHeight="true" outlineLevel="0" collapsed="false">
      <c r="A664" s="22" t="s">
        <v>13409</v>
      </c>
      <c r="B664" s="22" t="s">
        <v>9248</v>
      </c>
      <c r="C664" s="22" t="s">
        <v>15150</v>
      </c>
      <c r="D664" s="23" t="s">
        <v>15151</v>
      </c>
      <c r="E664" s="22" t="s">
        <v>15152</v>
      </c>
      <c r="F664" s="53" t="s">
        <v>14420</v>
      </c>
    </row>
    <row r="665" customFormat="false" ht="24.75" hidden="false" customHeight="true" outlineLevel="0" collapsed="false">
      <c r="A665" s="22" t="s">
        <v>13409</v>
      </c>
      <c r="B665" s="22" t="s">
        <v>9248</v>
      </c>
      <c r="C665" s="22" t="s">
        <v>15153</v>
      </c>
      <c r="D665" s="23" t="s">
        <v>15154</v>
      </c>
      <c r="E665" s="22"/>
      <c r="F665" s="35" t="s">
        <v>14416</v>
      </c>
    </row>
    <row r="666" customFormat="false" ht="15" hidden="false" customHeight="true" outlineLevel="0" collapsed="false">
      <c r="A666" s="22" t="s">
        <v>13409</v>
      </c>
      <c r="B666" s="22" t="s">
        <v>9248</v>
      </c>
      <c r="C666" s="22" t="s">
        <v>15155</v>
      </c>
      <c r="D666" s="23" t="s">
        <v>15156</v>
      </c>
      <c r="E666" s="22"/>
      <c r="F666" s="35" t="s">
        <v>14416</v>
      </c>
    </row>
    <row r="667" customFormat="false" ht="15" hidden="false" customHeight="true" outlineLevel="0" collapsed="false">
      <c r="A667" s="22" t="s">
        <v>13431</v>
      </c>
      <c r="B667" s="22" t="s">
        <v>9248</v>
      </c>
      <c r="C667" s="22" t="s">
        <v>15157</v>
      </c>
      <c r="D667" s="23" t="s">
        <v>15158</v>
      </c>
      <c r="E667" s="22" t="s">
        <v>15159</v>
      </c>
      <c r="F667" s="53" t="s">
        <v>14420</v>
      </c>
    </row>
    <row r="668" customFormat="false" ht="24.75" hidden="false" customHeight="true" outlineLevel="0" collapsed="false">
      <c r="A668" s="22" t="s">
        <v>13431</v>
      </c>
      <c r="B668" s="22" t="s">
        <v>9248</v>
      </c>
      <c r="C668" s="22" t="s">
        <v>15140</v>
      </c>
      <c r="D668" s="23" t="s">
        <v>15141</v>
      </c>
      <c r="E668" s="22" t="s">
        <v>15142</v>
      </c>
      <c r="F668" s="53" t="s">
        <v>14420</v>
      </c>
    </row>
    <row r="669" customFormat="false" ht="15" hidden="false" customHeight="true" outlineLevel="0" collapsed="false">
      <c r="A669" s="22" t="s">
        <v>13431</v>
      </c>
      <c r="B669" s="22" t="s">
        <v>9248</v>
      </c>
      <c r="C669" s="22" t="s">
        <v>15160</v>
      </c>
      <c r="D669" s="23" t="s">
        <v>15161</v>
      </c>
      <c r="E669" s="22" t="s">
        <v>15162</v>
      </c>
      <c r="F669" s="35" t="s">
        <v>14416</v>
      </c>
    </row>
    <row r="670" customFormat="false" ht="24.75" hidden="false" customHeight="true" outlineLevel="0" collapsed="false">
      <c r="A670" s="22" t="s">
        <v>13455</v>
      </c>
      <c r="B670" s="22" t="s">
        <v>9248</v>
      </c>
      <c r="C670" s="22" t="s">
        <v>15163</v>
      </c>
      <c r="D670" s="23" t="s">
        <v>14262</v>
      </c>
      <c r="E670" s="22" t="s">
        <v>15164</v>
      </c>
      <c r="F670" s="53" t="s">
        <v>14420</v>
      </c>
    </row>
    <row r="671" customFormat="false" ht="24.75" hidden="false" customHeight="true" outlineLevel="0" collapsed="false">
      <c r="A671" s="22" t="s">
        <v>13455</v>
      </c>
      <c r="B671" s="22" t="s">
        <v>9248</v>
      </c>
      <c r="C671" s="22" t="s">
        <v>15165</v>
      </c>
      <c r="D671" s="23" t="s">
        <v>15166</v>
      </c>
      <c r="E671" s="22" t="s">
        <v>15167</v>
      </c>
      <c r="F671" s="53" t="s">
        <v>14420</v>
      </c>
    </row>
    <row r="672" customFormat="false" ht="15" hidden="false" customHeight="true" outlineLevel="0" collapsed="false">
      <c r="A672" s="22" t="s">
        <v>13478</v>
      </c>
      <c r="B672" s="22" t="s">
        <v>9248</v>
      </c>
      <c r="C672" s="22" t="s">
        <v>15168</v>
      </c>
      <c r="D672" s="23" t="s">
        <v>15169</v>
      </c>
      <c r="E672" s="22" t="s">
        <v>15170</v>
      </c>
      <c r="F672" s="53" t="s">
        <v>14420</v>
      </c>
    </row>
    <row r="673" customFormat="false" ht="24.75" hidden="false" customHeight="true" outlineLevel="0" collapsed="false">
      <c r="A673" s="22" t="s">
        <v>13478</v>
      </c>
      <c r="B673" s="22" t="s">
        <v>9248</v>
      </c>
      <c r="C673" s="22" t="s">
        <v>15171</v>
      </c>
      <c r="D673" s="23" t="s">
        <v>14276</v>
      </c>
      <c r="E673" s="22" t="s">
        <v>15172</v>
      </c>
      <c r="F673" s="53" t="s">
        <v>14420</v>
      </c>
    </row>
    <row r="674" customFormat="false" ht="15" hidden="false" customHeight="true" outlineLevel="0" collapsed="false">
      <c r="A674" s="22" t="s">
        <v>13478</v>
      </c>
      <c r="B674" s="22" t="s">
        <v>9248</v>
      </c>
      <c r="C674" s="22" t="s">
        <v>15110</v>
      </c>
      <c r="D674" s="23" t="s">
        <v>15111</v>
      </c>
      <c r="E674" s="22" t="s">
        <v>15112</v>
      </c>
      <c r="F674" s="53" t="s">
        <v>14420</v>
      </c>
    </row>
    <row r="675" customFormat="false" ht="24.75" hidden="false" customHeight="true" outlineLevel="0" collapsed="false">
      <c r="A675" s="22" t="s">
        <v>13478</v>
      </c>
      <c r="B675" s="22" t="s">
        <v>9248</v>
      </c>
      <c r="C675" s="22" t="s">
        <v>15119</v>
      </c>
      <c r="D675" s="23" t="s">
        <v>14428</v>
      </c>
      <c r="E675" s="22" t="s">
        <v>15120</v>
      </c>
      <c r="F675" s="35" t="s">
        <v>14416</v>
      </c>
    </row>
    <row r="676" customFormat="false" ht="24.75" hidden="false" customHeight="true" outlineLevel="0" collapsed="false">
      <c r="A676" s="22" t="s">
        <v>13503</v>
      </c>
      <c r="B676" s="22" t="s">
        <v>9248</v>
      </c>
      <c r="C676" s="22" t="s">
        <v>15173</v>
      </c>
      <c r="D676" s="23" t="s">
        <v>14271</v>
      </c>
      <c r="E676" s="22" t="s">
        <v>15174</v>
      </c>
      <c r="F676" s="53" t="s">
        <v>14420</v>
      </c>
    </row>
    <row r="677" customFormat="false" ht="24.75" hidden="false" customHeight="true" outlineLevel="0" collapsed="false">
      <c r="A677" s="22" t="s">
        <v>13503</v>
      </c>
      <c r="B677" s="22" t="s">
        <v>9248</v>
      </c>
      <c r="C677" s="22" t="s">
        <v>15175</v>
      </c>
      <c r="D677" s="23" t="s">
        <v>15176</v>
      </c>
      <c r="E677" s="22" t="s">
        <v>15177</v>
      </c>
      <c r="F677" s="53" t="s">
        <v>14420</v>
      </c>
    </row>
    <row r="678" customFormat="false" ht="24.75" hidden="false" customHeight="true" outlineLevel="0" collapsed="false">
      <c r="A678" s="22" t="s">
        <v>13523</v>
      </c>
      <c r="B678" s="22" t="s">
        <v>9248</v>
      </c>
      <c r="C678" s="22" t="s">
        <v>15178</v>
      </c>
      <c r="D678" s="23" t="s">
        <v>14248</v>
      </c>
      <c r="E678" s="22" t="s">
        <v>15179</v>
      </c>
      <c r="F678" s="35" t="s">
        <v>14416</v>
      </c>
    </row>
    <row r="679" customFormat="false" ht="24.75" hidden="false" customHeight="true" outlineLevel="0" collapsed="false">
      <c r="A679" s="22" t="s">
        <v>13523</v>
      </c>
      <c r="B679" s="22" t="s">
        <v>9248</v>
      </c>
      <c r="C679" s="22" t="s">
        <v>15180</v>
      </c>
      <c r="D679" s="23" t="s">
        <v>15181</v>
      </c>
      <c r="E679" s="22" t="s">
        <v>15182</v>
      </c>
      <c r="F679" s="53" t="s">
        <v>14420</v>
      </c>
    </row>
    <row r="680" customFormat="false" ht="24.75" hidden="false" customHeight="true" outlineLevel="0" collapsed="false">
      <c r="A680" s="22" t="s">
        <v>13523</v>
      </c>
      <c r="B680" s="22" t="s">
        <v>9248</v>
      </c>
      <c r="C680" s="22" t="s">
        <v>15183</v>
      </c>
      <c r="D680" s="23" t="s">
        <v>15184</v>
      </c>
      <c r="E680" s="22" t="s">
        <v>15185</v>
      </c>
      <c r="F680" s="35" t="s">
        <v>14416</v>
      </c>
    </row>
    <row r="681" customFormat="false" ht="15" hidden="false" customHeight="true" outlineLevel="0" collapsed="false">
      <c r="A681" s="22" t="s">
        <v>13523</v>
      </c>
      <c r="B681" s="22" t="s">
        <v>9248</v>
      </c>
      <c r="C681" s="22" t="s">
        <v>15186</v>
      </c>
      <c r="D681" s="23" t="s">
        <v>15187</v>
      </c>
      <c r="E681" s="22"/>
      <c r="F681" s="35" t="s">
        <v>14416</v>
      </c>
    </row>
    <row r="682" customFormat="false" ht="15" hidden="false" customHeight="true" outlineLevel="0" collapsed="false">
      <c r="A682" s="22" t="s">
        <v>13523</v>
      </c>
      <c r="B682" s="22" t="s">
        <v>9248</v>
      </c>
      <c r="C682" s="22" t="s">
        <v>15188</v>
      </c>
      <c r="D682" s="23" t="s">
        <v>15189</v>
      </c>
      <c r="E682" s="22"/>
      <c r="F682" s="35" t="s">
        <v>14416</v>
      </c>
    </row>
    <row r="683" customFormat="false" ht="24.75" hidden="false" customHeight="true" outlineLevel="0" collapsed="false">
      <c r="A683" s="22" t="s">
        <v>13542</v>
      </c>
      <c r="B683" s="22" t="s">
        <v>9248</v>
      </c>
      <c r="C683" s="22" t="s">
        <v>15173</v>
      </c>
      <c r="D683" s="23" t="s">
        <v>14271</v>
      </c>
      <c r="E683" s="22" t="s">
        <v>15174</v>
      </c>
      <c r="F683" s="53" t="s">
        <v>14420</v>
      </c>
    </row>
    <row r="684" customFormat="false" ht="37.5" hidden="false" customHeight="true" outlineLevel="0" collapsed="false">
      <c r="A684" s="22" t="s">
        <v>13542</v>
      </c>
      <c r="B684" s="22" t="s">
        <v>9248</v>
      </c>
      <c r="C684" s="22" t="s">
        <v>15190</v>
      </c>
      <c r="D684" s="23" t="s">
        <v>15191</v>
      </c>
      <c r="E684" s="22" t="s">
        <v>15192</v>
      </c>
      <c r="F684" s="53" t="s">
        <v>14420</v>
      </c>
    </row>
    <row r="685" customFormat="false" ht="24.75" hidden="false" customHeight="true" outlineLevel="0" collapsed="false">
      <c r="A685" s="22" t="s">
        <v>13542</v>
      </c>
      <c r="B685" s="22" t="s">
        <v>9248</v>
      </c>
      <c r="C685" s="22" t="s">
        <v>15183</v>
      </c>
      <c r="D685" s="23" t="s">
        <v>15184</v>
      </c>
      <c r="E685" s="22" t="s">
        <v>15185</v>
      </c>
      <c r="F685" s="35" t="s">
        <v>14416</v>
      </c>
    </row>
    <row r="686" customFormat="false" ht="24.75" hidden="false" customHeight="true" outlineLevel="0" collapsed="false">
      <c r="A686" s="22" t="s">
        <v>13561</v>
      </c>
      <c r="B686" s="22" t="s">
        <v>9248</v>
      </c>
      <c r="C686" s="22" t="s">
        <v>15193</v>
      </c>
      <c r="D686" s="23" t="s">
        <v>14257</v>
      </c>
      <c r="E686" s="22" t="s">
        <v>15194</v>
      </c>
      <c r="F686" s="53" t="s">
        <v>14420</v>
      </c>
    </row>
    <row r="687" customFormat="false" ht="15" hidden="false" customHeight="true" outlineLevel="0" collapsed="false">
      <c r="A687" s="22" t="s">
        <v>13561</v>
      </c>
      <c r="B687" s="22" t="s">
        <v>9248</v>
      </c>
      <c r="C687" s="22" t="s">
        <v>15188</v>
      </c>
      <c r="D687" s="23" t="s">
        <v>15189</v>
      </c>
      <c r="E687" s="22"/>
      <c r="F687" s="35" t="s">
        <v>14416</v>
      </c>
    </row>
    <row r="688" customFormat="false" ht="15" hidden="false" customHeight="true" outlineLevel="0" collapsed="false">
      <c r="A688" s="22" t="s">
        <v>13579</v>
      </c>
      <c r="B688" s="22" t="s">
        <v>9248</v>
      </c>
      <c r="C688" s="22" t="s">
        <v>15129</v>
      </c>
      <c r="D688" s="23" t="s">
        <v>15130</v>
      </c>
      <c r="E688" s="22" t="s">
        <v>15131</v>
      </c>
      <c r="F688" s="53" t="s">
        <v>14420</v>
      </c>
    </row>
    <row r="689" customFormat="false" ht="24.75" hidden="false" customHeight="true" outlineLevel="0" collapsed="false">
      <c r="A689" s="22" t="s">
        <v>13579</v>
      </c>
      <c r="B689" s="22" t="s">
        <v>9248</v>
      </c>
      <c r="C689" s="22" t="s">
        <v>15132</v>
      </c>
      <c r="D689" s="23" t="s">
        <v>15133</v>
      </c>
      <c r="E689" s="22" t="s">
        <v>15134</v>
      </c>
      <c r="F689" s="53" t="s">
        <v>14420</v>
      </c>
    </row>
    <row r="690" customFormat="false" ht="24.75" hidden="false" customHeight="true" outlineLevel="0" collapsed="false">
      <c r="A690" s="22" t="s">
        <v>13579</v>
      </c>
      <c r="B690" s="22" t="s">
        <v>9248</v>
      </c>
      <c r="C690" s="22" t="s">
        <v>15135</v>
      </c>
      <c r="D690" s="23" t="s">
        <v>15136</v>
      </c>
      <c r="E690" s="22" t="s">
        <v>15137</v>
      </c>
      <c r="F690" s="35" t="s">
        <v>14416</v>
      </c>
    </row>
    <row r="691" customFormat="false" ht="37.5" hidden="false" customHeight="true" outlineLevel="0" collapsed="false">
      <c r="A691" s="22" t="s">
        <v>13579</v>
      </c>
      <c r="B691" s="22" t="s">
        <v>9248</v>
      </c>
      <c r="C691" s="22" t="s">
        <v>15195</v>
      </c>
      <c r="D691" s="23" t="s">
        <v>15196</v>
      </c>
      <c r="E691" s="22" t="s">
        <v>15197</v>
      </c>
      <c r="F691" s="53" t="s">
        <v>14420</v>
      </c>
    </row>
    <row r="692" customFormat="false" ht="24.75" hidden="false" customHeight="true" outlineLevel="0" collapsed="false">
      <c r="A692" s="22" t="s">
        <v>13579</v>
      </c>
      <c r="B692" s="22" t="s">
        <v>9248</v>
      </c>
      <c r="C692" s="22" t="s">
        <v>15198</v>
      </c>
      <c r="D692" s="23" t="s">
        <v>15199</v>
      </c>
      <c r="E692" s="22" t="s">
        <v>15200</v>
      </c>
      <c r="F692" s="35" t="s">
        <v>14416</v>
      </c>
    </row>
    <row r="693" customFormat="false" ht="24.75" hidden="false" customHeight="true" outlineLevel="0" collapsed="false">
      <c r="A693" s="22" t="s">
        <v>13600</v>
      </c>
      <c r="B693" s="22" t="s">
        <v>9248</v>
      </c>
      <c r="C693" s="22" t="s">
        <v>15145</v>
      </c>
      <c r="D693" s="23" t="s">
        <v>15146</v>
      </c>
      <c r="E693" s="22" t="s">
        <v>15147</v>
      </c>
      <c r="F693" s="53" t="s">
        <v>14420</v>
      </c>
    </row>
    <row r="694" customFormat="false" ht="15" hidden="false" customHeight="true" outlineLevel="0" collapsed="false">
      <c r="A694" s="22" t="s">
        <v>13617</v>
      </c>
      <c r="B694" s="22" t="s">
        <v>9248</v>
      </c>
      <c r="C694" s="22" t="s">
        <v>15201</v>
      </c>
      <c r="D694" s="23" t="s">
        <v>15202</v>
      </c>
      <c r="E694" s="22" t="s">
        <v>15203</v>
      </c>
      <c r="F694" s="53" t="s">
        <v>14420</v>
      </c>
    </row>
    <row r="695" customFormat="false" ht="15" hidden="false" customHeight="true" outlineLevel="0" collapsed="false">
      <c r="A695" s="22" t="s">
        <v>13617</v>
      </c>
      <c r="B695" s="22" t="s">
        <v>9248</v>
      </c>
      <c r="C695" s="22" t="s">
        <v>15110</v>
      </c>
      <c r="D695" s="23" t="s">
        <v>15111</v>
      </c>
      <c r="E695" s="22" t="s">
        <v>15112</v>
      </c>
      <c r="F695" s="53" t="s">
        <v>14420</v>
      </c>
    </row>
    <row r="696" customFormat="false" ht="24.75" hidden="false" customHeight="true" outlineLevel="0" collapsed="false">
      <c r="A696" s="22" t="s">
        <v>13617</v>
      </c>
      <c r="B696" s="22" t="s">
        <v>9248</v>
      </c>
      <c r="C696" s="22" t="s">
        <v>15171</v>
      </c>
      <c r="D696" s="23" t="s">
        <v>14276</v>
      </c>
      <c r="E696" s="22" t="s">
        <v>15172</v>
      </c>
      <c r="F696" s="53" t="s">
        <v>14420</v>
      </c>
    </row>
    <row r="697" customFormat="false" ht="24.75" hidden="false" customHeight="true" outlineLevel="0" collapsed="false">
      <c r="A697" s="22" t="s">
        <v>13617</v>
      </c>
      <c r="B697" s="22" t="s">
        <v>9248</v>
      </c>
      <c r="C697" s="22" t="s">
        <v>15113</v>
      </c>
      <c r="D697" s="23" t="s">
        <v>15114</v>
      </c>
      <c r="E697" s="22" t="s">
        <v>15115</v>
      </c>
      <c r="F697" s="53" t="s">
        <v>14420</v>
      </c>
    </row>
    <row r="698" customFormat="false" ht="15" hidden="false" customHeight="true" outlineLevel="0" collapsed="false">
      <c r="A698" s="22" t="s">
        <v>13617</v>
      </c>
      <c r="B698" s="22" t="s">
        <v>9248</v>
      </c>
      <c r="C698" s="22" t="s">
        <v>15123</v>
      </c>
      <c r="D698" s="23" t="s">
        <v>15124</v>
      </c>
      <c r="E698" s="22" t="s">
        <v>15125</v>
      </c>
      <c r="F698" s="53" t="s">
        <v>14420</v>
      </c>
    </row>
    <row r="699" customFormat="false" ht="15" hidden="false" customHeight="true" outlineLevel="0" collapsed="false">
      <c r="A699" s="22" t="s">
        <v>13617</v>
      </c>
      <c r="B699" s="22" t="s">
        <v>9248</v>
      </c>
      <c r="C699" s="22" t="s">
        <v>15138</v>
      </c>
      <c r="D699" s="23" t="s">
        <v>14266</v>
      </c>
      <c r="E699" s="22" t="s">
        <v>15139</v>
      </c>
      <c r="F699" s="53" t="s">
        <v>14420</v>
      </c>
    </row>
    <row r="700" customFormat="false" ht="24.75" hidden="false" customHeight="true" outlineLevel="0" collapsed="false">
      <c r="A700" s="22" t="s">
        <v>13617</v>
      </c>
      <c r="B700" s="22" t="s">
        <v>9248</v>
      </c>
      <c r="C700" s="22" t="s">
        <v>15119</v>
      </c>
      <c r="D700" s="23" t="s">
        <v>14428</v>
      </c>
      <c r="E700" s="22" t="s">
        <v>15120</v>
      </c>
      <c r="F700" s="35" t="s">
        <v>14416</v>
      </c>
    </row>
    <row r="701" customFormat="false" ht="15" hidden="false" customHeight="true" outlineLevel="0" collapsed="false">
      <c r="A701" s="22" t="s">
        <v>13617</v>
      </c>
      <c r="B701" s="22" t="s">
        <v>9248</v>
      </c>
      <c r="C701" s="22" t="s">
        <v>15204</v>
      </c>
      <c r="D701" s="23" t="s">
        <v>14422</v>
      </c>
      <c r="E701" s="22" t="s">
        <v>15205</v>
      </c>
      <c r="F701" s="53" t="s">
        <v>14420</v>
      </c>
    </row>
    <row r="702" customFormat="false" ht="15" hidden="false" customHeight="true" outlineLevel="0" collapsed="false">
      <c r="A702" s="22" t="s">
        <v>13632</v>
      </c>
      <c r="B702" s="22" t="s">
        <v>9248</v>
      </c>
      <c r="C702" s="22" t="s">
        <v>15206</v>
      </c>
      <c r="D702" s="23" t="s">
        <v>15207</v>
      </c>
      <c r="E702" s="22" t="s">
        <v>15208</v>
      </c>
      <c r="F702" s="53" t="s">
        <v>14420</v>
      </c>
    </row>
    <row r="703" customFormat="false" ht="15" hidden="false" customHeight="true" outlineLevel="0" collapsed="false">
      <c r="A703" s="22" t="s">
        <v>13632</v>
      </c>
      <c r="B703" s="22" t="s">
        <v>9248</v>
      </c>
      <c r="C703" s="22" t="s">
        <v>15209</v>
      </c>
      <c r="D703" s="23" t="s">
        <v>15210</v>
      </c>
      <c r="E703" s="22" t="s">
        <v>15211</v>
      </c>
      <c r="F703" s="53" t="s">
        <v>14420</v>
      </c>
    </row>
    <row r="704" customFormat="false" ht="24.75" hidden="false" customHeight="true" outlineLevel="0" collapsed="false">
      <c r="A704" s="22" t="s">
        <v>13652</v>
      </c>
      <c r="B704" s="22" t="s">
        <v>9248</v>
      </c>
      <c r="C704" s="22" t="s">
        <v>15212</v>
      </c>
      <c r="D704" s="23" t="s">
        <v>15213</v>
      </c>
      <c r="E704" s="22" t="s">
        <v>15214</v>
      </c>
      <c r="F704" s="53" t="s">
        <v>14420</v>
      </c>
    </row>
    <row r="705" customFormat="false" ht="15" hidden="false" customHeight="true" outlineLevel="0" collapsed="false">
      <c r="A705" s="22" t="s">
        <v>13652</v>
      </c>
      <c r="B705" s="22" t="s">
        <v>9248</v>
      </c>
      <c r="C705" s="22" t="s">
        <v>15110</v>
      </c>
      <c r="D705" s="23" t="s">
        <v>15111</v>
      </c>
      <c r="E705" s="22" t="s">
        <v>15112</v>
      </c>
      <c r="F705" s="53" t="s">
        <v>14420</v>
      </c>
    </row>
    <row r="706" customFormat="false" ht="15" hidden="false" customHeight="true" outlineLevel="0" collapsed="false">
      <c r="A706" s="22" t="s">
        <v>13670</v>
      </c>
      <c r="B706" s="22" t="s">
        <v>9248</v>
      </c>
      <c r="C706" s="22" t="s">
        <v>15215</v>
      </c>
      <c r="D706" s="23" t="s">
        <v>15216</v>
      </c>
      <c r="E706" s="22" t="s">
        <v>15217</v>
      </c>
      <c r="F706" s="53" t="s">
        <v>14420</v>
      </c>
    </row>
    <row r="707" customFormat="false" ht="24.75" hidden="false" customHeight="true" outlineLevel="0" collapsed="false">
      <c r="A707" s="22" t="s">
        <v>13670</v>
      </c>
      <c r="B707" s="22" t="s">
        <v>9248</v>
      </c>
      <c r="C707" s="22" t="s">
        <v>15218</v>
      </c>
      <c r="D707" s="23" t="s">
        <v>15219</v>
      </c>
      <c r="E707" s="22" t="s">
        <v>15220</v>
      </c>
      <c r="F707" s="53" t="s">
        <v>14420</v>
      </c>
    </row>
    <row r="708" customFormat="false" ht="15" hidden="false" customHeight="true" outlineLevel="0" collapsed="false">
      <c r="A708" s="22" t="s">
        <v>13685</v>
      </c>
      <c r="B708" s="22" t="s">
        <v>9248</v>
      </c>
      <c r="C708" s="22" t="s">
        <v>15204</v>
      </c>
      <c r="D708" s="23" t="s">
        <v>14422</v>
      </c>
      <c r="E708" s="22" t="s">
        <v>15205</v>
      </c>
      <c r="F708" s="53" t="s">
        <v>14420</v>
      </c>
    </row>
    <row r="709" customFormat="false" ht="15" hidden="false" customHeight="true" outlineLevel="0" collapsed="false">
      <c r="A709" s="22" t="s">
        <v>13685</v>
      </c>
      <c r="B709" s="22" t="s">
        <v>9248</v>
      </c>
      <c r="C709" s="22" t="s">
        <v>15126</v>
      </c>
      <c r="D709" s="23" t="s">
        <v>15127</v>
      </c>
      <c r="E709" s="22" t="s">
        <v>15128</v>
      </c>
      <c r="F709" s="53" t="s">
        <v>14420</v>
      </c>
    </row>
    <row r="710" customFormat="false" ht="15" hidden="false" customHeight="true" outlineLevel="0" collapsed="false">
      <c r="A710" s="22" t="s">
        <v>13685</v>
      </c>
      <c r="B710" s="22" t="s">
        <v>9248</v>
      </c>
      <c r="C710" s="22" t="s">
        <v>15121</v>
      </c>
      <c r="D710" s="23" t="s">
        <v>14480</v>
      </c>
      <c r="E710" s="22" t="s">
        <v>15122</v>
      </c>
      <c r="F710" s="53" t="s">
        <v>14420</v>
      </c>
    </row>
    <row r="711" customFormat="false" ht="15" hidden="false" customHeight="true" outlineLevel="0" collapsed="false">
      <c r="A711" s="22" t="s">
        <v>13685</v>
      </c>
      <c r="B711" s="22" t="s">
        <v>9248</v>
      </c>
      <c r="C711" s="22" t="s">
        <v>15168</v>
      </c>
      <c r="D711" s="23" t="s">
        <v>15169</v>
      </c>
      <c r="E711" s="22" t="s">
        <v>15170</v>
      </c>
      <c r="F711" s="53" t="s">
        <v>14420</v>
      </c>
    </row>
    <row r="712" customFormat="false" ht="15" hidden="false" customHeight="true" outlineLevel="0" collapsed="false">
      <c r="A712" s="22" t="s">
        <v>13685</v>
      </c>
      <c r="B712" s="22" t="s">
        <v>9248</v>
      </c>
      <c r="C712" s="22" t="s">
        <v>15116</v>
      </c>
      <c r="D712" s="23" t="s">
        <v>15117</v>
      </c>
      <c r="E712" s="22" t="s">
        <v>15118</v>
      </c>
      <c r="F712" s="53" t="s">
        <v>14420</v>
      </c>
    </row>
    <row r="713" customFormat="false" ht="15" hidden="false" customHeight="true" outlineLevel="0" collapsed="false">
      <c r="A713" s="22" t="s">
        <v>13685</v>
      </c>
      <c r="B713" s="22" t="s">
        <v>9248</v>
      </c>
      <c r="C713" s="22" t="s">
        <v>15138</v>
      </c>
      <c r="D713" s="23" t="s">
        <v>14266</v>
      </c>
      <c r="E713" s="22" t="s">
        <v>15139</v>
      </c>
      <c r="F713" s="53" t="s">
        <v>14420</v>
      </c>
    </row>
    <row r="714" customFormat="false" ht="15" hidden="false" customHeight="true" outlineLevel="0" collapsed="false">
      <c r="A714" s="22" t="s">
        <v>13685</v>
      </c>
      <c r="B714" s="22" t="s">
        <v>9248</v>
      </c>
      <c r="C714" s="22" t="s">
        <v>15209</v>
      </c>
      <c r="D714" s="23" t="s">
        <v>15210</v>
      </c>
      <c r="E714" s="22" t="s">
        <v>15211</v>
      </c>
      <c r="F714" s="53" t="s">
        <v>14420</v>
      </c>
    </row>
    <row r="715" customFormat="false" ht="37.5" hidden="false" customHeight="true" outlineLevel="0" collapsed="false">
      <c r="A715" s="22" t="s">
        <v>180</v>
      </c>
      <c r="B715" s="22" t="s">
        <v>181</v>
      </c>
      <c r="C715" s="22" t="s">
        <v>15221</v>
      </c>
      <c r="D715" s="23" t="s">
        <v>15222</v>
      </c>
      <c r="E715" s="22" t="s">
        <v>15223</v>
      </c>
      <c r="F715" s="53" t="s">
        <v>14420</v>
      </c>
    </row>
    <row r="716" customFormat="false" ht="24.75" hidden="false" customHeight="true" outlineLevel="0" collapsed="false">
      <c r="A716" s="22" t="s">
        <v>180</v>
      </c>
      <c r="B716" s="22" t="s">
        <v>181</v>
      </c>
      <c r="C716" s="22" t="s">
        <v>15224</v>
      </c>
      <c r="D716" s="23" t="s">
        <v>14129</v>
      </c>
      <c r="E716" s="22" t="s">
        <v>15225</v>
      </c>
      <c r="F716" s="53" t="s">
        <v>14420</v>
      </c>
    </row>
    <row r="717" customFormat="false" ht="24.75" hidden="false" customHeight="true" outlineLevel="0" collapsed="false">
      <c r="A717" s="22" t="s">
        <v>180</v>
      </c>
      <c r="B717" s="22" t="s">
        <v>181</v>
      </c>
      <c r="C717" s="22" t="s">
        <v>15226</v>
      </c>
      <c r="D717" s="23" t="s">
        <v>14721</v>
      </c>
      <c r="E717" s="22" t="s">
        <v>14722</v>
      </c>
      <c r="F717" s="53" t="s">
        <v>14420</v>
      </c>
    </row>
    <row r="718" customFormat="false" ht="37.5" hidden="false" customHeight="true" outlineLevel="0" collapsed="false">
      <c r="A718" s="22" t="s">
        <v>213</v>
      </c>
      <c r="B718" s="22" t="s">
        <v>181</v>
      </c>
      <c r="C718" s="22" t="s">
        <v>15227</v>
      </c>
      <c r="D718" s="23" t="s">
        <v>15228</v>
      </c>
      <c r="E718" s="22" t="s">
        <v>15229</v>
      </c>
      <c r="F718" s="53" t="s">
        <v>14420</v>
      </c>
    </row>
    <row r="719" customFormat="false" ht="37.5" hidden="false" customHeight="true" outlineLevel="0" collapsed="false">
      <c r="A719" s="22" t="s">
        <v>241</v>
      </c>
      <c r="B719" s="22" t="s">
        <v>181</v>
      </c>
      <c r="C719" s="22" t="s">
        <v>15227</v>
      </c>
      <c r="D719" s="23" t="s">
        <v>15228</v>
      </c>
      <c r="E719" s="22" t="s">
        <v>15229</v>
      </c>
      <c r="F719" s="53" t="s">
        <v>14420</v>
      </c>
    </row>
    <row r="720" customFormat="false" ht="37.5" hidden="false" customHeight="true" outlineLevel="0" collapsed="false">
      <c r="A720" s="22" t="s">
        <v>266</v>
      </c>
      <c r="B720" s="22" t="s">
        <v>181</v>
      </c>
      <c r="C720" s="22" t="s">
        <v>15230</v>
      </c>
      <c r="D720" s="23" t="s">
        <v>15231</v>
      </c>
      <c r="E720" s="22" t="s">
        <v>15232</v>
      </c>
      <c r="F720" s="53" t="s">
        <v>14420</v>
      </c>
    </row>
    <row r="721" customFormat="false" ht="24.75" hidden="false" customHeight="true" outlineLevel="0" collapsed="false">
      <c r="A721" s="22" t="s">
        <v>295</v>
      </c>
      <c r="B721" s="22" t="s">
        <v>181</v>
      </c>
      <c r="C721" s="22" t="s">
        <v>15233</v>
      </c>
      <c r="D721" s="23" t="s">
        <v>14162</v>
      </c>
      <c r="E721" s="22" t="s">
        <v>15234</v>
      </c>
      <c r="F721" s="53" t="s">
        <v>14420</v>
      </c>
    </row>
    <row r="722" customFormat="false" ht="24.75" hidden="false" customHeight="true" outlineLevel="0" collapsed="false">
      <c r="A722" s="22" t="s">
        <v>295</v>
      </c>
      <c r="B722" s="22" t="s">
        <v>181</v>
      </c>
      <c r="C722" s="22" t="s">
        <v>15235</v>
      </c>
      <c r="D722" s="23" t="s">
        <v>15236</v>
      </c>
      <c r="E722" s="22" t="s">
        <v>15237</v>
      </c>
      <c r="F722" s="53" t="s">
        <v>14420</v>
      </c>
    </row>
    <row r="723" customFormat="false" ht="37.5" hidden="false" customHeight="true" outlineLevel="0" collapsed="false">
      <c r="A723" s="22" t="s">
        <v>323</v>
      </c>
      <c r="B723" s="22" t="s">
        <v>181</v>
      </c>
      <c r="C723" s="22" t="s">
        <v>15221</v>
      </c>
      <c r="D723" s="23" t="s">
        <v>15222</v>
      </c>
      <c r="E723" s="22" t="s">
        <v>15223</v>
      </c>
      <c r="F723" s="53" t="s">
        <v>14420</v>
      </c>
    </row>
    <row r="724" customFormat="false" ht="24.75" hidden="false" customHeight="true" outlineLevel="0" collapsed="false">
      <c r="A724" s="22" t="s">
        <v>323</v>
      </c>
      <c r="B724" s="22" t="s">
        <v>181</v>
      </c>
      <c r="C724" s="22" t="s">
        <v>15226</v>
      </c>
      <c r="D724" s="23" t="s">
        <v>14721</v>
      </c>
      <c r="E724" s="22" t="s">
        <v>14722</v>
      </c>
      <c r="F724" s="53" t="s">
        <v>14420</v>
      </c>
    </row>
    <row r="725" customFormat="false" ht="37.5" hidden="false" customHeight="true" outlineLevel="0" collapsed="false">
      <c r="A725" s="22" t="s">
        <v>352</v>
      </c>
      <c r="B725" s="22" t="s">
        <v>181</v>
      </c>
      <c r="C725" s="22" t="s">
        <v>15238</v>
      </c>
      <c r="D725" s="23" t="s">
        <v>15239</v>
      </c>
      <c r="E725" s="22" t="s">
        <v>15240</v>
      </c>
      <c r="F725" s="53" t="s">
        <v>14420</v>
      </c>
    </row>
    <row r="726" customFormat="false" ht="37.5" hidden="false" customHeight="true" outlineLevel="0" collapsed="false">
      <c r="A726" s="22" t="s">
        <v>352</v>
      </c>
      <c r="B726" s="22" t="s">
        <v>181</v>
      </c>
      <c r="C726" s="22" t="s">
        <v>15241</v>
      </c>
      <c r="D726" s="23" t="s">
        <v>15242</v>
      </c>
      <c r="E726" s="22" t="s">
        <v>15243</v>
      </c>
      <c r="F726" s="53" t="s">
        <v>14420</v>
      </c>
    </row>
    <row r="727" customFormat="false" ht="24.75" hidden="false" customHeight="true" outlineLevel="0" collapsed="false">
      <c r="A727" s="22" t="s">
        <v>352</v>
      </c>
      <c r="B727" s="22" t="s">
        <v>181</v>
      </c>
      <c r="C727" s="22" t="s">
        <v>15244</v>
      </c>
      <c r="D727" s="23" t="s">
        <v>15245</v>
      </c>
      <c r="E727" s="22" t="s">
        <v>15246</v>
      </c>
      <c r="F727" s="53" t="s">
        <v>14420</v>
      </c>
    </row>
    <row r="728" customFormat="false" ht="24.75" hidden="false" customHeight="true" outlineLevel="0" collapsed="false">
      <c r="A728" s="22" t="s">
        <v>352</v>
      </c>
      <c r="B728" s="22" t="s">
        <v>181</v>
      </c>
      <c r="C728" s="22" t="s">
        <v>15224</v>
      </c>
      <c r="D728" s="23" t="s">
        <v>14129</v>
      </c>
      <c r="E728" s="22" t="s">
        <v>15225</v>
      </c>
      <c r="F728" s="53" t="s">
        <v>14420</v>
      </c>
    </row>
    <row r="729" customFormat="false" ht="24.75" hidden="false" customHeight="true" outlineLevel="0" collapsed="false">
      <c r="A729" s="22" t="s">
        <v>352</v>
      </c>
      <c r="B729" s="22" t="s">
        <v>181</v>
      </c>
      <c r="C729" s="22" t="s">
        <v>15247</v>
      </c>
      <c r="D729" s="23" t="s">
        <v>14752</v>
      </c>
      <c r="E729" s="22" t="s">
        <v>15248</v>
      </c>
      <c r="F729" s="53" t="s">
        <v>14420</v>
      </c>
    </row>
    <row r="730" customFormat="false" ht="24.75" hidden="false" customHeight="true" outlineLevel="0" collapsed="false">
      <c r="A730" s="22" t="s">
        <v>352</v>
      </c>
      <c r="B730" s="22" t="s">
        <v>181</v>
      </c>
      <c r="C730" s="22" t="s">
        <v>15249</v>
      </c>
      <c r="D730" s="23" t="s">
        <v>14134</v>
      </c>
      <c r="E730" s="22" t="s">
        <v>15250</v>
      </c>
      <c r="F730" s="53" t="s">
        <v>14420</v>
      </c>
    </row>
    <row r="731" customFormat="false" ht="37.5" hidden="false" customHeight="true" outlineLevel="0" collapsed="false">
      <c r="A731" s="22" t="s">
        <v>352</v>
      </c>
      <c r="B731" s="22" t="s">
        <v>181</v>
      </c>
      <c r="C731" s="22" t="s">
        <v>15221</v>
      </c>
      <c r="D731" s="23" t="s">
        <v>15222</v>
      </c>
      <c r="E731" s="22" t="s">
        <v>15223</v>
      </c>
      <c r="F731" s="53" t="s">
        <v>14420</v>
      </c>
    </row>
    <row r="732" customFormat="false" ht="24.75" hidden="false" customHeight="true" outlineLevel="0" collapsed="false">
      <c r="A732" s="22" t="s">
        <v>352</v>
      </c>
      <c r="B732" s="22" t="s">
        <v>181</v>
      </c>
      <c r="C732" s="22" t="s">
        <v>15233</v>
      </c>
      <c r="D732" s="23" t="s">
        <v>14162</v>
      </c>
      <c r="E732" s="22" t="s">
        <v>15234</v>
      </c>
      <c r="F732" s="53" t="s">
        <v>14420</v>
      </c>
    </row>
    <row r="733" customFormat="false" ht="37.5" hidden="false" customHeight="true" outlineLevel="0" collapsed="false">
      <c r="A733" s="22" t="s">
        <v>381</v>
      </c>
      <c r="B733" s="22" t="s">
        <v>181</v>
      </c>
      <c r="C733" s="22" t="s">
        <v>15230</v>
      </c>
      <c r="D733" s="23" t="s">
        <v>15231</v>
      </c>
      <c r="E733" s="22" t="s">
        <v>15232</v>
      </c>
      <c r="F733" s="53" t="s">
        <v>14420</v>
      </c>
    </row>
    <row r="734" customFormat="false" ht="24.75" hidden="false" customHeight="true" outlineLevel="0" collapsed="false">
      <c r="A734" s="22" t="s">
        <v>381</v>
      </c>
      <c r="B734" s="22" t="s">
        <v>181</v>
      </c>
      <c r="C734" s="22" t="s">
        <v>15251</v>
      </c>
      <c r="D734" s="23" t="s">
        <v>14739</v>
      </c>
      <c r="E734" s="22" t="s">
        <v>15252</v>
      </c>
      <c r="F734" s="35" t="s">
        <v>14416</v>
      </c>
    </row>
    <row r="735" customFormat="false" ht="24.75" hidden="false" customHeight="true" outlineLevel="0" collapsed="false">
      <c r="A735" s="22" t="s">
        <v>410</v>
      </c>
      <c r="B735" s="22" t="s">
        <v>181</v>
      </c>
      <c r="C735" s="22" t="s">
        <v>15253</v>
      </c>
      <c r="D735" s="23" t="s">
        <v>14157</v>
      </c>
      <c r="E735" s="22" t="s">
        <v>15254</v>
      </c>
      <c r="F735" s="53" t="s">
        <v>14420</v>
      </c>
    </row>
    <row r="736" customFormat="false" ht="24.75" hidden="false" customHeight="true" outlineLevel="0" collapsed="false">
      <c r="A736" s="22" t="s">
        <v>435</v>
      </c>
      <c r="B736" s="22" t="s">
        <v>181</v>
      </c>
      <c r="C736" s="22" t="s">
        <v>15255</v>
      </c>
      <c r="D736" s="23" t="s">
        <v>14742</v>
      </c>
      <c r="E736" s="22" t="s">
        <v>15256</v>
      </c>
      <c r="F736" s="53" t="s">
        <v>14420</v>
      </c>
    </row>
    <row r="737" customFormat="false" ht="24.75" hidden="false" customHeight="true" outlineLevel="0" collapsed="false">
      <c r="A737" s="22" t="s">
        <v>435</v>
      </c>
      <c r="B737" s="22" t="s">
        <v>181</v>
      </c>
      <c r="C737" s="22" t="s">
        <v>15257</v>
      </c>
      <c r="D737" s="23" t="s">
        <v>15258</v>
      </c>
      <c r="E737" s="22" t="s">
        <v>15259</v>
      </c>
      <c r="F737" s="53" t="s">
        <v>14420</v>
      </c>
    </row>
    <row r="738" customFormat="false" ht="24.75" hidden="false" customHeight="true" outlineLevel="0" collapsed="false">
      <c r="A738" s="22" t="s">
        <v>464</v>
      </c>
      <c r="B738" s="22" t="s">
        <v>181</v>
      </c>
      <c r="C738" s="22" t="s">
        <v>15260</v>
      </c>
      <c r="D738" s="23" t="s">
        <v>14674</v>
      </c>
      <c r="E738" s="22" t="s">
        <v>15261</v>
      </c>
      <c r="F738" s="53" t="s">
        <v>14420</v>
      </c>
    </row>
    <row r="739" customFormat="false" ht="24.75" hidden="false" customHeight="true" outlineLevel="0" collapsed="false">
      <c r="A739" s="22" t="s">
        <v>464</v>
      </c>
      <c r="B739" s="22" t="s">
        <v>181</v>
      </c>
      <c r="C739" s="22" t="s">
        <v>15262</v>
      </c>
      <c r="D739" s="23" t="s">
        <v>14671</v>
      </c>
      <c r="E739" s="22" t="s">
        <v>14672</v>
      </c>
      <c r="F739" s="53" t="s">
        <v>14420</v>
      </c>
    </row>
    <row r="740" customFormat="false" ht="37.5" hidden="false" customHeight="true" outlineLevel="0" collapsed="false">
      <c r="A740" s="22" t="s">
        <v>464</v>
      </c>
      <c r="B740" s="22" t="s">
        <v>181</v>
      </c>
      <c r="C740" s="22" t="s">
        <v>15263</v>
      </c>
      <c r="D740" s="23" t="s">
        <v>15264</v>
      </c>
      <c r="E740" s="22" t="s">
        <v>15265</v>
      </c>
      <c r="F740" s="53" t="s">
        <v>14420</v>
      </c>
    </row>
    <row r="741" customFormat="false" ht="37.5" hidden="false" customHeight="true" outlineLevel="0" collapsed="false">
      <c r="A741" s="22" t="s">
        <v>492</v>
      </c>
      <c r="B741" s="22" t="s">
        <v>181</v>
      </c>
      <c r="C741" s="22" t="s">
        <v>15263</v>
      </c>
      <c r="D741" s="23" t="s">
        <v>15264</v>
      </c>
      <c r="E741" s="22" t="s">
        <v>15265</v>
      </c>
      <c r="F741" s="53" t="s">
        <v>14420</v>
      </c>
    </row>
    <row r="742" customFormat="false" ht="24.75" hidden="false" customHeight="true" outlineLevel="0" collapsed="false">
      <c r="A742" s="22" t="s">
        <v>519</v>
      </c>
      <c r="B742" s="22" t="s">
        <v>181</v>
      </c>
      <c r="C742" s="22" t="s">
        <v>15266</v>
      </c>
      <c r="D742" s="23" t="s">
        <v>14745</v>
      </c>
      <c r="E742" s="22" t="s">
        <v>15267</v>
      </c>
      <c r="F742" s="53" t="s">
        <v>14420</v>
      </c>
    </row>
    <row r="743" customFormat="false" ht="24.75" hidden="false" customHeight="true" outlineLevel="0" collapsed="false">
      <c r="A743" s="22" t="s">
        <v>519</v>
      </c>
      <c r="B743" s="22" t="s">
        <v>181</v>
      </c>
      <c r="C743" s="22" t="s">
        <v>15268</v>
      </c>
      <c r="D743" s="23" t="s">
        <v>14171</v>
      </c>
      <c r="E743" s="22" t="s">
        <v>15269</v>
      </c>
      <c r="F743" s="53" t="s">
        <v>14420</v>
      </c>
    </row>
    <row r="744" customFormat="false" ht="24.75" hidden="false" customHeight="true" outlineLevel="0" collapsed="false">
      <c r="A744" s="22" t="s">
        <v>519</v>
      </c>
      <c r="B744" s="22" t="s">
        <v>181</v>
      </c>
      <c r="C744" s="22" t="s">
        <v>15235</v>
      </c>
      <c r="D744" s="23" t="s">
        <v>15236</v>
      </c>
      <c r="E744" s="22" t="s">
        <v>15237</v>
      </c>
      <c r="F744" s="53" t="s">
        <v>14420</v>
      </c>
    </row>
    <row r="745" customFormat="false" ht="24.75" hidden="false" customHeight="true" outlineLevel="0" collapsed="false">
      <c r="A745" s="22" t="s">
        <v>519</v>
      </c>
      <c r="B745" s="22" t="s">
        <v>181</v>
      </c>
      <c r="C745" s="22" t="s">
        <v>15233</v>
      </c>
      <c r="D745" s="23" t="s">
        <v>14162</v>
      </c>
      <c r="E745" s="22" t="s">
        <v>15234</v>
      </c>
      <c r="F745" s="53" t="s">
        <v>14420</v>
      </c>
    </row>
    <row r="746" customFormat="false" ht="24.75" hidden="false" customHeight="true" outlineLevel="0" collapsed="false">
      <c r="A746" s="22" t="s">
        <v>551</v>
      </c>
      <c r="B746" s="22" t="s">
        <v>181</v>
      </c>
      <c r="C746" s="22" t="s">
        <v>15270</v>
      </c>
      <c r="D746" s="23" t="s">
        <v>15271</v>
      </c>
      <c r="E746" s="22" t="s">
        <v>15272</v>
      </c>
      <c r="F746" s="53" t="s">
        <v>14420</v>
      </c>
    </row>
    <row r="747" customFormat="false" ht="24.75" hidden="false" customHeight="true" outlineLevel="0" collapsed="false">
      <c r="A747" s="22" t="s">
        <v>551</v>
      </c>
      <c r="B747" s="22" t="s">
        <v>181</v>
      </c>
      <c r="C747" s="22" t="s">
        <v>15273</v>
      </c>
      <c r="D747" s="23" t="s">
        <v>15274</v>
      </c>
      <c r="E747" s="22" t="s">
        <v>15275</v>
      </c>
      <c r="F747" s="53" t="s">
        <v>14420</v>
      </c>
    </row>
    <row r="748" customFormat="false" ht="24.75" hidden="false" customHeight="true" outlineLevel="0" collapsed="false">
      <c r="A748" s="22" t="s">
        <v>551</v>
      </c>
      <c r="B748" s="22" t="s">
        <v>181</v>
      </c>
      <c r="C748" s="22" t="s">
        <v>15244</v>
      </c>
      <c r="D748" s="23" t="s">
        <v>15245</v>
      </c>
      <c r="E748" s="22" t="s">
        <v>15246</v>
      </c>
      <c r="F748" s="53" t="s">
        <v>14420</v>
      </c>
    </row>
    <row r="749" customFormat="false" ht="24.75" hidden="false" customHeight="true" outlineLevel="0" collapsed="false">
      <c r="A749" s="22" t="s">
        <v>551</v>
      </c>
      <c r="B749" s="22" t="s">
        <v>181</v>
      </c>
      <c r="C749" s="22" t="s">
        <v>15276</v>
      </c>
      <c r="D749" s="23" t="s">
        <v>14663</v>
      </c>
      <c r="E749" s="22" t="s">
        <v>15277</v>
      </c>
      <c r="F749" s="35" t="s">
        <v>14416</v>
      </c>
    </row>
    <row r="750" customFormat="false" ht="24.75" hidden="false" customHeight="true" outlineLevel="0" collapsed="false">
      <c r="A750" s="22" t="s">
        <v>551</v>
      </c>
      <c r="B750" s="22" t="s">
        <v>181</v>
      </c>
      <c r="C750" s="22" t="s">
        <v>15247</v>
      </c>
      <c r="D750" s="23" t="s">
        <v>14752</v>
      </c>
      <c r="E750" s="22" t="s">
        <v>15248</v>
      </c>
      <c r="F750" s="53" t="s">
        <v>14420</v>
      </c>
    </row>
    <row r="751" customFormat="false" ht="37.5" hidden="false" customHeight="true" outlineLevel="0" collapsed="false">
      <c r="A751" s="22" t="s">
        <v>551</v>
      </c>
      <c r="B751" s="22" t="s">
        <v>181</v>
      </c>
      <c r="C751" s="22" t="s">
        <v>15278</v>
      </c>
      <c r="D751" s="23" t="s">
        <v>15279</v>
      </c>
      <c r="E751" s="22" t="s">
        <v>15280</v>
      </c>
      <c r="F751" s="53" t="s">
        <v>14420</v>
      </c>
    </row>
    <row r="752" customFormat="false" ht="24.75" hidden="false" customHeight="true" outlineLevel="0" collapsed="false">
      <c r="A752" s="22" t="s">
        <v>581</v>
      </c>
      <c r="B752" s="22" t="s">
        <v>181</v>
      </c>
      <c r="C752" s="22" t="s">
        <v>15268</v>
      </c>
      <c r="D752" s="23" t="s">
        <v>14171</v>
      </c>
      <c r="E752" s="22" t="s">
        <v>15269</v>
      </c>
      <c r="F752" s="53" t="s">
        <v>14420</v>
      </c>
    </row>
    <row r="753" customFormat="false" ht="24.75" hidden="false" customHeight="true" outlineLevel="0" collapsed="false">
      <c r="A753" s="22" t="s">
        <v>581</v>
      </c>
      <c r="B753" s="22" t="s">
        <v>181</v>
      </c>
      <c r="C753" s="22" t="s">
        <v>15235</v>
      </c>
      <c r="D753" s="23" t="s">
        <v>15236</v>
      </c>
      <c r="E753" s="22" t="s">
        <v>15237</v>
      </c>
      <c r="F753" s="53" t="s">
        <v>14420</v>
      </c>
    </row>
    <row r="754" customFormat="false" ht="24.75" hidden="false" customHeight="true" outlineLevel="0" collapsed="false">
      <c r="A754" s="22" t="s">
        <v>581</v>
      </c>
      <c r="B754" s="22" t="s">
        <v>181</v>
      </c>
      <c r="C754" s="22" t="s">
        <v>15249</v>
      </c>
      <c r="D754" s="23" t="s">
        <v>14134</v>
      </c>
      <c r="E754" s="22" t="s">
        <v>15250</v>
      </c>
      <c r="F754" s="53" t="s">
        <v>14420</v>
      </c>
    </row>
    <row r="755" customFormat="false" ht="24.75" hidden="false" customHeight="true" outlineLevel="0" collapsed="false">
      <c r="A755" s="22" t="s">
        <v>581</v>
      </c>
      <c r="B755" s="22" t="s">
        <v>181</v>
      </c>
      <c r="C755" s="22" t="s">
        <v>15233</v>
      </c>
      <c r="D755" s="23" t="s">
        <v>14162</v>
      </c>
      <c r="E755" s="22" t="s">
        <v>15234</v>
      </c>
      <c r="F755" s="53" t="s">
        <v>14420</v>
      </c>
    </row>
    <row r="756" customFormat="false" ht="24.75" hidden="false" customHeight="true" outlineLevel="0" collapsed="false">
      <c r="A756" s="22" t="s">
        <v>607</v>
      </c>
      <c r="B756" s="22" t="s">
        <v>181</v>
      </c>
      <c r="C756" s="22" t="s">
        <v>15266</v>
      </c>
      <c r="D756" s="23" t="s">
        <v>14745</v>
      </c>
      <c r="E756" s="22" t="s">
        <v>15267</v>
      </c>
      <c r="F756" s="53" t="s">
        <v>14420</v>
      </c>
    </row>
    <row r="757" customFormat="false" ht="24.75" hidden="false" customHeight="true" outlineLevel="0" collapsed="false">
      <c r="A757" s="22" t="s">
        <v>633</v>
      </c>
      <c r="B757" s="22" t="s">
        <v>181</v>
      </c>
      <c r="C757" s="22" t="s">
        <v>15281</v>
      </c>
      <c r="D757" s="23" t="s">
        <v>14758</v>
      </c>
      <c r="E757" s="22" t="s">
        <v>15282</v>
      </c>
      <c r="F757" s="53" t="s">
        <v>14420</v>
      </c>
    </row>
    <row r="758" customFormat="false" ht="24.75" hidden="false" customHeight="true" outlineLevel="0" collapsed="false">
      <c r="A758" s="22" t="s">
        <v>633</v>
      </c>
      <c r="B758" s="22" t="s">
        <v>181</v>
      </c>
      <c r="C758" s="22" t="s">
        <v>15283</v>
      </c>
      <c r="D758" s="23" t="s">
        <v>14763</v>
      </c>
      <c r="E758" s="22" t="s">
        <v>15284</v>
      </c>
      <c r="F758" s="53" t="s">
        <v>14420</v>
      </c>
    </row>
    <row r="759" customFormat="false" ht="24.75" hidden="false" customHeight="true" outlineLevel="0" collapsed="false">
      <c r="A759" s="22" t="s">
        <v>633</v>
      </c>
      <c r="B759" s="22" t="s">
        <v>181</v>
      </c>
      <c r="C759" s="22" t="s">
        <v>15276</v>
      </c>
      <c r="D759" s="23" t="s">
        <v>14663</v>
      </c>
      <c r="E759" s="22" t="s">
        <v>15277</v>
      </c>
      <c r="F759" s="35" t="s">
        <v>14416</v>
      </c>
    </row>
    <row r="760" customFormat="false" ht="24.75" hidden="false" customHeight="true" outlineLevel="0" collapsed="false">
      <c r="A760" s="22" t="s">
        <v>633</v>
      </c>
      <c r="B760" s="22" t="s">
        <v>181</v>
      </c>
      <c r="C760" s="22" t="s">
        <v>15285</v>
      </c>
      <c r="D760" s="23" t="s">
        <v>14778</v>
      </c>
      <c r="E760" s="22" t="s">
        <v>14779</v>
      </c>
      <c r="F760" s="53" t="s">
        <v>14420</v>
      </c>
    </row>
    <row r="761" customFormat="false" ht="24.75" hidden="false" customHeight="true" outlineLevel="0" collapsed="false">
      <c r="A761" s="22" t="s">
        <v>662</v>
      </c>
      <c r="B761" s="22" t="s">
        <v>181</v>
      </c>
      <c r="C761" s="22" t="s">
        <v>15276</v>
      </c>
      <c r="D761" s="23" t="s">
        <v>14663</v>
      </c>
      <c r="E761" s="22" t="s">
        <v>15277</v>
      </c>
      <c r="F761" s="35" t="s">
        <v>14416</v>
      </c>
    </row>
    <row r="762" customFormat="false" ht="24.75" hidden="false" customHeight="true" outlineLevel="0" collapsed="false">
      <c r="A762" s="22" t="s">
        <v>662</v>
      </c>
      <c r="B762" s="22" t="s">
        <v>181</v>
      </c>
      <c r="C762" s="22" t="s">
        <v>15285</v>
      </c>
      <c r="D762" s="23" t="s">
        <v>14778</v>
      </c>
      <c r="E762" s="22" t="s">
        <v>14779</v>
      </c>
      <c r="F762" s="53" t="s">
        <v>14420</v>
      </c>
    </row>
    <row r="763" customFormat="false" ht="37.5" hidden="false" customHeight="true" outlineLevel="0" collapsed="false">
      <c r="A763" s="22" t="s">
        <v>662</v>
      </c>
      <c r="B763" s="22" t="s">
        <v>181</v>
      </c>
      <c r="C763" s="22" t="s">
        <v>15278</v>
      </c>
      <c r="D763" s="23" t="s">
        <v>15279</v>
      </c>
      <c r="E763" s="22" t="s">
        <v>15280</v>
      </c>
      <c r="F763" s="53" t="s">
        <v>14420</v>
      </c>
    </row>
    <row r="764" customFormat="false" ht="24.75" hidden="false" customHeight="true" outlineLevel="0" collapsed="false">
      <c r="A764" s="22" t="s">
        <v>662</v>
      </c>
      <c r="B764" s="22" t="s">
        <v>181</v>
      </c>
      <c r="C764" s="22" t="s">
        <v>15286</v>
      </c>
      <c r="D764" s="23" t="s">
        <v>15287</v>
      </c>
      <c r="E764" s="22" t="s">
        <v>15288</v>
      </c>
      <c r="F764" s="53" t="s">
        <v>14420</v>
      </c>
    </row>
    <row r="765" customFormat="false" ht="24.75" hidden="false" customHeight="true" outlineLevel="0" collapsed="false">
      <c r="A765" s="22" t="s">
        <v>662</v>
      </c>
      <c r="B765" s="22" t="s">
        <v>181</v>
      </c>
      <c r="C765" s="22" t="s">
        <v>15249</v>
      </c>
      <c r="D765" s="23" t="s">
        <v>14134</v>
      </c>
      <c r="E765" s="22" t="s">
        <v>15250</v>
      </c>
      <c r="F765" s="53" t="s">
        <v>14420</v>
      </c>
    </row>
    <row r="766" customFormat="false" ht="24.75" hidden="false" customHeight="true" outlineLevel="0" collapsed="false">
      <c r="A766" s="22" t="s">
        <v>688</v>
      </c>
      <c r="B766" s="22" t="s">
        <v>181</v>
      </c>
      <c r="C766" s="22" t="s">
        <v>15289</v>
      </c>
      <c r="D766" s="23" t="s">
        <v>14788</v>
      </c>
      <c r="E766" s="22" t="s">
        <v>15290</v>
      </c>
      <c r="F766" s="53" t="s">
        <v>14420</v>
      </c>
    </row>
    <row r="767" customFormat="false" ht="24.75" hidden="false" customHeight="true" outlineLevel="0" collapsed="false">
      <c r="A767" s="22" t="s">
        <v>688</v>
      </c>
      <c r="B767" s="22" t="s">
        <v>181</v>
      </c>
      <c r="C767" s="22" t="s">
        <v>15291</v>
      </c>
      <c r="D767" s="23" t="s">
        <v>14791</v>
      </c>
      <c r="E767" s="22" t="s">
        <v>14792</v>
      </c>
      <c r="F767" s="53" t="s">
        <v>14420</v>
      </c>
    </row>
    <row r="768" customFormat="false" ht="24.75" hidden="false" customHeight="true" outlineLevel="0" collapsed="false">
      <c r="A768" s="22" t="s">
        <v>688</v>
      </c>
      <c r="B768" s="22" t="s">
        <v>181</v>
      </c>
      <c r="C768" s="22" t="s">
        <v>15292</v>
      </c>
      <c r="D768" s="23" t="s">
        <v>14183</v>
      </c>
      <c r="E768" s="22" t="s">
        <v>15293</v>
      </c>
      <c r="F768" s="35" t="s">
        <v>14416</v>
      </c>
    </row>
    <row r="769" customFormat="false" ht="37.5" hidden="false" customHeight="true" outlineLevel="0" collapsed="false">
      <c r="A769" s="22" t="s">
        <v>717</v>
      </c>
      <c r="B769" s="22" t="s">
        <v>181</v>
      </c>
      <c r="C769" s="22" t="s">
        <v>15278</v>
      </c>
      <c r="D769" s="23" t="s">
        <v>15279</v>
      </c>
      <c r="E769" s="22" t="s">
        <v>15280</v>
      </c>
      <c r="F769" s="53" t="s">
        <v>14420</v>
      </c>
    </row>
    <row r="770" customFormat="false" ht="24.75" hidden="false" customHeight="true" outlineLevel="0" collapsed="false">
      <c r="A770" s="22" t="s">
        <v>717</v>
      </c>
      <c r="B770" s="22" t="s">
        <v>181</v>
      </c>
      <c r="C770" s="22" t="s">
        <v>15286</v>
      </c>
      <c r="D770" s="23" t="s">
        <v>15287</v>
      </c>
      <c r="E770" s="22" t="s">
        <v>15288</v>
      </c>
      <c r="F770" s="53" t="s">
        <v>14420</v>
      </c>
    </row>
    <row r="771" customFormat="false" ht="24.75" hidden="false" customHeight="true" outlineLevel="0" collapsed="false">
      <c r="A771" s="22" t="s">
        <v>717</v>
      </c>
      <c r="B771" s="22" t="s">
        <v>181</v>
      </c>
      <c r="C771" s="22" t="s">
        <v>15294</v>
      </c>
      <c r="D771" s="23" t="s">
        <v>15295</v>
      </c>
      <c r="E771" s="22" t="s">
        <v>14678</v>
      </c>
      <c r="F771" s="53" t="s">
        <v>14420</v>
      </c>
    </row>
    <row r="772" customFormat="false" ht="24.75" hidden="false" customHeight="true" outlineLevel="0" collapsed="false">
      <c r="A772" s="22" t="s">
        <v>745</v>
      </c>
      <c r="B772" s="22" t="s">
        <v>181</v>
      </c>
      <c r="C772" s="22" t="s">
        <v>15296</v>
      </c>
      <c r="D772" s="23" t="s">
        <v>14861</v>
      </c>
      <c r="E772" s="22" t="s">
        <v>15297</v>
      </c>
      <c r="F772" s="53" t="s">
        <v>14420</v>
      </c>
    </row>
    <row r="773" customFormat="false" ht="24.75" hidden="false" customHeight="true" outlineLevel="0" collapsed="false">
      <c r="A773" s="22" t="s">
        <v>774</v>
      </c>
      <c r="B773" s="22" t="s">
        <v>181</v>
      </c>
      <c r="C773" s="22" t="s">
        <v>15283</v>
      </c>
      <c r="D773" s="23" t="s">
        <v>14763</v>
      </c>
      <c r="E773" s="22" t="s">
        <v>15284</v>
      </c>
      <c r="F773" s="53" t="s">
        <v>14420</v>
      </c>
    </row>
    <row r="774" customFormat="false" ht="24.75" hidden="false" customHeight="true" outlineLevel="0" collapsed="false">
      <c r="A774" s="22" t="s">
        <v>774</v>
      </c>
      <c r="B774" s="22" t="s">
        <v>181</v>
      </c>
      <c r="C774" s="22" t="s">
        <v>15298</v>
      </c>
      <c r="D774" s="23" t="s">
        <v>14799</v>
      </c>
      <c r="E774" s="22" t="s">
        <v>15299</v>
      </c>
      <c r="F774" s="53" t="s">
        <v>14420</v>
      </c>
    </row>
    <row r="775" customFormat="false" ht="24.75" hidden="false" customHeight="true" outlineLevel="0" collapsed="false">
      <c r="A775" s="22" t="s">
        <v>774</v>
      </c>
      <c r="B775" s="22" t="s">
        <v>181</v>
      </c>
      <c r="C775" s="22" t="s">
        <v>15300</v>
      </c>
      <c r="D775" s="23" t="s">
        <v>14188</v>
      </c>
      <c r="E775" s="22" t="s">
        <v>15301</v>
      </c>
      <c r="F775" s="53" t="s">
        <v>14420</v>
      </c>
    </row>
    <row r="776" customFormat="false" ht="24.75" hidden="false" customHeight="true" outlineLevel="0" collapsed="false">
      <c r="A776" s="22" t="s">
        <v>774</v>
      </c>
      <c r="B776" s="22" t="s">
        <v>181</v>
      </c>
      <c r="C776" s="22" t="s">
        <v>15302</v>
      </c>
      <c r="D776" s="23" t="s">
        <v>14873</v>
      </c>
      <c r="E776" s="22" t="s">
        <v>15303</v>
      </c>
      <c r="F776" s="53" t="s">
        <v>14420</v>
      </c>
    </row>
    <row r="777" customFormat="false" ht="24.75" hidden="false" customHeight="true" outlineLevel="0" collapsed="false">
      <c r="A777" s="22" t="s">
        <v>774</v>
      </c>
      <c r="B777" s="22" t="s">
        <v>181</v>
      </c>
      <c r="C777" s="22" t="s">
        <v>15304</v>
      </c>
      <c r="D777" s="23" t="s">
        <v>14847</v>
      </c>
      <c r="E777" s="22" t="s">
        <v>15305</v>
      </c>
      <c r="F777" s="53" t="s">
        <v>14420</v>
      </c>
    </row>
    <row r="778" customFormat="false" ht="24.75" hidden="false" customHeight="true" outlineLevel="0" collapsed="false">
      <c r="A778" s="22" t="s">
        <v>804</v>
      </c>
      <c r="B778" s="22" t="s">
        <v>181</v>
      </c>
      <c r="C778" s="22" t="s">
        <v>15306</v>
      </c>
      <c r="D778" s="23" t="s">
        <v>14823</v>
      </c>
      <c r="E778" s="22" t="s">
        <v>15307</v>
      </c>
      <c r="F778" s="53" t="s">
        <v>14420</v>
      </c>
    </row>
    <row r="779" customFormat="false" ht="24.75" hidden="false" customHeight="true" outlineLevel="0" collapsed="false">
      <c r="A779" s="22" t="s">
        <v>804</v>
      </c>
      <c r="B779" s="22" t="s">
        <v>181</v>
      </c>
      <c r="C779" s="22" t="s">
        <v>15308</v>
      </c>
      <c r="D779" s="23" t="s">
        <v>14835</v>
      </c>
      <c r="E779" s="22" t="s">
        <v>14836</v>
      </c>
      <c r="F779" s="53" t="s">
        <v>14420</v>
      </c>
    </row>
    <row r="780" customFormat="false" ht="24.75" hidden="false" customHeight="true" outlineLevel="0" collapsed="false">
      <c r="A780" s="22" t="s">
        <v>804</v>
      </c>
      <c r="B780" s="22" t="s">
        <v>181</v>
      </c>
      <c r="C780" s="22" t="s">
        <v>15309</v>
      </c>
      <c r="D780" s="23" t="s">
        <v>14826</v>
      </c>
      <c r="E780" s="22" t="s">
        <v>14827</v>
      </c>
      <c r="F780" s="53" t="s">
        <v>14420</v>
      </c>
    </row>
    <row r="781" customFormat="false" ht="24.75" hidden="false" customHeight="true" outlineLevel="0" collapsed="false">
      <c r="A781" s="22" t="s">
        <v>804</v>
      </c>
      <c r="B781" s="22" t="s">
        <v>181</v>
      </c>
      <c r="C781" s="22" t="s">
        <v>15310</v>
      </c>
      <c r="D781" s="23" t="s">
        <v>14139</v>
      </c>
      <c r="E781" s="22" t="s">
        <v>15311</v>
      </c>
      <c r="F781" s="53" t="s">
        <v>14420</v>
      </c>
    </row>
    <row r="782" customFormat="false" ht="24.75" hidden="false" customHeight="true" outlineLevel="0" collapsed="false">
      <c r="A782" s="22" t="s">
        <v>834</v>
      </c>
      <c r="B782" s="22" t="s">
        <v>181</v>
      </c>
      <c r="C782" s="22" t="s">
        <v>15312</v>
      </c>
      <c r="D782" s="23" t="s">
        <v>15313</v>
      </c>
      <c r="E782" s="22" t="s">
        <v>15314</v>
      </c>
      <c r="F782" s="53" t="s">
        <v>14420</v>
      </c>
    </row>
    <row r="783" customFormat="false" ht="24.75" hidden="false" customHeight="true" outlineLevel="0" collapsed="false">
      <c r="A783" s="22" t="s">
        <v>834</v>
      </c>
      <c r="B783" s="22" t="s">
        <v>181</v>
      </c>
      <c r="C783" s="22" t="s">
        <v>15315</v>
      </c>
      <c r="D783" s="23" t="s">
        <v>14852</v>
      </c>
      <c r="E783" s="22" t="s">
        <v>15316</v>
      </c>
      <c r="F783" s="53" t="s">
        <v>14420</v>
      </c>
    </row>
    <row r="784" customFormat="false" ht="24.75" hidden="false" customHeight="true" outlineLevel="0" collapsed="false">
      <c r="A784" s="22" t="s">
        <v>834</v>
      </c>
      <c r="B784" s="22" t="s">
        <v>181</v>
      </c>
      <c r="C784" s="22" t="s">
        <v>15310</v>
      </c>
      <c r="D784" s="23" t="s">
        <v>14139</v>
      </c>
      <c r="E784" s="22" t="s">
        <v>15311</v>
      </c>
      <c r="F784" s="53" t="s">
        <v>14420</v>
      </c>
    </row>
    <row r="785" customFormat="false" ht="24.75" hidden="false" customHeight="true" outlineLevel="0" collapsed="false">
      <c r="A785" s="22" t="s">
        <v>862</v>
      </c>
      <c r="B785" s="22" t="s">
        <v>181</v>
      </c>
      <c r="C785" s="22" t="s">
        <v>15312</v>
      </c>
      <c r="D785" s="23" t="s">
        <v>15313</v>
      </c>
      <c r="E785" s="22" t="s">
        <v>15314</v>
      </c>
      <c r="F785" s="53" t="s">
        <v>14420</v>
      </c>
    </row>
    <row r="786" customFormat="false" ht="24.75" hidden="false" customHeight="true" outlineLevel="0" collapsed="false">
      <c r="A786" s="22" t="s">
        <v>862</v>
      </c>
      <c r="B786" s="22" t="s">
        <v>181</v>
      </c>
      <c r="C786" s="22" t="s">
        <v>15315</v>
      </c>
      <c r="D786" s="23" t="s">
        <v>14852</v>
      </c>
      <c r="E786" s="22" t="s">
        <v>15316</v>
      </c>
      <c r="F786" s="53" t="s">
        <v>14420</v>
      </c>
    </row>
    <row r="787" customFormat="false" ht="24.75" hidden="false" customHeight="true" outlineLevel="0" collapsed="false">
      <c r="A787" s="22" t="s">
        <v>888</v>
      </c>
      <c r="B787" s="22" t="s">
        <v>181</v>
      </c>
      <c r="C787" s="22" t="s">
        <v>15317</v>
      </c>
      <c r="D787" s="23" t="s">
        <v>15318</v>
      </c>
      <c r="E787" s="22" t="s">
        <v>15319</v>
      </c>
      <c r="F787" s="53" t="s">
        <v>14420</v>
      </c>
    </row>
    <row r="788" customFormat="false" ht="24.75" hidden="false" customHeight="true" outlineLevel="0" collapsed="false">
      <c r="A788" s="22" t="s">
        <v>888</v>
      </c>
      <c r="B788" s="22" t="s">
        <v>181</v>
      </c>
      <c r="C788" s="22" t="s">
        <v>15320</v>
      </c>
      <c r="D788" s="23" t="s">
        <v>14840</v>
      </c>
      <c r="E788" s="22" t="s">
        <v>14841</v>
      </c>
      <c r="F788" s="53" t="s">
        <v>14420</v>
      </c>
    </row>
    <row r="789" customFormat="false" ht="24.75" hidden="false" customHeight="true" outlineLevel="0" collapsed="false">
      <c r="A789" s="22" t="s">
        <v>918</v>
      </c>
      <c r="B789" s="22" t="s">
        <v>181</v>
      </c>
      <c r="C789" s="22" t="s">
        <v>15317</v>
      </c>
      <c r="D789" s="23" t="s">
        <v>15318</v>
      </c>
      <c r="E789" s="22" t="s">
        <v>15319</v>
      </c>
      <c r="F789" s="53" t="s">
        <v>14420</v>
      </c>
    </row>
    <row r="790" customFormat="false" ht="24.75" hidden="false" customHeight="true" outlineLevel="0" collapsed="false">
      <c r="A790" s="22" t="s">
        <v>918</v>
      </c>
      <c r="B790" s="22" t="s">
        <v>181</v>
      </c>
      <c r="C790" s="22" t="s">
        <v>15312</v>
      </c>
      <c r="D790" s="23" t="s">
        <v>15313</v>
      </c>
      <c r="E790" s="22" t="s">
        <v>15314</v>
      </c>
      <c r="F790" s="53" t="s">
        <v>14420</v>
      </c>
    </row>
    <row r="791" customFormat="false" ht="24.75" hidden="false" customHeight="true" outlineLevel="0" collapsed="false">
      <c r="A791" s="22" t="s">
        <v>943</v>
      </c>
      <c r="B791" s="22" t="s">
        <v>181</v>
      </c>
      <c r="C791" s="22" t="s">
        <v>15276</v>
      </c>
      <c r="D791" s="23" t="s">
        <v>14663</v>
      </c>
      <c r="E791" s="22" t="s">
        <v>15277</v>
      </c>
      <c r="F791" s="35" t="s">
        <v>14416</v>
      </c>
    </row>
    <row r="792" customFormat="false" ht="24.75" hidden="false" customHeight="true" outlineLevel="0" collapsed="false">
      <c r="A792" s="22" t="s">
        <v>969</v>
      </c>
      <c r="B792" s="22" t="s">
        <v>181</v>
      </c>
      <c r="C792" s="22" t="s">
        <v>15321</v>
      </c>
      <c r="D792" s="23" t="s">
        <v>14781</v>
      </c>
      <c r="E792" s="22" t="s">
        <v>14782</v>
      </c>
      <c r="F792" s="53" t="s">
        <v>14420</v>
      </c>
    </row>
    <row r="793" customFormat="false" ht="24.75" hidden="false" customHeight="true" outlineLevel="0" collapsed="false">
      <c r="A793" s="22" t="s">
        <v>969</v>
      </c>
      <c r="B793" s="22" t="s">
        <v>181</v>
      </c>
      <c r="C793" s="22" t="s">
        <v>15276</v>
      </c>
      <c r="D793" s="23" t="s">
        <v>14663</v>
      </c>
      <c r="E793" s="22" t="s">
        <v>15277</v>
      </c>
      <c r="F793" s="35" t="s">
        <v>14416</v>
      </c>
    </row>
    <row r="794" customFormat="false" ht="24.75" hidden="false" customHeight="true" outlineLevel="0" collapsed="false">
      <c r="A794" s="22" t="s">
        <v>997</v>
      </c>
      <c r="B794" s="22" t="s">
        <v>181</v>
      </c>
      <c r="C794" s="22" t="s">
        <v>15233</v>
      </c>
      <c r="D794" s="23" t="s">
        <v>14162</v>
      </c>
      <c r="E794" s="22" t="s">
        <v>15234</v>
      </c>
      <c r="F794" s="53" t="s">
        <v>14420</v>
      </c>
    </row>
    <row r="795" customFormat="false" ht="24.75" hidden="false" customHeight="true" outlineLevel="0" collapsed="false">
      <c r="A795" s="22" t="s">
        <v>997</v>
      </c>
      <c r="B795" s="22" t="s">
        <v>181</v>
      </c>
      <c r="C795" s="22" t="s">
        <v>15235</v>
      </c>
      <c r="D795" s="23" t="s">
        <v>15236</v>
      </c>
      <c r="E795" s="22" t="s">
        <v>15237</v>
      </c>
      <c r="F795" s="53" t="s">
        <v>14420</v>
      </c>
    </row>
    <row r="796" customFormat="false" ht="24.75" hidden="false" customHeight="true" outlineLevel="0" collapsed="false">
      <c r="A796" s="22" t="s">
        <v>997</v>
      </c>
      <c r="B796" s="22" t="s">
        <v>181</v>
      </c>
      <c r="C796" s="22" t="s">
        <v>15249</v>
      </c>
      <c r="D796" s="23" t="s">
        <v>14134</v>
      </c>
      <c r="E796" s="22" t="s">
        <v>15250</v>
      </c>
      <c r="F796" s="53" t="s">
        <v>14420</v>
      </c>
    </row>
    <row r="797" customFormat="false" ht="24.75" hidden="false" customHeight="true" outlineLevel="0" collapsed="false">
      <c r="A797" s="22" t="s">
        <v>997</v>
      </c>
      <c r="B797" s="22" t="s">
        <v>181</v>
      </c>
      <c r="C797" s="22" t="s">
        <v>15322</v>
      </c>
      <c r="D797" s="23" t="s">
        <v>14666</v>
      </c>
      <c r="E797" s="22" t="s">
        <v>15323</v>
      </c>
      <c r="F797" s="35" t="s">
        <v>14416</v>
      </c>
    </row>
    <row r="798" customFormat="false" ht="24.75" hidden="false" customHeight="true" outlineLevel="0" collapsed="false">
      <c r="A798" s="22" t="s">
        <v>1023</v>
      </c>
      <c r="B798" s="22" t="s">
        <v>181</v>
      </c>
      <c r="C798" s="22" t="s">
        <v>15324</v>
      </c>
      <c r="D798" s="23" t="s">
        <v>14755</v>
      </c>
      <c r="E798" s="22" t="s">
        <v>15325</v>
      </c>
      <c r="F798" s="53" t="s">
        <v>14420</v>
      </c>
    </row>
    <row r="799" customFormat="false" ht="24.75" hidden="false" customHeight="true" outlineLevel="0" collapsed="false">
      <c r="A799" s="22" t="s">
        <v>1023</v>
      </c>
      <c r="B799" s="22" t="s">
        <v>181</v>
      </c>
      <c r="C799" s="22" t="s">
        <v>15281</v>
      </c>
      <c r="D799" s="23" t="s">
        <v>14758</v>
      </c>
      <c r="E799" s="22" t="s">
        <v>15282</v>
      </c>
      <c r="F799" s="53" t="s">
        <v>14420</v>
      </c>
    </row>
    <row r="800" customFormat="false" ht="24.75" hidden="false" customHeight="true" outlineLevel="0" collapsed="false">
      <c r="A800" s="22" t="s">
        <v>1049</v>
      </c>
      <c r="B800" s="22" t="s">
        <v>181</v>
      </c>
      <c r="C800" s="22" t="s">
        <v>15226</v>
      </c>
      <c r="D800" s="23" t="s">
        <v>14721</v>
      </c>
      <c r="E800" s="22" t="s">
        <v>14722</v>
      </c>
      <c r="F800" s="53" t="s">
        <v>14420</v>
      </c>
    </row>
    <row r="801" customFormat="false" ht="24.75" hidden="false" customHeight="true" outlineLevel="0" collapsed="false">
      <c r="A801" s="22" t="s">
        <v>1049</v>
      </c>
      <c r="B801" s="22" t="s">
        <v>181</v>
      </c>
      <c r="C801" s="22" t="s">
        <v>15224</v>
      </c>
      <c r="D801" s="23" t="s">
        <v>14129</v>
      </c>
      <c r="E801" s="22" t="s">
        <v>15225</v>
      </c>
      <c r="F801" s="53" t="s">
        <v>14420</v>
      </c>
    </row>
    <row r="802" customFormat="false" ht="24.75" hidden="false" customHeight="true" outlineLevel="0" collapsed="false">
      <c r="A802" s="22" t="s">
        <v>1077</v>
      </c>
      <c r="B802" s="22" t="s">
        <v>181</v>
      </c>
      <c r="C802" s="22" t="s">
        <v>15326</v>
      </c>
      <c r="D802" s="23" t="s">
        <v>14115</v>
      </c>
      <c r="E802" s="22" t="s">
        <v>15327</v>
      </c>
      <c r="F802" s="53" t="s">
        <v>14420</v>
      </c>
    </row>
    <row r="803" customFormat="false" ht="24.75" hidden="false" customHeight="true" outlineLevel="0" collapsed="false">
      <c r="A803" s="22" t="s">
        <v>1077</v>
      </c>
      <c r="B803" s="22" t="s">
        <v>181</v>
      </c>
      <c r="C803" s="22" t="s">
        <v>15328</v>
      </c>
      <c r="D803" s="23" t="s">
        <v>14688</v>
      </c>
      <c r="E803" s="22" t="s">
        <v>15329</v>
      </c>
      <c r="F803" s="35" t="s">
        <v>14416</v>
      </c>
    </row>
    <row r="804" customFormat="false" ht="24.75" hidden="false" customHeight="true" outlineLevel="0" collapsed="false">
      <c r="A804" s="22" t="s">
        <v>1077</v>
      </c>
      <c r="B804" s="22" t="s">
        <v>181</v>
      </c>
      <c r="C804" s="22" t="s">
        <v>15292</v>
      </c>
      <c r="D804" s="23" t="s">
        <v>14183</v>
      </c>
      <c r="E804" s="22" t="s">
        <v>15293</v>
      </c>
      <c r="F804" s="35" t="s">
        <v>14416</v>
      </c>
    </row>
    <row r="805" customFormat="false" ht="24.75" hidden="false" customHeight="true" outlineLevel="0" collapsed="false">
      <c r="A805" s="22" t="s">
        <v>1077</v>
      </c>
      <c r="B805" s="22" t="s">
        <v>181</v>
      </c>
      <c r="C805" s="22" t="s">
        <v>15330</v>
      </c>
      <c r="D805" s="23" t="s">
        <v>14120</v>
      </c>
      <c r="E805" s="22" t="s">
        <v>15331</v>
      </c>
      <c r="F805" s="35" t="s">
        <v>14416</v>
      </c>
    </row>
    <row r="806" customFormat="false" ht="24.75" hidden="false" customHeight="true" outlineLevel="0" collapsed="false">
      <c r="A806" s="22" t="s">
        <v>1106</v>
      </c>
      <c r="B806" s="22" t="s">
        <v>181</v>
      </c>
      <c r="C806" s="22" t="s">
        <v>15322</v>
      </c>
      <c r="D806" s="23" t="s">
        <v>14666</v>
      </c>
      <c r="E806" s="22" t="s">
        <v>15323</v>
      </c>
      <c r="F806" s="35" t="s">
        <v>14416</v>
      </c>
    </row>
    <row r="807" customFormat="false" ht="24.75" hidden="false" customHeight="true" outlineLevel="0" collapsed="false">
      <c r="A807" s="22" t="s">
        <v>1106</v>
      </c>
      <c r="B807" s="22" t="s">
        <v>181</v>
      </c>
      <c r="C807" s="22" t="s">
        <v>15276</v>
      </c>
      <c r="D807" s="23" t="s">
        <v>14663</v>
      </c>
      <c r="E807" s="22" t="s">
        <v>15277</v>
      </c>
      <c r="F807" s="35" t="s">
        <v>14416</v>
      </c>
    </row>
    <row r="808" customFormat="false" ht="24.75" hidden="false" customHeight="true" outlineLevel="0" collapsed="false">
      <c r="A808" s="22" t="s">
        <v>1134</v>
      </c>
      <c r="B808" s="22" t="s">
        <v>181</v>
      </c>
      <c r="C808" s="22" t="s">
        <v>15332</v>
      </c>
      <c r="D808" s="23" t="s">
        <v>15333</v>
      </c>
      <c r="E808" s="22" t="s">
        <v>15334</v>
      </c>
      <c r="F808" s="35" t="s">
        <v>14416</v>
      </c>
    </row>
    <row r="809" customFormat="false" ht="24.75" hidden="false" customHeight="true" outlineLevel="0" collapsed="false">
      <c r="A809" s="22" t="s">
        <v>1162</v>
      </c>
      <c r="B809" s="22" t="s">
        <v>181</v>
      </c>
      <c r="C809" s="22" t="s">
        <v>15335</v>
      </c>
      <c r="D809" s="23" t="s">
        <v>14149</v>
      </c>
      <c r="E809" s="22" t="s">
        <v>15336</v>
      </c>
      <c r="F809" s="53" t="s">
        <v>14420</v>
      </c>
    </row>
    <row r="810" customFormat="false" ht="24.75" hidden="false" customHeight="true" outlineLevel="0" collapsed="false">
      <c r="A810" s="22" t="s">
        <v>1162</v>
      </c>
      <c r="B810" s="22" t="s">
        <v>181</v>
      </c>
      <c r="C810" s="22" t="s">
        <v>15332</v>
      </c>
      <c r="D810" s="23" t="s">
        <v>15333</v>
      </c>
      <c r="E810" s="22" t="s">
        <v>15334</v>
      </c>
      <c r="F810" s="35" t="s">
        <v>14416</v>
      </c>
    </row>
    <row r="811" customFormat="false" ht="24.75" hidden="false" customHeight="true" outlineLevel="0" collapsed="false">
      <c r="A811" s="22" t="s">
        <v>1189</v>
      </c>
      <c r="B811" s="22" t="s">
        <v>181</v>
      </c>
      <c r="C811" s="22" t="s">
        <v>15337</v>
      </c>
      <c r="D811" s="23" t="s">
        <v>14153</v>
      </c>
      <c r="E811" s="22" t="s">
        <v>15338</v>
      </c>
      <c r="F811" s="53" t="s">
        <v>14420</v>
      </c>
    </row>
    <row r="812" customFormat="false" ht="24.75" hidden="false" customHeight="true" outlineLevel="0" collapsed="false">
      <c r="A812" s="22" t="s">
        <v>1215</v>
      </c>
      <c r="B812" s="22" t="s">
        <v>181</v>
      </c>
      <c r="C812" s="22" t="s">
        <v>15339</v>
      </c>
      <c r="D812" s="23" t="s">
        <v>15340</v>
      </c>
      <c r="E812" s="22" t="s">
        <v>15341</v>
      </c>
      <c r="F812" s="53" t="s">
        <v>14420</v>
      </c>
    </row>
    <row r="813" customFormat="false" ht="24.75" hidden="false" customHeight="true" outlineLevel="0" collapsed="false">
      <c r="A813" s="22" t="s">
        <v>1215</v>
      </c>
      <c r="B813" s="22" t="s">
        <v>181</v>
      </c>
      <c r="C813" s="22" t="s">
        <v>15312</v>
      </c>
      <c r="D813" s="23" t="s">
        <v>15313</v>
      </c>
      <c r="E813" s="22" t="s">
        <v>15314</v>
      </c>
      <c r="F813" s="53" t="s">
        <v>14420</v>
      </c>
    </row>
    <row r="814" customFormat="false" ht="24.75" hidden="false" customHeight="true" outlineLevel="0" collapsed="false">
      <c r="A814" s="22" t="s">
        <v>1270</v>
      </c>
      <c r="B814" s="22" t="s">
        <v>181</v>
      </c>
      <c r="C814" s="22" t="s">
        <v>15342</v>
      </c>
      <c r="D814" s="23" t="s">
        <v>14144</v>
      </c>
      <c r="E814" s="22" t="s">
        <v>14850</v>
      </c>
      <c r="F814" s="53" t="s">
        <v>14420</v>
      </c>
    </row>
    <row r="815" customFormat="false" ht="24.75" hidden="false" customHeight="true" outlineLevel="0" collapsed="false">
      <c r="A815" s="22" t="s">
        <v>1270</v>
      </c>
      <c r="B815" s="22" t="s">
        <v>181</v>
      </c>
      <c r="C815" s="22" t="s">
        <v>15291</v>
      </c>
      <c r="D815" s="23" t="s">
        <v>14791</v>
      </c>
      <c r="E815" s="22" t="s">
        <v>14792</v>
      </c>
      <c r="F815" s="53" t="s">
        <v>14420</v>
      </c>
    </row>
    <row r="816" customFormat="false" ht="24.75" hidden="false" customHeight="true" outlineLevel="0" collapsed="false">
      <c r="A816" s="22" t="s">
        <v>1302</v>
      </c>
      <c r="B816" s="22" t="s">
        <v>181</v>
      </c>
      <c r="C816" s="22" t="s">
        <v>15343</v>
      </c>
      <c r="D816" s="23" t="s">
        <v>13783</v>
      </c>
      <c r="E816" s="22" t="s">
        <v>15344</v>
      </c>
      <c r="F816" s="35" t="s">
        <v>14416</v>
      </c>
    </row>
    <row r="817" customFormat="false" ht="24.75" hidden="false" customHeight="true" outlineLevel="0" collapsed="false">
      <c r="A817" s="22" t="s">
        <v>1302</v>
      </c>
      <c r="B817" s="22" t="s">
        <v>181</v>
      </c>
      <c r="C817" s="22" t="s">
        <v>15345</v>
      </c>
      <c r="D817" s="23" t="s">
        <v>14103</v>
      </c>
      <c r="E817" s="22" t="s">
        <v>15346</v>
      </c>
      <c r="F817" s="35" t="s">
        <v>14416</v>
      </c>
    </row>
    <row r="818" customFormat="false" ht="24.75" hidden="false" customHeight="true" outlineLevel="0" collapsed="false">
      <c r="A818" s="22" t="s">
        <v>1302</v>
      </c>
      <c r="B818" s="22" t="s">
        <v>181</v>
      </c>
      <c r="C818" s="22" t="s">
        <v>15347</v>
      </c>
      <c r="D818" s="23" t="s">
        <v>14087</v>
      </c>
      <c r="E818" s="22" t="s">
        <v>13818</v>
      </c>
      <c r="F818" s="35" t="s">
        <v>14416</v>
      </c>
    </row>
    <row r="819" customFormat="false" ht="37.5" hidden="false" customHeight="true" outlineLevel="0" collapsed="false">
      <c r="A819" s="22" t="s">
        <v>1302</v>
      </c>
      <c r="B819" s="22" t="s">
        <v>181</v>
      </c>
      <c r="C819" s="22" t="s">
        <v>15348</v>
      </c>
      <c r="D819" s="23" t="s">
        <v>15349</v>
      </c>
      <c r="E819" s="22" t="s">
        <v>15350</v>
      </c>
      <c r="F819" s="35" t="s">
        <v>14416</v>
      </c>
    </row>
    <row r="820" customFormat="false" ht="24.75" hidden="false" customHeight="true" outlineLevel="0" collapsed="false">
      <c r="A820" s="22" t="s">
        <v>1302</v>
      </c>
      <c r="B820" s="22" t="s">
        <v>181</v>
      </c>
      <c r="C820" s="22" t="s">
        <v>15351</v>
      </c>
      <c r="D820" s="23" t="s">
        <v>15352</v>
      </c>
      <c r="E820" s="22" t="s">
        <v>15353</v>
      </c>
      <c r="F820" s="53" t="s">
        <v>14420</v>
      </c>
    </row>
    <row r="821" customFormat="false" ht="24.75" hidden="false" customHeight="true" outlineLevel="0" collapsed="false">
      <c r="A821" s="22" t="s">
        <v>1332</v>
      </c>
      <c r="B821" s="22" t="s">
        <v>181</v>
      </c>
      <c r="C821" s="22" t="s">
        <v>15343</v>
      </c>
      <c r="D821" s="23" t="s">
        <v>13783</v>
      </c>
      <c r="E821" s="22" t="s">
        <v>15344</v>
      </c>
      <c r="F821" s="35" t="s">
        <v>14416</v>
      </c>
    </row>
    <row r="822" customFormat="false" ht="24.75" hidden="false" customHeight="true" outlineLevel="0" collapsed="false">
      <c r="A822" s="22" t="s">
        <v>1332</v>
      </c>
      <c r="B822" s="22" t="s">
        <v>181</v>
      </c>
      <c r="C822" s="22" t="s">
        <v>15345</v>
      </c>
      <c r="D822" s="23" t="s">
        <v>14103</v>
      </c>
      <c r="E822" s="22" t="s">
        <v>15346</v>
      </c>
      <c r="F822" s="35" t="s">
        <v>14416</v>
      </c>
    </row>
    <row r="823" customFormat="false" ht="24.75" hidden="false" customHeight="true" outlineLevel="0" collapsed="false">
      <c r="A823" s="22" t="s">
        <v>1332</v>
      </c>
      <c r="B823" s="22" t="s">
        <v>181</v>
      </c>
      <c r="C823" s="22" t="s">
        <v>15354</v>
      </c>
      <c r="D823" s="23" t="s">
        <v>14621</v>
      </c>
      <c r="E823" s="22" t="s">
        <v>13803</v>
      </c>
      <c r="F823" s="35" t="s">
        <v>14416</v>
      </c>
    </row>
    <row r="824" customFormat="false" ht="24.75" hidden="false" customHeight="true" outlineLevel="0" collapsed="false">
      <c r="A824" s="22" t="s">
        <v>1332</v>
      </c>
      <c r="B824" s="22" t="s">
        <v>181</v>
      </c>
      <c r="C824" s="22" t="s">
        <v>15355</v>
      </c>
      <c r="D824" s="23" t="s">
        <v>14603</v>
      </c>
      <c r="E824" s="22" t="s">
        <v>15356</v>
      </c>
      <c r="F824" s="53" t="s">
        <v>14420</v>
      </c>
    </row>
    <row r="825" customFormat="false" ht="24.75" hidden="false" customHeight="true" outlineLevel="0" collapsed="false">
      <c r="A825" s="22" t="s">
        <v>1332</v>
      </c>
      <c r="B825" s="22" t="s">
        <v>181</v>
      </c>
      <c r="C825" s="22" t="s">
        <v>15357</v>
      </c>
      <c r="D825" s="23" t="s">
        <v>14489</v>
      </c>
      <c r="E825" s="22" t="s">
        <v>15358</v>
      </c>
      <c r="F825" s="53" t="s">
        <v>14420</v>
      </c>
    </row>
    <row r="826" customFormat="false" ht="24.75" hidden="false" customHeight="true" outlineLevel="0" collapsed="false">
      <c r="A826" s="22" t="s">
        <v>1332</v>
      </c>
      <c r="B826" s="22" t="s">
        <v>181</v>
      </c>
      <c r="C826" s="22" t="s">
        <v>15359</v>
      </c>
      <c r="D826" s="23" t="s">
        <v>15360</v>
      </c>
      <c r="E826" s="22" t="s">
        <v>15361</v>
      </c>
      <c r="F826" s="53" t="s">
        <v>14420</v>
      </c>
    </row>
    <row r="827" customFormat="false" ht="37.5" hidden="false" customHeight="true" outlineLevel="0" collapsed="false">
      <c r="A827" s="22" t="s">
        <v>1361</v>
      </c>
      <c r="B827" s="22" t="s">
        <v>181</v>
      </c>
      <c r="C827" s="22" t="s">
        <v>15348</v>
      </c>
      <c r="D827" s="23" t="s">
        <v>15349</v>
      </c>
      <c r="E827" s="22" t="s">
        <v>15350</v>
      </c>
      <c r="F827" s="35" t="s">
        <v>14416</v>
      </c>
    </row>
    <row r="828" customFormat="false" ht="24.75" hidden="false" customHeight="true" outlineLevel="0" collapsed="false">
      <c r="A828" s="22" t="s">
        <v>1361</v>
      </c>
      <c r="B828" s="22" t="s">
        <v>181</v>
      </c>
      <c r="C828" s="22" t="s">
        <v>15351</v>
      </c>
      <c r="D828" s="23" t="s">
        <v>15352</v>
      </c>
      <c r="E828" s="22" t="s">
        <v>15353</v>
      </c>
      <c r="F828" s="53" t="s">
        <v>14420</v>
      </c>
    </row>
    <row r="829" customFormat="false" ht="24.75" hidden="false" customHeight="true" outlineLevel="0" collapsed="false">
      <c r="A829" s="22" t="s">
        <v>1361</v>
      </c>
      <c r="B829" s="22" t="s">
        <v>181</v>
      </c>
      <c r="C829" s="22" t="s">
        <v>15362</v>
      </c>
      <c r="D829" s="23" t="s">
        <v>15363</v>
      </c>
      <c r="E829" s="22" t="s">
        <v>15364</v>
      </c>
      <c r="F829" s="35" t="s">
        <v>14416</v>
      </c>
    </row>
    <row r="830" customFormat="false" ht="24.75" hidden="false" customHeight="true" outlineLevel="0" collapsed="false">
      <c r="A830" s="22" t="s">
        <v>1361</v>
      </c>
      <c r="B830" s="22" t="s">
        <v>181</v>
      </c>
      <c r="C830" s="22" t="s">
        <v>15365</v>
      </c>
      <c r="D830" s="23" t="s">
        <v>14580</v>
      </c>
      <c r="E830" s="22" t="s">
        <v>13815</v>
      </c>
      <c r="F830" s="35" t="s">
        <v>14416</v>
      </c>
    </row>
    <row r="831" customFormat="false" ht="24.75" hidden="false" customHeight="true" outlineLevel="0" collapsed="false">
      <c r="A831" s="22" t="s">
        <v>1361</v>
      </c>
      <c r="B831" s="22" t="s">
        <v>181</v>
      </c>
      <c r="C831" s="22" t="s">
        <v>15347</v>
      </c>
      <c r="D831" s="23" t="s">
        <v>14087</v>
      </c>
      <c r="E831" s="22" t="s">
        <v>13818</v>
      </c>
      <c r="F831" s="35" t="s">
        <v>14416</v>
      </c>
    </row>
    <row r="832" customFormat="false" ht="24.75" hidden="false" customHeight="true" outlineLevel="0" collapsed="false">
      <c r="A832" s="22" t="s">
        <v>1361</v>
      </c>
      <c r="B832" s="22" t="s">
        <v>181</v>
      </c>
      <c r="C832" s="22" t="s">
        <v>15366</v>
      </c>
      <c r="D832" s="23" t="s">
        <v>15367</v>
      </c>
      <c r="E832" s="22" t="s">
        <v>15368</v>
      </c>
      <c r="F832" s="53" t="s">
        <v>14420</v>
      </c>
    </row>
    <row r="833" customFormat="false" ht="24.75" hidden="false" customHeight="true" outlineLevel="0" collapsed="false">
      <c r="A833" s="22" t="s">
        <v>1390</v>
      </c>
      <c r="B833" s="22" t="s">
        <v>181</v>
      </c>
      <c r="C833" s="22" t="s">
        <v>15369</v>
      </c>
      <c r="D833" s="23" t="s">
        <v>14630</v>
      </c>
      <c r="E833" s="22" t="s">
        <v>15370</v>
      </c>
      <c r="F833" s="35" t="s">
        <v>14416</v>
      </c>
    </row>
    <row r="834" customFormat="false" ht="24.75" hidden="false" customHeight="true" outlineLevel="0" collapsed="false">
      <c r="A834" s="22" t="s">
        <v>1390</v>
      </c>
      <c r="B834" s="22" t="s">
        <v>181</v>
      </c>
      <c r="C834" s="22" t="s">
        <v>15371</v>
      </c>
      <c r="D834" s="23" t="s">
        <v>14099</v>
      </c>
      <c r="E834" s="22" t="s">
        <v>15372</v>
      </c>
      <c r="F834" s="35" t="s">
        <v>14416</v>
      </c>
    </row>
    <row r="835" customFormat="false" ht="24.75" hidden="false" customHeight="true" outlineLevel="0" collapsed="false">
      <c r="A835" s="22" t="s">
        <v>1390</v>
      </c>
      <c r="B835" s="22" t="s">
        <v>181</v>
      </c>
      <c r="C835" s="22" t="s">
        <v>15365</v>
      </c>
      <c r="D835" s="23" t="s">
        <v>14580</v>
      </c>
      <c r="E835" s="22" t="s">
        <v>13815</v>
      </c>
      <c r="F835" s="35" t="s">
        <v>14416</v>
      </c>
    </row>
    <row r="836" customFormat="false" ht="24.75" hidden="false" customHeight="true" outlineLevel="0" collapsed="false">
      <c r="A836" s="22" t="s">
        <v>1390</v>
      </c>
      <c r="B836" s="22" t="s">
        <v>181</v>
      </c>
      <c r="C836" s="22" t="s">
        <v>15373</v>
      </c>
      <c r="D836" s="23" t="s">
        <v>14632</v>
      </c>
      <c r="E836" s="22" t="s">
        <v>15374</v>
      </c>
      <c r="F836" s="53" t="s">
        <v>14420</v>
      </c>
    </row>
    <row r="837" customFormat="false" ht="24.75" hidden="false" customHeight="true" outlineLevel="0" collapsed="false">
      <c r="A837" s="22" t="s">
        <v>1390</v>
      </c>
      <c r="B837" s="22" t="s">
        <v>181</v>
      </c>
      <c r="C837" s="22" t="s">
        <v>15375</v>
      </c>
      <c r="D837" s="23" t="s">
        <v>15376</v>
      </c>
      <c r="E837" s="22" t="s">
        <v>15377</v>
      </c>
      <c r="F837" s="53" t="s">
        <v>14420</v>
      </c>
    </row>
    <row r="838" customFormat="false" ht="24.75" hidden="false" customHeight="true" outlineLevel="0" collapsed="false">
      <c r="A838" s="22" t="s">
        <v>1418</v>
      </c>
      <c r="B838" s="22" t="s">
        <v>181</v>
      </c>
      <c r="C838" s="22" t="s">
        <v>15369</v>
      </c>
      <c r="D838" s="23" t="s">
        <v>14630</v>
      </c>
      <c r="E838" s="22" t="s">
        <v>15370</v>
      </c>
      <c r="F838" s="35" t="s">
        <v>14416</v>
      </c>
    </row>
    <row r="839" customFormat="false" ht="24.75" hidden="false" customHeight="true" outlineLevel="0" collapsed="false">
      <c r="A839" s="22" t="s">
        <v>1418</v>
      </c>
      <c r="B839" s="22" t="s">
        <v>181</v>
      </c>
      <c r="C839" s="22" t="s">
        <v>15371</v>
      </c>
      <c r="D839" s="23" t="s">
        <v>14099</v>
      </c>
      <c r="E839" s="22" t="s">
        <v>15372</v>
      </c>
      <c r="F839" s="35" t="s">
        <v>14416</v>
      </c>
    </row>
    <row r="840" customFormat="false" ht="24.75" hidden="false" customHeight="true" outlineLevel="0" collapsed="false">
      <c r="A840" s="22" t="s">
        <v>1418</v>
      </c>
      <c r="B840" s="22" t="s">
        <v>181</v>
      </c>
      <c r="C840" s="22" t="s">
        <v>15373</v>
      </c>
      <c r="D840" s="23" t="s">
        <v>14632</v>
      </c>
      <c r="E840" s="22" t="s">
        <v>15374</v>
      </c>
      <c r="F840" s="53" t="s">
        <v>14420</v>
      </c>
    </row>
    <row r="841" customFormat="false" ht="24.75" hidden="false" customHeight="true" outlineLevel="0" collapsed="false">
      <c r="A841" s="22" t="s">
        <v>1445</v>
      </c>
      <c r="B841" s="22" t="s">
        <v>181</v>
      </c>
      <c r="C841" s="22" t="s">
        <v>15345</v>
      </c>
      <c r="D841" s="23" t="s">
        <v>14103</v>
      </c>
      <c r="E841" s="22" t="s">
        <v>15346</v>
      </c>
      <c r="F841" s="35" t="s">
        <v>14416</v>
      </c>
    </row>
    <row r="842" customFormat="false" ht="24.75" hidden="false" customHeight="true" outlineLevel="0" collapsed="false">
      <c r="A842" s="22" t="s">
        <v>1445</v>
      </c>
      <c r="B842" s="22" t="s">
        <v>181</v>
      </c>
      <c r="C842" s="22" t="s">
        <v>15354</v>
      </c>
      <c r="D842" s="23" t="s">
        <v>14621</v>
      </c>
      <c r="E842" s="22" t="s">
        <v>13803</v>
      </c>
      <c r="F842" s="35" t="s">
        <v>14416</v>
      </c>
    </row>
    <row r="843" customFormat="false" ht="24.75" hidden="false" customHeight="true" outlineLevel="0" collapsed="false">
      <c r="A843" s="22" t="s">
        <v>1445</v>
      </c>
      <c r="B843" s="22" t="s">
        <v>181</v>
      </c>
      <c r="C843" s="22" t="s">
        <v>15378</v>
      </c>
      <c r="D843" s="23" t="s">
        <v>14573</v>
      </c>
      <c r="E843" s="22" t="s">
        <v>15379</v>
      </c>
      <c r="F843" s="35" t="s">
        <v>14416</v>
      </c>
    </row>
    <row r="844" customFormat="false" ht="24.75" hidden="false" customHeight="true" outlineLevel="0" collapsed="false">
      <c r="A844" s="22" t="s">
        <v>1445</v>
      </c>
      <c r="B844" s="22" t="s">
        <v>181</v>
      </c>
      <c r="C844" s="22" t="s">
        <v>15380</v>
      </c>
      <c r="D844" s="23" t="s">
        <v>14585</v>
      </c>
      <c r="E844" s="22" t="s">
        <v>15381</v>
      </c>
      <c r="F844" s="35" t="s">
        <v>14416</v>
      </c>
    </row>
    <row r="845" customFormat="false" ht="24.75" hidden="false" customHeight="true" outlineLevel="0" collapsed="false">
      <c r="A845" s="22" t="s">
        <v>1445</v>
      </c>
      <c r="B845" s="22" t="s">
        <v>181</v>
      </c>
      <c r="C845" s="22" t="s">
        <v>15351</v>
      </c>
      <c r="D845" s="23" t="s">
        <v>15352</v>
      </c>
      <c r="E845" s="22" t="s">
        <v>15353</v>
      </c>
      <c r="F845" s="53" t="s">
        <v>14420</v>
      </c>
    </row>
    <row r="846" customFormat="false" ht="24.75" hidden="false" customHeight="true" outlineLevel="0" collapsed="false">
      <c r="A846" s="22" t="s">
        <v>1445</v>
      </c>
      <c r="B846" s="22" t="s">
        <v>181</v>
      </c>
      <c r="C846" s="22" t="s">
        <v>15343</v>
      </c>
      <c r="D846" s="23" t="s">
        <v>13783</v>
      </c>
      <c r="E846" s="22" t="s">
        <v>15344</v>
      </c>
      <c r="F846" s="35" t="s">
        <v>14416</v>
      </c>
    </row>
    <row r="847" customFormat="false" ht="24.75" hidden="false" customHeight="true" outlineLevel="0" collapsed="false">
      <c r="A847" s="22" t="s">
        <v>1473</v>
      </c>
      <c r="B847" s="22" t="s">
        <v>181</v>
      </c>
      <c r="C847" s="22" t="s">
        <v>15382</v>
      </c>
      <c r="D847" s="23" t="s">
        <v>14577</v>
      </c>
      <c r="E847" s="22" t="s">
        <v>15383</v>
      </c>
      <c r="F847" s="35" t="s">
        <v>14416</v>
      </c>
    </row>
    <row r="848" customFormat="false" ht="24.75" hidden="false" customHeight="true" outlineLevel="0" collapsed="false">
      <c r="A848" s="22" t="s">
        <v>1473</v>
      </c>
      <c r="B848" s="22" t="s">
        <v>181</v>
      </c>
      <c r="C848" s="22" t="s">
        <v>15347</v>
      </c>
      <c r="D848" s="23" t="s">
        <v>14087</v>
      </c>
      <c r="E848" s="22" t="s">
        <v>13818</v>
      </c>
      <c r="F848" s="35" t="s">
        <v>14416</v>
      </c>
    </row>
    <row r="849" customFormat="false" ht="24.75" hidden="false" customHeight="true" outlineLevel="0" collapsed="false">
      <c r="A849" s="22" t="s">
        <v>1473</v>
      </c>
      <c r="B849" s="22" t="s">
        <v>181</v>
      </c>
      <c r="C849" s="22" t="s">
        <v>15351</v>
      </c>
      <c r="D849" s="23" t="s">
        <v>15352</v>
      </c>
      <c r="E849" s="22" t="s">
        <v>15353</v>
      </c>
      <c r="F849" s="53" t="s">
        <v>14420</v>
      </c>
    </row>
    <row r="850" customFormat="false" ht="24.75" hidden="false" customHeight="true" outlineLevel="0" collapsed="false">
      <c r="A850" s="22" t="s">
        <v>1502</v>
      </c>
      <c r="B850" s="22" t="s">
        <v>181</v>
      </c>
      <c r="C850" s="22" t="s">
        <v>15375</v>
      </c>
      <c r="D850" s="23" t="s">
        <v>15376</v>
      </c>
      <c r="E850" s="22" t="s">
        <v>15377</v>
      </c>
      <c r="F850" s="53" t="s">
        <v>14420</v>
      </c>
    </row>
    <row r="851" customFormat="false" ht="24.75" hidden="false" customHeight="true" outlineLevel="0" collapsed="false">
      <c r="A851" s="22" t="s">
        <v>1502</v>
      </c>
      <c r="B851" s="22" t="s">
        <v>181</v>
      </c>
      <c r="C851" s="22" t="s">
        <v>15369</v>
      </c>
      <c r="D851" s="23" t="s">
        <v>14630</v>
      </c>
      <c r="E851" s="22" t="s">
        <v>15370</v>
      </c>
      <c r="F851" s="35" t="s">
        <v>14416</v>
      </c>
    </row>
    <row r="852" customFormat="false" ht="24.75" hidden="false" customHeight="true" outlineLevel="0" collapsed="false">
      <c r="A852" s="22" t="s">
        <v>1502</v>
      </c>
      <c r="B852" s="22" t="s">
        <v>181</v>
      </c>
      <c r="C852" s="22" t="s">
        <v>15371</v>
      </c>
      <c r="D852" s="23" t="s">
        <v>14099</v>
      </c>
      <c r="E852" s="22" t="s">
        <v>15372</v>
      </c>
      <c r="F852" s="35" t="s">
        <v>14416</v>
      </c>
    </row>
    <row r="853" customFormat="false" ht="24.75" hidden="false" customHeight="true" outlineLevel="0" collapsed="false">
      <c r="A853" s="22" t="s">
        <v>1502</v>
      </c>
      <c r="B853" s="22" t="s">
        <v>181</v>
      </c>
      <c r="C853" s="22" t="s">
        <v>15382</v>
      </c>
      <c r="D853" s="23" t="s">
        <v>14577</v>
      </c>
      <c r="E853" s="22" t="s">
        <v>15383</v>
      </c>
      <c r="F853" s="35" t="s">
        <v>14416</v>
      </c>
    </row>
    <row r="854" customFormat="false" ht="24.75" hidden="false" customHeight="true" outlineLevel="0" collapsed="false">
      <c r="A854" s="22" t="s">
        <v>1502</v>
      </c>
      <c r="B854" s="22" t="s">
        <v>181</v>
      </c>
      <c r="C854" s="22" t="s">
        <v>15345</v>
      </c>
      <c r="D854" s="23" t="s">
        <v>14103</v>
      </c>
      <c r="E854" s="22" t="s">
        <v>15346</v>
      </c>
      <c r="F854" s="35" t="s">
        <v>14416</v>
      </c>
    </row>
    <row r="855" customFormat="false" ht="24.75" hidden="false" customHeight="true" outlineLevel="0" collapsed="false">
      <c r="A855" s="22" t="s">
        <v>1530</v>
      </c>
      <c r="B855" s="22" t="s">
        <v>181</v>
      </c>
      <c r="C855" s="22" t="s">
        <v>15378</v>
      </c>
      <c r="D855" s="23" t="s">
        <v>14573</v>
      </c>
      <c r="E855" s="22" t="s">
        <v>15379</v>
      </c>
      <c r="F855" s="35" t="s">
        <v>14416</v>
      </c>
    </row>
    <row r="856" customFormat="false" ht="24.75" hidden="false" customHeight="true" outlineLevel="0" collapsed="false">
      <c r="A856" s="22" t="s">
        <v>1530</v>
      </c>
      <c r="B856" s="22" t="s">
        <v>181</v>
      </c>
      <c r="C856" s="22" t="s">
        <v>15384</v>
      </c>
      <c r="D856" s="23" t="s">
        <v>14583</v>
      </c>
      <c r="E856" s="22" t="s">
        <v>15385</v>
      </c>
      <c r="F856" s="35" t="s">
        <v>14416</v>
      </c>
    </row>
    <row r="857" customFormat="false" ht="24.75" hidden="false" customHeight="true" outlineLevel="0" collapsed="false">
      <c r="A857" s="22" t="s">
        <v>1559</v>
      </c>
      <c r="B857" s="22" t="s">
        <v>181</v>
      </c>
      <c r="C857" s="22" t="s">
        <v>15386</v>
      </c>
      <c r="D857" s="23" t="s">
        <v>14570</v>
      </c>
      <c r="E857" s="22" t="s">
        <v>15387</v>
      </c>
      <c r="F857" s="35" t="s">
        <v>14416</v>
      </c>
    </row>
    <row r="858" customFormat="false" ht="24.75" hidden="false" customHeight="true" outlineLevel="0" collapsed="false">
      <c r="A858" s="22" t="s">
        <v>1559</v>
      </c>
      <c r="B858" s="22" t="s">
        <v>181</v>
      </c>
      <c r="C858" s="22" t="s">
        <v>15347</v>
      </c>
      <c r="D858" s="23" t="s">
        <v>14087</v>
      </c>
      <c r="E858" s="22" t="s">
        <v>13818</v>
      </c>
      <c r="F858" s="35" t="s">
        <v>14416</v>
      </c>
    </row>
    <row r="859" customFormat="false" ht="24.75" hidden="false" customHeight="true" outlineLevel="0" collapsed="false">
      <c r="A859" s="22" t="s">
        <v>1559</v>
      </c>
      <c r="B859" s="22" t="s">
        <v>181</v>
      </c>
      <c r="C859" s="22" t="s">
        <v>15388</v>
      </c>
      <c r="D859" s="23" t="s">
        <v>15389</v>
      </c>
      <c r="E859" s="22" t="s">
        <v>15390</v>
      </c>
      <c r="F859" s="53" t="s">
        <v>14420</v>
      </c>
    </row>
    <row r="860" customFormat="false" ht="37.5" hidden="false" customHeight="true" outlineLevel="0" collapsed="false">
      <c r="A860" s="22" t="s">
        <v>1559</v>
      </c>
      <c r="B860" s="22" t="s">
        <v>181</v>
      </c>
      <c r="C860" s="22" t="s">
        <v>15348</v>
      </c>
      <c r="D860" s="23" t="s">
        <v>15349</v>
      </c>
      <c r="E860" s="22" t="s">
        <v>15350</v>
      </c>
      <c r="F860" s="35" t="s">
        <v>14416</v>
      </c>
    </row>
    <row r="861" customFormat="false" ht="24.75" hidden="false" customHeight="true" outlineLevel="0" collapsed="false">
      <c r="A861" s="22" t="s">
        <v>1589</v>
      </c>
      <c r="B861" s="22" t="s">
        <v>181</v>
      </c>
      <c r="C861" s="22" t="s">
        <v>15388</v>
      </c>
      <c r="D861" s="23" t="s">
        <v>15389</v>
      </c>
      <c r="E861" s="22" t="s">
        <v>15390</v>
      </c>
      <c r="F861" s="53" t="s">
        <v>14420</v>
      </c>
    </row>
    <row r="862" customFormat="false" ht="37.5" hidden="false" customHeight="true" outlineLevel="0" collapsed="false">
      <c r="A862" s="22" t="s">
        <v>1589</v>
      </c>
      <c r="B862" s="22" t="s">
        <v>181</v>
      </c>
      <c r="C862" s="22" t="s">
        <v>15348</v>
      </c>
      <c r="D862" s="23" t="s">
        <v>15349</v>
      </c>
      <c r="E862" s="22" t="s">
        <v>15350</v>
      </c>
      <c r="F862" s="35" t="s">
        <v>14416</v>
      </c>
    </row>
    <row r="863" customFormat="false" ht="24.75" hidden="false" customHeight="true" outlineLevel="0" collapsed="false">
      <c r="A863" s="22" t="s">
        <v>1589</v>
      </c>
      <c r="B863" s="22" t="s">
        <v>181</v>
      </c>
      <c r="C863" s="22" t="s">
        <v>15384</v>
      </c>
      <c r="D863" s="23" t="s">
        <v>14583</v>
      </c>
      <c r="E863" s="22" t="s">
        <v>15385</v>
      </c>
      <c r="F863" s="35" t="s">
        <v>14416</v>
      </c>
    </row>
    <row r="864" customFormat="false" ht="24.75" hidden="false" customHeight="true" outlineLevel="0" collapsed="false">
      <c r="A864" s="22" t="s">
        <v>1589</v>
      </c>
      <c r="B864" s="22" t="s">
        <v>181</v>
      </c>
      <c r="C864" s="22" t="s">
        <v>15386</v>
      </c>
      <c r="D864" s="23" t="s">
        <v>14570</v>
      </c>
      <c r="E864" s="22" t="s">
        <v>15387</v>
      </c>
      <c r="F864" s="35" t="s">
        <v>14416</v>
      </c>
    </row>
    <row r="865" customFormat="false" ht="24.75" hidden="false" customHeight="true" outlineLevel="0" collapsed="false">
      <c r="A865" s="22" t="s">
        <v>1618</v>
      </c>
      <c r="B865" s="22" t="s">
        <v>181</v>
      </c>
      <c r="C865" s="22" t="s">
        <v>15345</v>
      </c>
      <c r="D865" s="23" t="s">
        <v>14103</v>
      </c>
      <c r="E865" s="22" t="s">
        <v>15346</v>
      </c>
      <c r="F865" s="35" t="s">
        <v>14416</v>
      </c>
    </row>
    <row r="866" customFormat="false" ht="24.75" hidden="false" customHeight="true" outlineLevel="0" collapsed="false">
      <c r="A866" s="22" t="s">
        <v>1618</v>
      </c>
      <c r="B866" s="22" t="s">
        <v>181</v>
      </c>
      <c r="C866" s="22" t="s">
        <v>15365</v>
      </c>
      <c r="D866" s="23" t="s">
        <v>14580</v>
      </c>
      <c r="E866" s="22" t="s">
        <v>13815</v>
      </c>
      <c r="F866" s="35" t="s">
        <v>14416</v>
      </c>
    </row>
    <row r="867" customFormat="false" ht="24.75" hidden="false" customHeight="true" outlineLevel="0" collapsed="false">
      <c r="A867" s="22" t="s">
        <v>1618</v>
      </c>
      <c r="B867" s="22" t="s">
        <v>181</v>
      </c>
      <c r="C867" s="22" t="s">
        <v>15347</v>
      </c>
      <c r="D867" s="23" t="s">
        <v>14087</v>
      </c>
      <c r="E867" s="22" t="s">
        <v>13818</v>
      </c>
      <c r="F867" s="35" t="s">
        <v>14416</v>
      </c>
    </row>
    <row r="868" customFormat="false" ht="24.75" hidden="false" customHeight="true" outlineLevel="0" collapsed="false">
      <c r="A868" s="22" t="s">
        <v>1618</v>
      </c>
      <c r="B868" s="22" t="s">
        <v>181</v>
      </c>
      <c r="C868" s="22" t="s">
        <v>15371</v>
      </c>
      <c r="D868" s="23" t="s">
        <v>14099</v>
      </c>
      <c r="E868" s="22" t="s">
        <v>15372</v>
      </c>
      <c r="F868" s="35" t="s">
        <v>14416</v>
      </c>
    </row>
    <row r="869" customFormat="false" ht="24.75" hidden="false" customHeight="true" outlineLevel="0" collapsed="false">
      <c r="A869" s="22" t="s">
        <v>1646</v>
      </c>
      <c r="B869" s="22" t="s">
        <v>181</v>
      </c>
      <c r="C869" s="22" t="s">
        <v>15391</v>
      </c>
      <c r="D869" s="23" t="s">
        <v>14559</v>
      </c>
      <c r="E869" s="22" t="s">
        <v>15392</v>
      </c>
      <c r="F869" s="35" t="s">
        <v>14416</v>
      </c>
    </row>
    <row r="870" customFormat="false" ht="24.75" hidden="false" customHeight="true" outlineLevel="0" collapsed="false">
      <c r="A870" s="22" t="s">
        <v>1646</v>
      </c>
      <c r="B870" s="22" t="s">
        <v>181</v>
      </c>
      <c r="C870" s="22" t="s">
        <v>15393</v>
      </c>
      <c r="D870" s="23" t="s">
        <v>15394</v>
      </c>
      <c r="E870" s="22" t="s">
        <v>15395</v>
      </c>
      <c r="F870" s="35" t="s">
        <v>14416</v>
      </c>
    </row>
    <row r="871" customFormat="false" ht="24.75" hidden="false" customHeight="true" outlineLevel="0" collapsed="false">
      <c r="A871" s="22" t="s">
        <v>1646</v>
      </c>
      <c r="B871" s="22" t="s">
        <v>181</v>
      </c>
      <c r="C871" s="22" t="s">
        <v>15366</v>
      </c>
      <c r="D871" s="23" t="s">
        <v>15367</v>
      </c>
      <c r="E871" s="22" t="s">
        <v>15368</v>
      </c>
      <c r="F871" s="53" t="s">
        <v>14420</v>
      </c>
    </row>
    <row r="872" customFormat="false" ht="24.75" hidden="false" customHeight="true" outlineLevel="0" collapsed="false">
      <c r="A872" s="22" t="s">
        <v>1646</v>
      </c>
      <c r="B872" s="22" t="s">
        <v>181</v>
      </c>
      <c r="C872" s="22" t="s">
        <v>15396</v>
      </c>
      <c r="D872" s="23" t="s">
        <v>15397</v>
      </c>
      <c r="E872" s="22" t="s">
        <v>15398</v>
      </c>
      <c r="F872" s="35" t="s">
        <v>14416</v>
      </c>
    </row>
    <row r="873" customFormat="false" ht="24.75" hidden="false" customHeight="true" outlineLevel="0" collapsed="false">
      <c r="A873" s="22" t="s">
        <v>1646</v>
      </c>
      <c r="B873" s="22" t="s">
        <v>181</v>
      </c>
      <c r="C873" s="22" t="s">
        <v>15399</v>
      </c>
      <c r="D873" s="23" t="s">
        <v>15400</v>
      </c>
      <c r="E873" s="22" t="s">
        <v>15401</v>
      </c>
      <c r="F873" s="53" t="s">
        <v>14420</v>
      </c>
    </row>
    <row r="874" customFormat="false" ht="24.75" hidden="false" customHeight="true" outlineLevel="0" collapsed="false">
      <c r="A874" s="22" t="s">
        <v>1646</v>
      </c>
      <c r="B874" s="22" t="s">
        <v>181</v>
      </c>
      <c r="C874" s="22" t="s">
        <v>15402</v>
      </c>
      <c r="D874" s="23" t="s">
        <v>15403</v>
      </c>
      <c r="E874" s="22" t="s">
        <v>15404</v>
      </c>
      <c r="F874" s="53" t="s">
        <v>14420</v>
      </c>
    </row>
    <row r="875" customFormat="false" ht="24.75" hidden="false" customHeight="true" outlineLevel="0" collapsed="false">
      <c r="A875" s="22" t="s">
        <v>1676</v>
      </c>
      <c r="B875" s="22" t="s">
        <v>181</v>
      </c>
      <c r="C875" s="22" t="s">
        <v>15391</v>
      </c>
      <c r="D875" s="23" t="s">
        <v>14559</v>
      </c>
      <c r="E875" s="22" t="s">
        <v>15392</v>
      </c>
      <c r="F875" s="35" t="s">
        <v>14416</v>
      </c>
    </row>
    <row r="876" customFormat="false" ht="24.75" hidden="false" customHeight="true" outlineLevel="0" collapsed="false">
      <c r="A876" s="22" t="s">
        <v>1676</v>
      </c>
      <c r="B876" s="22" t="s">
        <v>181</v>
      </c>
      <c r="C876" s="22" t="s">
        <v>15393</v>
      </c>
      <c r="D876" s="23" t="s">
        <v>15394</v>
      </c>
      <c r="E876" s="22" t="s">
        <v>15395</v>
      </c>
      <c r="F876" s="35" t="s">
        <v>14416</v>
      </c>
    </row>
    <row r="877" customFormat="false" ht="24.75" hidden="false" customHeight="true" outlineLevel="0" collapsed="false">
      <c r="A877" s="22" t="s">
        <v>1676</v>
      </c>
      <c r="B877" s="22" t="s">
        <v>181</v>
      </c>
      <c r="C877" s="22" t="s">
        <v>15366</v>
      </c>
      <c r="D877" s="23" t="s">
        <v>15367</v>
      </c>
      <c r="E877" s="22" t="s">
        <v>15368</v>
      </c>
      <c r="F877" s="53" t="s">
        <v>14420</v>
      </c>
    </row>
    <row r="878" customFormat="false" ht="24.75" hidden="false" customHeight="true" outlineLevel="0" collapsed="false">
      <c r="A878" s="22" t="s">
        <v>1676</v>
      </c>
      <c r="B878" s="22" t="s">
        <v>181</v>
      </c>
      <c r="C878" s="22" t="s">
        <v>15405</v>
      </c>
      <c r="D878" s="23" t="s">
        <v>14022</v>
      </c>
      <c r="E878" s="22" t="s">
        <v>15406</v>
      </c>
      <c r="F878" s="53" t="s">
        <v>14420</v>
      </c>
    </row>
    <row r="879" customFormat="false" ht="24.75" hidden="false" customHeight="true" outlineLevel="0" collapsed="false">
      <c r="A879" s="22" t="s">
        <v>1705</v>
      </c>
      <c r="B879" s="22" t="s">
        <v>181</v>
      </c>
      <c r="C879" s="22" t="s">
        <v>15396</v>
      </c>
      <c r="D879" s="23" t="s">
        <v>15397</v>
      </c>
      <c r="E879" s="22" t="s">
        <v>15398</v>
      </c>
      <c r="F879" s="35" t="s">
        <v>14416</v>
      </c>
    </row>
    <row r="880" customFormat="false" ht="24.75" hidden="false" customHeight="true" outlineLevel="0" collapsed="false">
      <c r="A880" s="22" t="s">
        <v>1705</v>
      </c>
      <c r="B880" s="22" t="s">
        <v>181</v>
      </c>
      <c r="C880" s="22" t="s">
        <v>15399</v>
      </c>
      <c r="D880" s="23" t="s">
        <v>15400</v>
      </c>
      <c r="E880" s="22" t="s">
        <v>15401</v>
      </c>
      <c r="F880" s="53" t="s">
        <v>14420</v>
      </c>
    </row>
    <row r="881" customFormat="false" ht="24.75" hidden="false" customHeight="true" outlineLevel="0" collapsed="false">
      <c r="A881" s="22" t="s">
        <v>1705</v>
      </c>
      <c r="B881" s="22" t="s">
        <v>181</v>
      </c>
      <c r="C881" s="22" t="s">
        <v>15407</v>
      </c>
      <c r="D881" s="23" t="s">
        <v>15408</v>
      </c>
      <c r="E881" s="22" t="s">
        <v>15409</v>
      </c>
      <c r="F881" s="53" t="s">
        <v>14420</v>
      </c>
    </row>
    <row r="882" customFormat="false" ht="24.75" hidden="false" customHeight="true" outlineLevel="0" collapsed="false">
      <c r="A882" s="22" t="s">
        <v>1705</v>
      </c>
      <c r="B882" s="22" t="s">
        <v>181</v>
      </c>
      <c r="C882" s="22" t="s">
        <v>15410</v>
      </c>
      <c r="D882" s="23" t="s">
        <v>15411</v>
      </c>
      <c r="E882" s="22" t="s">
        <v>15412</v>
      </c>
      <c r="F882" s="35" t="s">
        <v>14416</v>
      </c>
    </row>
    <row r="883" customFormat="false" ht="24.75" hidden="false" customHeight="true" outlineLevel="0" collapsed="false">
      <c r="A883" s="22" t="s">
        <v>1705</v>
      </c>
      <c r="B883" s="22" t="s">
        <v>181</v>
      </c>
      <c r="C883" s="22" t="s">
        <v>15402</v>
      </c>
      <c r="D883" s="23" t="s">
        <v>15403</v>
      </c>
      <c r="E883" s="22" t="s">
        <v>15404</v>
      </c>
      <c r="F883" s="53" t="s">
        <v>14420</v>
      </c>
    </row>
    <row r="884" customFormat="false" ht="24.75" hidden="false" customHeight="true" outlineLevel="0" collapsed="false">
      <c r="A884" s="22" t="s">
        <v>1733</v>
      </c>
      <c r="B884" s="22" t="s">
        <v>181</v>
      </c>
      <c r="C884" s="22" t="s">
        <v>15396</v>
      </c>
      <c r="D884" s="23" t="s">
        <v>15397</v>
      </c>
      <c r="E884" s="22" t="s">
        <v>15398</v>
      </c>
      <c r="F884" s="35" t="s">
        <v>14416</v>
      </c>
    </row>
    <row r="885" customFormat="false" ht="24.75" hidden="false" customHeight="true" outlineLevel="0" collapsed="false">
      <c r="A885" s="22" t="s">
        <v>1733</v>
      </c>
      <c r="B885" s="22" t="s">
        <v>181</v>
      </c>
      <c r="C885" s="22" t="s">
        <v>15399</v>
      </c>
      <c r="D885" s="23" t="s">
        <v>15400</v>
      </c>
      <c r="E885" s="22" t="s">
        <v>15401</v>
      </c>
      <c r="F885" s="53" t="s">
        <v>14420</v>
      </c>
    </row>
    <row r="886" customFormat="false" ht="24.75" hidden="false" customHeight="true" outlineLevel="0" collapsed="false">
      <c r="A886" s="22" t="s">
        <v>1761</v>
      </c>
      <c r="B886" s="22" t="s">
        <v>181</v>
      </c>
      <c r="C886" s="22" t="s">
        <v>15413</v>
      </c>
      <c r="D886" s="23" t="s">
        <v>14516</v>
      </c>
      <c r="E886" s="22" t="s">
        <v>15414</v>
      </c>
      <c r="F886" s="35" t="s">
        <v>14416</v>
      </c>
    </row>
    <row r="887" customFormat="false" ht="24.75" hidden="false" customHeight="true" outlineLevel="0" collapsed="false">
      <c r="A887" s="22" t="s">
        <v>1761</v>
      </c>
      <c r="B887" s="22" t="s">
        <v>181</v>
      </c>
      <c r="C887" s="22" t="s">
        <v>15366</v>
      </c>
      <c r="D887" s="23" t="s">
        <v>15367</v>
      </c>
      <c r="E887" s="22" t="s">
        <v>15368</v>
      </c>
      <c r="F887" s="53" t="s">
        <v>14420</v>
      </c>
    </row>
    <row r="888" customFormat="false" ht="24.75" hidden="false" customHeight="true" outlineLevel="0" collapsed="false">
      <c r="A888" s="22" t="s">
        <v>1761</v>
      </c>
      <c r="B888" s="22" t="s">
        <v>181</v>
      </c>
      <c r="C888" s="22" t="s">
        <v>15415</v>
      </c>
      <c r="D888" s="23" t="s">
        <v>14428</v>
      </c>
      <c r="E888" s="22" t="s">
        <v>15416</v>
      </c>
      <c r="F888" s="35" t="s">
        <v>14416</v>
      </c>
    </row>
    <row r="889" customFormat="false" ht="24.75" hidden="false" customHeight="true" outlineLevel="0" collapsed="false">
      <c r="A889" s="22" t="s">
        <v>1790</v>
      </c>
      <c r="B889" s="22" t="s">
        <v>181</v>
      </c>
      <c r="C889" s="22" t="s">
        <v>15366</v>
      </c>
      <c r="D889" s="23" t="s">
        <v>15367</v>
      </c>
      <c r="E889" s="22" t="s">
        <v>15368</v>
      </c>
      <c r="F889" s="53" t="s">
        <v>14420</v>
      </c>
    </row>
    <row r="890" customFormat="false" ht="24.75" hidden="false" customHeight="true" outlineLevel="0" collapsed="false">
      <c r="A890" s="22" t="s">
        <v>1790</v>
      </c>
      <c r="B890" s="22" t="s">
        <v>181</v>
      </c>
      <c r="C890" s="22" t="s">
        <v>15393</v>
      </c>
      <c r="D890" s="23" t="s">
        <v>15394</v>
      </c>
      <c r="E890" s="22" t="s">
        <v>15395</v>
      </c>
      <c r="F890" s="35" t="s">
        <v>14416</v>
      </c>
    </row>
    <row r="891" customFormat="false" ht="24.75" hidden="false" customHeight="true" outlineLevel="0" collapsed="false">
      <c r="A891" s="22" t="s">
        <v>1790</v>
      </c>
      <c r="B891" s="22" t="s">
        <v>181</v>
      </c>
      <c r="C891" s="22" t="s">
        <v>15391</v>
      </c>
      <c r="D891" s="23" t="s">
        <v>14559</v>
      </c>
      <c r="E891" s="22" t="s">
        <v>15392</v>
      </c>
      <c r="F891" s="35" t="s">
        <v>14416</v>
      </c>
    </row>
    <row r="892" customFormat="false" ht="24.75" hidden="false" customHeight="true" outlineLevel="0" collapsed="false">
      <c r="A892" s="22" t="s">
        <v>1816</v>
      </c>
      <c r="B892" s="22" t="s">
        <v>181</v>
      </c>
      <c r="C892" s="22" t="s">
        <v>15417</v>
      </c>
      <c r="D892" s="23" t="s">
        <v>13728</v>
      </c>
      <c r="E892" s="22" t="s">
        <v>13727</v>
      </c>
      <c r="F892" s="35" t="s">
        <v>14416</v>
      </c>
    </row>
    <row r="893" customFormat="false" ht="24.75" hidden="false" customHeight="true" outlineLevel="0" collapsed="false">
      <c r="A893" s="22" t="s">
        <v>1816</v>
      </c>
      <c r="B893" s="22" t="s">
        <v>181</v>
      </c>
      <c r="C893" s="22" t="s">
        <v>15402</v>
      </c>
      <c r="D893" s="23" t="s">
        <v>15403</v>
      </c>
      <c r="E893" s="22" t="s">
        <v>15404</v>
      </c>
      <c r="F893" s="53" t="s">
        <v>14420</v>
      </c>
    </row>
    <row r="894" customFormat="false" ht="24.75" hidden="false" customHeight="true" outlineLevel="0" collapsed="false">
      <c r="A894" s="22" t="s">
        <v>1816</v>
      </c>
      <c r="B894" s="22" t="s">
        <v>181</v>
      </c>
      <c r="C894" s="22" t="s">
        <v>15418</v>
      </c>
      <c r="D894" s="23" t="s">
        <v>15202</v>
      </c>
      <c r="E894" s="22"/>
      <c r="F894" s="53" t="s">
        <v>14420</v>
      </c>
    </row>
    <row r="895" customFormat="false" ht="24.75" hidden="false" customHeight="true" outlineLevel="0" collapsed="false">
      <c r="A895" s="22" t="s">
        <v>1844</v>
      </c>
      <c r="B895" s="22" t="s">
        <v>181</v>
      </c>
      <c r="C895" s="22" t="s">
        <v>15419</v>
      </c>
      <c r="D895" s="23" t="s">
        <v>13725</v>
      </c>
      <c r="E895" s="22" t="s">
        <v>15420</v>
      </c>
      <c r="F895" s="35" t="s">
        <v>14416</v>
      </c>
    </row>
    <row r="896" customFormat="false" ht="24.75" hidden="false" customHeight="true" outlineLevel="0" collapsed="false">
      <c r="A896" s="22" t="s">
        <v>1844</v>
      </c>
      <c r="B896" s="22" t="s">
        <v>181</v>
      </c>
      <c r="C896" s="22" t="s">
        <v>15415</v>
      </c>
      <c r="D896" s="23" t="s">
        <v>14428</v>
      </c>
      <c r="E896" s="22" t="s">
        <v>15416</v>
      </c>
      <c r="F896" s="35" t="s">
        <v>14416</v>
      </c>
    </row>
    <row r="897" customFormat="false" ht="24.75" hidden="false" customHeight="true" outlineLevel="0" collapsed="false">
      <c r="A897" s="22" t="s">
        <v>1844</v>
      </c>
      <c r="B897" s="22" t="s">
        <v>181</v>
      </c>
      <c r="C897" s="22" t="s">
        <v>15418</v>
      </c>
      <c r="D897" s="23" t="s">
        <v>15202</v>
      </c>
      <c r="E897" s="22"/>
      <c r="F897" s="53" t="s">
        <v>14420</v>
      </c>
    </row>
    <row r="898" customFormat="false" ht="24.75" hidden="false" customHeight="true" outlineLevel="0" collapsed="false">
      <c r="A898" s="22" t="s">
        <v>1844</v>
      </c>
      <c r="B898" s="22" t="s">
        <v>181</v>
      </c>
      <c r="C898" s="22" t="s">
        <v>15421</v>
      </c>
      <c r="D898" s="23" t="s">
        <v>15422</v>
      </c>
      <c r="E898" s="22" t="s">
        <v>15423</v>
      </c>
      <c r="F898" s="53" t="s">
        <v>14420</v>
      </c>
    </row>
    <row r="899" customFormat="false" ht="24.75" hidden="false" customHeight="true" outlineLevel="0" collapsed="false">
      <c r="A899" s="22" t="s">
        <v>1872</v>
      </c>
      <c r="B899" s="22" t="s">
        <v>181</v>
      </c>
      <c r="C899" s="22" t="s">
        <v>15359</v>
      </c>
      <c r="D899" s="23" t="s">
        <v>15360</v>
      </c>
      <c r="E899" s="22" t="s">
        <v>15361</v>
      </c>
      <c r="F899" s="53" t="s">
        <v>14420</v>
      </c>
    </row>
    <row r="900" customFormat="false" ht="24.75" hidden="false" customHeight="true" outlineLevel="0" collapsed="false">
      <c r="A900" s="22" t="s">
        <v>1872</v>
      </c>
      <c r="B900" s="22" t="s">
        <v>181</v>
      </c>
      <c r="C900" s="22" t="s">
        <v>15418</v>
      </c>
      <c r="D900" s="23" t="s">
        <v>15202</v>
      </c>
      <c r="E900" s="22"/>
      <c r="F900" s="53" t="s">
        <v>14420</v>
      </c>
    </row>
    <row r="901" customFormat="false" ht="24.75" hidden="false" customHeight="true" outlineLevel="0" collapsed="false">
      <c r="A901" s="22" t="s">
        <v>1872</v>
      </c>
      <c r="B901" s="22" t="s">
        <v>181</v>
      </c>
      <c r="C901" s="22" t="s">
        <v>15369</v>
      </c>
      <c r="D901" s="23" t="s">
        <v>14630</v>
      </c>
      <c r="E901" s="22" t="s">
        <v>15370</v>
      </c>
      <c r="F901" s="35" t="s">
        <v>14416</v>
      </c>
    </row>
    <row r="902" customFormat="false" ht="24.75" hidden="false" customHeight="true" outlineLevel="0" collapsed="false">
      <c r="A902" s="22" t="s">
        <v>1898</v>
      </c>
      <c r="B902" s="22" t="s">
        <v>181</v>
      </c>
      <c r="C902" s="22" t="s">
        <v>15424</v>
      </c>
      <c r="D902" s="23" t="s">
        <v>15213</v>
      </c>
      <c r="E902" s="22" t="s">
        <v>15425</v>
      </c>
      <c r="F902" s="53" t="s">
        <v>14420</v>
      </c>
    </row>
    <row r="903" customFormat="false" ht="24.75" hidden="false" customHeight="true" outlineLevel="0" collapsed="false">
      <c r="A903" s="22" t="s">
        <v>1898</v>
      </c>
      <c r="B903" s="22" t="s">
        <v>181</v>
      </c>
      <c r="C903" s="22" t="s">
        <v>15418</v>
      </c>
      <c r="D903" s="23" t="s">
        <v>15202</v>
      </c>
      <c r="E903" s="22"/>
      <c r="F903" s="53" t="s">
        <v>14420</v>
      </c>
    </row>
    <row r="904" customFormat="false" ht="24.75" hidden="false" customHeight="true" outlineLevel="0" collapsed="false">
      <c r="A904" s="22" t="s">
        <v>1925</v>
      </c>
      <c r="B904" s="22" t="s">
        <v>181</v>
      </c>
      <c r="C904" s="22" t="s">
        <v>15426</v>
      </c>
      <c r="D904" s="23" t="s">
        <v>15427</v>
      </c>
      <c r="E904" s="22" t="s">
        <v>15428</v>
      </c>
      <c r="F904" s="53" t="s">
        <v>14420</v>
      </c>
    </row>
    <row r="905" customFormat="false" ht="24.75" hidden="false" customHeight="true" outlineLevel="0" collapsed="false">
      <c r="A905" s="22" t="s">
        <v>1925</v>
      </c>
      <c r="B905" s="22" t="s">
        <v>181</v>
      </c>
      <c r="C905" s="22" t="s">
        <v>15429</v>
      </c>
      <c r="D905" s="23" t="s">
        <v>14276</v>
      </c>
      <c r="E905" s="22" t="s">
        <v>15430</v>
      </c>
      <c r="F905" s="53" t="s">
        <v>14420</v>
      </c>
    </row>
    <row r="906" customFormat="false" ht="24.75" hidden="false" customHeight="true" outlineLevel="0" collapsed="false">
      <c r="A906" s="22" t="s">
        <v>1925</v>
      </c>
      <c r="B906" s="22" t="s">
        <v>181</v>
      </c>
      <c r="C906" s="22" t="s">
        <v>15421</v>
      </c>
      <c r="D906" s="23" t="s">
        <v>15422</v>
      </c>
      <c r="E906" s="22" t="s">
        <v>15423</v>
      </c>
      <c r="F906" s="53" t="s">
        <v>14420</v>
      </c>
    </row>
    <row r="907" customFormat="false" ht="24.75" hidden="false" customHeight="true" outlineLevel="0" collapsed="false">
      <c r="A907" s="22" t="s">
        <v>1925</v>
      </c>
      <c r="B907" s="22" t="s">
        <v>181</v>
      </c>
      <c r="C907" s="22" t="s">
        <v>15419</v>
      </c>
      <c r="D907" s="23" t="s">
        <v>13725</v>
      </c>
      <c r="E907" s="22" t="s">
        <v>15420</v>
      </c>
      <c r="F907" s="35" t="s">
        <v>14416</v>
      </c>
    </row>
    <row r="908" customFormat="false" ht="24.75" hidden="false" customHeight="true" outlineLevel="0" collapsed="false">
      <c r="A908" s="22" t="s">
        <v>1952</v>
      </c>
      <c r="B908" s="22" t="s">
        <v>181</v>
      </c>
      <c r="C908" s="22" t="s">
        <v>15418</v>
      </c>
      <c r="D908" s="23" t="s">
        <v>15202</v>
      </c>
      <c r="E908" s="22"/>
      <c r="F908" s="53" t="s">
        <v>14420</v>
      </c>
    </row>
    <row r="909" customFormat="false" ht="24.75" hidden="false" customHeight="true" outlineLevel="0" collapsed="false">
      <c r="A909" s="22" t="s">
        <v>1952</v>
      </c>
      <c r="B909" s="22" t="s">
        <v>181</v>
      </c>
      <c r="C909" s="22" t="s">
        <v>15357</v>
      </c>
      <c r="D909" s="23" t="s">
        <v>14489</v>
      </c>
      <c r="E909" s="22" t="s">
        <v>15358</v>
      </c>
      <c r="F909" s="53" t="s">
        <v>14420</v>
      </c>
    </row>
    <row r="910" customFormat="false" ht="24.75" hidden="false" customHeight="true" outlineLevel="0" collapsed="false">
      <c r="A910" s="22" t="s">
        <v>1952</v>
      </c>
      <c r="B910" s="22" t="s">
        <v>181</v>
      </c>
      <c r="C910" s="22" t="s">
        <v>15359</v>
      </c>
      <c r="D910" s="23" t="s">
        <v>15360</v>
      </c>
      <c r="E910" s="22" t="s">
        <v>15361</v>
      </c>
      <c r="F910" s="53" t="s">
        <v>14420</v>
      </c>
    </row>
    <row r="911" customFormat="false" ht="24.75" hidden="false" customHeight="true" outlineLevel="0" collapsed="false">
      <c r="A911" s="22" t="s">
        <v>1977</v>
      </c>
      <c r="B911" s="22" t="s">
        <v>181</v>
      </c>
      <c r="C911" s="22" t="s">
        <v>15426</v>
      </c>
      <c r="D911" s="23" t="s">
        <v>15427</v>
      </c>
      <c r="E911" s="22" t="s">
        <v>15428</v>
      </c>
      <c r="F911" s="53" t="s">
        <v>14420</v>
      </c>
    </row>
    <row r="912" customFormat="false" ht="24.75" hidden="false" customHeight="true" outlineLevel="0" collapsed="false">
      <c r="A912" s="22" t="s">
        <v>1977</v>
      </c>
      <c r="B912" s="22" t="s">
        <v>181</v>
      </c>
      <c r="C912" s="22" t="s">
        <v>15419</v>
      </c>
      <c r="D912" s="23" t="s">
        <v>13725</v>
      </c>
      <c r="E912" s="22" t="s">
        <v>15420</v>
      </c>
      <c r="F912" s="35" t="s">
        <v>14416</v>
      </c>
    </row>
    <row r="913" customFormat="false" ht="24.75" hidden="false" customHeight="true" outlineLevel="0" collapsed="false">
      <c r="A913" s="22" t="s">
        <v>1977</v>
      </c>
      <c r="B913" s="22" t="s">
        <v>181</v>
      </c>
      <c r="C913" s="22" t="s">
        <v>15431</v>
      </c>
      <c r="D913" s="23" t="s">
        <v>14471</v>
      </c>
      <c r="E913" s="22"/>
      <c r="F913" s="53" t="s">
        <v>14420</v>
      </c>
    </row>
    <row r="914" customFormat="false" ht="24.75" hidden="false" customHeight="true" outlineLevel="0" collapsed="false">
      <c r="A914" s="22" t="s">
        <v>1977</v>
      </c>
      <c r="B914" s="22" t="s">
        <v>181</v>
      </c>
      <c r="C914" s="22" t="s">
        <v>15429</v>
      </c>
      <c r="D914" s="23" t="s">
        <v>14276</v>
      </c>
      <c r="E914" s="22" t="s">
        <v>15430</v>
      </c>
      <c r="F914" s="53" t="s">
        <v>14420</v>
      </c>
    </row>
    <row r="915" customFormat="false" ht="24.75" hidden="false" customHeight="true" outlineLevel="0" collapsed="false">
      <c r="A915" s="22" t="s">
        <v>2007</v>
      </c>
      <c r="B915" s="22" t="s">
        <v>181</v>
      </c>
      <c r="C915" s="22" t="s">
        <v>15432</v>
      </c>
      <c r="D915" s="23" t="s">
        <v>15433</v>
      </c>
      <c r="E915" s="22" t="s">
        <v>15434</v>
      </c>
      <c r="F915" s="35" t="s">
        <v>14416</v>
      </c>
    </row>
    <row r="916" customFormat="false" ht="24.75" hidden="false" customHeight="true" outlineLevel="0" collapsed="false">
      <c r="A916" s="22" t="s">
        <v>2007</v>
      </c>
      <c r="B916" s="22" t="s">
        <v>181</v>
      </c>
      <c r="C916" s="22" t="s">
        <v>15435</v>
      </c>
      <c r="D916" s="23" t="s">
        <v>15436</v>
      </c>
      <c r="E916" s="22" t="s">
        <v>15437</v>
      </c>
      <c r="F916" s="35" t="s">
        <v>14416</v>
      </c>
    </row>
    <row r="917" customFormat="false" ht="24.75" hidden="false" customHeight="true" outlineLevel="0" collapsed="false">
      <c r="A917" s="22" t="s">
        <v>2007</v>
      </c>
      <c r="B917" s="22" t="s">
        <v>181</v>
      </c>
      <c r="C917" s="22" t="s">
        <v>15438</v>
      </c>
      <c r="D917" s="23" t="s">
        <v>14192</v>
      </c>
      <c r="E917" s="22" t="s">
        <v>15439</v>
      </c>
      <c r="F917" s="53" t="s">
        <v>14420</v>
      </c>
    </row>
    <row r="918" customFormat="false" ht="24.75" hidden="false" customHeight="true" outlineLevel="0" collapsed="false">
      <c r="A918" s="22" t="s">
        <v>2007</v>
      </c>
      <c r="B918" s="22" t="s">
        <v>181</v>
      </c>
      <c r="C918" s="22" t="s">
        <v>15440</v>
      </c>
      <c r="D918" s="23" t="s">
        <v>14197</v>
      </c>
      <c r="E918" s="22" t="s">
        <v>15441</v>
      </c>
      <c r="F918" s="53" t="s">
        <v>14420</v>
      </c>
    </row>
    <row r="919" customFormat="false" ht="24.75" hidden="false" customHeight="true" outlineLevel="0" collapsed="false">
      <c r="A919" s="22" t="s">
        <v>2036</v>
      </c>
      <c r="B919" s="22" t="s">
        <v>181</v>
      </c>
      <c r="C919" s="22" t="s">
        <v>15432</v>
      </c>
      <c r="D919" s="23" t="s">
        <v>15433</v>
      </c>
      <c r="E919" s="22" t="s">
        <v>15434</v>
      </c>
      <c r="F919" s="35" t="s">
        <v>14416</v>
      </c>
    </row>
    <row r="920" customFormat="false" ht="24.75" hidden="false" customHeight="true" outlineLevel="0" collapsed="false">
      <c r="A920" s="22" t="s">
        <v>2036</v>
      </c>
      <c r="B920" s="22" t="s">
        <v>181</v>
      </c>
      <c r="C920" s="22" t="s">
        <v>15440</v>
      </c>
      <c r="D920" s="23" t="s">
        <v>14197</v>
      </c>
      <c r="E920" s="22" t="s">
        <v>15441</v>
      </c>
      <c r="F920" s="53" t="s">
        <v>14420</v>
      </c>
    </row>
    <row r="921" customFormat="false" ht="24.75" hidden="false" customHeight="true" outlineLevel="0" collapsed="false">
      <c r="A921" s="22" t="s">
        <v>2036</v>
      </c>
      <c r="B921" s="22" t="s">
        <v>181</v>
      </c>
      <c r="C921" s="22" t="s">
        <v>15442</v>
      </c>
      <c r="D921" s="23" t="s">
        <v>14202</v>
      </c>
      <c r="E921" s="22" t="s">
        <v>15443</v>
      </c>
      <c r="F921" s="53" t="s">
        <v>14420</v>
      </c>
    </row>
    <row r="922" customFormat="false" ht="24.75" hidden="false" customHeight="true" outlineLevel="0" collapsed="false">
      <c r="A922" s="22" t="s">
        <v>2065</v>
      </c>
      <c r="B922" s="22" t="s">
        <v>181</v>
      </c>
      <c r="C922" s="22" t="s">
        <v>15444</v>
      </c>
      <c r="D922" s="23" t="s">
        <v>15016</v>
      </c>
      <c r="E922" s="22" t="s">
        <v>15445</v>
      </c>
      <c r="F922" s="35" t="s">
        <v>14416</v>
      </c>
    </row>
    <row r="923" customFormat="false" ht="24.75" hidden="false" customHeight="true" outlineLevel="0" collapsed="false">
      <c r="A923" s="22" t="s">
        <v>2065</v>
      </c>
      <c r="B923" s="22" t="s">
        <v>181</v>
      </c>
      <c r="C923" s="22" t="s">
        <v>15446</v>
      </c>
      <c r="D923" s="23" t="s">
        <v>15022</v>
      </c>
      <c r="E923" s="22" t="s">
        <v>15447</v>
      </c>
      <c r="F923" s="53" t="s">
        <v>14420</v>
      </c>
    </row>
    <row r="924" customFormat="false" ht="24.75" hidden="false" customHeight="true" outlineLevel="0" collapsed="false">
      <c r="A924" s="22" t="s">
        <v>2095</v>
      </c>
      <c r="B924" s="22" t="s">
        <v>181</v>
      </c>
      <c r="C924" s="22" t="s">
        <v>15448</v>
      </c>
      <c r="D924" s="23" t="s">
        <v>15034</v>
      </c>
      <c r="E924" s="22" t="s">
        <v>15449</v>
      </c>
      <c r="F924" s="53" t="s">
        <v>14420</v>
      </c>
    </row>
    <row r="925" customFormat="false" ht="24.75" hidden="false" customHeight="true" outlineLevel="0" collapsed="false">
      <c r="A925" s="22" t="s">
        <v>2125</v>
      </c>
      <c r="B925" s="22" t="s">
        <v>181</v>
      </c>
      <c r="C925" s="22" t="s">
        <v>15450</v>
      </c>
      <c r="D925" s="23" t="s">
        <v>15146</v>
      </c>
      <c r="E925" s="22" t="s">
        <v>15451</v>
      </c>
      <c r="F925" s="53" t="s">
        <v>14420</v>
      </c>
    </row>
    <row r="926" customFormat="false" ht="24.75" hidden="false" customHeight="true" outlineLevel="0" collapsed="false">
      <c r="A926" s="22" t="s">
        <v>2153</v>
      </c>
      <c r="B926" s="22" t="s">
        <v>181</v>
      </c>
      <c r="C926" s="22" t="s">
        <v>15452</v>
      </c>
      <c r="D926" s="23" t="s">
        <v>15092</v>
      </c>
      <c r="E926" s="22" t="s">
        <v>15093</v>
      </c>
      <c r="F926" s="53" t="s">
        <v>14420</v>
      </c>
    </row>
    <row r="927" customFormat="false" ht="24.75" hidden="false" customHeight="true" outlineLevel="0" collapsed="false">
      <c r="A927" s="22" t="s">
        <v>2153</v>
      </c>
      <c r="B927" s="22" t="s">
        <v>181</v>
      </c>
      <c r="C927" s="22" t="s">
        <v>15453</v>
      </c>
      <c r="D927" s="23" t="s">
        <v>15095</v>
      </c>
      <c r="E927" s="22"/>
      <c r="F927" s="53" t="s">
        <v>14420</v>
      </c>
    </row>
    <row r="928" customFormat="false" ht="24.75" hidden="false" customHeight="true" outlineLevel="0" collapsed="false">
      <c r="A928" s="22" t="s">
        <v>2153</v>
      </c>
      <c r="B928" s="22" t="s">
        <v>181</v>
      </c>
      <c r="C928" s="22" t="s">
        <v>15454</v>
      </c>
      <c r="D928" s="23" t="s">
        <v>15098</v>
      </c>
      <c r="E928" s="22" t="s">
        <v>15455</v>
      </c>
      <c r="F928" s="53" t="s">
        <v>14420</v>
      </c>
    </row>
    <row r="929" customFormat="false" ht="24.75" hidden="false" customHeight="true" outlineLevel="0" collapsed="false">
      <c r="A929" s="22" t="s">
        <v>2181</v>
      </c>
      <c r="B929" s="22" t="s">
        <v>181</v>
      </c>
      <c r="C929" s="22" t="s">
        <v>15456</v>
      </c>
      <c r="D929" s="23" t="s">
        <v>14919</v>
      </c>
      <c r="E929" s="22" t="s">
        <v>15457</v>
      </c>
      <c r="F929" s="53" t="s">
        <v>14420</v>
      </c>
    </row>
    <row r="930" customFormat="false" ht="24.75" hidden="false" customHeight="true" outlineLevel="0" collapsed="false">
      <c r="A930" s="22" t="s">
        <v>2181</v>
      </c>
      <c r="B930" s="22" t="s">
        <v>181</v>
      </c>
      <c r="C930" s="22" t="s">
        <v>15438</v>
      </c>
      <c r="D930" s="23" t="s">
        <v>14192</v>
      </c>
      <c r="E930" s="22" t="s">
        <v>15439</v>
      </c>
      <c r="F930" s="53" t="s">
        <v>14420</v>
      </c>
    </row>
    <row r="931" customFormat="false" ht="24.75" hidden="false" customHeight="true" outlineLevel="0" collapsed="false">
      <c r="A931" s="22" t="s">
        <v>2208</v>
      </c>
      <c r="B931" s="22" t="s">
        <v>181</v>
      </c>
      <c r="C931" s="22" t="s">
        <v>15458</v>
      </c>
      <c r="D931" s="23" t="s">
        <v>15058</v>
      </c>
      <c r="E931" s="22" t="s">
        <v>15459</v>
      </c>
      <c r="F931" s="53" t="s">
        <v>14420</v>
      </c>
    </row>
    <row r="932" customFormat="false" ht="24.75" hidden="false" customHeight="true" outlineLevel="0" collapsed="false">
      <c r="A932" s="22" t="s">
        <v>2208</v>
      </c>
      <c r="B932" s="22" t="s">
        <v>181</v>
      </c>
      <c r="C932" s="22" t="s">
        <v>15460</v>
      </c>
      <c r="D932" s="23" t="s">
        <v>15074</v>
      </c>
      <c r="E932" s="22" t="s">
        <v>15461</v>
      </c>
      <c r="F932" s="53" t="s">
        <v>14420</v>
      </c>
    </row>
    <row r="933" customFormat="false" ht="24.75" hidden="false" customHeight="true" outlineLevel="0" collapsed="false">
      <c r="A933" s="22" t="s">
        <v>2237</v>
      </c>
      <c r="B933" s="22" t="s">
        <v>181</v>
      </c>
      <c r="C933" s="22" t="s">
        <v>15462</v>
      </c>
      <c r="D933" s="23" t="s">
        <v>14238</v>
      </c>
      <c r="E933" s="22" t="s">
        <v>15463</v>
      </c>
      <c r="F933" s="35" t="s">
        <v>14416</v>
      </c>
    </row>
    <row r="934" customFormat="false" ht="24.75" hidden="false" customHeight="true" outlineLevel="0" collapsed="false">
      <c r="A934" s="22" t="s">
        <v>2265</v>
      </c>
      <c r="B934" s="22" t="s">
        <v>181</v>
      </c>
      <c r="C934" s="22" t="s">
        <v>15464</v>
      </c>
      <c r="D934" s="23" t="s">
        <v>15465</v>
      </c>
      <c r="E934" s="22" t="s">
        <v>15466</v>
      </c>
      <c r="F934" s="53" t="s">
        <v>14420</v>
      </c>
    </row>
    <row r="935" customFormat="false" ht="24.75" hidden="false" customHeight="true" outlineLevel="0" collapsed="false">
      <c r="A935" s="22" t="s">
        <v>2292</v>
      </c>
      <c r="B935" s="22" t="s">
        <v>181</v>
      </c>
      <c r="C935" s="22" t="s">
        <v>15343</v>
      </c>
      <c r="D935" s="23" t="s">
        <v>13783</v>
      </c>
      <c r="E935" s="22" t="s">
        <v>15344</v>
      </c>
      <c r="F935" s="35" t="s">
        <v>14416</v>
      </c>
    </row>
    <row r="936" customFormat="false" ht="24.75" hidden="false" customHeight="true" outlineLevel="0" collapsed="false">
      <c r="A936" s="22" t="s">
        <v>2292</v>
      </c>
      <c r="B936" s="22" t="s">
        <v>181</v>
      </c>
      <c r="C936" s="22" t="s">
        <v>15391</v>
      </c>
      <c r="D936" s="23" t="s">
        <v>14559</v>
      </c>
      <c r="E936" s="22" t="s">
        <v>15392</v>
      </c>
      <c r="F936" s="35" t="s">
        <v>14416</v>
      </c>
    </row>
    <row r="937" customFormat="false" ht="24.75" hidden="false" customHeight="true" outlineLevel="0" collapsed="false">
      <c r="A937" s="22" t="s">
        <v>2292</v>
      </c>
      <c r="B937" s="22" t="s">
        <v>181</v>
      </c>
      <c r="C937" s="22" t="s">
        <v>15366</v>
      </c>
      <c r="D937" s="23" t="s">
        <v>15367</v>
      </c>
      <c r="E937" s="22" t="s">
        <v>15368</v>
      </c>
      <c r="F937" s="53" t="s">
        <v>14420</v>
      </c>
    </row>
    <row r="938" customFormat="false" ht="24.75" hidden="false" customHeight="true" outlineLevel="0" collapsed="false">
      <c r="A938" s="22" t="s">
        <v>2320</v>
      </c>
      <c r="B938" s="22" t="s">
        <v>181</v>
      </c>
      <c r="C938" s="22" t="s">
        <v>15467</v>
      </c>
      <c r="D938" s="23" t="s">
        <v>15468</v>
      </c>
      <c r="E938" s="22" t="s">
        <v>15469</v>
      </c>
      <c r="F938" s="53" t="s">
        <v>14420</v>
      </c>
    </row>
    <row r="939" customFormat="false" ht="24.75" hidden="false" customHeight="true" outlineLevel="0" collapsed="false">
      <c r="A939" s="22" t="s">
        <v>2320</v>
      </c>
      <c r="B939" s="22" t="s">
        <v>181</v>
      </c>
      <c r="C939" s="22" t="s">
        <v>14616</v>
      </c>
      <c r="D939" s="23" t="s">
        <v>14617</v>
      </c>
      <c r="E939" s="22" t="s">
        <v>15470</v>
      </c>
      <c r="F939" s="35" t="s">
        <v>14416</v>
      </c>
    </row>
    <row r="940" customFormat="false" ht="24.75" hidden="false" customHeight="true" outlineLevel="0" collapsed="false">
      <c r="A940" s="22" t="s">
        <v>2320</v>
      </c>
      <c r="B940" s="22" t="s">
        <v>181</v>
      </c>
      <c r="C940" s="22" t="s">
        <v>15343</v>
      </c>
      <c r="D940" s="23" t="s">
        <v>13783</v>
      </c>
      <c r="E940" s="22" t="s">
        <v>15344</v>
      </c>
      <c r="F940" s="35" t="s">
        <v>14416</v>
      </c>
    </row>
    <row r="941" customFormat="false" ht="24.75" hidden="false" customHeight="true" outlineLevel="0" collapsed="false">
      <c r="A941" s="22" t="s">
        <v>2347</v>
      </c>
      <c r="B941" s="22" t="s">
        <v>181</v>
      </c>
      <c r="C941" s="22" t="s">
        <v>15407</v>
      </c>
      <c r="D941" s="23" t="s">
        <v>15408</v>
      </c>
      <c r="E941" s="22" t="s">
        <v>15409</v>
      </c>
      <c r="F941" s="53" t="s">
        <v>14420</v>
      </c>
    </row>
    <row r="942" customFormat="false" ht="24.75" hidden="false" customHeight="true" outlineLevel="0" collapsed="false">
      <c r="A942" s="22" t="s">
        <v>2347</v>
      </c>
      <c r="B942" s="22" t="s">
        <v>181</v>
      </c>
      <c r="C942" s="22" t="s">
        <v>15396</v>
      </c>
      <c r="D942" s="23" t="s">
        <v>15397</v>
      </c>
      <c r="E942" s="22" t="s">
        <v>15398</v>
      </c>
      <c r="F942" s="35" t="s">
        <v>14416</v>
      </c>
    </row>
    <row r="943" customFormat="false" ht="24.75" hidden="false" customHeight="true" outlineLevel="0" collapsed="false">
      <c r="A943" s="22" t="s">
        <v>2347</v>
      </c>
      <c r="B943" s="22" t="s">
        <v>181</v>
      </c>
      <c r="C943" s="22" t="s">
        <v>15410</v>
      </c>
      <c r="D943" s="23" t="s">
        <v>15411</v>
      </c>
      <c r="E943" s="22" t="s">
        <v>15412</v>
      </c>
      <c r="F943" s="35" t="s">
        <v>14416</v>
      </c>
    </row>
    <row r="944" customFormat="false" ht="24.75" hidden="false" customHeight="true" outlineLevel="0" collapsed="false">
      <c r="A944" s="22" t="s">
        <v>2374</v>
      </c>
      <c r="B944" s="22" t="s">
        <v>181</v>
      </c>
      <c r="C944" s="22" t="s">
        <v>15471</v>
      </c>
      <c r="D944" s="23" t="s">
        <v>15105</v>
      </c>
      <c r="E944" s="22" t="s">
        <v>15472</v>
      </c>
      <c r="F944" s="53" t="s">
        <v>14420</v>
      </c>
    </row>
    <row r="945" customFormat="false" ht="24.75" hidden="false" customHeight="true" outlineLevel="0" collapsed="false">
      <c r="A945" s="22" t="s">
        <v>2400</v>
      </c>
      <c r="B945" s="22" t="s">
        <v>181</v>
      </c>
      <c r="C945" s="22" t="s">
        <v>15471</v>
      </c>
      <c r="D945" s="23" t="s">
        <v>15105</v>
      </c>
      <c r="E945" s="22" t="s">
        <v>15472</v>
      </c>
      <c r="F945" s="53" t="s">
        <v>14420</v>
      </c>
    </row>
    <row r="946" customFormat="false" ht="24.75" hidden="false" customHeight="true" outlineLevel="0" collapsed="false">
      <c r="A946" s="22" t="s">
        <v>2448</v>
      </c>
      <c r="B946" s="22" t="s">
        <v>181</v>
      </c>
      <c r="C946" s="22" t="s">
        <v>15471</v>
      </c>
      <c r="D946" s="23" t="s">
        <v>15105</v>
      </c>
      <c r="E946" s="22" t="s">
        <v>15472</v>
      </c>
      <c r="F946" s="53" t="s">
        <v>14420</v>
      </c>
    </row>
    <row r="947" customFormat="false" ht="24.75" hidden="false" customHeight="true" outlineLevel="0" collapsed="false">
      <c r="A947" s="22" t="s">
        <v>2474</v>
      </c>
      <c r="B947" s="22" t="s">
        <v>181</v>
      </c>
      <c r="C947" s="22" t="s">
        <v>15471</v>
      </c>
      <c r="D947" s="23" t="s">
        <v>15105</v>
      </c>
      <c r="E947" s="22" t="s">
        <v>15472</v>
      </c>
      <c r="F947" s="53" t="s">
        <v>14420</v>
      </c>
    </row>
    <row r="948" customFormat="false" ht="24.75" hidden="false" customHeight="true" outlineLevel="0" collapsed="false">
      <c r="A948" s="22" t="s">
        <v>2528</v>
      </c>
      <c r="B948" s="22" t="s">
        <v>181</v>
      </c>
      <c r="C948" s="22" t="s">
        <v>15206</v>
      </c>
      <c r="D948" s="23" t="s">
        <v>15207</v>
      </c>
      <c r="E948" s="22" t="s">
        <v>15473</v>
      </c>
      <c r="F948" s="53" t="s">
        <v>14420</v>
      </c>
    </row>
    <row r="949" customFormat="false" ht="24.75" hidden="false" customHeight="true" outlineLevel="0" collapsed="false">
      <c r="A949" s="22" t="s">
        <v>2556</v>
      </c>
      <c r="B949" s="22" t="s">
        <v>181</v>
      </c>
      <c r="C949" s="22" t="s">
        <v>15474</v>
      </c>
      <c r="D949" s="23" t="s">
        <v>15475</v>
      </c>
      <c r="E949" s="22" t="s">
        <v>15476</v>
      </c>
      <c r="F949" s="53" t="s">
        <v>14420</v>
      </c>
    </row>
    <row r="950" customFormat="false" ht="24.75" hidden="false" customHeight="true" outlineLevel="0" collapsed="false">
      <c r="A950" s="22" t="s">
        <v>2556</v>
      </c>
      <c r="B950" s="22" t="s">
        <v>181</v>
      </c>
      <c r="C950" s="22" t="s">
        <v>15450</v>
      </c>
      <c r="D950" s="23" t="s">
        <v>15146</v>
      </c>
      <c r="E950" s="22" t="s">
        <v>15451</v>
      </c>
      <c r="F950" s="53" t="s">
        <v>14420</v>
      </c>
    </row>
    <row r="951" customFormat="false" ht="24.75" hidden="false" customHeight="true" outlineLevel="0" collapsed="false">
      <c r="A951" s="22" t="s">
        <v>2556</v>
      </c>
      <c r="B951" s="22" t="s">
        <v>181</v>
      </c>
      <c r="C951" s="22" t="s">
        <v>15471</v>
      </c>
      <c r="D951" s="23" t="s">
        <v>15105</v>
      </c>
      <c r="E951" s="22" t="s">
        <v>15472</v>
      </c>
      <c r="F951" s="53" t="s">
        <v>14420</v>
      </c>
    </row>
    <row r="952" customFormat="false" ht="24.75" hidden="false" customHeight="true" outlineLevel="0" collapsed="false">
      <c r="A952" s="22" t="s">
        <v>2586</v>
      </c>
      <c r="B952" s="22" t="s">
        <v>181</v>
      </c>
      <c r="C952" s="22" t="s">
        <v>15426</v>
      </c>
      <c r="D952" s="23" t="s">
        <v>15427</v>
      </c>
      <c r="E952" s="22" t="s">
        <v>15428</v>
      </c>
      <c r="F952" s="53" t="s">
        <v>14420</v>
      </c>
    </row>
    <row r="953" customFormat="false" ht="24.75" hidden="false" customHeight="true" outlineLevel="0" collapsed="false">
      <c r="A953" s="22" t="s">
        <v>2586</v>
      </c>
      <c r="B953" s="22" t="s">
        <v>181</v>
      </c>
      <c r="C953" s="22" t="s">
        <v>15477</v>
      </c>
      <c r="D953" s="23" t="s">
        <v>15141</v>
      </c>
      <c r="E953" s="22" t="s">
        <v>15478</v>
      </c>
      <c r="F953" s="53" t="s">
        <v>14420</v>
      </c>
    </row>
    <row r="954" customFormat="false" ht="24.75" hidden="false" customHeight="true" outlineLevel="0" collapsed="false">
      <c r="A954" s="22" t="s">
        <v>2586</v>
      </c>
      <c r="B954" s="22" t="s">
        <v>181</v>
      </c>
      <c r="C954" s="22" t="s">
        <v>15479</v>
      </c>
      <c r="D954" s="23" t="s">
        <v>14262</v>
      </c>
      <c r="E954" s="22" t="s">
        <v>15480</v>
      </c>
      <c r="F954" s="53" t="s">
        <v>14420</v>
      </c>
    </row>
    <row r="955" customFormat="false" ht="24.75" hidden="false" customHeight="true" outlineLevel="0" collapsed="false">
      <c r="A955" s="22" t="s">
        <v>2586</v>
      </c>
      <c r="B955" s="22" t="s">
        <v>181</v>
      </c>
      <c r="C955" s="22" t="s">
        <v>15481</v>
      </c>
      <c r="D955" s="23" t="s">
        <v>15161</v>
      </c>
      <c r="E955" s="22" t="s">
        <v>15482</v>
      </c>
      <c r="F955" s="35" t="s">
        <v>14416</v>
      </c>
    </row>
  </sheetData>
  <autoFilter ref="A4:F955"/>
  <mergeCells count="2">
    <mergeCell ref="A1:E1"/>
    <mergeCell ref="A2:F2"/>
  </mergeCells>
  <hyperlinks>
    <hyperlink ref="F1" r:id="rId1" location="'Contents'!A1" display="← Contents"/>
    <hyperlink ref="D5" r:id="rId2" display="https://www.incometaxindia.gov.in/documents/d/guest/press-release-income-tax-act-2025-comes-into-force-from-01-april-2026-pdf"/>
    <hyperlink ref="D6" r:id="rId3" display="https://en.wikipedia.org/wiki/Income-tax_Act,_2025"/>
    <hyperlink ref="D7" r:id="rId4" display="https://eztax.in/income-tax-act-2025/compare-old-new-section-codes"/>
    <hyperlink ref="D8" r:id="rId5" display="https://www.incorpx.io/blog/income-tax-act-2025-vs-1961-section-mapping"/>
    <hyperlink ref="D9" r:id="rId6" display="https://incometaxindia.gov.in/documents/d/guest/circular-7-2026-pdf"/>
    <hyperlink ref="D10" r:id="rId7" display="https://cleartax.in/s/income-tax-changes-from-april-2026"/>
    <hyperlink ref="D11" r:id="rId8" display="https://www.incometaxindia.gov.in/w/rule-269-1"/>
    <hyperlink ref="D12" r:id="rId9" display="https://www.taxheal.com/section-424-income-tax-act-2025.html"/>
    <hyperlink ref="D13" r:id="rId10" display="https://www.incometax.gov.in/iec/foportal/help/individual/return-applicable-1"/>
    <hyperlink ref="D14" r:id="rId11" display="https://www.incometaxindia.gov.in/w/section-202-76"/>
    <hyperlink ref="D15" r:id="rId12" display="https://cleartax.in/s/income-tax-changes-from-april-2026"/>
    <hyperlink ref="D16" r:id="rId13" display="https://www.livelawbiz.com/amp/top-stories/union-budget-central-govt-notifies-finance-act-528353"/>
    <hyperlink ref="D17" r:id="rId14" display="https://www.incometax.gov.in/iec/foportal/help/individual/return-applicable-1"/>
    <hyperlink ref="D18" r:id="rId15" display="https://www.livelawbiz.com/amp/top-stories/union-budget-central-govt-notifies-finance-act-528353"/>
    <hyperlink ref="D19" r:id="rId16" display="https://www.incometaxindia.gov.in/w/tax-on-short-term-capital-gains%E2%80%8B"/>
    <hyperlink ref="D20" r:id="rId17" display="https://www.incometaxindia.gov.in/w/section-202-76"/>
    <hyperlink ref="D21" r:id="rId18" display="https://www.incometax.gov.in/iec/foportal/help/individual/return-applicable-1"/>
    <hyperlink ref="D22" r:id="rId19" display="https://www.livelawbiz.com/amp/top-stories/union-budget-central-govt-notifies-finance-act-528353"/>
    <hyperlink ref="D23" r:id="rId20" display="https://www.incometax.gov.in/iec/foportal/help/individual/return-applicable-1"/>
    <hyperlink ref="D24" r:id="rId21" display="https://www.livelawbiz.com/amp/top-stories/union-budget-central-govt-notifies-finance-act-528353"/>
    <hyperlink ref="D25" r:id="rId22" display="https://www.incometax.gov.in/iec/foportal/help/individual/return-applicable-1"/>
    <hyperlink ref="D26" r:id="rId23" display="https://www.incometaxindia.gov.in/w/section-156-84"/>
    <hyperlink ref="D27" r:id="rId24" display="https://taxguru.in/income-tax/section-87a-section-156-rebate-tax-payable-rs-12-lakh.html"/>
    <hyperlink ref="D28" r:id="rId25" display="https://www.incometax.gov.in/iec/foportal/help/individual/return-applicable-1"/>
    <hyperlink ref="D29" r:id="rId26" display="https://www.incometaxindia.gov.in/w/section-156-84"/>
    <hyperlink ref="D30" r:id="rId27" display="https://taxguru.in/income-tax/section-87a-section-156-rebate-tax-payable-rs-12-lakh.html"/>
    <hyperlink ref="D31" r:id="rId28" display="https://www.incometaxindia.gov.in/w/section-156-84"/>
    <hyperlink ref="D32" r:id="rId29" display="https://eztax.in/income-tax-act-2025/section-198"/>
    <hyperlink ref="D33" r:id="rId30" display="https://www.incometaxindia.gov.in/w/section-19-206"/>
    <hyperlink ref="D34" r:id="rId31" display="https://www.incometaxindia.gov.in/w/section-516-3"/>
    <hyperlink ref="D35" r:id="rId32" display="https://www.taxtmi.com/tmi_notes?id=2069"/>
    <hyperlink ref="D36" r:id="rId33" display="https://www.incometaxindia.gov.in/w/section-516-3"/>
    <hyperlink ref="D37" r:id="rId34" display="https://www.taxtmi.com/tmi_notes?id=2069"/>
    <hyperlink ref="D38" r:id="rId35" display="https://www.incometaxindia.gov.in/w/section-63-134"/>
    <hyperlink ref="D39" r:id="rId36" display="https://incometaxindia.gov.in/documents/d/guest/circular-7-2026-pdf"/>
    <hyperlink ref="D40" r:id="rId37" display="https://www.incometaxindia.gov.in/w/prohibited-transaction-in-cash/limit-on-cash-transactions%E2%80%8B"/>
    <hyperlink ref="D41" r:id="rId38" display="https://www.incometaxindia.gov.in/w/section-58-144"/>
    <hyperlink ref="D42" r:id="rId39" display="https://www.incorpx.io/blog/income-tax-act-2025-vs-1961-section-mapping"/>
    <hyperlink ref="D43" r:id="rId40" display="https://eztax.in/income-tax-act-2025/compare-old-new-section-codes"/>
    <hyperlink ref="D44" r:id="rId41" display="https://www.incometaxindia.gov.in/w/section-58-144"/>
    <hyperlink ref="D45" r:id="rId42" display="https://www.incometaxindia.gov.in/w/section-37-169"/>
    <hyperlink ref="D46" r:id="rId43" display="https://www.incometaxindia.gov.in/w/section-37-169"/>
    <hyperlink ref="D47" r:id="rId44" display="https://taxguru.in/income-tax/finance-ministry-clarifies-section-43bh-45-day-msme-payment-rule.html"/>
    <hyperlink ref="D48" r:id="rId45" display="https://www.incometaxindia.gov.in/w/section-36-171"/>
    <hyperlink ref="D49" r:id="rId46" display="https://www.incometaxindia.gov.in/w/prohibited-transaction-in-cash/limit-on-cash-transactions%E2%80%8B"/>
    <hyperlink ref="D50" r:id="rId47" display="https://www.taxheal.com/new-cash-transaction-limits-under-the-income-tax-act-2025.html"/>
    <hyperlink ref="D51" r:id="rId48" display="https://eztax.in/income-tax-act-2025/section-186"/>
    <hyperlink ref="D52" r:id="rId49" display="https://www.taxtmi.com/tmi_notes?id=1989"/>
    <hyperlink ref="D53" r:id="rId50" display="https://www.incometaxindia.gov.in/w/prohibited-transaction-in-cash/limit-on-cash-transactions%E2%80%8B"/>
    <hyperlink ref="D54" r:id="rId51" display="https://www.incometaxindia.gov.in/w/prohibited-transaction-in-cash/limit-on-cash-transactions%E2%80%8B"/>
    <hyperlink ref="D55" r:id="rId52" display="https://www.taxtmi.com/tmi_notes?id=1989"/>
    <hyperlink ref="D56" r:id="rId53" display="https://www.taxheal.com/new-cash-transaction-limits-under-the-income-tax-act-2025.html"/>
    <hyperlink ref="D57" r:id="rId54" display="https://eztax.in/income-tax-act-2025/section-188"/>
    <hyperlink ref="D58" r:id="rId55" display="https://www.incometaxindia.gov.in/w/prohibited-transaction-in-cash/limit-on-cash-transactions%E2%80%8B"/>
    <hyperlink ref="D59" r:id="rId56" display="https://eztax.in/income-tax-act-2025/section-35"/>
    <hyperlink ref="D60" r:id="rId57" display="https://eztax.in/income-tax-act-2025/section-35"/>
    <hyperlink ref="D61" r:id="rId58" display="https://www.incometaxindia.gov.in/w/tax-on-short-term-capital-gains%E2%80%8B"/>
    <hyperlink ref="D62" r:id="rId59" display="https://www.incometaxindia.gov.in/w/section-197-78"/>
    <hyperlink ref="D63" r:id="rId60" display="https://eztax.in/income-tax-act-2025/section-198"/>
    <hyperlink ref="D64" r:id="rId61" display="https://ebizfiling.com/blog/section-196-and-198-short-term-and-long-term-capital-gains/"/>
    <hyperlink ref="D65" r:id="rId62" display="https://www.taxtmi.com/tmi_notes?id=2099"/>
    <hyperlink ref="D66" r:id="rId63" display="https://eztax.in/income-tax-act-2025/compare-old-new-section-codes"/>
    <hyperlink ref="D67" r:id="rId64" display="https://cleartax.in/s/income-tax-changes-from-april-2026"/>
    <hyperlink ref="D68" r:id="rId65" display="https://www.incometaxindia.gov.in/w/section-437-6"/>
    <hyperlink ref="D69" r:id="rId66" display="https://www.taxtmi.com/tmi_notes?id=1949"/>
    <hyperlink ref="D70" r:id="rId67" display="https://www.incometaxindia.gov.in/w/rule-119a"/>
    <hyperlink ref="D71" r:id="rId68" display="https://www.incometaxindia.gov.in/w/rule-269-1"/>
    <hyperlink ref="D72" r:id="rId69" display="https://www.incometaxindia.gov.in/w/section-403-5"/>
    <hyperlink ref="D73" r:id="rId70" display="https://www.incometaxindia.gov.in/w/section-404-5"/>
    <hyperlink ref="D74" r:id="rId71" display="https://www.incometaxindia.gov.in/w/section-408-5"/>
    <hyperlink ref="D75" r:id="rId72" display="https://www.incometaxindia.gov.in/w/section-234c-37"/>
    <hyperlink ref="D76" r:id="rId73" display="https://www.incometaxindia.gov.in/w/section-408-5"/>
    <hyperlink ref="D77" r:id="rId74" display="https://www.incometaxindia.gov.in/w/section-425-5"/>
    <hyperlink ref="D78" r:id="rId75" display="https://www.incometaxindia.gov.in/w/section-234c-37"/>
    <hyperlink ref="D79" r:id="rId76" display="https://www.incometaxindia.gov.in/w/section-423-5"/>
    <hyperlink ref="D80" r:id="rId77" display="https://www.incometaxindia.gov.in/w/rule-119a"/>
    <hyperlink ref="D81" r:id="rId78" display="https://www.incometaxindia.gov.in/w/rule-269-1"/>
    <hyperlink ref="D82" r:id="rId79" display="https://incometaxindia.gov.in/documents/d/guest/circular-7-2026-pdf"/>
    <hyperlink ref="D83" r:id="rId80" display="https://eztax.in/income-tax-act-2025/compare-old-new-section-codes"/>
    <hyperlink ref="D84" r:id="rId81" display="https://www.incometaxindia.gov.in/w/section-234b-37"/>
    <hyperlink ref="D85" r:id="rId82" display="https://www.incometaxindia.gov.in/w/section-424-5"/>
    <hyperlink ref="D86" r:id="rId83" display="https://www.taxheal.com/section-424-income-tax-act-2025.html"/>
    <hyperlink ref="D87" r:id="rId84" display="https://www.incometaxindia.gov.in/w/rule-119a"/>
    <hyperlink ref="D88" r:id="rId85" display="https://www.incometaxindia.gov.in/w/rule-269-1"/>
    <hyperlink ref="D89" r:id="rId86" display="https://www.incometaxindia.gov.in/w/section-234c-37"/>
    <hyperlink ref="D90" r:id="rId87" display="https://www.incometaxindia.gov.in/w/section-425-5"/>
    <hyperlink ref="D91" r:id="rId88" display="https://www.incometaxindia.gov.in/w/rule-119a"/>
    <hyperlink ref="D92" r:id="rId89" display="https://www.incometaxindia.gov.in/w/rule-269-1"/>
    <hyperlink ref="D93" r:id="rId90" display="https://www.incometaxindia.gov.in/w/rule-119a"/>
    <hyperlink ref="D94" r:id="rId91" display="https://www.incometaxindia.gov.in/w/rule-269-1"/>
    <hyperlink ref="D95" r:id="rId92" display="https://www.incometaxindia.gov.in/w/section-428-5"/>
    <hyperlink ref="D96" r:id="rId93" display="https://incometaxindia.gov.in/Budgets%20and%20Bills/2026/Notes-on-clauses-2026.pdf"/>
    <hyperlink ref="D97" r:id="rId94" display="https://www.incometax.gov.in/iec/foportal/help/individual/return-applicable-1"/>
    <hyperlink ref="D98" r:id="rId95" display="https://incometaxindia.gov.in/Budgets%20and%20Bills/2026/Notes-on-clauses-2026.pdf"/>
    <hyperlink ref="D99" r:id="rId96" display="https://incometaxindia.gov.in/documents/d/guest/circular-7-2026-pdf"/>
    <hyperlink ref="D100" r:id="rId97" display="https://ksandk.com/newsletter/income-tax-return-filing-deadline-for-ay-2026-27-extended-to-21-november-2026-tax-audit-deadline-revised/"/>
    <hyperlink ref="D101" r:id="rId98" display="https://calcguru.in/?p=5373"/>
    <hyperlink ref="D102" r:id="rId99" display="https://www.incorpx.io/blog/itr-due-date-extended-august-31-2026"/>
    <hyperlink ref="D103" r:id="rId100" display="https://www.taxmann.com/post/blog/finance-act-receives-assent-of-the-president/"/>
    <hyperlink ref="D104" r:id="rId101" display="https://www.incometaxindia.gov.in/documents/d/guest/finance-act-2026-pdf-1"/>
    <hyperlink ref="D105" r:id="rId102" display="https://www.indiabudget.gov.in/doc/memo.pdf"/>
    <hyperlink ref="D106" r:id="rId103" display="https://incometaxindia.gov.in/Budgets%20and%20Bills/2026/Notes-on-clauses-2026.pdf"/>
    <hyperlink ref="D107" r:id="rId104" display="https://www.incometaxindia.gov.in/w/section-263-72"/>
    <hyperlink ref="D108" r:id="rId105" display="https://studycafe.in/revised-itr-rules-from-fy-2026-27-fees-deadlines-and-key-changes-explained-409375.html"/>
    <hyperlink ref="D109" r:id="rId106" display="https://www.incometaxindia.gov.in/w/section-63-134"/>
    <hyperlink ref="D110" r:id="rId107" display="https://www.indiabudget.gov.in/doc/memo.pdf"/>
    <hyperlink ref="D111" r:id="rId108" display="https://incometaxindia.gov.in/Budgets%20and%20Bills/2026/Notes-on-clauses-2026.pdf"/>
    <hyperlink ref="D112" r:id="rId109" display="https://calcguru.in/?p=5373"/>
    <hyperlink ref="D113" r:id="rId110" display="https://studycafe.in/revised-itr-rules-from-fy-2026-27-fees-deadlines-and-key-changes-explained-409375.html"/>
    <hyperlink ref="D114" r:id="rId111" display="https://www.incometaxindia.gov.in/w/section-263-72"/>
    <hyperlink ref="D115" r:id="rId112" display="https://www.incorpx.io/blog/itr-due-date-extended-august-31-2026"/>
    <hyperlink ref="D116" r:id="rId113" display="https://www.incometaxindia.gov.in/documents/d/guest/finance-act-2026-pdf-1"/>
    <hyperlink ref="D117" r:id="rId114" display="https://www.indiabudget.gov.in/doc/memo.pdf"/>
    <hyperlink ref="D118" r:id="rId115" display="https://www.incometaxindia.gov.in/w/section-263-72"/>
    <hyperlink ref="D119" r:id="rId116" display="https://incometaxindia.gov.in/Budgets%20and%20Bills/2026/Notes-on-clauses-2026.pdf"/>
    <hyperlink ref="D120" r:id="rId117" display="https://www.taxheal.com/section-424-income-tax-act-2025.html"/>
    <hyperlink ref="D121" r:id="rId118" display="https://www.incometaxindia.gov.in/w/rule-37ba"/>
    <hyperlink ref="D122" r:id="rId119" display="https://www.taxtmi.com/tmi_notes?id=1895"/>
    <hyperlink ref="D123" r:id="rId120" display="https://cleartax.in/s/income-tax-changes-from-april-2026"/>
    <hyperlink ref="D124" r:id="rId121" display="https://cleartax.in/s/income-tax-changes-from-april-2026"/>
    <hyperlink ref="D125" r:id="rId122" display="https://incometaxindia.gov.in/documents/d/guest/circular-7-2026-pdf"/>
    <hyperlink ref="D126" r:id="rId123" display="https://www.incometaxindia.gov.in/w/section-63-134"/>
    <hyperlink ref="D127" r:id="rId124" display="https://incometaxindia.gov.in/Budgets%20and%20Bills/2026/Notes-on-clauses-2026.pdf"/>
    <hyperlink ref="D128" r:id="rId125" display="https://www.incometaxindia.gov.in/documents/d/guest/finance-act-2026-pdf-1"/>
    <hyperlink ref="D129" r:id="rId126" display="https://www.indiabudget.gov.in/doc/memo.pdf"/>
    <hyperlink ref="D130" r:id="rId127" display="https://www.incometaxindia.gov.in/w/section-428-5"/>
    <hyperlink ref="D131" r:id="rId128" display="https://www.incometaxindia.gov.in/documents/d/guest/press-release-income-tax-act-2025-comes-into-force-from-01-april-2026-pdf"/>
    <hyperlink ref="D132" r:id="rId129" display="https://www.incometaxindia.gov.in/w/section-393-6"/>
    <hyperlink ref="D133" r:id="rId130" display="https://cleartax.in/s/tds-and-tcs-changes-from-april-2026"/>
    <hyperlink ref="D134" r:id="rId131" display="https://www.incometaxindia.gov.in/w/section-393-6"/>
    <hyperlink ref="D135" r:id="rId132" display="https://www.incometaxindia.gov.in/w/section-392-6"/>
    <hyperlink ref="D136" r:id="rId133" display="https://www.incometaxindia.gov.in/w/section-394-6"/>
    <hyperlink ref="D137" r:id="rId134" display="https://www.incometaxindia.gov.in/w/section-395-6"/>
    <hyperlink ref="D138" r:id="rId135" display="https://www.incometaxindia.gov.in/w/section-397-6"/>
    <hyperlink ref="D139" r:id="rId136" display="https://www.incometaxindia.gov.in/w/section-398-5"/>
    <hyperlink ref="D140" r:id="rId137" display="https://www.incometaxindia.gov.in/w/section-427-6"/>
    <hyperlink ref="D141" r:id="rId138" display="https://www.incometaxindia.gov.in/w/section-461-6"/>
    <hyperlink ref="D142" r:id="rId139" display="https://www.incometaxindia.gov.in/w/rule-218-1"/>
    <hyperlink ref="D143" r:id="rId140" display="https://www.incometaxindia.gov.in/w/rule-219-1"/>
    <hyperlink ref="D144" r:id="rId141" display="https://www.incometaxindia.gov.in/documents/d/guest/form-130-faqs"/>
    <hyperlink ref="D145" r:id="rId142" display="https://www.incometaxindia.gov.in/documents/d/guest/form-128-faqs"/>
    <hyperlink ref="D146" r:id="rId143" display="https://www.incometaxindia.gov.in/documents/d/guest/form-121-faqs"/>
    <hyperlink ref="D147" r:id="rId144" display="https://taxguru.in/income-tax/q1-tax-year-2026-27-tds-tcs-return-filing-forms-due-dates.html"/>
    <hyperlink ref="D148" r:id="rId145" display="https://www.casahuja.com/2026/04/tds-rewritten-income-tax-act-1961-vs.html"/>
    <hyperlink ref="D149" r:id="rId146" display="https://calcguru.in/?p=5458"/>
    <hyperlink ref="D150" r:id="rId147" display="https://india-briefing.com/news/section-393-income-tax-act-2025-tds-rules-rates-compliance-guide-44450.html/"/>
    <hyperlink ref="D151" r:id="rId148" display="https://www.incometaxindia.gov.in/w/section-392-6"/>
    <hyperlink ref="D152" r:id="rId149" display="https://www.incometaxindia.gov.in/documents/d/guest/form-130-faqs"/>
    <hyperlink ref="D153" r:id="rId150" display="https://cleartax.in/s/tds-and-tcs-changes-from-april-2026"/>
    <hyperlink ref="D154" r:id="rId151" display="https://taxguru.in/income-tax/q1-tax-year-2026-27-tds-tcs-return-filing-forms-due-dates.html"/>
    <hyperlink ref="D155" r:id="rId152" display="https://www.incometaxindia.gov.in/w/section-392-6"/>
    <hyperlink ref="D156" r:id="rId153" display="https://www.india-briefing.com/news/a-guide-to-indias-tds-rates-for-fy-2025-26-36999.html/"/>
    <hyperlink ref="D157" r:id="rId154" display="https://www.incometaxindia.gov.in/w/rule-219-1"/>
    <hyperlink ref="D158" r:id="rId155" display="https://www.incometaxindia.gov.in/w/section-393-6"/>
    <hyperlink ref="D159" r:id="rId156" display="https://www.rsm.global/india/sites/default/files/media/publications/2025/RSM%20India%20Newsflash%20-%20Overview%20of%20Changes%20in%20TDS%20and%20TCS%20provisions%20w.e.f.%201st%20April%202025.pdf"/>
    <hyperlink ref="D160" r:id="rId157" display="https://blog.tdsman.com/2025/03/tds-tcs-changes-w-e-f-1st-april-2025/"/>
    <hyperlink ref="D161" r:id="rId158" display="https://www.incometaxindia.gov.in/w/section-393-6"/>
    <hyperlink ref="D162" r:id="rId159" display="https://www.rsm.global/india/sites/default/files/media/publications/2025/RSM%20India%20Newsflash%20-%20Overview%20of%20Changes%20in%20TDS%20and%20TCS%20provisions%20w.e.f.%201st%20April%202025.pdf"/>
    <hyperlink ref="D163" r:id="rId160" display="https://blog.tdsman.com/2025/03/tds-tcs-changes-w-e-f-1st-april-2025/"/>
    <hyperlink ref="D164" r:id="rId161" display="https://www.incometaxindia.gov.in/w/section-393-6"/>
    <hyperlink ref="D165" r:id="rId162" display="https://www.rsm.global/india/sites/default/files/media/publications/2025/RSM%20India%20Newsflash%20-%20Overview%20of%20Changes%20in%20TDS%20and%20TCS%20provisions%20w.e.f.%201st%20April%202025.pdf"/>
    <hyperlink ref="D166" r:id="rId163" display="https://blog.tdsman.com/2025/03/tds-tcs-changes-w-e-f-1st-april-2025/"/>
    <hyperlink ref="D167" r:id="rId164" display="https://blog.tdsman.com/2026/02/key-tds-tcs-proposed-changes-in-budget-2026-27/"/>
    <hyperlink ref="D168" r:id="rId165" display="https://www.incometaxindia.gov.in/w/section-393-6"/>
    <hyperlink ref="D169" r:id="rId166" display="https://www.rsm.global/india/sites/default/files/media/publications/2025/RSM%20India%20Newsflash%20-%20Overview%20of%20Changes%20in%20TDS%20and%20TCS%20provisions%20w.e.f.%201st%20April%202025.pdf"/>
    <hyperlink ref="D170" r:id="rId167" display="https://blog.tdsman.com/2025/03/tds-tcs-changes-w-e-f-1st-april-2025/"/>
    <hyperlink ref="D171" r:id="rId168" display="https://www.incometaxindia.gov.in/w/section-393-6"/>
    <hyperlink ref="D172" r:id="rId169" display="https://www.rsm.global/india/sites/default/files/media/publications/2025/RSM%20India%20Newsflash%20-%20Overview%20of%20Changes%20in%20TDS%20and%20TCS%20provisions%20w.e.f.%201st%20April%202025.pdf"/>
    <hyperlink ref="D173" r:id="rId170" display="https://www.incometaxindia.gov.in/w/section-393-6"/>
    <hyperlink ref="D174" r:id="rId171" display="https://www.incometaxindia.gov.in/w/section-393-6"/>
    <hyperlink ref="D175" r:id="rId172" display="https://www.india-briefing.com/news/a-guide-to-indias-tds-rates-for-fy-2025-26-36999.html/"/>
    <hyperlink ref="D176" r:id="rId173" display="https://blog.tdsman.com/2026/02/key-tds-tcs-proposed-changes-in-budget-2026-27/"/>
    <hyperlink ref="D177" r:id="rId174" display="https://cleartax.in/s/tds-and-tcs-changes-from-april-2026"/>
    <hyperlink ref="D178" r:id="rId175" display="https://taxguru.in/income-tax/tds-deductible-gst-component-cbdt.html"/>
    <hyperlink ref="D179" r:id="rId176" display="https://www.incometaxindia.gov.in/w/section-393-6"/>
    <hyperlink ref="D180" r:id="rId177" display="https://incometaxindia.gov.in/w/tds-rates-1"/>
    <hyperlink ref="D181" r:id="rId178" display="https://www.india-briefing.com/news/a-guide-to-indias-tds-rates-for-fy-2025-26-36999.html/"/>
    <hyperlink ref="D182" r:id="rId179" display="https://www.rsm.global/india/sites/default/files/media/publications/2025/RSM%20India%20Newsflash%20-%20Overview%20of%20Changes%20in%20TDS%20and%20TCS%20provisions%20w.e.f.%201st%20April%202025.pdf"/>
    <hyperlink ref="D183" r:id="rId180" display="https://blog.tdsman.com/2026/04/tds-on-insurance-commission-or-brokerage-section-3931-section-194d/"/>
    <hyperlink ref="D184" r:id="rId181" display="https://cleartax.in/s/section-194d-194da-income-tax"/>
    <hyperlink ref="D185" r:id="rId182" display="https://www.indiabudget.gov.in/budget2024-25/doc/memo.pdf"/>
    <hyperlink ref="D186" r:id="rId183" display="https://www.indiabudget.gov.in/budget2025-26/doc/memo.pdf"/>
    <hyperlink ref="D187" r:id="rId184" display="https://www.incometaxindia.gov.in/w/section-393-6"/>
    <hyperlink ref="D188" r:id="rId185" display="https://blog.tdsman.com/2024/09/reduction-optimization-of-tds-rates-w-e-f-1st-october-24"/>
    <hyperlink ref="D189" r:id="rId186" display="https://incometaxindia.gov.in/w/tds-rates-1"/>
    <hyperlink ref="D190" r:id="rId187" display="https://www.incometaxindia.gov.in/w/section-393-6"/>
    <hyperlink ref="D191" r:id="rId188" display="https://blog.tdsman.com/2024/09/reduction-optimization-of-tds-rates-w-e-f-1st-october-24"/>
    <hyperlink ref="D192" r:id="rId189" display="https://www.rsm.global/india/sites/default/files/media/publications/2025/RSM%20India%20Newsflash%20-%20Overview%20of%20Changes%20in%20TDS%20and%20TCS%20provisions%20w.e.f.%201st%20April%202025.pdf"/>
    <hyperlink ref="D193" r:id="rId190" display="https://www.incometaxindia.gov.in/w/section-393-6"/>
    <hyperlink ref="D194" r:id="rId191" display="https://blog.tdsman.com/2024/09/reduction-optimization-of-tds-rates-w-e-f-1st-october-24"/>
    <hyperlink ref="D195" r:id="rId192" display="https://www.rsm.global/india/sites/default/files/media/publications/2025/RSM%20India%20Newsflash%20-%20Overview%20of%20Changes%20in%20TDS%20and%20TCS%20provisions%20w.e.f.%201st%20April%202025.pdf"/>
    <hyperlink ref="D196" r:id="rId193" display="https://taxguru.in/income-tax/tds-deductible-gst-component-cbdt.html"/>
    <hyperlink ref="D197" r:id="rId194" display="https://www.incometaxindia.gov.in/w/section-393-6"/>
    <hyperlink ref="D198" r:id="rId195" display="https://www.rsm.global/india/sites/default/files/media/publications/2025/RSM%20India%20Newsflash%20-%20Overview%20of%20Changes%20in%20TDS%20and%20TCS%20provisions%20w.e.f.%201st%20April%202025.pdf"/>
    <hyperlink ref="D199" r:id="rId196" display="https://www.india-briefing.com/news/a-guide-to-indias-tds-rates-for-fy-2025-26-36999.html/"/>
    <hyperlink ref="D200" r:id="rId197" display="https://www.incometaxindia.gov.in/w/section-393-6"/>
    <hyperlink ref="D201" r:id="rId198" display="https://www.incometaxindia.gov.in/w/section-194ia-10"/>
    <hyperlink ref="D202" r:id="rId199" display="https://www.incometaxindia.gov.in/w/rule-219-1"/>
    <hyperlink ref="D203" r:id="rId200" display="https://taxguru.in/income-tax/q1-tax-year-2026-27-tds-tcs-return-filing-forms-due-dates.html"/>
    <hyperlink ref="D204" r:id="rId201" display="https://www.incometaxindia.gov.in/w/section-393-6"/>
    <hyperlink ref="D205" r:id="rId202" display="https://www.incometaxindia.gov.in/w/section-397-6"/>
    <hyperlink ref="D206" r:id="rId203" display="https://blog.tdsman.com/2024/09/reduction-optimization-of-tds-rates-w-e-f-1st-october-24"/>
    <hyperlink ref="D207" r:id="rId204" display="https://www.incometaxindia.gov.in/w/rule-219-1"/>
    <hyperlink ref="D208" r:id="rId205" display="https://www.incometaxindia.gov.in/w/section-393-6"/>
    <hyperlink ref="D209" r:id="rId206" display="https://www.india-briefing.com/news/a-guide-to-indias-tds-rates-for-fy-2025-26-36999.html/"/>
    <hyperlink ref="D210" r:id="rId207" display="https://www.incometaxindia.gov.in/w/section-393-6"/>
    <hyperlink ref="D211" r:id="rId208" display="https://www.rsm.global/india/sites/default/files/media/publications/2025/RSM%20India%20Newsflash%20-%20Overview%20of%20Changes%20in%20TDS%20and%20TCS%20provisions%20w.e.f.%201st%20April%202025.pdf"/>
    <hyperlink ref="D212" r:id="rId209" display="https://www.india-briefing.com/news/a-guide-to-indias-tds-rates-for-fy-2025-26-36999.html/"/>
    <hyperlink ref="D213" r:id="rId210" display="https://www.incometaxindia.gov.in/w/section-393-6"/>
    <hyperlink ref="D214" r:id="rId211" display="https://www.rsm.global/india/sites/default/files/media/publications/2025/RSM%20India%20Newsflash%20-%20Overview%20of%20Changes%20in%20TDS%20and%20TCS%20provisions%20w.e.f.%201st%20April%202025.pdf"/>
    <hyperlink ref="D215" r:id="rId212" display="https://www.incometaxindia.gov.in/w/section-393-6"/>
    <hyperlink ref="D216" r:id="rId213" display="https://www.rsm.global/india/sites/default/files/media/publications/2025/RSM%20India%20Newsflash%20-%20Overview%20of%20Changes%20in%20TDS%20and%20TCS%20provisions%20w.e.f.%201st%20April%202025.pdf"/>
    <hyperlink ref="D217" r:id="rId214" display="https://www.incometaxindia.gov.in/w/section-393-6"/>
    <hyperlink ref="D218" r:id="rId215" display="https://www.india-briefing.com/news/a-guide-to-indias-tds-rates-for-fy-2025-26-36999.html/"/>
    <hyperlink ref="D219" r:id="rId216" display="https://incometaxindia.gov.in/w/tds-rates-1"/>
    <hyperlink ref="D220" r:id="rId217" display="https://www.incometaxindia.gov.in/w/section-393-6"/>
    <hyperlink ref="D221" r:id="rId218" display="https://blog.tdsman.com/2024/09/reduction-optimization-of-tds-rates-w-e-f-1st-october-24"/>
    <hyperlink ref="D222" r:id="rId219" display="https://www.incometaxindia.gov.in/w/rule-218-1"/>
    <hyperlink ref="D223" r:id="rId220" display="https://www.incometaxindia.gov.in/w/rule-219-1"/>
    <hyperlink ref="D224" r:id="rId221" display="https://www.incometaxindia.gov.in/w/section-393-6"/>
    <hyperlink ref="D225" r:id="rId222" display="https://incometaxindia.gov.in/Tutorials/52.Section-194N.pdf"/>
    <hyperlink ref="D226" r:id="rId223" display="https://incometaxindia.gov.in/w/tds-rates-1"/>
    <hyperlink ref="D227" r:id="rId224" display="https://www.taxheal.com/?p=128626"/>
    <hyperlink ref="D228" r:id="rId225" display="https://www.incometaxindia.gov.in/w/section-393-6"/>
    <hyperlink ref="D229" r:id="rId226" display="https://www.incometaxindia.gov.in/w/section-397-6"/>
    <hyperlink ref="D230" r:id="rId227" display="https://blog.tdsman.com/2024/09/reduction-optimization-of-tds-rates-w-e-f-1st-october-24"/>
    <hyperlink ref="D231" r:id="rId228" display="https://www.incometaxindia.gov.in/w/section-393-6"/>
    <hyperlink ref="D232" r:id="rId229" display="https://www.incometaxindia.gov.in/documents/d/guest/form-130-faqs"/>
    <hyperlink ref="D233" r:id="rId230" display="https://incometaxindia.gov.in/w/tds-rates-1"/>
    <hyperlink ref="D234" r:id="rId231" display="https://www.incometaxindia.gov.in/w/section-393-6"/>
    <hyperlink ref="D235" r:id="rId232" display="https://www.incometaxindia.gov.in/w/section-397-6"/>
    <hyperlink ref="D236" r:id="rId233" display="https://www.rsm.global/india/sites/default/files/media/publications/2025/RSM%20India%20Newsflash%20-%20Overview%20of%20Changes%20in%20TDS%20and%20TCS%20provisions%20w.e.f.%201st%20April%202025.pdf"/>
    <hyperlink ref="D237" r:id="rId234" display="https://www.india-briefing.com/news/a-guide-to-indias-tds-rates-for-fy-2025-26-36999.html/"/>
    <hyperlink ref="D238" r:id="rId235" display="https://www.incometaxindia.gov.in/w/section-393-6"/>
    <hyperlink ref="D239" r:id="rId236" display="https://www.india-briefing.com/news/a-guide-to-indias-tds-rates-for-fy-2025-26-36999.html/"/>
    <hyperlink ref="D240" r:id="rId237" display="https://www.incometaxindia.gov.in/w/section-393-6"/>
    <hyperlink ref="D241" r:id="rId238" display="https://incometaxindia.gov.in/w/tds-rates-1"/>
    <hyperlink ref="D242" r:id="rId239" display="https://www.incometaxindia.gov.in/w/rule-219-1"/>
    <hyperlink ref="D243" r:id="rId240" display="https://www.incometaxindia.gov.in/w/section-393-6"/>
    <hyperlink ref="D244" r:id="rId241" display="https://incometaxindia.gov.in/w/tds-rates-1"/>
    <hyperlink ref="D245" r:id="rId242" display="https://www.rsm.global/india/sites/default/files/media/publications/2025/RSM%20India%20Newsflash%20-%20Overview%20of%20Changes%20in%20TDS%20and%20TCS%20provisions%20w.e.f.%201st%20April%202025.pdf"/>
    <hyperlink ref="D246" r:id="rId243" display="https://www.india-briefing.com/news/a-guide-to-indias-tds-rates-for-fy-2025-26-36999.html/"/>
    <hyperlink ref="D247" r:id="rId244" display="https://www.incometaxindia.gov.in/w/section-393-6"/>
    <hyperlink ref="D248" r:id="rId245" display="https://www.incometaxindia.gov.in/documents/d/guest/faqs-on-higher-rate-of-tds-under-section-397"/>
    <hyperlink ref="D249" r:id="rId246" display="https://incometaxindia.gov.in/w/tds-rates-1"/>
    <hyperlink ref="D250" r:id="rId247" display="https://www.incometaxindia.gov.in/w/section-397-6"/>
    <hyperlink ref="D251" r:id="rId248" display="https://www.incometaxindia.gov.in/documents/d/guest/faqs-on-higher-rate-of-tds-under-section-397"/>
    <hyperlink ref="D252" r:id="rId249" display="https://www.incometaxindia.gov.in/w/higher-deduction-of-tax-at-source-in-certain-cases-section-206aa-and-section-206ab-"/>
    <hyperlink ref="D253" r:id="rId250" display="https://blog.tdsman.com/2026/05/higher-rate-of-tds-for-non-furnishing-of-pan-section-3972-206aa-206cc/"/>
    <hyperlink ref="D254" r:id="rId251" display="https://www.incometaxindia.gov.in/w/higher-deduction-of-tax-at-source-in-certain-cases-section-206aa-and-section-206ab-"/>
    <hyperlink ref="D255" r:id="rId252" display="https://www.taxheal.com/?p=98720"/>
    <hyperlink ref="D256" r:id="rId253" display="https://www.rsm.global/india/sites/default/files/media/publications/2025/RSM%20India%20Newsflash%20-%20Overview%20of%20Changes%20in%20TDS%20and%20TCS%20provisions%20w.e.f.%201st%20April%202025.pdf"/>
    <hyperlink ref="D257" r:id="rId254" display="https://blog.tdsman.com/2025/03/tds-tcs-changes-w-e-f-1st-april-2025/"/>
    <hyperlink ref="D258" r:id="rId255" display="https://www.indiabudget.gov.in/budget2025-26/doc/memo.pdf"/>
    <hyperlink ref="D259" r:id="rId256" display="https://www.incometaxindia.gov.in/w/rule-218-1"/>
    <hyperlink ref="D260" r:id="rId257" display="https://www.taxheal.com/?p=129187"/>
    <hyperlink ref="D261" r:id="rId258" display="https://www.incometaxindia.gov.in/w/rule-219-1"/>
    <hyperlink ref="D262" r:id="rId259" display="https://taxguru.in/income-tax/q1-tax-year-2026-27-tds-tcs-return-filing-forms-due-dates.html"/>
    <hyperlink ref="D263" r:id="rId260" display="https://cleartax.in/s/tds-and-tcs-changes-from-april-2026"/>
    <hyperlink ref="D264" r:id="rId261" display="https://www.incometaxindia.gov.in/w/section-201-60"/>
    <hyperlink ref="D265" r:id="rId262" display="https://www.incometaxindia.gov.in/w/section-398-5"/>
    <hyperlink ref="D266" r:id="rId263" display="https://blog.tdsman.com/2015/04/interest-calculation-delayed-payment-tds/"/>
    <hyperlink ref="D267" r:id="rId264" display="https://blog.tdsman.com/2026/07/section-398-of-the-income-tax-act-2025-consequences-of-tds-defaults/"/>
    <hyperlink ref="D268" r:id="rId265" display="https://www.taxheal.com/?p=120775"/>
    <hyperlink ref="D269" r:id="rId266" display="https://www.indiabudget.gov.in/budget2024-25/doc/memo.pdf"/>
    <hyperlink ref="D270" r:id="rId267" display="https://www.incometaxindia.gov.in/w/section-427-6"/>
    <hyperlink ref="D271" r:id="rId268" display="https://www.taxheal.com/?p=122445"/>
    <hyperlink ref="D272" r:id="rId269" display="https://www.incometaxindia.gov.in/w/section-461-6"/>
    <hyperlink ref="D273" r:id="rId270" display="https://www.incometaxindia.gov.in/w/section-271h-1"/>
    <hyperlink ref="D274" r:id="rId271" display="https://blog.tdsman.com/2026/02/section-271h-penalty-on-taxpayers-for-not-filing-tds-or-tcs-returns/"/>
    <hyperlink ref="D275" r:id="rId272" display="https://www.incometaxindia.gov.in/documents/d/guest/form-130-faqs"/>
    <hyperlink ref="D276" r:id="rId273" display="https://taxguru.in/income-tax/income-tax-form-131-tds-certificate-u-s-395-4-non-salary-pension-senior-citizen-interest.html"/>
    <hyperlink ref="D277" r:id="rId274" display="https://taxguru.in/income-tax/q1-tax-year-2026-27-tds-tcs-return-filing-forms-due-dates.html"/>
    <hyperlink ref="D278" r:id="rId275" display="https://www.incometaxindia.gov.in/w/section-395-6"/>
    <hyperlink ref="D279" r:id="rId276" display="https://www.incometaxindia.gov.in/documents/d/guest/form-128-faqs"/>
    <hyperlink ref="D280" r:id="rId277" display="https://www.incometaxindia.gov.in/documents/d/guest/form-121-faqs"/>
    <hyperlink ref="D281" r:id="rId278" display="https://www.incometaxindia.gov.in/w/section-393-6"/>
    <hyperlink ref="D282" r:id="rId279" display="https://www.incometaxindia.gov.in/w/rule-218-1"/>
    <hyperlink ref="D283" r:id="rId280" display="https://www.incometaxindia.gov.in/w/rule-219-1"/>
    <hyperlink ref="D284" r:id="rId281" display="https://www.incometaxindia.gov.in/w/section-397-6"/>
    <hyperlink ref="D285" r:id="rId282" display="https://www.incometaxindia.gov.in/w/section-397-6"/>
    <hyperlink ref="D286" r:id="rId283" display="https://www.incometaxindia.gov.in/w/section-201-60"/>
    <hyperlink ref="D287" r:id="rId284" display="https://www.incometaxindia.gov.in/w/section-398-5"/>
    <hyperlink ref="D288" r:id="rId285" display="https://www.incometaxindia.gov.in/w/section-427-6"/>
    <hyperlink ref="D289" r:id="rId286" display="https://www.incometaxindia.gov.in/w/section-397-6"/>
    <hyperlink ref="D290" r:id="rId287" display="https://www.incometaxindia.gov.in/w/section-288b-59"/>
    <hyperlink ref="D291" r:id="rId288" display="https://taxguru.in/income-tax/tds-deductible-gst-component-cbdt.html"/>
    <hyperlink ref="D292" r:id="rId289" display="https://www.incometaxindia.gov.in/w/section-397-6"/>
    <hyperlink ref="D293" r:id="rId290" display="https://www.incometaxindia.gov.in/w/section-398-5"/>
    <hyperlink ref="D294" r:id="rId291" display="https://www.incometaxindia.gov.in/w/section-201-60"/>
    <hyperlink ref="D295" r:id="rId292" display="https://cleartax.in/s/tds-and-tcs-changes-from-april-2026"/>
    <hyperlink ref="D296" r:id="rId293" display="https://blog.tdsman.com/2025/03/tds-tcs-changes-w-e-f-1st-april-2025/"/>
    <hyperlink ref="D297" r:id="rId294" display="https://cleartax.in/s/tds-and-tcs-changes-from-april-2026"/>
    <hyperlink ref="D298" r:id="rId295" display="https://www.incometaxindia.gov.in/w/section-394-6"/>
    <hyperlink ref="D299" r:id="rId296" display="https://www.incometaxindia.gov.in/w/section-206c-37"/>
    <hyperlink ref="D300" r:id="rId297" display="https://www.rsm.global/india/sites/default/files/media/publications/2025/RSM%20India%20Newsflash%20-%20Overview%20of%20Changes%20in%20TDS%20and%20TCS%20provisions%20w.e.f.%201st%20April%202025.pdf"/>
    <hyperlink ref="D301" r:id="rId298" display="https://blog.tdsman.com/2026/02/key-tds-tcs-proposed-changes-in-budget-2026-27/"/>
    <hyperlink ref="D302" r:id="rId299" display="https://cleartax.in/s/tds-and-tcs-changes-from-april-2026"/>
    <hyperlink ref="D303" r:id="rId300" display="https://www.indiabudget.gov.in/budget2025-26/doc/memo.pdf"/>
    <hyperlink ref="D304" r:id="rId301" display="https://www.incometaxindia.gov.in/w/section-394-6"/>
    <hyperlink ref="D305" r:id="rId302" display="https://www.incometaxindia.gov.in/w/section-206c-37"/>
    <hyperlink ref="D306" r:id="rId303" display="https://www.incometaxindia.gov.in/w/section-394-6"/>
    <hyperlink ref="D307" r:id="rId304" display="https://www.incometaxindia.gov.in/w/section-206c-37"/>
    <hyperlink ref="D308" r:id="rId305" display="https://www.bdo.in/en-gb/insights/alerts-updates/direct-tax-alert-cbdt-notifies-luxury-goods-for-levy-of-tcs-under-section-206c(1f)-of-the-it-act"/>
    <hyperlink ref="D309" r:id="rId306" display="https://www.indiabudget.gov.in/budget2024-25/doc/memo.pdf"/>
    <hyperlink ref="D310" r:id="rId307" display="https://www.incometaxindia.gov.in/w/section-394-6"/>
    <hyperlink ref="D311" r:id="rId308" display="https://www.rsm.global/india/sites/default/files/media/publications/2025/RSM%20India%20Newsflash%20-%20Overview%20of%20Changes%20in%20TDS%20and%20TCS%20provisions%20w.e.f.%201st%20April%202025.pdf"/>
    <hyperlink ref="D312" r:id="rId309" display="https://blog.tdsman.com/2025/03/tds-tcs-changes-w-e-f-1st-april-2025/"/>
    <hyperlink ref="D313" r:id="rId310" display="https://cleartax.in/s/tds-and-tcs-changes-from-april-2026"/>
    <hyperlink ref="D314" r:id="rId311" display="https://blog.tdsman.com/2026/02/key-tds-tcs-proposed-changes-in-budget-2026-27/"/>
    <hyperlink ref="D315" r:id="rId312" display="https://www.incometaxindia.gov.in/w/section-394-6"/>
    <hyperlink ref="D316" r:id="rId313" display="https://cleartax.in/s/tds-and-tcs-changes-from-april-2026"/>
    <hyperlink ref="D317" r:id="rId314" display="https://blog.tdsman.com/2026/02/key-tds-tcs-proposed-changes-in-budget-2026-27/"/>
    <hyperlink ref="D318" r:id="rId315" display="https://www.taxheal.com/?p=120775"/>
    <hyperlink ref="D319" r:id="rId316" display="https://www.rsm.global/india/sites/default/files/media/publications/2025/RSM%20India%20Newsflash%20-%20Overview%20of%20Changes%20in%20TDS%20and%20TCS%20provisions%20w.e.f.%201st%20April%202025.pdf"/>
    <hyperlink ref="D320" r:id="rId317" display="https://www.india-briefing.com/news/a-guide-to-indias-tds-rates-for-fy-2025-26-36999.html/"/>
    <hyperlink ref="D321" r:id="rId318" display="https://www.incometaxindia.gov.in/w/section-394-6"/>
    <hyperlink ref="D322" r:id="rId319" display="https://www.indiabudget.gov.in/budget2025-26/doc/memo.pdf"/>
    <hyperlink ref="D323" r:id="rId320" display="https://www.incometaxindia.gov.in/w/section-397-6"/>
    <hyperlink ref="D324" r:id="rId321" display="https://blog.tdsman.com/2026/05/higher-rate-of-tds-for-non-furnishing-of-pan-section-3972-206aa-206cc/"/>
    <hyperlink ref="D325" r:id="rId322" display="https://www.taxheal.com/?p=120775"/>
    <hyperlink ref="D326" r:id="rId323" display="https://www.incometaxindia.gov.in/w/rule-218-1"/>
    <hyperlink ref="D327" r:id="rId324" display="https://www.incometaxindia.gov.in/w/rule-219-1"/>
    <hyperlink ref="D328" r:id="rId325" display="https://www.incometaxindia.gov.in/w/section-398-5"/>
    <hyperlink ref="D329" r:id="rId326" display="https://www.incometaxindia.gov.in/w/section-206c-37"/>
    <hyperlink ref="D330" r:id="rId327" display="https://taxguru.in/income-tax/q1-tax-year-2026-27-tds-tcs-return-filing-forms-due-dates.html"/>
    <hyperlink ref="D331" r:id="rId328" display="https://blog.tdsman.com/2025/03/tds-tcs-changes-w-e-f-1st-april-2025/"/>
    <hyperlink ref="D332" r:id="rId329" display="https://www.indiabudget.gov.in/budget2024-25/doc/memo.pdf"/>
    <hyperlink ref="D333" r:id="rId330" display="https://www.incometaxindia.gov.in/w/section-394-6"/>
    <hyperlink ref="D334" r:id="rId331" display="https://www.incometaxindia.gov.in/w/rule-219-1"/>
    <hyperlink ref="D335" r:id="rId332" display="https://arthurdejong.org/git/python-stdnum/plain/stdnum/in_/gstin.py"/>
    <hyperlink ref="D336" r:id="rId333" display="https://www.aiaccountant.com/blog/gstin-format"/>
    <hyperlink ref="D337" r:id="rId334" display="https://www.vjmglobal.com/feeds/blog/special-category-states-gst-registration"/>
    <hyperlink ref="D338" r:id="rId335" display="https://taxinformation.cbic.gov.in/content/html/tax_repository/gst/acts/2017_CGST_act/active/chapter6/section22_v1.00.html"/>
    <hyperlink ref="D339" r:id="rId336" display="https://www.gstcouncil.gov.in/sites/default/files/2024-06/cir-170-02-2022-cgst.pdf"/>
    <hyperlink ref="D340" r:id="rId337" display="https://cajournal.icai.org/article-details/gst-amendments-proposed-through-the-finance-bill-2026"/>
    <hyperlink ref="D341" r:id="rId338" display="https://taxo.online/latest-news/31-03-2026-finance-act-2026-enacted-on-30-03-2026-key-amendments-in-valuation-refunds-and-place-of-supply/"/>
    <hyperlink ref="D342" r:id="rId339" display="https://taxo.online/latest-news/09-01-2025-advisory-issued-relating-implementation-of-phase-iii-for-mentioning-of-hsn-codes-in-gstr-1-gstr-1a/"/>
    <hyperlink ref="D343" r:id="rId340" display="https://www.taxheal.com/?p=97083"/>
    <hyperlink ref="D344" r:id="rId341" display="https://irisgst.com/for-taxpayer-with-turnover-upto-rs-5-cr-mention-4-digit-hsn-code-and-for-turnover-above-rs-5-cr-mention-6-digit-hsn-code/"/>
    <hyperlink ref="D345" r:id="rId342" display="https://www.taxheal.com/?p=104994"/>
    <hyperlink ref="D346" r:id="rId343" display="https://www.taxheal.com/?p=104997"/>
    <hyperlink ref="D347" r:id="rId344" display="https://taxo.online/latest-news/17-09-2025-cbic-issued-various-notifications-to-give-effect-to-the-recommendations-of-the-56th-council-meeting-in-respect-to-rate-on-goods/"/>
    <hyperlink ref="D348" r:id="rId345" display="https://gstcouncil.gov.in/sites/default/files/2025-09/press_release_press_information_bureau.pdf"/>
    <hyperlink ref="D349" r:id="rId346" display="https://gstcouncil.gov.in/sites/default/files/2025-09/faq.pdf"/>
    <hyperlink ref="D350" r:id="rId347" display="https://static.pib.gov.in/WriteReadData/specificdocs/documents/2025/sep/doc2025921642801.pdf"/>
    <hyperlink ref="D351" r:id="rId348" display="https://comtax.wb.gov.in/GST/GST_PPU/GST_Updates_Dec_2025.pdf"/>
    <hyperlink ref="D352" r:id="rId349" display="https://www.taxheal.com/?p=105314"/>
    <hyperlink ref="D353" r:id="rId350" display="https://www.india-briefing.com/news/gst-itc-rules-2025-rate-rationalization-guide-39988.html"/>
    <hyperlink ref="D354" r:id="rId351" display="https://gstzen.in/a/gst-2-0-notifications-in-action-key-updates-on-rates-refunds-compliance.html"/>
    <hyperlink ref="D355" r:id="rId352" display="https://courier.cbic.gov.in/ECCS/advisory/2025/NOTIFICATION%20NO.%209_2025-INTEGRATED%20TAX%20(RATE)%20-1759486719.pdf"/>
    <hyperlink ref="D356" r:id="rId353" display="https://www.pib.gov.in/PressReleasePage.aspx?PRID=2163555&amp;reg=48&amp;lang=2"/>
    <hyperlink ref="D357" r:id="rId354" display="https://gstcouncil.gov.in/sites/default/files/2026-05/newsletter_april_issue.pdf"/>
    <hyperlink ref="D358" r:id="rId355" display="https://www.caclubindia.com/notice_circulars/substitution-of-compensation-cess-rates-with-nil-on-specified-goods-effective-22nd-september-2025--11496.asp"/>
    <hyperlink ref="D359" r:id="rId356" display="https://www.taxheal.com/zero-compensation-cess-major-shift-for-pan-masala-tobacco.html"/>
    <hyperlink ref="D360" r:id="rId357" display="https://comtax.wb.gov.in/GST/GST_PPU/GST_Updates_Dec_2025.pdf"/>
    <hyperlink ref="D361" r:id="rId358" display="https://gstcouncil.gov.in/sites/default/files/2025-09/press_release_press_information_bureau.pdf"/>
    <hyperlink ref="D362" r:id="rId359" display="https://gstcouncil.gov.in/sites/default/files/2025-09/faq.pdf"/>
    <hyperlink ref="D363" r:id="rId360" display="https://cleartax.in/s/gst-return-filing-rule-changes-from-july-2025"/>
    <hyperlink ref="D364" r:id="rId361" display="https://www.taxmann.com/post/blog/gstn-warns-pending-gst-returns-cannot-be-filed-after-3-years"/>
    <hyperlink ref="D365" r:id="rId362" display="https://cleartax.in/s/gst-return-filing-rule-changes-from-july-2025"/>
    <hyperlink ref="D366" r:id="rId363" display="https://www.lkslaw.com/insights/articles/hard-locking-gstr-3b-a-new-compliance-milestone-and-its-pitfalls"/>
    <hyperlink ref="D367" r:id="rId364" display="https://taxguru.in/goods-and-service-tax/gstn-issues-4-advisories-december-2025-clarify-key-compliance-procedures.html"/>
    <hyperlink ref="D368" r:id="rId365" display="https://taxguru.in/goods-and-service-tax/gst-amendments-finance-act-2025-effective-oct-1-2025-notified.html"/>
    <hyperlink ref="D369" r:id="rId366" display="https://www.startup-movers.com/57th-gst-council-meeting-2026-key-decisions"/>
    <hyperlink ref="D370" r:id="rId367" display="https://tutorial.gst.gov.in/userguide/returns/GSTR3B.htm"/>
    <hyperlink ref="D371" r:id="rId368" display="https://www.taxmann.com/post/blog/time-limit-of-30-days-for-reporting-e-invoice-on-irp-portal-for-taxpayers-with-aato-of-10-crores-and-above-gstn-update/"/>
    <hyperlink ref="D372" r:id="rId369" display="https://www.mahagst.gov.in/public/uploads/gstnadvisory/1760531580_293 Advisory Time Limit for Reporting e Invoice on the IRP Portal  Lowering of Threshold to AATO 10 Crores and Above.pdf"/>
    <hyperlink ref="D373" r:id="rId370" display="https://www.ey.com/en_in/alerts-hub/2023/05/cbic-lowers-turnover-threshold-for-e-invoicing-to-inr5-crores-with-effect-from-1-august-2023"/>
    <hyperlink ref="D374" r:id="rId371" display="https://cleartax.in/s/time-limit-for-e-way-bill-generation"/>
    <hyperlink ref="D375" r:id="rId372" display="https://cleartax.in/s/gst-return-filing-rule-changes-from-july-2025"/>
    <hyperlink ref="D376" r:id="rId373" display="https://taxguru.in/goods-and-service-tax/claim-itc-gstr-2b-mandatory-w-e-f-01-01-2022.html"/>
    <hyperlink ref="D377" r:id="rId374" display="https://cleartax.in/s/faqs-on-invoice-management-system-ims-gst"/>
    <hyperlink ref="D378" r:id="rId375" display="https://taxguru.in/goods-and-service-tax/gst-amendments-finance-act-2025-effective-oct-1-2025-notified.html"/>
    <hyperlink ref="D379" r:id="rId376" display="https://taxinformation.cbic.gov.in/content/html/tax_repository/gst/acts/2017_CGST_act/active/chapter5/section16_v1.00.html"/>
    <hyperlink ref="D380" r:id="rId377" display="https://cleartax.in/s/faqs-on-invoice-management-system-ims-gst"/>
    <hyperlink ref="D381" r:id="rId378" display="https://taxguru.in/goods-and-service-tax/claim-itc-gstr-2b-mandatory-w-e-f-01-01-2022.html"/>
    <hyperlink ref="D382" r:id="rId379" display="https://taxguru.in/goods-and-service-tax/gstn-issues-4-advisories-december-2025-clarify-key-compliance-procedures.html"/>
    <hyperlink ref="D383" r:id="rId380" display="https://taxguru.in/goods-and-service-tax/gst-amendments-finance-act-2025-effective-oct-1-2025-notified.html"/>
    <hyperlink ref="D384" r:id="rId381" display="https://www.gstcouncil.gov.in/sites/default/files/2024-06/cir-170-02-2022-cgst.pdf"/>
    <hyperlink ref="D385" r:id="rId382" display="https://www.computaxonline.com/blog/post/2026/07/09/gst-itc-auto-restriction-gstr-2b-gstr-3b-hard-locking"/>
    <hyperlink ref="D386" r:id="rId383" display="https://www.startup-movers.com/57th-gst-council-meeting-2026-key-decisions"/>
    <hyperlink ref="D387" r:id="rId384" display="https://ey.com/content/dam/ey-unified-site/ey-com/en-in/alerts-hub/government-notifies-effective-date-for-amendments-made-in-gst-law-vide-finance-act-2024.pdf"/>
    <hyperlink ref="D388" r:id="rId385" display="https://www.cggst.com/uploads/document/1755064447-rule-37.pdf"/>
    <hyperlink ref="D389" r:id="rId386" display="https://taxinformation.cbic.gov.in/content/html/tax_repository/gst/acts/2017_CGST_act/active/chapter5/section16_v1.00.html"/>
    <hyperlink ref="D390" r:id="rId387" display="https://www.cggst.com/uploads/document/1755064447-rule-37.pdf"/>
    <hyperlink ref="D391" r:id="rId388" display="https://taxinformation.cbic.gov.in/content/html/tax_repository/gst/rules/cgst_rules/active/chapter5/rule37_v1.00.html"/>
    <hyperlink ref="D392" r:id="rId389" display="https://www.gstcouncil.gov.in/sites/default/files/2024-06/cir-170-02-2022-cgst.pdf"/>
    <hyperlink ref="D393" r:id="rId390" display="https://www.cggst.com/uploads/document/1754119329-rule-88b.pdf"/>
    <hyperlink ref="D394" r:id="rId391" display="https://taxinformation.cbic.gov.in/content/html/tax_repository/gst/acts/2017_CGST_act/active/chapter5/section16_v1.00.html"/>
    <hyperlink ref="D395" r:id="rId392" display="https://www.cggst.com/uploads/document/1753958879-rule-37a-1.pdf"/>
    <hyperlink ref="D396" r:id="rId393" display="https://cleartax.in/s/faqs-on-invoice-management-system-ims-gst"/>
    <hyperlink ref="D397" r:id="rId394" display="https://www.gstcouncil.gov.in/sites/default/files/gst-knowledge/48-GST-Council.pdf"/>
    <hyperlink ref="D398" r:id="rId395" display="https://www.gstcouncil.gov.in/node/4354"/>
    <hyperlink ref="D399" r:id="rId396" display="https://taxinformation.cbic.gov.in/content/html/tax_repository/gst/rules/cgst_rules/active/chapter5/rule37a_v1.00.html"/>
    <hyperlink ref="D400" r:id="rId397" display="https://gsthero.com/blog/electronic-credit-reversal-and-reclaimed-statement/"/>
    <hyperlink ref="D401" r:id="rId398" display="https://taxguru.in/goods-and-service-tax/gstn-issues-4-advisories-december-2025-clarify-key-compliance-procedures.html"/>
    <hyperlink ref="D402" r:id="rId399" display="https://www.gstcouncil.gov.in/sites/default/files/2024-06/cir-170-02-2022-cgst.pdf"/>
    <hyperlink ref="D403" r:id="rId400" display="https://taxguru.in/goods-and-service-tax/gst-amendments-finance-act-2025-effective-oct-1-2025-notified.html"/>
    <hyperlink ref="D404" r:id="rId401" display="https://ey.com/content/dam/ey-unified-site/ey-com/en-in/alerts-hub/government-notifies-effective-date-for-amendments-made-in-gst-law-vide-finance-act-2024.pdf"/>
    <hyperlink ref="D405" r:id="rId402" display="https://www.gstcouncil.gov.in/sites/default/files/2024-06/cir-170-02-2022-cgst.pdf"/>
    <hyperlink ref="D406" r:id="rId403" display="https://www.startup-movers.com/57th-gst-council-meeting-2026-key-decisions"/>
    <hyperlink ref="D407" r:id="rId404" display="https://www.cggst.com/uploads/document/1755064648-rule-42.pdf"/>
    <hyperlink ref="D408" r:id="rId405" display="https://www.gstcouncil.gov.in/sites/default/files/2024-06/cir-170-02-2022-cgst.pdf"/>
    <hyperlink ref="D409" r:id="rId406" display="https://taxinformation.cbic.gov.in/content/html/tax_repository/gst/rules/cgst_rules/active/chapter5/rule42_v1.00.html"/>
    <hyperlink ref="D410" r:id="rId407" display="https://www.gstcouncil.gov.in/sites/default/files/2024-06/cir-170-02-2022-cgst.pdf"/>
    <hyperlink ref="D411" r:id="rId408" display="https://taxinformation.cbic.gov.in/content/html/tax_repository/gst/rules/cgst_rules/active/chapter5/rule43_v1.00.html"/>
    <hyperlink ref="D412" r:id="rId409" display="https://taxroutine.com/repository/gst-notifications/rcm-services/"/>
    <hyperlink ref="D413" r:id="rId410" display="https://cleartax.in/s/rcm-on-rent-of-commercial-property-under-gst"/>
    <hyperlink ref="D414" r:id="rId411" display="https://gstcouncil.gov.in/sites/default/files/2025-09/faq.pdf"/>
    <hyperlink ref="D415" r:id="rId412" display="https://ey.com/content/dam/ey-unified-site/ey-com/en-in/alerts-hub/government-notifies-effective-date-for-amendments-made-in-gst-law-vide-finance-act-2024.pdf"/>
    <hyperlink ref="D416" r:id="rId413" display="https://www.cggst.com/uploads/document/1754119329-rule-88b.pdf"/>
    <hyperlink ref="D417" r:id="rId414" display="https://taxinformation.cbic.gov.in/content/html/tax_repository/gst/rules/cgst_rules/active/chapter9/rule88b_v1.00.html"/>
    <hyperlink ref="D418" r:id="rId415" display="https://taxguru.in/goods-and-service-tax/analysis-gst-notifications-issued-cbic-05th-july-2022.html"/>
    <hyperlink ref="D419" r:id="rId416" display="https://www.mastersindia.co/blog/interest-on-wrongly-availed-itc-under-section-503-gst/"/>
    <hyperlink ref="D420" r:id="rId417" display="https://www.taxmann.com/post/blog/cbic-notifies-retrospective-amendment-to-section-503-of-the-cgst-act/"/>
    <hyperlink ref="D421" r:id="rId418" display="https://www.taxtmi.com/forum/issue?id=118761"/>
    <hyperlink ref="D422" r:id="rId419" display="https://www.teachoo.com/6596/2144/CGST-Interest-Rates-Notified-(Notifications-13-2017)/category/Latest-GST-Notification/"/>
    <hyperlink ref="D423" r:id="rId420" display="https://taxinformation.cbic.gov.in/content/html/tax_repository/gst/acts/2017_CGST_act/active/chapter10/section50_v1.00.html"/>
    <hyperlink ref="D424" r:id="rId421" display="https://www.taxmanagementindia.com/visitor/detail_act.asp?ID=40754"/>
    <hyperlink ref="D425" r:id="rId422" display="https://www.taxmanagementindia.com/visitor/detail_act.asp?ID=40738"/>
    <hyperlink ref="D426" r:id="rId423" display="https://www.taxmanagementindia.com/visitor/detail_act.asp?ID=40755"/>
    <hyperlink ref="D427" r:id="rId424" display="https://tutorial.gst.gov.in/downloads/news/advisory_on_interest_calculator_6th_march_2026.pdf"/>
    <hyperlink ref="D428" r:id="rId425" display="https://www.taxheal.com/?p=89438"/>
    <hyperlink ref="D429" r:id="rId426" display="https://calcguru.in/gst-late-fee-calculator/"/>
    <hyperlink ref="D430" r:id="rId427" display="https://www.startup-movers.com/57th-gst-council-meeting-2026-key-decisions"/>
    <hyperlink ref="D431" r:id="rId428" display="https://cbic-gst.gov.in/pdf/central-tax/notfctn-19-central-tax-english-2021.pdf"/>
    <hyperlink ref="D432" r:id="rId429" display="https://cbic-gst.gov.in/pdf/central-tax/notfctn-20-central-tax-english-2021.pdf"/>
    <hyperlink ref="D433" r:id="rId430" display="https://taxinformation.cbic.gov.in/content/html/tax_repository/gst/acts/2017_CGST_act/active/chapter9/section47_v1.00.html"/>
    <hyperlink ref="D434" r:id="rId431" display="https://lexplosion.in/late-fees-for-filing-annual-return-in-form-gstr-9-reduced-from-fy-2022-23-onwards/"/>
    <hyperlink ref="D435" r:id="rId432" display="https://calcguru.in/gst-late-fee-calculator/"/>
    <hyperlink ref="D436" r:id="rId433" display="https://www.taxheal.com/?p=105269"/>
    <hyperlink ref="D437" r:id="rId434" display="https://cleartax.in/s/gst-reconciliation-statement-gstr-9c"/>
    <hyperlink ref="D438" r:id="rId435" display="https://tutorial.gst.gov.in/downloads/news/faq_on_gstr9_for_24_25_dt_15_oct_25_v6_final.pdf"/>
    <hyperlink ref="D439" r:id="rId436" display="https://tutorial.gst.gov.in/downloads/news/combined_faq_on_gstr_9_and_9c_17122025.pdf"/>
    <hyperlink ref="D440" r:id="rId437" display="https://taxinformation.cbic.gov.in/content/html/tax_repository/gst/acts/2017_CGST_act/active/chapter9/section47_v1.00.html"/>
    <hyperlink ref="D441" r:id="rId438" display="https://www.taxheal.com/?p=89244"/>
    <hyperlink ref="D442" r:id="rId439" display="https://www.indiafilings.com/learn/gstr-4-filing/"/>
    <hyperlink ref="D443" r:id="rId440" display="https://cleartax.in/s/gst-reconciliation-statement-gstr-9c"/>
    <hyperlink ref="D444" r:id="rId441" display="https://www.taxheal.com/?p=105269"/>
    <hyperlink ref="D445" r:id="rId442" display="https://gstzen.in/a/faqs-on-gstr-9-9c-changes-fy-2024-25.html"/>
    <hyperlink ref="D446" r:id="rId443" display="https://cleartax.in/s/gst-reconciliation-statement-gstr-9c"/>
    <hyperlink ref="D447" r:id="rId444" display="https://gstzen.in/a/gst-2-0-notifications-in-action-key-updates-on-rates-refunds-compliance.html"/>
    <hyperlink ref="D448" r:id="rId445" display="https://lexplosion.in/late-fees-for-filing-annual-return-in-form-gstr-9-reduced-from-fy-2022-23-onwards/"/>
    <hyperlink ref="D449" r:id="rId446" display="https://taxinformation.cbic.gov.in/content/html/tax_repository/gst/rules/cgst_rules/active/chapter8/rule80_v1.00.html"/>
    <hyperlink ref="D450" r:id="rId447" display="https://tutorial.gst.gov.in/downloads/news/faq_on_gstr9_for_24_25_dt_15_oct_25_v6_final.pdf"/>
    <hyperlink ref="D451" r:id="rId448" display="https://www.taxheal.com/?p=96048"/>
    <hyperlink ref="D452" r:id="rId449" display="https://taxinformation.cbic.gov.in/content/html/tax_repository/gst/acts/2017_CGST_act/active/chapter10/section52_v1.00.html"/>
    <hyperlink ref="D453" r:id="rId450" display="https://taxguru.in/goods-and-service-tax/gst-amendments-finance-act-2025-effective-oct-1-2025-notified.html"/>
    <hyperlink ref="D454" r:id="rId451" display="https://cajournal.icai.org/article-details/gst-amendments-proposed-through-the-finance-bill-2026"/>
    <hyperlink ref="D455" r:id="rId452" display="https://taxo.online/latest-news/31-03-2026-finance-act-2026-enacted-on-30-03-2026-key-amendments-in-valuation-refunds-and-place-of-supply/"/>
    <hyperlink ref="D456" r:id="rId453" display="https://cleartax.in/s/faqs-on-invoice-management-system-ims-gst"/>
    <hyperlink ref="D457" r:id="rId454" display="https://taxguru.in/goods-and-service-tax/gstn-issues-4-advisories-december-2025-clarify-key-compliance-procedures.html"/>
    <hyperlink ref="D458" r:id="rId455" display="https://www.taxmann.com/post/blog/guide-to-maximizing-the-utilization-of-gst-input-tax-credit/"/>
    <hyperlink ref="D459" r:id="rId456" display="https://comtax.wb.gov.in/GST/GST_PPU/GST_Updates_Dec_2025.pdf"/>
    <hyperlink ref="D460" r:id="rId457" display="https://cleartax.in/s/gst-return-filing-rule-changes-from-july-2025"/>
    <hyperlink ref="D461" r:id="rId458" display="https://www.taxmann.com/post/blog/gstn-warns-pending-gst-returns-cannot-be-filed-after-3-years"/>
    <hyperlink ref="D462" r:id="rId459" display="https://taxinformation.cbic.gov.in/content/html/tax_repository/gst/acts/2017_CGST_act/active/chapter9/section37_v1.00.html"/>
    <hyperlink ref="D463" r:id="rId460" display="https://taxinformation.cbic.gov.in/content/html/tax_repository/gst/acts/2017_CGST_act/active/chapter9/section39_v1.00.html"/>
    <hyperlink ref="D464" r:id="rId461" display="https://taxinformation.cbic.gov.in/content/html/tax_repository/gst/acts/2017_CGST_act/active/chapter10/section52_v1.00.html"/>
    <hyperlink ref="D465" r:id="rId462" display="https://gstcouncil.gov.in/sites/default/files/2025-11/october_issue.pdf"/>
    <hyperlink ref="D466" r:id="rId463" display="https://taxguru.in/goods-and-service-tax/input-service-distributor-mandatory-1st-april-2025.html"/>
    <hyperlink ref="D467" r:id="rId464" display="https://taxguru.in/goods-and-service-tax/gst-amendments-finance-act-2025-effective-oct-1-2025-notified.html"/>
    <hyperlink ref="D468" r:id="rId465" display="https://gstzen.in/a/gst-2-0-notifications-in-action-key-updates-on-rates-refunds-compliance.html"/>
    <hyperlink ref="D469" r:id="rId466" display="https://www.cggst.com/uploads/document/1752824769-section-170.pdf"/>
    <hyperlink ref="D470" r:id="rId467" display="https://gstcouncil.gov.in/sites/default/files/2025-09/press_release_press_information_bureau.pdf"/>
    <hyperlink ref="D471" r:id="rId468" display="https://taxguru.in/goods-and-service-tax/gst-amendments-finance-act-2025-effective-oct-1-2025-notified.html"/>
    <hyperlink ref="D472" r:id="rId469" display="https://www.taxheal.com/?p=105269"/>
    <hyperlink ref="D473" r:id="rId470" display="https://cleartax.in/s/gst-return-filing-rule-changes-from-july-2025"/>
    <hyperlink ref="D474" r:id="rId471" display="https://taxguru.in/goods-and-service-tax/gstn-issues-4-advisories-december-2025-clarify-key-compliance-procedures.html"/>
    <hyperlink ref="D475" r:id="rId472" display="https://comtax.wb.gov.in/GST/GST_PPU/GST_Updates_Dec_2025.pdf"/>
    <hyperlink ref="D476" r:id="rId473" display="https://cajournal.icai.org/article-details/gst-amendments-proposed-through-the-finance-bill-2026"/>
    <hyperlink ref="D477" r:id="rId474" display="https://taxo.online/latest-news/31-03-2026-finance-act-2026-enacted-on-30-03-2026-key-amendments-in-valuation-refunds-and-place-of-supply/"/>
    <hyperlink ref="D478" r:id="rId475" display="https://www.bdo.in/en-gb/insights/alerts-updates/indirect-tax-alert-recommendations-of-57th-gst-council-meeting"/>
    <hyperlink ref="D479" r:id="rId476" display="https://www.startup-movers.com/57th-gst-council-meeting-2026-key-decisions"/>
    <hyperlink ref="D480" r:id="rId477" display="https://cleartax.in/s/faqs-on-invoice-management-system-ims-gst"/>
    <hyperlink ref="D481" r:id="rId478" display="https://gstcouncil.gov.in/sites/default/files/2025-11/october_issue.pdf"/>
    <hyperlink ref="D482" r:id="rId479" display="https://gstcouncil.gov.in/sites/default/files/2026-05/newsletter_april_issue.pdf"/>
    <hyperlink ref="D483" r:id="rId480" display="https://www.ey.com/content/dam/ey-unified-site/ey-com/en-in/alerts-hub/2025/11/new-labour-codes-implemented-across-the-country-effective-21-november-2025.pdf"/>
    <hyperlink ref="D484" r:id="rId481" display="https://taxguru.in/corporate-law/major-labour-code-sections-force-notifications.html"/>
    <hyperlink ref="D485" r:id="rId482" display="https://www.scconline.com/blog/post/2025/12/24/corrigendum-to-code-on-social-security-2020-enforcement-dates/"/>
    <hyperlink ref="D486" r:id="rId483" display="https://www.in.kpmg.com/taxflashnews/KPMG-Flash-News-Notification-of-final-Rules-on-Four-Labour-Codes.pdf"/>
    <hyperlink ref="D487" r:id="rId484" display="https://www.bdo.in/en-gb/insights/alerts-updates/alert-final-central-rules-notified-under-all-four-labour-codes"/>
    <hyperlink ref="D488" r:id="rId485" display="https://blog.ipleaders.in/labour-codes-2026-implementation-complete-guide-to-what-is-in-force-what-changed-and-what-to-do-now/"/>
    <hyperlink ref="D489" r:id="rId486" display="https://www.taxmann.com/post/blog/govt-notifies-code-on-wages-central-rules/"/>
    <hyperlink ref="D490" r:id="rId487" display="https://www.staffnews.in/2026/05/the-social-security-central-rules-2026.html"/>
    <hyperlink ref="D491" r:id="rId488" display="https://assets.kpmg.com/content/dam/kpmgsites/in/pdf/2026/07/KPMG-Flash-News-New-Social-Security-Schemes-2026.pdf"/>
    <hyperlink ref="D492" r:id="rId489" display="https://www.cyrilshroff.com/wp-content/uploads/2026/07/Client-Alert-Labour-Codes-Schemes-under-the-Code-on-Social-Security-2020-1.pdf"/>
    <hyperlink ref="D493" r:id="rId490" display="https://www.pib.gov.in/PressReleseDetailm.aspx?PRID=2192463&amp;reg=3&amp;lang=2"/>
    <hyperlink ref="D494" r:id="rId491" display="https://labour.gov.in/sites/default/files/e-noti-wage_0.pdf"/>
    <hyperlink ref="D495" r:id="rId492" display="https://www.labour.gov.in/static/uploads/2026/01/639a9f531898f5a767b1e45e762c2d87.pdf"/>
    <hyperlink ref="D496" r:id="rId493" display="https://www.labour.gov.in/static/uploads/2026/02/91ef39e2096112f8b798e6c45c732e2f.pdf"/>
    <hyperlink ref="D497" r:id="rId494" display="https://www.labour.gov.in/static/uploads/2026/01/de4758d5bfeffc456d7de97a801891b0.pdf"/>
    <hyperlink ref="D498" r:id="rId495" display="https://egazette.gov.in/WriteReadData/2026/273942.pdf"/>
    <hyperlink ref="D499" r:id="rId496" display="https://blog.ipleaders.in/labour-codes-2026-implementation-complete-guide-to-what-is-in-force-what-changed-and-what-to-do-now/"/>
    <hyperlink ref="D500" r:id="rId497" display="https://ksandk.com/labour-employment/50-wage-rule-labour-codes-salary-pf-gratuity/"/>
    <hyperlink ref="D501" r:id="rId498" display="https://www.ey.com/content/dam/ey-unified-site/ey-com/en-in/alerts-hub/2025/11/new-labour-codes-implemented-across-the-country-effective-21-november-2025.pdf"/>
    <hyperlink ref="D502" r:id="rId499" display="https://www.sgcms.com/regulatory-updates/faqs-by-epfo-wage-ceiling-raised-to-25000/"/>
    <hyperlink ref="D503" r:id="rId500" display="https://ascent-hr.com/notification/esic-clarification-regarding-the-implementation-of-code-on-social-security-2020/"/>
    <hyperlink ref="D504" r:id="rId501" display="https://www.bdo.in/en-gb/insights/alerts-updates/alert-final-central-rules-notified-under-all-four-labour-codes"/>
    <hyperlink ref="D505" r:id="rId502" display="https://www.labour.gov.in/static/uploads/2026/03/a4ccf4c6d97c4f1f36a6d83f8c64213d.pdf"/>
    <hyperlink ref="D506" r:id="rId503" display="https://www.taxmann.com/post/blog/analysis-epf-under-code-on-social-security"/>
    <hyperlink ref="D507" r:id="rId504" display="https://www.sgcms.com/regulatory-updates/faqs-by-epfo-wage-ceiling-raised-to-25000/"/>
    <hyperlink ref="D508" r:id="rId505" display="https://assets.kpmg.com/content/dam/kpmgsites/in/pdf/2026/09/KPMG-Flash-News-FAQs-on-EPFO-Wage-Ceiling-Limit.pdf"/>
    <hyperlink ref="D509" r:id="rId506" display="https://www.argus-p.com/papers-publications/thought-paper/revision-to-epf-wage-ceiling-coverage-contributions-and-the-september-transition/"/>
    <hyperlink ref="D510" r:id="rId507" display="https://elplaw.in/wp-content/uploads/2026/09/EPFO-wage-ceiling-increased-from-INR-15000-to-INR-25000-per-month.pdf"/>
    <hyperlink ref="D511" r:id="rId508" display="https://www.staffnews.in/2026/09/cabinet-approves-enhancement-of-epfo-wage-ceiling.html"/>
    <hyperlink ref="D512" r:id="rId509" display="https://www.indianpaycalculator.in/govt-news/epf-wage-ceiling-stays-15000-ss-code-2026"/>
    <hyperlink ref="D513" r:id="rId510" display="https://lexplosion.in/epf-scheme-2026-notified-under-social-security-code-replaces-epf-scheme-1952-and-introduces-employees-enrolment-campaign-vishwas-and-amnesty-schemes/"/>
    <hyperlink ref="D514" r:id="rId511" display="https://www.cyrilshroff.com/wp-content/uploads/2026/07/Client-Alert-Labour-Codes-Schemes-under-the-Code-on-Social-Security-2020-1.pdf"/>
    <hyperlink ref="D515" r:id="rId512" display="https://www.pib.gov.in/PressReleasePage.aspx?PRID=2313829&amp;reg=48&amp;lang=2"/>
    <hyperlink ref="D516" r:id="rId513" display="https://www.labour.gov.in/static/uploads/2026/09/4f607a88c5342aeb980c6b999997caab.pdf"/>
    <hyperlink ref="D517" r:id="rId514" display="https://www.taxmann.com/post/blog/analysis-epf-under-code-on-social-security"/>
    <hyperlink ref="D518" r:id="rId515" display="https://www.cyrilshroff.com/wp-content/uploads/2026/07/Client-Alert-Labour-Codes-Schemes-under-the-Code-on-Social-Security-2020-1.pdf"/>
    <hyperlink ref="D519" r:id="rId516" display="https://caclub.in/pf-admin-charges-reduced-and-edli-admin-charges-waived-by-epfo"/>
    <hyperlink ref="D520" r:id="rId517" display="https://www.zoho.com/in/payroll/kb/employer/settings/admin-charges.md"/>
    <hyperlink ref="D521" r:id="rId518" display="https://www.epfindia.gov.in:443/site_docs/PDFs/MiscPDFs/ContributionRate.pdf"/>
    <hyperlink ref="D522" r:id="rId519" display="https://assets.kpmg.com/content/dam/kpmgsites/in/pdf/2026/07/KPMG-Flash-News-New-Social-Security-Schemes-2026.pdf"/>
    <hyperlink ref="D523" r:id="rId520" display="https://docs.frappe.io/hr/india-payroll/employee-provident-fund.md"/>
    <hyperlink ref="D524" r:id="rId521" display="https://www.lawrbit.com/article/employees-pension-scheme/"/>
    <hyperlink ref="D525" r:id="rId522" display="https://www.staffnews.in/wp-content/uploads/2026/07/Employees-Provident-Funds-Scheme-2026-273957.pdf"/>
    <hyperlink ref="D526" r:id="rId523" display="https://egazette.gov.in/WriteReadData/2026/273942.pdf"/>
    <hyperlink ref="D527" r:id="rId524" display="https://www.labour.gov.in/static/uploads/2026/06/0c9a83a81e01bef6936dc4437c7fc310.pdf"/>
    <hyperlink ref="D528" r:id="rId525" display="https://www.sgcms.com/regulatory-updates/faqs-by-epfo-wage-ceiling-raised-to-25000/"/>
    <hyperlink ref="D529" r:id="rId526" display="https://assets.kpmg.com/content/dam/kpmgsites/in/pdf/2026/09/KPMG-Flash-News-FAQs-on-EPFO-Wage-Ceiling-Limit.pdf"/>
    <hyperlink ref="D530" r:id="rId527" display="https://www.argus-p.com/papers-publications/thought-paper/revision-to-epf-wage-ceiling-coverage-contributions-and-the-september-transition/"/>
    <hyperlink ref="D531" r:id="rId528" display="https://elplaw.in/wp-content/uploads/2026/09/EPFO-wage-ceiling-increased-from-INR-15000-to-INR-25000-per-month.pdf"/>
    <hyperlink ref="D532" r:id="rId529" display="https://www.psuconnect.in/news/epfo-explains-september-2026-ecr-calculation-after-new-25-000-wage-ceiling"/>
    <hyperlink ref="D533" r:id="rId530" display="https://www.staffnews.in/2026/09/cabinet-approves-enhancement-of-epfo-wage-ceiling.html"/>
    <hyperlink ref="D534" r:id="rId531" display="https://www.pib.gov.in/PressReleasePage.aspx?PRID=2313829&amp;reg=48&amp;lang=2"/>
    <hyperlink ref="D535" r:id="rId532" display="https://www.pib.gov.in/PressReleasePage.aspx?PRID=2313790&amp;reg=48&amp;lang=2"/>
    <hyperlink ref="D536" r:id="rId533" display="https://www.labour.gov.in/static/uploads/2026/09/4f607a88c5342aeb980c6b999997caab.pdf"/>
    <hyperlink ref="D537" r:id="rId534" display="https://www.staffnews.in/wp-content/uploads/2026/07/Employees-Provident-Funds-Scheme-2026-273957.pdf"/>
    <hyperlink ref="D538" r:id="rId535" display="https://www.taxmann.com/post/blog/analysis-epf-under-code-on-social-security"/>
    <hyperlink ref="D539" r:id="rId536" display="https://www.cyrilshroff.com/wp-content/uploads/2026/07/Client-Alert-Labour-Codes-Schemes-under-the-Code-on-Social-Security-2020-1.pdf"/>
    <hyperlink ref="D540" r:id="rId537" display="https://egazette.gov.in/WriteReadData/2026/274112.pdf"/>
    <hyperlink ref="D541" r:id="rId538" display="https://www.lawrbit.com/article/employees-pension-scheme/"/>
    <hyperlink ref="D542" r:id="rId539" display="https://www.sgcms.com/regulatory-updates/faqs-by-epfo-wage-ceiling-raised-to-25000/"/>
    <hyperlink ref="D543" r:id="rId540" display="https://assets.kpmg.com/content/dam/kpmgsites/in/pdf/2026/09/KPMG-Flash-News-FAQs-on-EPFO-Wage-Ceiling-Limit.pdf"/>
    <hyperlink ref="D544" r:id="rId541" display="https://www.cyrilshroff.com/wp-content/uploads/2026/07/Client-Alert-Labour-Codes-Schemes-under-the-Code-on-Social-Security-2020-1.pdf"/>
    <hyperlink ref="D545" r:id="rId542" display="https://assets.kpmg.com/content/dam/kpmgsites/in/pdf/2026/07/KPMG-Flash-News-New-Social-Security-Schemes-2026.pdf"/>
    <hyperlink ref="D546" r:id="rId543" display="https://khaitanco.com/thought-leadership/Big-Move-in-the-EPF-Regime"/>
    <hyperlink ref="D547" r:id="rId544" display="https://www.sgcms.com/regulatory-updates/faqs-by-epfo-wage-ceiling-raised-to-25000/"/>
    <hyperlink ref="D548" r:id="rId545" display="https://khaitanco.com/thought-leadership/Big-Move-in-the-EPF-Regime"/>
    <hyperlink ref="D549" r:id="rId546" display="https://www.cyrilshroff.com/wp-content/uploads/2026/07/Client-Alert-Labour-Codes-Schemes-under-the-Code-on-Social-Security-2020-1.pdf"/>
    <hyperlink ref="D550" r:id="rId547" display="https://www.scconline.com/blog/post/2026/07/15/epfo-launches-vishwas-2026-damages-settlement-scheme/"/>
    <hyperlink ref="D551" r:id="rId548" display="https://taxguru.in/?p=1076899"/>
    <hyperlink ref="D552" r:id="rId549" display="https://lexplosion.in/epf-scheme-2026-notified-under-social-security-code-replaces-epf-scheme-1952-and-introduces-employees-enrolment-campaign-vishwas-and-amnesty-schemes/"/>
    <hyperlink ref="D553" r:id="rId550" display="https://www.staffnews.in/wp-content/uploads/2026/07/Employees-Provident-Funds-Scheme-2026-273957.pdf"/>
    <hyperlink ref="D554" r:id="rId551" display="https://egazette.gov.in/WriteReadData/2026/273942.pdf"/>
    <hyperlink ref="D555" r:id="rId552" display="https://www.sgcms.com/regulatory-updates/faqs-by-epfo-wage-ceiling-raised-to-25000/"/>
    <hyperlink ref="D556" r:id="rId553" display="https://caclub.in/pf-admin-charges-reduced-and-edli-admin-charges-waived-by-epfo"/>
    <hyperlink ref="D557" r:id="rId554" display="https://assets.kpmg.com/content/dam/kpmgsites/in/pdf/2026/07/KPMG-Flash-News-New-Social-Security-Schemes-2026.pdf"/>
    <hyperlink ref="D558" r:id="rId555" display="https://www.outlookmoney.com/retirement/pension/epf-rates-unchanged-at-825-per-cent-for-2025-26-announces-epfo"/>
    <hyperlink ref="D559" r:id="rId556" display="https://www.outlookmoney.com/retirement/govt-ratifies-825-per-cent-epf-interest-rate-for-2025-26-interest-likely-to-be-credited-from-this-month"/>
    <hyperlink ref="D560" r:id="rId557" display="https://www.cyrilshroff.com/wp-content/uploads/2026/07/Client-Alert-Labour-Codes-Schemes-under-the-Code-on-Social-Security-2020-1.pdf"/>
    <hyperlink ref="D561" r:id="rId558" display="https://www.in.kpmg.com/taxflashnews/KPMG-Flash-News-GOI-notifies-SOP-on-PMVBRY.pdf"/>
    <hyperlink ref="D562" r:id="rId559" display="https://assets.kpmg.com/content/dam/kpmgsites/in/pdf/2026/09/KPMG-Flash-News-FAQs-on-EPFO-Wage-Ceiling-Limit.pdf"/>
    <hyperlink ref="D563" r:id="rId560" display="https://ascent-hr.com/notification/esic-clarification-regarding-the-implementation-of-code-on-social-security-2020/"/>
    <hyperlink ref="D564" r:id="rId561" display="https://www.taxheal.com/?p=129388"/>
    <hyperlink ref="D565" r:id="rId562" display="https://www.lkslaw.com/insights/articles/status-of-esi-compliance-under-the-code-on-social-security-2020-an-analytical-review"/>
    <hyperlink ref="D566" r:id="rId563" display="https://bhattandjoshiassociates.com/esic-wage-ceiling-change-what-it-would-mean-for-employers/"/>
    <hyperlink ref="D567" r:id="rId564" display="https://web.esic.gov.in/web/esic/contribution"/>
    <hyperlink ref="D568" r:id="rId565" display="https://www.labour.gov.in/static/uploads/2026/03/a4ccf4c6d97c4f1f36a6d83f8c64213d.pdf"/>
    <hyperlink ref="D569" r:id="rId566" display="https://www.labour.gov.in/static/uploads/2026/02/83978455025732b99b0165def80ab171.pdf"/>
    <hyperlink ref="D570" r:id="rId567" display="https://web.esic.gov.in/web/esic/contribution"/>
    <hyperlink ref="D571" r:id="rId568" display="https://taxclue.in/blog/rule-19-20-social-security-central-rules-2026-rate-of-contributions-and-administrative-expenses/"/>
    <hyperlink ref="D572" r:id="rId569" display="https://www.staffnews.in/2026/05/the-social-security-central-rules-2026.html"/>
    <hyperlink ref="D573" r:id="rId570" display="https://tallysolutions.com/business-guides/esi-calculation-formula-contribution-rate-example/"/>
    <hyperlink ref="D574" r:id="rId571" display="https://web.esic.gov.in/web/esic/contribution"/>
    <hyperlink ref="D575" r:id="rId572" display="https://www.taxheal.com/?p=129388"/>
    <hyperlink ref="D576" r:id="rId573" display="https://studycafe.in/government-clarifies-esi-coverage-continuity-despite-salary-hike-above-wage-ceiling-420646.html"/>
    <hyperlink ref="D577" r:id="rId574" display="https://tallysolutions.com/business-guides/esi-calculation-formula-contribution-rate-example/"/>
    <hyperlink ref="D578" r:id="rId575" display="https://web.esic.gov.in/web/esic/contribution"/>
    <hyperlink ref="D579" r:id="rId576" display="https://tallysolutions.com/accounting/esi-return-filing-due-date-2026/"/>
    <hyperlink ref="D580" r:id="rId577" display="https://web.esic.gov.in/web/esic/contribution"/>
    <hyperlink ref="D581" r:id="rId578" display="https://bankbazaar.com/tax/maharashtra-professional-tax-slab-rate.html"/>
    <hyperlink ref="D582" r:id="rId579" display="https://lexplosion.in/karnataka-govt-notifies-revised-professional-tax-rate-under-karnataka-tax-on-profession-trades-callings-and-employments-amendment-act-2025/"/>
    <hyperlink ref="D583" r:id="rId580" display="https://wbxpress.com/schedule-rates-tax-professions-trades-callings-employments-2026/"/>
    <hyperlink ref="D584" r:id="rId581" display="https://bankbazaar.com/tax/maharashtra-professional-tax-slab-rate.html"/>
    <hyperlink ref="D585" r:id="rId582" display="https://lexplosion.in/karnataka-govt-notifies-revised-professional-tax-rate-under-karnataka-tax-on-profession-trades-callings-and-employments-amendment-act-2025/"/>
    <hyperlink ref="D586" r:id="rId583" display="https://ascent-hr.com/notification/professional-tax-slab-revision-chennai/"/>
    <hyperlink ref="D587" r:id="rId584" display="https://wbxpress.com/schedule-rates-tax-professions-trades-callings-employments-2026/"/>
    <hyperlink ref="D588" r:id="rId585" display="https://wbxpress.com/professional-tax-slab/"/>
    <hyperlink ref="D589" r:id="rId586" display="https://www.simpliance.in/professional-tax-detail/west-bengal"/>
    <hyperlink ref="D590" r:id="rId587" display="https://nt.simpliance.in/professional-tax-detail/telangana"/>
    <hyperlink ref="D591" r:id="rId588" display="https://www.greythr.com/wiki/acts/professional-tax-gujarat/"/>
    <hyperlink ref="D592" r:id="rId589" display="https://ezhrm.in/labour-welfare-fund-india-2026-state-wise-guide/"/>
    <hyperlink ref="D593" r:id="rId590" display="https://employmentlaw.lkslaw.com/gratuity-guide-2025"/>
    <hyperlink ref="D594" r:id="rId591" display="https://www.in.kpmg.com/taxflashnews/KPMG-Flash-News-Notification-of-final-Rules-on-Four-Labour-Codes.pdf"/>
    <hyperlink ref="D595" r:id="rId592" display="https://blog.ipleaders.in/labour-codes-2026-implementation-complete-guide-to-what-is-in-force-what-changed-and-what-to-do-now/"/>
    <hyperlink ref="D596" r:id="rId593" display="https://ksandk.com/labour-employment/50-wage-rule-labour-codes-salary-pf-gratuity/"/>
    <hyperlink ref="D597" r:id="rId594" display="https://www.labour.gov.in/static/uploads/2026/01/de4758d5bfeffc456d7de97a801891b0.pdf"/>
    <hyperlink ref="D598" r:id="rId595" display="https://www.labour.gov.in/static/uploads/2026/03/a4ccf4c6d97c4f1f36a6d83f8c64213d.pdf"/>
    <hyperlink ref="D599" r:id="rId596" display="https://www.labour.gov.in/static/uploads/2026/02/83978455025732b99b0165def80ab171.pdf"/>
    <hyperlink ref="D600" r:id="rId597" display="https://www.in.kpmg.com/taxflashnews/KPMG-Flash-News-Notification-of-final-Rules-on-Four-Labour-Codes.pdf"/>
    <hyperlink ref="D601" r:id="rId598" display="https://blog.ipleaders.in/labour-codes-2026-implementation-complete-guide-to-what-is-in-force-what-changed-and-what-to-do-now/"/>
    <hyperlink ref="D602" r:id="rId599" display="https://www.ey.com/content/dam/ey-unified-site/ey-com/en-in/alerts-hub/2025/11/new-labour-codes-implemented-across-the-country-effective-21-november-2025.pdf"/>
    <hyperlink ref="D603" r:id="rId600" display="https://employmentlaw.lkslaw.com/gratuity-guide-2025"/>
    <hyperlink ref="D604" r:id="rId601" display="https://www.pib.gov.in/PressReleseDetailm.aspx?PRID=2192463&amp;reg=3&amp;lang=2"/>
    <hyperlink ref="D605" r:id="rId602" display="https://www.labour.gov.in/static/uploads/2026/03/a4ccf4c6d97c4f1f36a6d83f8c64213d.pdf"/>
    <hyperlink ref="D606" r:id="rId603" display="https://www.incometaxindia.gov.in/w/section-19-206"/>
    <hyperlink ref="D607" r:id="rId604" display="https://eztax.in/income-tax-act-2025/section-19"/>
    <hyperlink ref="D608" r:id="rId605" display="https://www.gconnect.in/personal-income-tax/increased-limit-tax-exemption-leave-encashment-non-govt-salaried-employees.html"/>
    <hyperlink ref="D609" r:id="rId606" display="https://www.incometaxindia.gov.in/w/section-19-206"/>
    <hyperlink ref="D610" r:id="rId607" display="https://eztax.in/income-tax-act-2025/section-19"/>
    <hyperlink ref="D611" r:id="rId608" display="https://www.scconline.com/blog/post/2026/08/26/bonus-rules-under-code-on-wages-eligibility-calculation/"/>
    <hyperlink ref="D612" r:id="rId609" display="https://lexplosion.in/?p=152253"/>
    <hyperlink ref="D613" r:id="rId610" display="https://www.labour.gov.in/static/uploads/2026/02/83978455025732b99b0165def80ab171.pdf"/>
    <hyperlink ref="D614" r:id="rId611" display="https://www.sgcms.com/regulatory-updates/central-sphere-vda-revision-w-e-f-1-october-2026-revised-minimum-wages/"/>
    <hyperlink ref="D615" r:id="rId612" display="https://www.taxmann.com/post/blog/govt-notifies-code-on-wages-central-rules/"/>
    <hyperlink ref="D616" r:id="rId613" display="https://www.in.kpmg.com/taxflashnews/KPMG-Flash-News-Notification-of-final-Rules-on-Four-Labour-Codes.pdf"/>
    <hyperlink ref="D617" r:id="rId614" display="https://www.bdo.in/en-gb/insights/alerts-updates/alert-final-central-rules-notified-under-all-four-labour-codes"/>
    <hyperlink ref="D618" r:id="rId615" display="https://www.incometaxindia.gov.in/w/section-19-206"/>
    <hyperlink ref="D619" r:id="rId616" display="https://eztax.in/income-tax-act-2025/section-17"/>
    <hyperlink ref="D620" r:id="rId617" display="https://www.incometaxindia.gov.in/w/rule-277-1"/>
    <hyperlink ref="D621" r:id="rId618" display="https://www.patronaccounting.com/blog/provident-fund-taxable-interest-rules-2026-high-value-pf-contributions"/>
    <hyperlink ref="D622" r:id="rId619" display="https://www.casemine.com/commentary/in/supreme-court-affirmation-on-disallowance-of-late-employee-contributions-under-section-36(1)(va)/view"/>
    <hyperlink ref="D623" r:id="rId620" display="https://taxguru.in/income-tax/pf-esi-deduction-denied-employees-contribution-deposited-statutory-due-date.html"/>
    <hyperlink ref="D624" r:id="rId621" display="https://eztax.in/income-tax-act-2025/section-29"/>
    <hyperlink ref="D625" r:id="rId622" display="https://blog.ipleaders.in/labour-codes-2026-implementation-complete-guide-to-what-is-in-force-what-changed-and-what-to-do-now/"/>
    <hyperlink ref="D626" r:id="rId623" display="https://www.labour.gov.in/static/uploads/2026/02/83978455025732b99b0165def80ab171.pdf"/>
    <hyperlink ref="D627" r:id="rId624" display="https://taxclue.in/blog/rule-19-20-social-security-central-rules-2026-rate-of-contributions-and-administrative-expenses/"/>
    <hyperlink ref="D628" r:id="rId625" display="https://docs.frappe.io/hr/india-payroll/employee-provident-fund.md"/>
    <hyperlink ref="D629" r:id="rId626" display="https://www.sgcms.com/regulatory-updates/faqs-by-epfo-wage-ceiling-raised-to-25000/"/>
    <hyperlink ref="D630" r:id="rId627" display="https://www.staffnews.in/wp-content/uploads/2026/07/Employees-Provident-Funds-Scheme-2026-273957.pdf"/>
    <hyperlink ref="D631" r:id="rId628" display="https://www.rbi.org.in/commonman/English/scripts/Notification.aspx?Id=961"/>
    <hyperlink ref="D632" r:id="rId629" display="https://www.rbi.org.in/commonman/English/scripts/Notification.aspx?Id=961"/>
    <hyperlink ref="D633" r:id="rId630" display="https://www.dpncindia.com/amendment-in-schedule-iii-of-the-companies-act-2013-applicable-w-e-f-01-04-2021"/>
    <hyperlink ref="D634" r:id="rId631" display="https://www.incometaxindia.gov.in/w/rule-6dd"/>
    <hyperlink ref="D635" r:id="rId632" display="https://calcguru.in/?p=8211"/>
    <hyperlink ref="D636" r:id="rId633" display="https://www.taxmann.com/post/blog/instances-of-non-compliance-with-reporting-requirements-under-clause-21-31-of-form-3cd/"/>
    <hyperlink ref="D637" r:id="rId634" display="https://www.taxheal.com/?p=99334"/>
    <hyperlink ref="D638" r:id="rId635" display="https://incometaxindia.gov.in/documents/d/guest/circular-7-2026-pdf"/>
    <hyperlink ref="D639" r:id="rId636" display="https://eztax.in/income-tax-act-2025/section-186"/>
    <hyperlink ref="D640" r:id="rId637" display="https://www.taxheal.com/?p=99334"/>
    <hyperlink ref="D641" r:id="rId638" display="https://www.casahuja.com/2026/09/clause-31-of-form-3cd-for-ay-2026-27.html"/>
    <hyperlink ref="D642" r:id="rId639" display="https://eztax.in/income-tax-act-2025/section-185"/>
    <hyperlink ref="D643" r:id="rId640" display="https://www.taxheal.com/?p=99334"/>
    <hyperlink ref="D644" r:id="rId641" display="https://www.casahuja.com/2026/09/clause-31-of-form-3cd-for-ay-2026-27.html"/>
    <hyperlink ref="D645" r:id="rId642" display="https://taxguru.in/company-law/demystifying-audit-trail-edit-log.html"/>
    <hyperlink ref="D646" r:id="rId643" display="https://www.taxheal.com/companies-accounts-amendment-rules-2021-mandatory-accounting-software-with-audit-trail-for-companies.html"/>
    <hyperlink ref="D647" r:id="rId644" display="https://cajournal.icai.org/article-details/audit-trail-requirements-responsibilities"/>
    <hyperlink ref="D648" r:id="rId645" display="https://cleartax.in/s/form-26-tax-audit"/>
    <hyperlink ref="D649" r:id="rId646" display="https://calcguru.in/?p=8211"/>
    <hyperlink ref="D650" r:id="rId647" display="https://www.dpncindia.com/amendment-in-schedule-iii-of-the-companies-act-2013-applicable-w-e-f-01-04-2021"/>
    <hyperlink ref="D651" r:id="rId648" display="https://www.dpncindia.com/amendment-in-schedule-iii-of-the-companies-act-2013-applicable-w-e-f-01-04-2021"/>
    <hyperlink ref="D652" r:id="rId649" display="https://www.dpncindia.com/amendment-in-schedule-iii-of-the-companies-act-2013-applicable-w-e-f-01-04-2021"/>
    <hyperlink ref="D653" r:id="rId650" display="https://taxmann.com/post/blog/a-study-of-provisions-of-the-msmed-act-related-disclosure-under-schedule-iii-of-companies-act"/>
    <hyperlink ref="D654" r:id="rId651" display="https://www.dpncindia.com/amendment-in-schedule-iii-of-the-companies-act-2013-applicable-w-e-f-01-04-2021"/>
    <hyperlink ref="D655" r:id="rId652" display="https://www.dpncindia.com/amendment-in-schedule-iii-of-the-companies-act-2013-applicable-w-e-f-01-04-2021"/>
    <hyperlink ref="D656" r:id="rId653" display="https://www.caclubindia.com/articles/amendment-schedule-iii-division-i-igaap-companies-act-2013-44527.asp"/>
    <hyperlink ref="D657" r:id="rId654" display="https://www.caclubindia.com/articles/amendment-schedule-iii-division-i-igaap-companies-act-2013-44527.asp"/>
    <hyperlink ref="D658" r:id="rId655" display="https://www.dpncindia.com/amendment-in-schedule-iii-of-the-companies-act-2013-applicable-w-e-f-01-04-2021"/>
    <hyperlink ref="D659" r:id="rId656" display="https://www.dpncindia.com/amendment-in-schedule-iii-of-the-companies-act-2013-applicable-w-e-f-01-04-2021"/>
    <hyperlink ref="D660" r:id="rId657" display="https://www.caclubindia.com/articles/amendment-schedule-iii-division-i-igaap-companies-act-2013-44527.asp"/>
    <hyperlink ref="D661" r:id="rId658" display="https://taxguru.in/company-law/summary-clauses-caro-2020-consequential-amendments-schedule-iii-companies-act-2013.html"/>
    <hyperlink ref="D662" r:id="rId659" display="https://www.dpncindia.com/amendment-in-schedule-iii-of-the-companies-act-2013-applicable-w-e-f-01-04-2021"/>
    <hyperlink ref="D663" r:id="rId660" display="https://www.casahuja.com/2025/04/regulatory-update-government-revises.html"/>
    <hyperlink ref="D664" r:id="rId661" display="https://foxmandal.in/news/monetary-limits-for-msme-classification-revised/"/>
    <hyperlink ref="D665" r:id="rId662" display="https://www.dcmsme.gov.in/Notification-S.O-no-1364-E-dated-21.03.2025-Revised-Definition.pdf"/>
    <hyperlink ref="D666" r:id="rId663" display="https://www.pib.gov.in/PressReleasePage.aspx?PRID=2098389&amp;reg=48&amp;lang=2"/>
    <hyperlink ref="D667" r:id="rId664" display="https://lawx.in/acts/section/145/1245/10691"/>
    <hyperlink ref="D668" r:id="rId665" display="https://taxmann.com/post/blog/a-study-of-provisions-of-the-msmed-act-related-disclosure-under-schedule-iii-of-companies-act"/>
    <hyperlink ref="D669" r:id="rId666" display="https://rbi.org.in/"/>
    <hyperlink ref="D670" r:id="rId667" display="https://www.taxmann.com/post/blog/mca-revises-msme-form-1-with-enhanced-disclosures-for-reporting-payments-pending-over-45-days-to-micro-small-enterprises/"/>
    <hyperlink ref="D671" r:id="rId668" display="https://www.patronaccounting.com/blog/msme-form-1-half-yearly-return-filing-guide"/>
    <hyperlink ref="D672" r:id="rId669" display="https://eztax.in/income-tax-act-2025/section-37"/>
    <hyperlink ref="D673" r:id="rId670" display="https://www.taxmann.com/post/blog/cbdt-issues-corrigendum-to-include-sec-43bh-disallowance-under-clause-22-of-form-3cd/"/>
    <hyperlink ref="D674" r:id="rId671" display="https://calcguru.in/?p=8211"/>
    <hyperlink ref="D675" r:id="rId672" display="https://incometaxindia.gov.in/documents/d/guest/circular-7-2026-pdf"/>
    <hyperlink ref="D676" r:id="rId673" display="https://studycafe.in/mca-notifies-additional-fee-of-rs-100-per-day-for-delay-in-filing-roc-forms-24895.html"/>
    <hyperlink ref="D677" r:id="rId674" display="https://taxmann.com/post/blog/mca-extends-due-date-for-filing-of-financials-and-annual-return"/>
    <hyperlink ref="D678" r:id="rId675" display="https://www.icai.org/post/clcgc-director-kyc-compliance-02012026"/>
    <hyperlink ref="D679" r:id="rId676" display="https://www.china-briefing.com/china-outbound-news/director-kyc-new-rules-india-companies-act-2013"/>
    <hyperlink ref="D680" r:id="rId677" display="https://www.mca.gov.in:443/content/dam/mca-aem-forms/instructionkits/Instruction%20Kit_DPT-3.pdf"/>
    <hyperlink ref="D681" r:id="rId678" display="https://www.pib.gov.in/PressReleasePage.aspx?PRID=2210552&amp;reg=3&amp;lang=1"/>
    <hyperlink ref="D682" r:id="rId679" display="https://www.pib.gov.in/PressReleasePage.aspx?PRID=2210429&amp;reg=3&amp;lang=1"/>
    <hyperlink ref="D683" r:id="rId680" display="https://studycafe.in/mca-notifies-additional-fee-of-rs-100-per-day-for-delay-in-filing-roc-forms-24895.html"/>
    <hyperlink ref="D684" r:id="rId681" display="https://www.taxmann.com/post/blog/mca-amends-companies-registration-offices-and-fees-rules-2014-tightens-norms-relating-to-additional-fee-and-higher-additional-fee/"/>
    <hyperlink ref="D685" r:id="rId682" display="https://www.mca.gov.in:443/content/dam/mca-aem-forms/instructionkits/Instruction%20Kit_DPT-3.pdf"/>
    <hyperlink ref="D686" r:id="rId683" display="https://www.taxmann.com/post/blog/mca-raises-small-company-thresholds-to-rs-10-cr-capital-and-rs-100-cr-turnover"/>
    <hyperlink ref="D687" r:id="rId684" display="https://www.pib.gov.in/PressReleasePage.aspx?PRID=2210429&amp;reg=3&amp;lang=1"/>
    <hyperlink ref="D688" r:id="rId685" display="https://taxguru.in/company-law/demystifying-audit-trail-edit-log.html"/>
    <hyperlink ref="D689" r:id="rId686" display="https://www.taxheal.com/companies-accounts-amendment-rules-2021-mandatory-accounting-software-with-audit-trail-for-companies.html"/>
    <hyperlink ref="D690" r:id="rId687" display="https://cajournal.icai.org/article-details/audit-trail-requirements-responsibilities"/>
    <hyperlink ref="D691" r:id="rId688" display="https://lexplosion.in/companies-must-take-daily-back-up-of-books-of-accounts-etc-maintained-in-electronic-mode-including-at-a-place-outside-india-in-servers-physically-located-in-india/"/>
    <hyperlink ref="D692" r:id="rId689" display="https://www.eirc-icai.org/uploads/background_materials/Revised 2024_Implementation Guide on Reporting of Audit Trail (1)_1712114860.pdf"/>
    <hyperlink ref="D693" r:id="rId690" display="https://taxguru.in/company-law/summary-clauses-caro-2020-consequential-amendments-schedule-iii-companies-act-2013.html"/>
    <hyperlink ref="D694" r:id="rId691" display="https://taxguru.in/income-tax/tax-audit-fy-2025-26-guide-form-3cd.html"/>
    <hyperlink ref="D695" r:id="rId692" display="https://calcguru.in/?p=8211"/>
    <hyperlink ref="D696" r:id="rId693" display="https://www.taxmann.com/post/blog/cbdt-issues-corrigendum-to-include-sec-43bh-disallowance-under-clause-22-of-form-3cd/"/>
    <hyperlink ref="D697" r:id="rId694" display="https://www.taxmann.com/post/blog/instances-of-non-compliance-with-reporting-requirements-under-clause-21-31-of-form-3cd/"/>
    <hyperlink ref="D698" r:id="rId695" display="https://www.casahuja.com/2026/09/clause-31-of-form-3cd-for-ay-2026-27.html"/>
    <hyperlink ref="D699" r:id="rId696" display="https://cleartax.in/s/form-26-tax-audit"/>
    <hyperlink ref="D700" r:id="rId697" display="https://incometaxindia.gov.in/documents/d/guest/circular-7-2026-pdf"/>
    <hyperlink ref="D701" r:id="rId698" display="https://eztax.in/income-tax-act-2025/compare-old-new-section-codes"/>
    <hyperlink ref="D702" r:id="rId699" display="https://ca2013.com/schedule-ii/"/>
    <hyperlink ref="D703" r:id="rId700" display="https://www.patronaccounting.com/blog/depreciation-rules-2026-rates-block-assets"/>
    <hyperlink ref="D704" r:id="rId701" display="https://taxmann.com/post/blog/analysis-clause-44-of-tax-audit-report-along-with-illustrations"/>
    <hyperlink ref="D705" r:id="rId702" display="https://calcguru.in/?p=8211"/>
    <hyperlink ref="D706" r:id="rId703" display="https://treelife.in/legal/ind-as-applicability-for-private-companies/"/>
    <hyperlink ref="D707" r:id="rId704" display="https://mondaq.com/india/accounting-standards/1310822/accounting-standards-for-smcs-under-the-companies-act-2013"/>
    <hyperlink ref="D708" r:id="rId705" display="https://eztax.in/income-tax-act-2025/compare-old-new-section-codes"/>
    <hyperlink ref="D709" r:id="rId706" display="https://eztax.in/income-tax-act-2025/section-185"/>
    <hyperlink ref="D710" r:id="rId707" display="https://eztax.in/income-tax-act-2025/section-186"/>
    <hyperlink ref="D711" r:id="rId708" display="https://eztax.in/income-tax-act-2025/section-37"/>
    <hyperlink ref="D712" r:id="rId709" display="https://www.taxheal.com/?p=99334"/>
    <hyperlink ref="D713" r:id="rId710" display="https://cleartax.in/s/form-26-tax-audit"/>
    <hyperlink ref="D714" r:id="rId711" display="https://www.patronaccounting.com/blog/depreciation-rules-2026-rates-block-assets"/>
    <hyperlink ref="D715" r:id="rId712" display="https://taxguru.in/goods-and-service-tax/advisory-form-gstr-1a.html"/>
    <hyperlink ref="D716" r:id="rId713" display="https://cleartax.in/s/gst-return-filing-rule-changes-from-july-2025"/>
    <hyperlink ref="D717" r:id="rId714" display="https://www.taxmann.com/post/blog/gstn-warns-pending-gst-returns-cannot-be-filed-after-3-years"/>
    <hyperlink ref="D718" r:id="rId715" display="https://www.taxheal.com/?p=96273"/>
    <hyperlink ref="D719" r:id="rId716" display="https://www.taxheal.com/?p=96273"/>
    <hyperlink ref="D720" r:id="rId717" display="https://icmai.in/upload/Taxation/Advisory_auto-population_GSTR-1.pdf"/>
    <hyperlink ref="D721" r:id="rId718" display="https://taxguru.in/goods-and-service-tax/gst-amendments-finance-act-2025-effective-oct-1-2025-notified.html"/>
    <hyperlink ref="D722" r:id="rId719" display="https://www.ey.com/en_in/technical/alerts-hub/2025/09/gstn-issues-advisory-on-the-changes-introduced-in-the-invoice-management-system"/>
    <hyperlink ref="D723" r:id="rId720" display="https://taxguru.in/goods-and-service-tax/advisory-form-gstr-1a.html"/>
    <hyperlink ref="D724" r:id="rId721" display="https://www.taxmann.com/post/blog/gstn-warns-pending-gst-returns-cannot-be-filed-after-3-years"/>
    <hyperlink ref="D725" r:id="rId722" display="https://cggst.com/wp-content/uploads/2023/07/Rule-88C-3.pdf"/>
    <hyperlink ref="D726" r:id="rId723" display="https://www.bdo.in/en-gb/insights/alerts-updates/gstn-advisory-online-functionality-in-respect-of-the-difference-in-tax"/>
    <hyperlink ref="D727" r:id="rId724" display="https://razorpay.com/learn/drc-01b-gst-liability-mismatch-guide/"/>
    <hyperlink ref="D728" r:id="rId725" display="https://cleartax.in/s/gst-return-filing-rule-changes-from-july-2025"/>
    <hyperlink ref="D729" r:id="rId726" display="https://www.computaxonline.com/blog/post/2026/07/09/gst-itc-auto-restriction-gstr-2b-gstr-3b-hard-locking"/>
    <hyperlink ref="D730" r:id="rId727" display="https://taxguru.in/goods-and-service-tax/gstn-issues-4-advisories-december-2025-clarify-key-compliance-procedures.html"/>
    <hyperlink ref="D731" r:id="rId728" display="https://taxguru.in/goods-and-service-tax/advisory-form-gstr-1a.html"/>
    <hyperlink ref="D732" r:id="rId729" display="https://taxguru.in/goods-and-service-tax/gst-amendments-finance-act-2025-effective-oct-1-2025-notified.html"/>
    <hyperlink ref="D733" r:id="rId730" display="https://icmai.in/upload/Taxation/Advisory_auto-population_GSTR-1.pdf"/>
    <hyperlink ref="D734" r:id="rId731" display="https://www.ey.com/en_in/alerts-hub/2023/05/cbic-lowers-turnover-threshold-for-e-invoicing-to-inr5-crores-with-effect-from-1-august-2023"/>
    <hyperlink ref="D735" r:id="rId732" display="https://www.taxmann.com/post/blog/time-limit-of-30-days-for-reporting-e-invoice-on-irp-portal-for-taxpayers-with-aato-of-10-crores-and-above-gstn-update/"/>
    <hyperlink ref="D736" r:id="rId733" display="https://cleartax.in/s/time-limit-for-e-way-bill-generation"/>
    <hyperlink ref="D737" r:id="rId734" display="https://cleartax.in/s/blocking-e-way-bill-generation-without-e-invoice"/>
    <hyperlink ref="D738" r:id="rId735" display="https://www.taxheal.com/?p=97083"/>
    <hyperlink ref="D739" r:id="rId736" display="https://taxo.online/latest-news/09-01-2025-advisory-issued-relating-implementation-of-phase-iii-for-mentioning-of-hsn-codes-in-gstr-1-gstr-1a/"/>
    <hyperlink ref="D740" r:id="rId737" display="https://www.taxmann.com/post/blog/hsn-dropdown-table-13-mandatory-in-gstr-1"/>
    <hyperlink ref="D741" r:id="rId738" display="https://www.taxmann.com/post/blog/hsn-dropdown-table-13-mandatory-in-gstr-1"/>
    <hyperlink ref="D742" r:id="rId739" display="https://taxguru.in/goods-and-service-tax/claim-itc-gstr-2b-mandatory-w-e-f-01-01-2022.html"/>
    <hyperlink ref="D743" r:id="rId740" display="https://cleartax.in/s/faqs-on-invoice-management-system-ims-gst"/>
    <hyperlink ref="D744" r:id="rId741" display="https://www.ey.com/en_in/technical/alerts-hub/2025/09/gstn-issues-advisory-on-the-changes-introduced-in-the-invoice-management-system"/>
    <hyperlink ref="D745" r:id="rId742" display="https://taxguru.in/goods-and-service-tax/gst-amendments-finance-act-2025-effective-oct-1-2025-notified.html"/>
    <hyperlink ref="D746" r:id="rId743" display="https://cleartax.in/s/rule-88d-cgst-itc-mismatch-gstr-2b-vs-gstr-3b"/>
    <hyperlink ref="D747" r:id="rId744" display="https://taxo.online/latest-news/06-10-2023-gstn-issued-advisory-in-respect-of-introduction-of-compliance-pertaining-to-drc-01c/"/>
    <hyperlink ref="D748" r:id="rId745" display="https://razorpay.com/learn/drc-01b-gst-liability-mismatch-guide/"/>
    <hyperlink ref="D749" r:id="rId746" display="https://www.gstcouncil.gov.in/sites/default/files/2024-06/cir-170-02-2022-cgst.pdf"/>
    <hyperlink ref="D750" r:id="rId747" display="https://www.computaxonline.com/blog/post/2026/07/09/gst-itc-auto-restriction-gstr-2b-gstr-3b-hard-locking"/>
    <hyperlink ref="D751" r:id="rId748" display="https://taxguru.in/goods-and-service-tax/gstn-itc-reclaim-ledger-rcm-ledger-hard-validations-block-gstr-3b-filing.html"/>
    <hyperlink ref="D752" r:id="rId749" display="https://cleartax.in/s/faqs-on-invoice-management-system-ims-gst"/>
    <hyperlink ref="D753" r:id="rId750" display="https://www.ey.com/en_in/technical/alerts-hub/2025/09/gstn-issues-advisory-on-the-changes-introduced-in-the-invoice-management-system"/>
    <hyperlink ref="D754" r:id="rId751" display="https://taxguru.in/goods-and-service-tax/gstn-issues-4-advisories-december-2025-clarify-key-compliance-procedures.html"/>
    <hyperlink ref="D755" r:id="rId752" display="https://taxguru.in/goods-and-service-tax/gst-amendments-finance-act-2025-effective-oct-1-2025-notified.html"/>
    <hyperlink ref="D756" r:id="rId753" display="https://taxguru.in/goods-and-service-tax/claim-itc-gstr-2b-mandatory-w-e-f-01-01-2022.html"/>
    <hyperlink ref="D757" r:id="rId754" display="https://www.cggst.com/uploads/document/1755064447-rule-37.pdf"/>
    <hyperlink ref="D758" r:id="rId755" display="https://www.cggst.com/uploads/document/1754119329-rule-88b.pdf"/>
    <hyperlink ref="D759" r:id="rId756" display="https://www.gstcouncil.gov.in/sites/default/files/2024-06/cir-170-02-2022-cgst.pdf"/>
    <hyperlink ref="D760" r:id="rId757" display="https://gsthero.com/blog/electronic-credit-reversal-and-reclaimed-statement/"/>
    <hyperlink ref="D761" r:id="rId758" display="https://www.gstcouncil.gov.in/sites/default/files/2024-06/cir-170-02-2022-cgst.pdf"/>
    <hyperlink ref="D762" r:id="rId759" display="https://gsthero.com/blog/electronic-credit-reversal-and-reclaimed-statement/"/>
    <hyperlink ref="D763" r:id="rId760" display="https://taxguru.in/goods-and-service-tax/gstn-itc-reclaim-ledger-rcm-ledger-hard-validations-block-gstr-3b-filing.html"/>
    <hyperlink ref="D764" r:id="rId761" display="https://busy.in/business-updates/how-to-fix-gstr-3b-hard-block/"/>
    <hyperlink ref="D765" r:id="rId762" display="https://taxguru.in/goods-and-service-tax/gstn-issues-4-advisories-december-2025-clarify-key-compliance-procedures.html"/>
    <hyperlink ref="D766" r:id="rId763" display="https://taxroutine.com/repository/gst-notifications/rcm-services/"/>
    <hyperlink ref="D767" r:id="rId764" display="https://cleartax.in/s/rcm-on-rent-of-commercial-property-under-gst"/>
    <hyperlink ref="D768" r:id="rId765" display="https://gstcouncil.gov.in/sites/default/files/2025-09/faq.pdf"/>
    <hyperlink ref="D769" r:id="rId766" display="https://taxguru.in/goods-and-service-tax/gstn-itc-reclaim-ledger-rcm-ledger-hard-validations-block-gstr-3b-filing.html"/>
    <hyperlink ref="D770" r:id="rId767" display="https://busy.in/business-updates/how-to-fix-gstr-3b-hard-block/"/>
    <hyperlink ref="D771" r:id="rId768" display="https://taxo.online/latest-news/29-12-2025-gstn-has-issued-an-advisory-on-electronic-credit-reversal-and-re-claimed-statement-rcm-liability-itc-statement/"/>
    <hyperlink ref="D772" r:id="rId769" display="https://www.taxmann.com/post/blog/guide-to-maximizing-the-utilization-of-gst-input-tax-credit/"/>
    <hyperlink ref="D773" r:id="rId770" display="https://www.cggst.com/uploads/document/1754119329-rule-88b.pdf"/>
    <hyperlink ref="D774" r:id="rId771" display="https://www.mastersindia.co/blog/interest-on-wrongly-availed-itc-under-section-503-gst/"/>
    <hyperlink ref="D775" r:id="rId772" display="https://www.taxtmi.com/forum/issue?id=118761"/>
    <hyperlink ref="D776" r:id="rId773" display="https://www.cggst.com/uploads/document/1752824769-section-170.pdf"/>
    <hyperlink ref="D777" r:id="rId774" display="https://www.taxheal.com/?p=89244"/>
    <hyperlink ref="D778" r:id="rId775" display="https://www.taxheal.com/?p=89438"/>
    <hyperlink ref="D779" r:id="rId776" display="https://lexplosion.in/late-fees-for-filing-annual-return-in-form-gstr-9-reduced-from-fy-2022-23-onwards/"/>
    <hyperlink ref="D780" r:id="rId777" display="https://calcguru.in/gst-late-fee-calculator/"/>
    <hyperlink ref="D781" r:id="rId778" display="https://www.taxheal.com/?p=105269"/>
    <hyperlink ref="D782" r:id="rId779" display="https://www.vjmglobal.com/blog/gstn-issued-faqs-on-newly-released-form-gstr-9-9c-for-fy-2024-25"/>
    <hyperlink ref="D783" r:id="rId780" display="https://gstzen.in/a/faqs-on-gstr-9-9c-changes-fy-2024-25.html"/>
    <hyperlink ref="D784" r:id="rId781" display="https://www.taxheal.com/?p=105269"/>
    <hyperlink ref="D785" r:id="rId782" display="https://www.vjmglobal.com/blog/gstn-issued-faqs-on-newly-released-form-gstr-9-9c-for-fy-2024-25"/>
    <hyperlink ref="D786" r:id="rId783" display="https://gstzen.in/a/faqs-on-gstr-9-9c-changes-fy-2024-25.html"/>
    <hyperlink ref="D787" r:id="rId784" display="https://cleartax.in/s/revised-gstr-9c-fy-2020-21"/>
    <hyperlink ref="D788" r:id="rId785" display="https://cleartax.in/s/gst-reconciliation-statement-gstr-9c"/>
    <hyperlink ref="D789" r:id="rId786" display="https://cleartax.in/s/revised-gstr-9c-fy-2020-21"/>
    <hyperlink ref="D790" r:id="rId787" display="https://www.vjmglobal.com/blog/gstn-issued-faqs-on-newly-released-form-gstr-9-9c-for-fy-2024-25"/>
    <hyperlink ref="D791" r:id="rId788" display="https://www.gstcouncil.gov.in/sites/default/files/2024-06/cir-170-02-2022-cgst.pdf"/>
    <hyperlink ref="D792" r:id="rId789" display="https://www.cggst.com/uploads/document/1755064648-rule-42.pdf"/>
    <hyperlink ref="D793" r:id="rId790" display="https://www.gstcouncil.gov.in/sites/default/files/2024-06/cir-170-02-2022-cgst.pdf"/>
    <hyperlink ref="D794" r:id="rId791" display="https://taxguru.in/goods-and-service-tax/gst-amendments-finance-act-2025-effective-oct-1-2025-notified.html"/>
    <hyperlink ref="D795" r:id="rId792" display="https://www.ey.com/en_in/technical/alerts-hub/2025/09/gstn-issues-advisory-on-the-changes-introduced-in-the-invoice-management-system"/>
    <hyperlink ref="D796" r:id="rId793" display="https://taxguru.in/goods-and-service-tax/gstn-issues-4-advisories-december-2025-clarify-key-compliance-procedures.html"/>
    <hyperlink ref="D797" r:id="rId794" display="https://cajournal.icai.org/article-details/gst-amendments-proposed-through-the-finance-bill-2026"/>
    <hyperlink ref="D798" r:id="rId795" display="https://ey.com/content/dam/ey-unified-site/ey-com/en-in/alerts-hub/government-notifies-effective-date-for-amendments-made-in-gst-law-vide-finance-act-2024.pdf"/>
    <hyperlink ref="D799" r:id="rId796" display="https://www.cggst.com/uploads/document/1755064447-rule-37.pdf"/>
    <hyperlink ref="D800" r:id="rId797" display="https://www.taxmann.com/post/blog/gstn-warns-pending-gst-returns-cannot-be-filed-after-3-years"/>
    <hyperlink ref="D801" r:id="rId798" display="https://cleartax.in/s/gst-return-filing-rule-changes-from-july-2025"/>
    <hyperlink ref="D802" r:id="rId799" display="https://www.taxheal.com/?p=104994"/>
    <hyperlink ref="D803" r:id="rId800" display="https://gstcouncil.gov.in/sites/default/files/2025-09/press_release_press_information_bureau.pdf"/>
    <hyperlink ref="D804" r:id="rId801" display="https://gstcouncil.gov.in/sites/default/files/2025-09/faq.pdf"/>
    <hyperlink ref="D805" r:id="rId802" display="https://comtax.wb.gov.in/GST/GST_PPU/GST_Updates_Dec_2025.pdf"/>
    <hyperlink ref="D806" r:id="rId803" display="https://cajournal.icai.org/article-details/gst-amendments-proposed-through-the-finance-bill-2026"/>
    <hyperlink ref="D807" r:id="rId804" display="https://www.gstcouncil.gov.in/sites/default/files/2024-06/cir-170-02-2022-cgst.pdf"/>
    <hyperlink ref="D808" r:id="rId805" display="https://tutorial.gst.gov.in/userguide/inputtaxcredit/manual_tds_and_tcs_credit_received.htm"/>
    <hyperlink ref="D809" r:id="rId806" display="https://www.taxheal.com/?p=96048"/>
    <hyperlink ref="D810" r:id="rId807" display="https://tutorial.gst.gov.in/userguide/inputtaxcredit/manual_tds_and_tcs_credit_received.htm"/>
    <hyperlink ref="D811" r:id="rId808" display="https://taxguru.in/goods-and-service-tax/input-service-distributor-mandatory-1st-april-2025.html"/>
    <hyperlink ref="D812" r:id="rId809" display="https://www.taxheal.com/?p=90244"/>
    <hyperlink ref="D813" r:id="rId810" display="https://www.vjmglobal.com/blog/gstn-issued-faqs-on-newly-released-form-gstr-9-9c-for-fy-2024-25"/>
    <hyperlink ref="D814" r:id="rId811" display="https://www.indiafilings.com/learn/gstr-4-filing/"/>
    <hyperlink ref="D815" r:id="rId812" display="https://cleartax.in/s/rcm-on-rent-of-commercial-property-under-gst"/>
    <hyperlink ref="D816" r:id="rId813" display="https://www.incometaxindia.gov.in/w/section-393-6"/>
    <hyperlink ref="D817" r:id="rId814" display="https://www.incometaxindia.gov.in/w/section-397-6"/>
    <hyperlink ref="D818" r:id="rId815" display="https://www.incometaxindia.gov.in/w/rule-219-1"/>
    <hyperlink ref="D819" r:id="rId816" display="https://tinpan.proteantech.in/downloads/e-tds/download/DosandDontsdeductorscollectors.pdf"/>
    <hyperlink ref="D820" r:id="rId817" display="https://www.tdsman.com/downloads/forms/Form-26Q.pdf"/>
    <hyperlink ref="D821" r:id="rId818" display="https://www.incometaxindia.gov.in/w/section-393-6"/>
    <hyperlink ref="D822" r:id="rId819" display="https://www.incometaxindia.gov.in/w/section-397-6"/>
    <hyperlink ref="D823" r:id="rId820" display="https://www.incometaxindia.gov.in/documents/d/guest/faqs-on-higher-rate-of-tds-under-section-397"/>
    <hyperlink ref="D824" r:id="rId821" display="https://taxguru.in/income-tax/tds-deductible-gst-component-cbdt.html"/>
    <hyperlink ref="D825" r:id="rId822" display="https://eztax.in/income-tax-act-2025/section-35"/>
    <hyperlink ref="D826" r:id="rId823" display="https://thetaxtalk.com/2025/07/a-simple-checklist-for-clause-34-of-tax-audit-report-to-be-considered-by-auditors/"/>
    <hyperlink ref="D827" r:id="rId824" display="https://tinpan.proteantech.in/downloads/e-tds/download/DosandDontsdeductorscollectors.pdf"/>
    <hyperlink ref="D828" r:id="rId825" display="https://www.tdsman.com/downloads/forms/Form-26Q.pdf"/>
    <hyperlink ref="D829" r:id="rId826" display="https://www.incometaxindia.gov.in/tax-services/statement-and-challan-status"/>
    <hyperlink ref="D830" r:id="rId827" display="https://www.incometaxindia.gov.in/w/rule-218-1"/>
    <hyperlink ref="D831" r:id="rId828" display="https://www.incometaxindia.gov.in/w/rule-219-1"/>
    <hyperlink ref="D832" r:id="rId829" display="https://blog.tdsman.com/2018/09/faq-on-form-26as-2/"/>
    <hyperlink ref="D833" r:id="rId830" display="https://www.incometaxindia.gov.in/w/section-201-60"/>
    <hyperlink ref="D834" r:id="rId831" display="https://www.incometaxindia.gov.in/w/section-398-5"/>
    <hyperlink ref="D835" r:id="rId832" display="https://www.incometaxindia.gov.in/w/rule-218-1"/>
    <hyperlink ref="D836" r:id="rId833" display="https://blog.tdsman.com/2015/04/interest-calculation-delayed-payment-tds/"/>
    <hyperlink ref="D837" r:id="rId834" display="https://blog.tdsman.com/2013/07/evaluate-your-tds-defaults-using-justification-report-downloaded-from-traces/"/>
    <hyperlink ref="D838" r:id="rId835" display="https://www.incometaxindia.gov.in/w/section-201-60"/>
    <hyperlink ref="D839" r:id="rId836" display="https://www.incometaxindia.gov.in/w/section-398-5"/>
    <hyperlink ref="D840" r:id="rId837" display="https://blog.tdsman.com/2015/04/interest-calculation-delayed-payment-tds/"/>
    <hyperlink ref="D841" r:id="rId838" display="https://www.incometaxindia.gov.in/w/section-397-6"/>
    <hyperlink ref="D842" r:id="rId839" display="https://www.incometaxindia.gov.in/documents/d/guest/faqs-on-higher-rate-of-tds-under-section-397"/>
    <hyperlink ref="D843" r:id="rId840" display="https://www.incometaxindia.gov.in/w/section-395-6"/>
    <hyperlink ref="D844" r:id="rId841" display="https://www.incometaxindia.gov.in/documents/d/guest/form-128-faqs"/>
    <hyperlink ref="D845" r:id="rId842" display="https://www.tdsman.com/downloads/forms/Form-26Q.pdf"/>
    <hyperlink ref="D846" r:id="rId843" display="https://www.incometaxindia.gov.in/w/section-393-6"/>
    <hyperlink ref="D847" r:id="rId844" display="https://www.incometaxindia.gov.in/w/section-427-6"/>
    <hyperlink ref="D848" r:id="rId845" display="https://www.incometaxindia.gov.in/w/rule-219-1"/>
    <hyperlink ref="D849" r:id="rId846" display="https://www.tdsman.com/downloads/forms/Form-26Q.pdf"/>
    <hyperlink ref="D850" r:id="rId847" display="https://blog.tdsman.com/2013/07/evaluate-your-tds-defaults-using-justification-report-downloaded-from-traces/"/>
    <hyperlink ref="D851" r:id="rId848" display="https://www.incometaxindia.gov.in/w/section-201-60"/>
    <hyperlink ref="D852" r:id="rId849" display="https://www.incometaxindia.gov.in/w/section-398-5"/>
    <hyperlink ref="D853" r:id="rId850" display="https://www.incometaxindia.gov.in/w/section-427-6"/>
    <hyperlink ref="D854" r:id="rId851" display="https://www.incometaxindia.gov.in/w/section-397-6"/>
    <hyperlink ref="D855" r:id="rId852" display="https://www.incometaxindia.gov.in/w/section-395-6"/>
    <hyperlink ref="D856" r:id="rId853" display="https://www.incometaxindia.gov.in/documents/d/guest/form-130-faqs"/>
    <hyperlink ref="D857" r:id="rId854" display="https://www.incometaxindia.gov.in/w/section-392-6"/>
    <hyperlink ref="D858" r:id="rId855" display="https://www.incometaxindia.gov.in/w/rule-219-1"/>
    <hyperlink ref="D859" r:id="rId856" display="https://blog.tdsman.com/2024/04/simple-guide-for-employee-income-details-form-24q-q4/"/>
    <hyperlink ref="D860" r:id="rId857" display="https://tinpan.proteantech.in/downloads/e-tds/download/DosandDontsdeductorscollectors.pdf"/>
    <hyperlink ref="D861" r:id="rId858" display="https://blog.tdsman.com/2024/04/simple-guide-for-employee-income-details-form-24q-q4/"/>
    <hyperlink ref="D862" r:id="rId859" display="https://tinpan.proteantech.in/downloads/e-tds/download/DosandDontsdeductorscollectors.pdf"/>
    <hyperlink ref="D863" r:id="rId860" display="https://www.incometaxindia.gov.in/documents/d/guest/form-130-faqs"/>
    <hyperlink ref="D864" r:id="rId861" display="https://www.incometaxindia.gov.in/w/section-392-6"/>
    <hyperlink ref="D865" r:id="rId862" display="https://www.incometaxindia.gov.in/w/section-397-6"/>
    <hyperlink ref="D866" r:id="rId863" display="https://www.incometaxindia.gov.in/w/rule-218-1"/>
    <hyperlink ref="D867" r:id="rId864" display="https://www.incometaxindia.gov.in/w/rule-219-1"/>
    <hyperlink ref="D868" r:id="rId865" display="https://www.incometaxindia.gov.in/w/section-398-5"/>
    <hyperlink ref="D869" r:id="rId866" display="https://www.incometaxindia.gov.in/w/rule-37ba"/>
    <hyperlink ref="D870" r:id="rId867" display="https://www.incometaxindia.gov.in/w/section-390-6"/>
    <hyperlink ref="D871" r:id="rId868" display="https://blog.tdsman.com/2018/09/faq-on-form-26as-2/"/>
    <hyperlink ref="D872" r:id="rId869" display="https://www.incometaxindia.gov.in/annual-information-statement"/>
    <hyperlink ref="D873" r:id="rId870" display="https://investor.nsdl.com/portal/en/kb/articles/faqs-on-annual-information-statement-ais-26-10-2023"/>
    <hyperlink ref="D874" r:id="rId871" display="https://taxguru.in/income-tax/commonly-observed-ais-mismatches-trigger-income-tax-notice.html"/>
    <hyperlink ref="D875" r:id="rId872" display="https://www.incometaxindia.gov.in/w/rule-37ba"/>
    <hyperlink ref="D876" r:id="rId873" display="https://www.incometaxindia.gov.in/w/section-390-6"/>
    <hyperlink ref="D877" r:id="rId874" display="https://blog.tdsman.com/2018/09/faq-on-form-26as-2/"/>
    <hyperlink ref="D878" r:id="rId875" display="https://cleartax.in/s/income-tax-changes-from-april-2026"/>
    <hyperlink ref="D879" r:id="rId876" display="https://www.incometaxindia.gov.in/annual-information-statement"/>
    <hyperlink ref="D880" r:id="rId877" display="https://investor.nsdl.com/portal/en/kb/articles/faqs-on-annual-information-statement-ais-26-10-2023"/>
    <hyperlink ref="D881" r:id="rId878" display="https://www.taxaj.com/learn/?p=304"/>
    <hyperlink ref="D882" r:id="rId879" display="https://www.incometaxindia.gov.in/w/understanding-statement-of-financial-transaction-sft-"/>
    <hyperlink ref="D883" r:id="rId880" display="https://taxguru.in/income-tax/commonly-observed-ais-mismatches-trigger-income-tax-notice.html"/>
    <hyperlink ref="D884" r:id="rId881" display="https://www.incometaxindia.gov.in/annual-information-statement"/>
    <hyperlink ref="D885" r:id="rId882" display="https://investor.nsdl.com/portal/en/kb/articles/faqs-on-annual-information-statement-ais-26-10-2023"/>
    <hyperlink ref="D886" r:id="rId883" display="https://www.incometaxindia.gov.in/w/section-408-5"/>
    <hyperlink ref="D887" r:id="rId884" display="https://blog.tdsman.com/2018/09/faq-on-form-26as-2/"/>
    <hyperlink ref="D888" r:id="rId885" display="https://incometaxindia.gov.in/documents/d/guest/circular-7-2026-pdf"/>
    <hyperlink ref="D889" r:id="rId886" display="https://blog.tdsman.com/2018/09/faq-on-form-26as-2/"/>
    <hyperlink ref="D890" r:id="rId887" display="https://www.incometaxindia.gov.in/w/section-390-6"/>
    <hyperlink ref="D891" r:id="rId888" display="https://www.incometaxindia.gov.in/w/rule-37ba"/>
    <hyperlink ref="D892" r:id="rId889" display="https://www.incometaxindia.gov.in/w/section-63-134"/>
    <hyperlink ref="D893" r:id="rId890" display="https://taxguru.in/income-tax/commonly-observed-ais-mismatches-trigger-income-tax-notice.html"/>
    <hyperlink ref="D894" r:id="rId891" display="https://taxguru.in/income-tax/tax-audit-fy-2025-26-guide-form-3cd.html"/>
    <hyperlink ref="D895" r:id="rId892" display="https://www.incometaxindia.gov.in/w/section-37-169"/>
    <hyperlink ref="D896" r:id="rId893" display="https://incometaxindia.gov.in/documents/d/guest/circular-7-2026-pdf"/>
    <hyperlink ref="D897" r:id="rId894" display="https://taxguru.in/income-tax/tax-audit-fy-2025-26-guide-form-3cd.html"/>
    <hyperlink ref="D898" r:id="rId895" display="https://www.india-briefing.com/news/msme-tax-audit-form-3cd-clauses-22-26-fy-2025-26-47290.html/"/>
    <hyperlink ref="D899" r:id="rId896" display="https://thetaxtalk.com/2025/07/a-simple-checklist-for-clause-34-of-tax-audit-report-to-be-considered-by-auditors/"/>
    <hyperlink ref="D900" r:id="rId897" display="https://taxguru.in/income-tax/tax-audit-fy-2025-26-guide-form-3cd.html"/>
    <hyperlink ref="D901" r:id="rId898" display="https://www.incometaxindia.gov.in/w/section-201-60"/>
    <hyperlink ref="D902" r:id="rId899" display="https://taxmann.com/post/blog/analysis-clause-44-of-tax-audit-report-along-with-illustrations"/>
    <hyperlink ref="D903" r:id="rId900" display="https://taxguru.in/income-tax/tax-audit-fy-2025-26-guide-form-3cd.html"/>
    <hyperlink ref="D904" r:id="rId901" display="https://PRSINDIA.org/files/bills_acts/acts_parliament/2006/the-micro-small-and-medium-enterprises-development-act-2006.pdf"/>
    <hyperlink ref="D905" r:id="rId902" display="https://www.taxmann.com/post/blog/cbdt-issues-corrigendum-to-include-sec-43bh-disallowance-under-clause-22-of-form-3cd/"/>
    <hyperlink ref="D906" r:id="rId903" display="https://www.india-briefing.com/news/msme-tax-audit-form-3cd-clauses-22-26-fy-2025-26-47290.html/"/>
    <hyperlink ref="D907" r:id="rId904" display="https://www.incometaxindia.gov.in/w/section-37-169"/>
    <hyperlink ref="D908" r:id="rId905" display="https://taxguru.in/income-tax/tax-audit-fy-2025-26-guide-form-3cd.html"/>
    <hyperlink ref="D909" r:id="rId906" display="https://eztax.in/income-tax-act-2025/section-35"/>
    <hyperlink ref="D910" r:id="rId907" display="https://thetaxtalk.com/2025/07/a-simple-checklist-for-clause-34-of-tax-audit-report-to-be-considered-by-auditors/"/>
    <hyperlink ref="D911" r:id="rId908" display="https://PRSINDIA.org/files/bills_acts/acts_parliament/2006/the-micro-small-and-medium-enterprises-development-act-2006.pdf"/>
    <hyperlink ref="D912" r:id="rId909" display="https://www.incometaxindia.gov.in/w/section-37-169"/>
    <hyperlink ref="D913" r:id="rId910" display="https://taxguru.in/income-tax/finance-ministry-clarifies-section-43bh-45-day-msme-payment-rule.html"/>
    <hyperlink ref="D914" r:id="rId911" display="https://www.taxmann.com/post/blog/cbdt-issues-corrigendum-to-include-sec-43bh-disallowance-under-clause-22-of-form-3cd/"/>
    <hyperlink ref="D915" r:id="rId912" display="https://www.epfindia.gov.in:443/site_docs/PDFs/EPFOUnifiedPortal/Introduction_ECR2.0.pdf"/>
    <hyperlink ref="D916" r:id="rId913" display="https://epfindia.gov.in/site_docs/PDFs/OnlineECR_PDFs/ECR_ForEmployers_FileStructure.pdf"/>
    <hyperlink ref="D917" r:id="rId914" display="https://www.sgcms.com/regulatory-updates/faqs-by-epfo-wage-ceiling-raised-to-25000/"/>
    <hyperlink ref="D918" r:id="rId915" display="https://assets.kpmg.com/content/dam/kpmgsites/in/pdf/2026/07/KPMG-Flash-News-New-Social-Security-Schemes-2026.pdf"/>
    <hyperlink ref="D919" r:id="rId916" display="https://www.epfindia.gov.in:443/site_docs/PDFs/EPFOUnifiedPortal/Introduction_ECR2.0.pdf"/>
    <hyperlink ref="D920" r:id="rId917" display="https://assets.kpmg.com/content/dam/kpmgsites/in/pdf/2026/07/KPMG-Flash-News-New-Social-Security-Schemes-2026.pdf"/>
    <hyperlink ref="D921" r:id="rId918" display="https://khaitanco.com/thought-leadership/Big-Move-in-the-EPF-Regime"/>
    <hyperlink ref="D922" r:id="rId919" display="https://web.esic.gov.in/web/esic/contribution"/>
    <hyperlink ref="D923" r:id="rId920" display="https://taxclue.in/blog/rule-19-20-social-security-central-rules-2026-rate-of-contributions-and-administrative-expenses/"/>
    <hyperlink ref="D924" r:id="rId921" display="https://bankbazaar.com/tax/maharashtra-professional-tax-slab-rate.html"/>
    <hyperlink ref="D925" r:id="rId922" display="https://taxguru.in/company-law/summary-clauses-caro-2020-consequential-amendments-schedule-iii-companies-act-2013.html"/>
    <hyperlink ref="D926" r:id="rId923" display="https://www.casemine.com/commentary/in/supreme-court-affirmation-on-disallowance-of-late-employee-contributions-under-section-36(1)(va)/view"/>
    <hyperlink ref="D927" r:id="rId924" display="https://taxguru.in/income-tax/pf-esi-deduction-denied-employees-contribution-deposited-statutory-due-date.html"/>
    <hyperlink ref="D928" r:id="rId925" display="https://eztax.in/income-tax-act-2025/section-29"/>
    <hyperlink ref="D929" r:id="rId926" display="https://ksandk.com/labour-employment/50-wage-rule-labour-codes-salary-pf-gratuity/"/>
    <hyperlink ref="D930" r:id="rId927" display="https://www.sgcms.com/regulatory-updates/faqs-by-epfo-wage-ceiling-raised-to-25000/"/>
    <hyperlink ref="D931" r:id="rId928" display="https://employmentlaw.lkslaw.com/gratuity-guide-2025"/>
    <hyperlink ref="D932" r:id="rId929" display="https://www.scconline.com/blog/post/2026/08/26/bonus-rules-under-code-on-wages-eligibility-calculation/"/>
    <hyperlink ref="D933" r:id="rId930" display="https://www.rbi.org.in/commonman/English/scripts/Notification.aspx?Id=961"/>
    <hyperlink ref="D934" r:id="rId931" display="https://www.bajajfinserv.in/gst-on-bank-account"/>
    <hyperlink ref="D935" r:id="rId932" display="https://www.incometaxindia.gov.in/w/section-393-6"/>
    <hyperlink ref="D936" r:id="rId933" display="https://www.incometaxindia.gov.in/w/rule-37ba"/>
    <hyperlink ref="D937" r:id="rId934" display="https://blog.tdsman.com/2018/09/faq-on-form-26as-2/"/>
    <hyperlink ref="D938" r:id="rId935" display="https://www.idfcfirst.bank.in/content/dam/IDFCFirstBank/PDF/TDS/FAQs_on_cash_withdrawal_TDS.pdf"/>
    <hyperlink ref="D939" r:id="rId936" display="https://incometaxindia.gov.in/Tutorials/52.Section-194N.pdf"/>
    <hyperlink ref="D940" r:id="rId937" display="https://www.incometaxindia.gov.in/w/section-393-6"/>
    <hyperlink ref="D941" r:id="rId938" display="https://www.taxaj.com/learn/?p=304"/>
    <hyperlink ref="D942" r:id="rId939" display="https://www.incometaxindia.gov.in/annual-information-statement"/>
    <hyperlink ref="D943" r:id="rId940" display="https://www.incometaxindia.gov.in/w/understanding-statement-of-financial-transaction-sft-"/>
    <hyperlink ref="D944" r:id="rId941" display="https://www.dpncindia.com/amendment-in-schedule-iii-of-the-companies-act-2013-applicable-w-e-f-01-04-2021"/>
    <hyperlink ref="D945" r:id="rId942" display="https://www.dpncindia.com/amendment-in-schedule-iii-of-the-companies-act-2013-applicable-w-e-f-01-04-2021"/>
    <hyperlink ref="D946" r:id="rId943" display="https://www.dpncindia.com/amendment-in-schedule-iii-of-the-companies-act-2013-applicable-w-e-f-01-04-2021"/>
    <hyperlink ref="D947" r:id="rId944" display="https://www.dpncindia.com/amendment-in-schedule-iii-of-the-companies-act-2013-applicable-w-e-f-01-04-2021"/>
    <hyperlink ref="D948" r:id="rId945" display="https://ca2013.com/schedule-ii/"/>
    <hyperlink ref="D949" r:id="rId946" display="https://thetaxtalk.com/2022/05/caro-2020-auditor-now-required-to-check-the-quarterly-return-filed-by-the-company-with-the-banker/"/>
    <hyperlink ref="D950" r:id="rId947" display="https://taxguru.in/company-law/summary-clauses-caro-2020-consequential-amendments-schedule-iii-companies-act-2013.html"/>
    <hyperlink ref="D951" r:id="rId948" display="https://www.dpncindia.com/amendment-in-schedule-iii-of-the-companies-act-2013-applicable-w-e-f-01-04-2021"/>
    <hyperlink ref="D952" r:id="rId949" display="https://PRSINDIA.org/files/bills_acts/acts_parliament/2006/the-micro-small-and-medium-enterprises-development-act-2006.pdf"/>
    <hyperlink ref="D953" r:id="rId950" display="https://taxmann.com/post/blog/a-study-of-provisions-of-the-msmed-act-related-disclosure-under-schedule-iii-of-companies-act"/>
    <hyperlink ref="D954" r:id="rId951" display="https://www.taxmann.com/post/blog/mca-revises-msme-form-1-with-enhanced-disclosures-for-reporting-payments-pending-over-45-days-to-micro-small-enterprises/"/>
    <hyperlink ref="D955" r:id="rId952" display="https://rbi.org.i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5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D50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70"/>
    <col collapsed="false" customWidth="true" hidden="false" outlineLevel="0" max="4" min="4" style="0" width="80"/>
  </cols>
  <sheetData>
    <row r="1" customFormat="false" ht="30" hidden="false" customHeight="true" outlineLevel="0" collapsed="false">
      <c r="A1" s="18" t="s">
        <v>15483</v>
      </c>
      <c r="B1" s="18"/>
      <c r="C1" s="18"/>
      <c r="D1" s="19" t="s">
        <v>29</v>
      </c>
    </row>
    <row r="2" customFormat="false" ht="31.5" hidden="false" customHeight="true" outlineLevel="0" collapsed="false">
      <c r="A2" s="20" t="s">
        <v>15484</v>
      </c>
      <c r="B2" s="20"/>
      <c r="C2" s="20"/>
      <c r="D2" s="20"/>
    </row>
    <row r="4" customFormat="false" ht="33.75" hidden="false" customHeight="true" outlineLevel="0" collapsed="false">
      <c r="A4" s="21" t="s">
        <v>31</v>
      </c>
      <c r="B4" s="21" t="s">
        <v>15485</v>
      </c>
      <c r="C4" s="21" t="s">
        <v>3430</v>
      </c>
      <c r="D4" s="21" t="s">
        <v>14411</v>
      </c>
    </row>
    <row r="5" customFormat="false" ht="24.75" hidden="false" customHeight="true" outlineLevel="0" collapsed="false">
      <c r="A5" s="22" t="n">
        <v>1</v>
      </c>
      <c r="B5" s="22" t="s">
        <v>50</v>
      </c>
      <c r="C5" s="22" t="s">
        <v>14414</v>
      </c>
      <c r="D5" s="23" t="s">
        <v>13710</v>
      </c>
    </row>
    <row r="6" customFormat="false" ht="15" hidden="false" customHeight="true" outlineLevel="0" collapsed="false">
      <c r="A6" s="22" t="n">
        <v>2</v>
      </c>
      <c r="B6" s="22" t="s">
        <v>50</v>
      </c>
      <c r="C6" s="22" t="s">
        <v>14417</v>
      </c>
      <c r="D6" s="23" t="s">
        <v>14418</v>
      </c>
    </row>
    <row r="7" customFormat="false" ht="15" hidden="false" customHeight="true" outlineLevel="0" collapsed="false">
      <c r="A7" s="22" t="n">
        <v>3</v>
      </c>
      <c r="B7" s="22" t="s">
        <v>50</v>
      </c>
      <c r="C7" s="22" t="s">
        <v>14421</v>
      </c>
      <c r="D7" s="23" t="s">
        <v>14422</v>
      </c>
    </row>
    <row r="8" customFormat="false" ht="15" hidden="false" customHeight="true" outlineLevel="0" collapsed="false">
      <c r="A8" s="22" t="n">
        <v>4</v>
      </c>
      <c r="B8" s="22" t="s">
        <v>50</v>
      </c>
      <c r="C8" s="22" t="s">
        <v>14439</v>
      </c>
      <c r="D8" s="23" t="s">
        <v>14440</v>
      </c>
    </row>
    <row r="9" customFormat="false" ht="15" hidden="false" customHeight="true" outlineLevel="0" collapsed="false">
      <c r="A9" s="22" t="n">
        <v>5</v>
      </c>
      <c r="B9" s="22" t="s">
        <v>50</v>
      </c>
      <c r="C9" s="22" t="s">
        <v>14447</v>
      </c>
      <c r="D9" s="23" t="s">
        <v>13736</v>
      </c>
    </row>
    <row r="10" customFormat="false" ht="15" hidden="false" customHeight="true" outlineLevel="0" collapsed="false">
      <c r="A10" s="22" t="n">
        <v>6</v>
      </c>
      <c r="B10" s="22" t="s">
        <v>50</v>
      </c>
      <c r="C10" s="22" t="s">
        <v>14454</v>
      </c>
      <c r="D10" s="23" t="s">
        <v>13718</v>
      </c>
    </row>
    <row r="11" customFormat="false" ht="15" hidden="false" customHeight="true" outlineLevel="0" collapsed="false">
      <c r="A11" s="22" t="n">
        <v>7</v>
      </c>
      <c r="B11" s="22" t="s">
        <v>50</v>
      </c>
      <c r="C11" s="22" t="s">
        <v>14456</v>
      </c>
      <c r="D11" s="23" t="s">
        <v>13761</v>
      </c>
    </row>
    <row r="12" customFormat="false" ht="15" hidden="false" customHeight="true" outlineLevel="0" collapsed="false">
      <c r="A12" s="22" t="n">
        <v>8</v>
      </c>
      <c r="B12" s="22" t="s">
        <v>50</v>
      </c>
      <c r="C12" s="22" t="s">
        <v>14461</v>
      </c>
      <c r="D12" s="23" t="s">
        <v>13728</v>
      </c>
    </row>
    <row r="13" customFormat="false" ht="15" hidden="false" customHeight="true" outlineLevel="0" collapsed="false">
      <c r="A13" s="22" t="n">
        <v>9</v>
      </c>
      <c r="B13" s="22" t="s">
        <v>50</v>
      </c>
      <c r="C13" s="22" t="s">
        <v>14466</v>
      </c>
      <c r="D13" s="23" t="s">
        <v>13732</v>
      </c>
    </row>
    <row r="14" customFormat="false" ht="15" hidden="false" customHeight="true" outlineLevel="0" collapsed="false">
      <c r="A14" s="22" t="n">
        <v>10</v>
      </c>
      <c r="B14" s="22" t="s">
        <v>50</v>
      </c>
      <c r="C14" s="22" t="s">
        <v>14468</v>
      </c>
      <c r="D14" s="23" t="s">
        <v>13725</v>
      </c>
    </row>
    <row r="15" customFormat="false" ht="24.75" hidden="false" customHeight="true" outlineLevel="0" collapsed="false">
      <c r="A15" s="22" t="n">
        <v>11</v>
      </c>
      <c r="B15" s="22" t="s">
        <v>50</v>
      </c>
      <c r="C15" s="22" t="s">
        <v>14473</v>
      </c>
      <c r="D15" s="23" t="s">
        <v>14474</v>
      </c>
    </row>
    <row r="16" customFormat="false" ht="15" hidden="false" customHeight="true" outlineLevel="0" collapsed="false">
      <c r="A16" s="22" t="n">
        <v>12</v>
      </c>
      <c r="B16" s="22" t="s">
        <v>50</v>
      </c>
      <c r="C16" s="22" t="s">
        <v>14488</v>
      </c>
      <c r="D16" s="23" t="s">
        <v>14489</v>
      </c>
    </row>
    <row r="17" customFormat="false" ht="15" hidden="false" customHeight="true" outlineLevel="0" collapsed="false">
      <c r="A17" s="22" t="n">
        <v>13</v>
      </c>
      <c r="B17" s="22" t="s">
        <v>50</v>
      </c>
      <c r="C17" s="22" t="s">
        <v>14479</v>
      </c>
      <c r="D17" s="23" t="s">
        <v>14480</v>
      </c>
    </row>
    <row r="18" customFormat="false" ht="15" hidden="false" customHeight="true" outlineLevel="0" collapsed="false">
      <c r="A18" s="22" t="n">
        <v>14</v>
      </c>
      <c r="B18" s="22" t="s">
        <v>50</v>
      </c>
      <c r="C18" s="22" t="s">
        <v>14485</v>
      </c>
      <c r="D18" s="23" t="s">
        <v>14486</v>
      </c>
    </row>
    <row r="19" customFormat="false" ht="15" hidden="false" customHeight="true" outlineLevel="0" collapsed="false">
      <c r="A19" s="22" t="n">
        <v>15</v>
      </c>
      <c r="B19" s="22" t="s">
        <v>50</v>
      </c>
      <c r="C19" s="22" t="s">
        <v>14482</v>
      </c>
      <c r="D19" s="23" t="s">
        <v>14483</v>
      </c>
    </row>
    <row r="20" customFormat="false" ht="15" hidden="false" customHeight="true" outlineLevel="0" collapsed="false">
      <c r="A20" s="22" t="n">
        <v>16</v>
      </c>
      <c r="B20" s="22" t="s">
        <v>50</v>
      </c>
      <c r="C20" s="22" t="s">
        <v>14476</v>
      </c>
      <c r="D20" s="23" t="s">
        <v>14477</v>
      </c>
    </row>
    <row r="21" customFormat="false" ht="24.75" hidden="false" customHeight="true" outlineLevel="0" collapsed="false">
      <c r="A21" s="22" t="n">
        <v>17</v>
      </c>
      <c r="B21" s="22" t="s">
        <v>50</v>
      </c>
      <c r="C21" s="22" t="s">
        <v>14463</v>
      </c>
      <c r="D21" s="23" t="s">
        <v>14464</v>
      </c>
    </row>
    <row r="22" customFormat="false" ht="15" hidden="false" customHeight="true" outlineLevel="0" collapsed="false">
      <c r="A22" s="22" t="n">
        <v>18</v>
      </c>
      <c r="B22" s="22" t="s">
        <v>50</v>
      </c>
      <c r="C22" s="22" t="s">
        <v>14509</v>
      </c>
      <c r="D22" s="23" t="s">
        <v>14510</v>
      </c>
    </row>
    <row r="23" customFormat="false" ht="15" hidden="false" customHeight="true" outlineLevel="0" collapsed="false">
      <c r="A23" s="22" t="n">
        <v>19</v>
      </c>
      <c r="B23" s="22" t="s">
        <v>50</v>
      </c>
      <c r="C23" s="22" t="s">
        <v>14512</v>
      </c>
      <c r="D23" s="23" t="s">
        <v>14513</v>
      </c>
    </row>
    <row r="24" customFormat="false" ht="15" hidden="false" customHeight="true" outlineLevel="0" collapsed="false">
      <c r="A24" s="22" t="n">
        <v>20</v>
      </c>
      <c r="B24" s="22" t="s">
        <v>50</v>
      </c>
      <c r="C24" s="22" t="s">
        <v>14515</v>
      </c>
      <c r="D24" s="23" t="s">
        <v>14516</v>
      </c>
    </row>
    <row r="25" customFormat="false" ht="15" hidden="false" customHeight="true" outlineLevel="0" collapsed="false">
      <c r="A25" s="22" t="n">
        <v>21</v>
      </c>
      <c r="B25" s="22" t="s">
        <v>50</v>
      </c>
      <c r="C25" s="22" t="s">
        <v>14524</v>
      </c>
      <c r="D25" s="23" t="s">
        <v>14525</v>
      </c>
    </row>
    <row r="26" customFormat="false" ht="24.75" hidden="false" customHeight="true" outlineLevel="0" collapsed="false">
      <c r="A26" s="22" t="n">
        <v>22</v>
      </c>
      <c r="B26" s="22" t="s">
        <v>50</v>
      </c>
      <c r="C26" s="22" t="s">
        <v>14530</v>
      </c>
      <c r="D26" s="23" t="s">
        <v>13752</v>
      </c>
    </row>
    <row r="27" customFormat="false" ht="15" hidden="false" customHeight="true" outlineLevel="0" collapsed="false">
      <c r="A27" s="22" t="n">
        <v>23</v>
      </c>
      <c r="B27" s="22" t="s">
        <v>50</v>
      </c>
      <c r="C27" s="22" t="s">
        <v>14434</v>
      </c>
      <c r="D27" s="23" t="s">
        <v>14435</v>
      </c>
    </row>
    <row r="28" customFormat="false" ht="15" hidden="false" customHeight="true" outlineLevel="0" collapsed="false">
      <c r="A28" s="22" t="n">
        <v>24</v>
      </c>
      <c r="B28" s="22" t="s">
        <v>50</v>
      </c>
      <c r="C28" s="22" t="s">
        <v>14521</v>
      </c>
      <c r="D28" s="23" t="s">
        <v>14522</v>
      </c>
    </row>
    <row r="29" customFormat="false" ht="15" hidden="false" customHeight="true" outlineLevel="0" collapsed="false">
      <c r="A29" s="22" t="n">
        <v>25</v>
      </c>
      <c r="B29" s="22" t="s">
        <v>50</v>
      </c>
      <c r="C29" s="22" t="s">
        <v>14532</v>
      </c>
      <c r="D29" s="23" t="s">
        <v>14533</v>
      </c>
    </row>
    <row r="30" customFormat="false" ht="15" hidden="false" customHeight="true" outlineLevel="0" collapsed="false">
      <c r="A30" s="22" t="n">
        <v>26</v>
      </c>
      <c r="B30" s="22" t="s">
        <v>50</v>
      </c>
      <c r="C30" s="22" t="s">
        <v>14500</v>
      </c>
      <c r="D30" s="23" t="s">
        <v>14501</v>
      </c>
    </row>
    <row r="31" customFormat="false" ht="15" hidden="false" customHeight="true" outlineLevel="0" collapsed="false">
      <c r="A31" s="22" t="n">
        <v>27</v>
      </c>
      <c r="B31" s="22" t="s">
        <v>50</v>
      </c>
      <c r="C31" s="22" t="s">
        <v>14553</v>
      </c>
      <c r="D31" s="23" t="s">
        <v>14014</v>
      </c>
    </row>
    <row r="32" customFormat="false" ht="15" hidden="false" customHeight="true" outlineLevel="0" collapsed="false">
      <c r="A32" s="22" t="n">
        <v>28</v>
      </c>
      <c r="B32" s="22" t="s">
        <v>50</v>
      </c>
      <c r="C32" s="22" t="s">
        <v>14432</v>
      </c>
      <c r="D32" s="23" t="s">
        <v>13765</v>
      </c>
    </row>
    <row r="33" customFormat="false" ht="15" hidden="false" customHeight="true" outlineLevel="0" collapsed="false">
      <c r="A33" s="22" t="n">
        <v>29</v>
      </c>
      <c r="B33" s="22" t="s">
        <v>50</v>
      </c>
      <c r="C33" s="22" t="s">
        <v>14506</v>
      </c>
      <c r="D33" s="23" t="s">
        <v>14507</v>
      </c>
    </row>
    <row r="34" customFormat="false" ht="15" hidden="false" customHeight="true" outlineLevel="0" collapsed="false">
      <c r="A34" s="22" t="n">
        <v>30</v>
      </c>
      <c r="B34" s="22" t="s">
        <v>50</v>
      </c>
      <c r="C34" s="22" t="s">
        <v>14558</v>
      </c>
      <c r="D34" s="23" t="s">
        <v>14559</v>
      </c>
    </row>
    <row r="35" customFormat="false" ht="15" hidden="false" customHeight="true" outlineLevel="0" collapsed="false">
      <c r="A35" s="22" t="n">
        <v>31</v>
      </c>
      <c r="B35" s="22" t="s">
        <v>50</v>
      </c>
      <c r="C35" s="22" t="s">
        <v>14561</v>
      </c>
      <c r="D35" s="23" t="s">
        <v>14562</v>
      </c>
    </row>
    <row r="36" customFormat="false" ht="15" hidden="false" customHeight="true" outlineLevel="0" collapsed="false">
      <c r="A36" s="22" t="n">
        <v>32</v>
      </c>
      <c r="B36" s="22" t="s">
        <v>50</v>
      </c>
      <c r="C36" s="22" t="s">
        <v>14527</v>
      </c>
      <c r="D36" s="23" t="s">
        <v>14528</v>
      </c>
    </row>
    <row r="37" customFormat="false" ht="15" hidden="false" customHeight="true" outlineLevel="0" collapsed="false">
      <c r="A37" s="22" t="n">
        <v>33</v>
      </c>
      <c r="B37" s="22" t="s">
        <v>50</v>
      </c>
      <c r="C37" s="22" t="s">
        <v>14518</v>
      </c>
      <c r="D37" s="23" t="s">
        <v>14519</v>
      </c>
    </row>
    <row r="38" customFormat="false" ht="15" hidden="false" customHeight="true" outlineLevel="0" collapsed="false">
      <c r="A38" s="22" t="n">
        <v>34</v>
      </c>
      <c r="B38" s="22" t="s">
        <v>50</v>
      </c>
      <c r="C38" s="22" t="s">
        <v>14437</v>
      </c>
      <c r="D38" s="23" t="s">
        <v>13984</v>
      </c>
    </row>
    <row r="39" customFormat="false" ht="15" hidden="false" customHeight="true" outlineLevel="0" collapsed="false">
      <c r="A39" s="22" t="n">
        <v>35</v>
      </c>
      <c r="B39" s="22" t="s">
        <v>50</v>
      </c>
      <c r="C39" s="22" t="s">
        <v>14535</v>
      </c>
      <c r="D39" s="23" t="s">
        <v>14005</v>
      </c>
    </row>
    <row r="40" customFormat="false" ht="15" hidden="false" customHeight="true" outlineLevel="0" collapsed="false">
      <c r="A40" s="22" t="n">
        <v>36</v>
      </c>
      <c r="B40" s="22" t="s">
        <v>50</v>
      </c>
      <c r="C40" s="22" t="s">
        <v>15486</v>
      </c>
      <c r="D40" s="23" t="s">
        <v>15487</v>
      </c>
    </row>
    <row r="41" customFormat="false" ht="15" hidden="false" customHeight="true" outlineLevel="0" collapsed="false">
      <c r="A41" s="22" t="n">
        <v>37</v>
      </c>
      <c r="B41" s="22" t="s">
        <v>50</v>
      </c>
      <c r="C41" s="22" t="s">
        <v>14546</v>
      </c>
      <c r="D41" s="23" t="s">
        <v>14547</v>
      </c>
    </row>
    <row r="42" customFormat="false" ht="24.75" hidden="false" customHeight="true" outlineLevel="0" collapsed="false">
      <c r="A42" s="22" t="n">
        <v>38</v>
      </c>
      <c r="B42" s="22" t="s">
        <v>50</v>
      </c>
      <c r="C42" s="22" t="s">
        <v>15488</v>
      </c>
      <c r="D42" s="23" t="s">
        <v>15489</v>
      </c>
    </row>
    <row r="43" customFormat="false" ht="24.75" hidden="false" customHeight="true" outlineLevel="0" collapsed="false">
      <c r="A43" s="22" t="n">
        <v>39</v>
      </c>
      <c r="B43" s="22" t="s">
        <v>50</v>
      </c>
      <c r="C43" s="22" t="s">
        <v>14442</v>
      </c>
      <c r="D43" s="23" t="s">
        <v>14443</v>
      </c>
    </row>
    <row r="44" customFormat="false" ht="15" hidden="false" customHeight="true" outlineLevel="0" collapsed="false">
      <c r="A44" s="22" t="n">
        <v>40</v>
      </c>
      <c r="B44" s="22" t="s">
        <v>50</v>
      </c>
      <c r="C44" s="22" t="s">
        <v>14427</v>
      </c>
      <c r="D44" s="23" t="s">
        <v>14428</v>
      </c>
    </row>
    <row r="45" customFormat="false" ht="24.75" hidden="false" customHeight="true" outlineLevel="0" collapsed="false">
      <c r="A45" s="22" t="n">
        <v>41</v>
      </c>
      <c r="B45" s="22" t="s">
        <v>50</v>
      </c>
      <c r="C45" s="22" t="s">
        <v>14537</v>
      </c>
      <c r="D45" s="23" t="s">
        <v>14538</v>
      </c>
    </row>
    <row r="46" customFormat="false" ht="15" hidden="false" customHeight="true" outlineLevel="0" collapsed="false">
      <c r="A46" s="22" t="n">
        <v>42</v>
      </c>
      <c r="B46" s="22" t="s">
        <v>50</v>
      </c>
      <c r="C46" s="22" t="s">
        <v>14540</v>
      </c>
      <c r="D46" s="23" t="s">
        <v>14541</v>
      </c>
    </row>
    <row r="47" customFormat="false" ht="24.75" hidden="false" customHeight="true" outlineLevel="0" collapsed="false">
      <c r="A47" s="22" t="n">
        <v>43</v>
      </c>
      <c r="B47" s="22" t="s">
        <v>50</v>
      </c>
      <c r="C47" s="22" t="s">
        <v>14555</v>
      </c>
      <c r="D47" s="23" t="s">
        <v>14556</v>
      </c>
    </row>
    <row r="48" customFormat="false" ht="15" hidden="false" customHeight="true" outlineLevel="0" collapsed="false">
      <c r="A48" s="22" t="n">
        <v>44</v>
      </c>
      <c r="B48" s="22" t="s">
        <v>50</v>
      </c>
      <c r="C48" s="22" t="s">
        <v>14543</v>
      </c>
      <c r="D48" s="23" t="s">
        <v>14544</v>
      </c>
    </row>
    <row r="49" customFormat="false" ht="15" hidden="false" customHeight="true" outlineLevel="0" collapsed="false">
      <c r="A49" s="22" t="n">
        <v>45</v>
      </c>
      <c r="B49" s="22" t="s">
        <v>50</v>
      </c>
      <c r="C49" s="22" t="s">
        <v>14430</v>
      </c>
      <c r="D49" s="23" t="s">
        <v>14022</v>
      </c>
    </row>
    <row r="50" customFormat="false" ht="24.75" hidden="false" customHeight="true" outlineLevel="0" collapsed="false">
      <c r="A50" s="22" t="n">
        <v>46</v>
      </c>
      <c r="B50" s="22" t="s">
        <v>50</v>
      </c>
      <c r="C50" s="22" t="s">
        <v>14449</v>
      </c>
      <c r="D50" s="23" t="s">
        <v>14450</v>
      </c>
    </row>
    <row r="51" customFormat="false" ht="24.75" hidden="false" customHeight="true" outlineLevel="0" collapsed="false">
      <c r="A51" s="22" t="n">
        <v>47</v>
      </c>
      <c r="B51" s="22" t="s">
        <v>50</v>
      </c>
      <c r="C51" s="22" t="s">
        <v>14470</v>
      </c>
      <c r="D51" s="23" t="s">
        <v>14471</v>
      </c>
    </row>
    <row r="52" customFormat="false" ht="15" hidden="false" customHeight="true" outlineLevel="0" collapsed="false">
      <c r="A52" s="22" t="n">
        <v>48</v>
      </c>
      <c r="B52" s="22" t="s">
        <v>50</v>
      </c>
      <c r="C52" s="22" t="s">
        <v>14445</v>
      </c>
      <c r="D52" s="23" t="s">
        <v>13993</v>
      </c>
    </row>
    <row r="53" customFormat="false" ht="15" hidden="false" customHeight="true" outlineLevel="0" collapsed="false">
      <c r="A53" s="22" t="n">
        <v>49</v>
      </c>
      <c r="B53" s="22" t="s">
        <v>50</v>
      </c>
      <c r="C53" s="22" t="s">
        <v>14491</v>
      </c>
      <c r="D53" s="23" t="s">
        <v>14492</v>
      </c>
    </row>
    <row r="54" customFormat="false" ht="15" hidden="false" customHeight="true" outlineLevel="0" collapsed="false">
      <c r="A54" s="22" t="n">
        <v>50</v>
      </c>
      <c r="B54" s="22" t="s">
        <v>50</v>
      </c>
      <c r="C54" s="22" t="s">
        <v>14452</v>
      </c>
      <c r="D54" s="23" t="s">
        <v>13997</v>
      </c>
    </row>
    <row r="55" customFormat="false" ht="15" hidden="false" customHeight="true" outlineLevel="0" collapsed="false">
      <c r="A55" s="22" t="n">
        <v>51</v>
      </c>
      <c r="B55" s="22" t="s">
        <v>50</v>
      </c>
      <c r="C55" s="22" t="s">
        <v>14494</v>
      </c>
      <c r="D55" s="23" t="s">
        <v>14495</v>
      </c>
    </row>
    <row r="56" customFormat="false" ht="15" hidden="false" customHeight="true" outlineLevel="0" collapsed="false">
      <c r="A56" s="22" t="n">
        <v>52</v>
      </c>
      <c r="B56" s="22" t="s">
        <v>50</v>
      </c>
      <c r="C56" s="22" t="s">
        <v>14497</v>
      </c>
      <c r="D56" s="23" t="s">
        <v>14498</v>
      </c>
    </row>
    <row r="57" customFormat="false" ht="15" hidden="false" customHeight="true" outlineLevel="0" collapsed="false">
      <c r="A57" s="22" t="n">
        <v>53</v>
      </c>
      <c r="B57" s="22" t="s">
        <v>50</v>
      </c>
      <c r="C57" s="22" t="s">
        <v>14458</v>
      </c>
      <c r="D57" s="23" t="s">
        <v>14459</v>
      </c>
    </row>
    <row r="58" customFormat="false" ht="15" hidden="false" customHeight="true" outlineLevel="0" collapsed="false">
      <c r="A58" s="22" t="n">
        <v>54</v>
      </c>
      <c r="B58" s="22" t="s">
        <v>50</v>
      </c>
      <c r="C58" s="22" t="s">
        <v>14503</v>
      </c>
      <c r="D58" s="23" t="s">
        <v>14504</v>
      </c>
    </row>
    <row r="59" customFormat="false" ht="15" hidden="false" customHeight="true" outlineLevel="0" collapsed="false">
      <c r="A59" s="22" t="n">
        <v>55</v>
      </c>
      <c r="B59" s="22" t="s">
        <v>50</v>
      </c>
      <c r="C59" s="22" t="s">
        <v>14424</v>
      </c>
      <c r="D59" s="23" t="s">
        <v>14425</v>
      </c>
    </row>
    <row r="60" customFormat="false" ht="24.75" hidden="false" customHeight="true" outlineLevel="0" collapsed="false">
      <c r="A60" s="22" t="n">
        <v>56</v>
      </c>
      <c r="B60" s="22" t="s">
        <v>50</v>
      </c>
      <c r="C60" s="22" t="s">
        <v>15490</v>
      </c>
      <c r="D60" s="23" t="s">
        <v>15491</v>
      </c>
    </row>
    <row r="61" customFormat="false" ht="24.75" hidden="false" customHeight="true" outlineLevel="0" collapsed="false">
      <c r="A61" s="22" t="n">
        <v>57</v>
      </c>
      <c r="B61" s="22" t="s">
        <v>50</v>
      </c>
      <c r="C61" s="22" t="s">
        <v>15492</v>
      </c>
      <c r="D61" s="23" t="s">
        <v>15493</v>
      </c>
    </row>
    <row r="62" customFormat="false" ht="15" hidden="false" customHeight="true" outlineLevel="0" collapsed="false">
      <c r="A62" s="22" t="n">
        <v>58</v>
      </c>
      <c r="B62" s="22" t="s">
        <v>50</v>
      </c>
      <c r="C62" s="22" t="s">
        <v>15494</v>
      </c>
      <c r="D62" s="23" t="s">
        <v>15495</v>
      </c>
    </row>
    <row r="63" customFormat="false" ht="24.75" hidden="false" customHeight="true" outlineLevel="0" collapsed="false">
      <c r="A63" s="22" t="n">
        <v>59</v>
      </c>
      <c r="B63" s="22" t="s">
        <v>13964</v>
      </c>
      <c r="C63" s="22" t="s">
        <v>14565</v>
      </c>
      <c r="D63" s="23" t="s">
        <v>13710</v>
      </c>
    </row>
    <row r="64" customFormat="false" ht="15" hidden="false" customHeight="true" outlineLevel="0" collapsed="false">
      <c r="A64" s="22" t="n">
        <v>60</v>
      </c>
      <c r="B64" s="22" t="s">
        <v>13964</v>
      </c>
      <c r="C64" s="22" t="s">
        <v>14566</v>
      </c>
      <c r="D64" s="23" t="s">
        <v>13783</v>
      </c>
    </row>
    <row r="65" customFormat="false" ht="15" hidden="false" customHeight="true" outlineLevel="0" collapsed="false">
      <c r="A65" s="22" t="n">
        <v>61</v>
      </c>
      <c r="B65" s="22" t="s">
        <v>13964</v>
      </c>
      <c r="C65" s="22" t="s">
        <v>14567</v>
      </c>
      <c r="D65" s="23" t="s">
        <v>14568</v>
      </c>
    </row>
    <row r="66" customFormat="false" ht="15" hidden="false" customHeight="true" outlineLevel="0" collapsed="false">
      <c r="A66" s="22" t="n">
        <v>62</v>
      </c>
      <c r="B66" s="22" t="s">
        <v>13964</v>
      </c>
      <c r="C66" s="22" t="s">
        <v>14569</v>
      </c>
      <c r="D66" s="23" t="s">
        <v>14570</v>
      </c>
    </row>
    <row r="67" customFormat="false" ht="15" hidden="false" customHeight="true" outlineLevel="0" collapsed="false">
      <c r="A67" s="22" t="n">
        <v>63</v>
      </c>
      <c r="B67" s="22" t="s">
        <v>13964</v>
      </c>
      <c r="C67" s="22" t="s">
        <v>14571</v>
      </c>
      <c r="D67" s="23" t="s">
        <v>14033</v>
      </c>
    </row>
    <row r="68" customFormat="false" ht="15" hidden="false" customHeight="true" outlineLevel="0" collapsed="false">
      <c r="A68" s="22" t="n">
        <v>64</v>
      </c>
      <c r="B68" s="22" t="s">
        <v>13964</v>
      </c>
      <c r="C68" s="22" t="s">
        <v>14572</v>
      </c>
      <c r="D68" s="23" t="s">
        <v>14573</v>
      </c>
    </row>
    <row r="69" customFormat="false" ht="15" hidden="false" customHeight="true" outlineLevel="0" collapsed="false">
      <c r="A69" s="22" t="n">
        <v>65</v>
      </c>
      <c r="B69" s="22" t="s">
        <v>13964</v>
      </c>
      <c r="C69" s="22" t="s">
        <v>14574</v>
      </c>
      <c r="D69" s="23" t="s">
        <v>14103</v>
      </c>
    </row>
    <row r="70" customFormat="false" ht="15" hidden="false" customHeight="true" outlineLevel="0" collapsed="false">
      <c r="A70" s="22" t="n">
        <v>66</v>
      </c>
      <c r="B70" s="22" t="s">
        <v>13964</v>
      </c>
      <c r="C70" s="22" t="s">
        <v>14575</v>
      </c>
      <c r="D70" s="23" t="s">
        <v>14099</v>
      </c>
    </row>
    <row r="71" customFormat="false" ht="15" hidden="false" customHeight="true" outlineLevel="0" collapsed="false">
      <c r="A71" s="22" t="n">
        <v>67</v>
      </c>
      <c r="B71" s="22" t="s">
        <v>13964</v>
      </c>
      <c r="C71" s="22" t="s">
        <v>14576</v>
      </c>
      <c r="D71" s="23" t="s">
        <v>14577</v>
      </c>
    </row>
    <row r="72" customFormat="false" ht="15" hidden="false" customHeight="true" outlineLevel="0" collapsed="false">
      <c r="A72" s="22" t="n">
        <v>68</v>
      </c>
      <c r="B72" s="22" t="s">
        <v>13964</v>
      </c>
      <c r="C72" s="22" t="s">
        <v>14578</v>
      </c>
      <c r="D72" s="23" t="s">
        <v>14095</v>
      </c>
    </row>
    <row r="73" customFormat="false" ht="15" hidden="false" customHeight="true" outlineLevel="0" collapsed="false">
      <c r="A73" s="22" t="n">
        <v>69</v>
      </c>
      <c r="B73" s="22" t="s">
        <v>13964</v>
      </c>
      <c r="C73" s="22" t="s">
        <v>14579</v>
      </c>
      <c r="D73" s="23" t="s">
        <v>14580</v>
      </c>
    </row>
    <row r="74" customFormat="false" ht="15" hidden="false" customHeight="true" outlineLevel="0" collapsed="false">
      <c r="A74" s="22" t="n">
        <v>70</v>
      </c>
      <c r="B74" s="22" t="s">
        <v>13964</v>
      </c>
      <c r="C74" s="22" t="s">
        <v>14581</v>
      </c>
      <c r="D74" s="23" t="s">
        <v>14087</v>
      </c>
    </row>
    <row r="75" customFormat="false" ht="15" hidden="false" customHeight="true" outlineLevel="0" collapsed="false">
      <c r="A75" s="22" t="n">
        <v>71</v>
      </c>
      <c r="B75" s="22" t="s">
        <v>13964</v>
      </c>
      <c r="C75" s="22" t="s">
        <v>14582</v>
      </c>
      <c r="D75" s="23" t="s">
        <v>14583</v>
      </c>
    </row>
    <row r="76" customFormat="false" ht="15" hidden="false" customHeight="true" outlineLevel="0" collapsed="false">
      <c r="A76" s="22" t="n">
        <v>72</v>
      </c>
      <c r="B76" s="22" t="s">
        <v>13964</v>
      </c>
      <c r="C76" s="22" t="s">
        <v>14584</v>
      </c>
      <c r="D76" s="23" t="s">
        <v>14585</v>
      </c>
    </row>
    <row r="77" customFormat="false" ht="15" hidden="false" customHeight="true" outlineLevel="0" collapsed="false">
      <c r="A77" s="22" t="n">
        <v>73</v>
      </c>
      <c r="B77" s="22" t="s">
        <v>13964</v>
      </c>
      <c r="C77" s="22" t="s">
        <v>14586</v>
      </c>
      <c r="D77" s="23" t="s">
        <v>14587</v>
      </c>
    </row>
    <row r="78" customFormat="false" ht="15" hidden="false" customHeight="true" outlineLevel="0" collapsed="false">
      <c r="A78" s="22" t="n">
        <v>74</v>
      </c>
      <c r="B78" s="22" t="s">
        <v>13964</v>
      </c>
      <c r="C78" s="22" t="s">
        <v>14588</v>
      </c>
      <c r="D78" s="23" t="s">
        <v>14091</v>
      </c>
    </row>
    <row r="79" customFormat="false" ht="15" hidden="false" customHeight="true" outlineLevel="0" collapsed="false">
      <c r="A79" s="22" t="n">
        <v>75</v>
      </c>
      <c r="B79" s="22" t="s">
        <v>13964</v>
      </c>
      <c r="C79" s="22" t="s">
        <v>14589</v>
      </c>
      <c r="D79" s="23" t="s">
        <v>14590</v>
      </c>
    </row>
    <row r="80" customFormat="false" ht="15" hidden="false" customHeight="true" outlineLevel="0" collapsed="false">
      <c r="A80" s="22" t="n">
        <v>76</v>
      </c>
      <c r="B80" s="22" t="s">
        <v>13964</v>
      </c>
      <c r="C80" s="22" t="s">
        <v>14591</v>
      </c>
      <c r="D80" s="23" t="s">
        <v>14592</v>
      </c>
    </row>
    <row r="81" customFormat="false" ht="24.75" hidden="false" customHeight="true" outlineLevel="0" collapsed="false">
      <c r="A81" s="22" t="n">
        <v>77</v>
      </c>
      <c r="B81" s="22" t="s">
        <v>13964</v>
      </c>
      <c r="C81" s="22" t="s">
        <v>14593</v>
      </c>
      <c r="D81" s="23" t="s">
        <v>14594</v>
      </c>
    </row>
    <row r="82" customFormat="false" ht="15" hidden="false" customHeight="true" outlineLevel="0" collapsed="false">
      <c r="A82" s="22" t="n">
        <v>78</v>
      </c>
      <c r="B82" s="22" t="s">
        <v>13964</v>
      </c>
      <c r="C82" s="22" t="s">
        <v>14595</v>
      </c>
      <c r="D82" s="23" t="s">
        <v>14596</v>
      </c>
    </row>
    <row r="83" customFormat="false" ht="37.5" hidden="false" customHeight="true" outlineLevel="0" collapsed="false">
      <c r="A83" s="22" t="n">
        <v>79</v>
      </c>
      <c r="B83" s="22" t="s">
        <v>13964</v>
      </c>
      <c r="C83" s="22" t="s">
        <v>14597</v>
      </c>
      <c r="D83" s="23" t="s">
        <v>14041</v>
      </c>
    </row>
    <row r="84" customFormat="false" ht="15" hidden="false" customHeight="true" outlineLevel="0" collapsed="false">
      <c r="A84" s="22" t="n">
        <v>80</v>
      </c>
      <c r="B84" s="22" t="s">
        <v>13964</v>
      </c>
      <c r="C84" s="22" t="s">
        <v>14598</v>
      </c>
      <c r="D84" s="23" t="s">
        <v>14599</v>
      </c>
    </row>
    <row r="85" customFormat="false" ht="15" hidden="false" customHeight="true" outlineLevel="0" collapsed="false">
      <c r="A85" s="22" t="n">
        <v>81</v>
      </c>
      <c r="B85" s="22" t="s">
        <v>13964</v>
      </c>
      <c r="C85" s="22" t="s">
        <v>14600</v>
      </c>
      <c r="D85" s="23" t="s">
        <v>14601</v>
      </c>
    </row>
    <row r="86" customFormat="false" ht="15" hidden="false" customHeight="true" outlineLevel="0" collapsed="false">
      <c r="A86" s="22" t="n">
        <v>82</v>
      </c>
      <c r="B86" s="22" t="s">
        <v>13964</v>
      </c>
      <c r="C86" s="22" t="s">
        <v>14602</v>
      </c>
      <c r="D86" s="23" t="s">
        <v>14603</v>
      </c>
    </row>
    <row r="87" customFormat="false" ht="24.75" hidden="false" customHeight="true" outlineLevel="0" collapsed="false">
      <c r="A87" s="22" t="n">
        <v>83</v>
      </c>
      <c r="B87" s="22" t="s">
        <v>13964</v>
      </c>
      <c r="C87" s="22" t="s">
        <v>14604</v>
      </c>
      <c r="D87" s="23" t="s">
        <v>14065</v>
      </c>
    </row>
    <row r="88" customFormat="false" ht="24.75" hidden="false" customHeight="true" outlineLevel="0" collapsed="false">
      <c r="A88" s="22" t="n">
        <v>84</v>
      </c>
      <c r="B88" s="22" t="s">
        <v>13964</v>
      </c>
      <c r="C88" s="22" t="s">
        <v>14605</v>
      </c>
      <c r="D88" s="23" t="s">
        <v>14606</v>
      </c>
    </row>
    <row r="89" customFormat="false" ht="15" hidden="false" customHeight="true" outlineLevel="0" collapsed="false">
      <c r="A89" s="22" t="n">
        <v>85</v>
      </c>
      <c r="B89" s="22" t="s">
        <v>13964</v>
      </c>
      <c r="C89" s="22" t="s">
        <v>14607</v>
      </c>
      <c r="D89" s="23" t="s">
        <v>14608</v>
      </c>
    </row>
    <row r="90" customFormat="false" ht="15" hidden="false" customHeight="true" outlineLevel="0" collapsed="false">
      <c r="A90" s="22" t="n">
        <v>86</v>
      </c>
      <c r="B90" s="22" t="s">
        <v>13964</v>
      </c>
      <c r="C90" s="22" t="s">
        <v>14613</v>
      </c>
      <c r="D90" s="23" t="s">
        <v>14073</v>
      </c>
    </row>
    <row r="91" customFormat="false" ht="15" hidden="false" customHeight="true" outlineLevel="0" collapsed="false">
      <c r="A91" s="22" t="n">
        <v>87</v>
      </c>
      <c r="B91" s="22" t="s">
        <v>13964</v>
      </c>
      <c r="C91" s="22" t="s">
        <v>14614</v>
      </c>
      <c r="D91" s="23" t="s">
        <v>14615</v>
      </c>
    </row>
    <row r="92" customFormat="false" ht="15" hidden="false" customHeight="true" outlineLevel="0" collapsed="false">
      <c r="A92" s="22" t="n">
        <v>88</v>
      </c>
      <c r="B92" s="22" t="s">
        <v>13964</v>
      </c>
      <c r="C92" s="22" t="s">
        <v>14616</v>
      </c>
      <c r="D92" s="23" t="s">
        <v>14617</v>
      </c>
    </row>
    <row r="93" customFormat="false" ht="15" hidden="false" customHeight="true" outlineLevel="0" collapsed="false">
      <c r="A93" s="22" t="n">
        <v>89</v>
      </c>
      <c r="B93" s="22" t="s">
        <v>13964</v>
      </c>
      <c r="C93" s="22" t="s">
        <v>14618</v>
      </c>
      <c r="D93" s="23" t="s">
        <v>14619</v>
      </c>
    </row>
    <row r="94" customFormat="false" ht="24.75" hidden="false" customHeight="true" outlineLevel="0" collapsed="false">
      <c r="A94" s="22" t="n">
        <v>90</v>
      </c>
      <c r="B94" s="22" t="s">
        <v>13964</v>
      </c>
      <c r="C94" s="22" t="s">
        <v>14620</v>
      </c>
      <c r="D94" s="23" t="s">
        <v>14621</v>
      </c>
    </row>
    <row r="95" customFormat="false" ht="24.75" hidden="false" customHeight="true" outlineLevel="0" collapsed="false">
      <c r="A95" s="22" t="n">
        <v>91</v>
      </c>
      <c r="B95" s="22" t="s">
        <v>13964</v>
      </c>
      <c r="C95" s="22" t="s">
        <v>14622</v>
      </c>
      <c r="D95" s="23" t="s">
        <v>14037</v>
      </c>
    </row>
    <row r="96" customFormat="false" ht="24.75" hidden="false" customHeight="true" outlineLevel="0" collapsed="false">
      <c r="A96" s="22" t="n">
        <v>92</v>
      </c>
      <c r="B96" s="22" t="s">
        <v>13964</v>
      </c>
      <c r="C96" s="22" t="s">
        <v>14623</v>
      </c>
      <c r="D96" s="23" t="s">
        <v>14624</v>
      </c>
    </row>
    <row r="97" customFormat="false" ht="15" hidden="false" customHeight="true" outlineLevel="0" collapsed="false">
      <c r="A97" s="22" t="n">
        <v>93</v>
      </c>
      <c r="B97" s="22" t="s">
        <v>13964</v>
      </c>
      <c r="C97" s="22" t="s">
        <v>14625</v>
      </c>
      <c r="D97" s="23" t="s">
        <v>14626</v>
      </c>
    </row>
    <row r="98" customFormat="false" ht="15" hidden="false" customHeight="true" outlineLevel="0" collapsed="false">
      <c r="A98" s="22" t="n">
        <v>94</v>
      </c>
      <c r="B98" s="22" t="s">
        <v>13964</v>
      </c>
      <c r="C98" s="22" t="s">
        <v>14627</v>
      </c>
      <c r="D98" s="23" t="s">
        <v>14628</v>
      </c>
    </row>
    <row r="99" customFormat="false" ht="15" hidden="false" customHeight="true" outlineLevel="0" collapsed="false">
      <c r="A99" s="22" t="n">
        <v>95</v>
      </c>
      <c r="B99" s="22" t="s">
        <v>13964</v>
      </c>
      <c r="C99" s="22" t="s">
        <v>14629</v>
      </c>
      <c r="D99" s="23" t="s">
        <v>14630</v>
      </c>
    </row>
    <row r="100" customFormat="false" ht="15" hidden="false" customHeight="true" outlineLevel="0" collapsed="false">
      <c r="A100" s="22" t="n">
        <v>96</v>
      </c>
      <c r="B100" s="22" t="s">
        <v>13964</v>
      </c>
      <c r="C100" s="22" t="s">
        <v>14631</v>
      </c>
      <c r="D100" s="23" t="s">
        <v>14632</v>
      </c>
    </row>
    <row r="101" customFormat="false" ht="24.75" hidden="false" customHeight="true" outlineLevel="0" collapsed="false">
      <c r="A101" s="22" t="n">
        <v>97</v>
      </c>
      <c r="B101" s="22" t="s">
        <v>13964</v>
      </c>
      <c r="C101" s="22" t="s">
        <v>14633</v>
      </c>
      <c r="D101" s="23" t="s">
        <v>14634</v>
      </c>
    </row>
    <row r="102" customFormat="false" ht="15" hidden="false" customHeight="true" outlineLevel="0" collapsed="false">
      <c r="A102" s="22" t="n">
        <v>98</v>
      </c>
      <c r="B102" s="22" t="s">
        <v>13964</v>
      </c>
      <c r="C102" s="22" t="s">
        <v>14635</v>
      </c>
      <c r="D102" s="23" t="s">
        <v>14636</v>
      </c>
    </row>
    <row r="103" customFormat="false" ht="15" hidden="false" customHeight="true" outlineLevel="0" collapsed="false">
      <c r="A103" s="22" t="n">
        <v>99</v>
      </c>
      <c r="B103" s="22" t="s">
        <v>13964</v>
      </c>
      <c r="C103" s="22" t="s">
        <v>14637</v>
      </c>
      <c r="D103" s="23" t="s">
        <v>14638</v>
      </c>
    </row>
    <row r="104" customFormat="false" ht="15" hidden="false" customHeight="true" outlineLevel="0" collapsed="false">
      <c r="A104" s="22" t="n">
        <v>100</v>
      </c>
      <c r="B104" s="22" t="s">
        <v>13964</v>
      </c>
      <c r="C104" s="22" t="s">
        <v>14639</v>
      </c>
      <c r="D104" s="23" t="s">
        <v>14640</v>
      </c>
    </row>
    <row r="105" customFormat="false" ht="24.75" hidden="false" customHeight="true" outlineLevel="0" collapsed="false">
      <c r="A105" s="22" t="n">
        <v>101</v>
      </c>
      <c r="B105" s="22" t="s">
        <v>13964</v>
      </c>
      <c r="C105" s="22" t="s">
        <v>14641</v>
      </c>
      <c r="D105" s="23" t="s">
        <v>14642</v>
      </c>
    </row>
    <row r="106" customFormat="false" ht="24.75" hidden="false" customHeight="true" outlineLevel="0" collapsed="false">
      <c r="A106" s="22" t="n">
        <v>102</v>
      </c>
      <c r="B106" s="22" t="s">
        <v>13964</v>
      </c>
      <c r="C106" s="22" t="s">
        <v>14643</v>
      </c>
      <c r="D106" s="23" t="s">
        <v>14644</v>
      </c>
    </row>
    <row r="107" customFormat="false" ht="15" hidden="false" customHeight="true" outlineLevel="0" collapsed="false">
      <c r="A107" s="22" t="n">
        <v>103</v>
      </c>
      <c r="B107" s="22" t="s">
        <v>13964</v>
      </c>
      <c r="C107" s="22" t="s">
        <v>14645</v>
      </c>
      <c r="D107" s="23" t="s">
        <v>14646</v>
      </c>
    </row>
    <row r="108" customFormat="false" ht="15" hidden="false" customHeight="true" outlineLevel="0" collapsed="false">
      <c r="A108" s="22" t="n">
        <v>104</v>
      </c>
      <c r="B108" s="22" t="s">
        <v>13964</v>
      </c>
      <c r="C108" s="22" t="s">
        <v>14647</v>
      </c>
      <c r="D108" s="23" t="s">
        <v>14648</v>
      </c>
    </row>
    <row r="109" customFormat="false" ht="24.75" hidden="false" customHeight="true" outlineLevel="0" collapsed="false">
      <c r="A109" s="22" t="n">
        <v>105</v>
      </c>
      <c r="B109" s="22" t="s">
        <v>13964</v>
      </c>
      <c r="C109" s="22" t="s">
        <v>14649</v>
      </c>
      <c r="D109" s="23" t="s">
        <v>14650</v>
      </c>
    </row>
    <row r="110" customFormat="false" ht="15" hidden="false" customHeight="true" outlineLevel="0" collapsed="false">
      <c r="A110" s="22" t="n">
        <v>106</v>
      </c>
      <c r="B110" s="22" t="s">
        <v>60</v>
      </c>
      <c r="C110" s="22" t="s">
        <v>14651</v>
      </c>
      <c r="D110" s="23" t="s">
        <v>14652</v>
      </c>
    </row>
    <row r="111" customFormat="false" ht="15" hidden="false" customHeight="true" outlineLevel="0" collapsed="false">
      <c r="A111" s="22" t="n">
        <v>107</v>
      </c>
      <c r="B111" s="22" t="s">
        <v>60</v>
      </c>
      <c r="C111" s="22" t="s">
        <v>14654</v>
      </c>
      <c r="D111" s="23" t="s">
        <v>14655</v>
      </c>
    </row>
    <row r="112" customFormat="false" ht="15" hidden="false" customHeight="true" outlineLevel="0" collapsed="false">
      <c r="A112" s="22" t="n">
        <v>108</v>
      </c>
      <c r="B112" s="22" t="s">
        <v>60</v>
      </c>
      <c r="C112" s="22" t="s">
        <v>14657</v>
      </c>
      <c r="D112" s="23" t="s">
        <v>14658</v>
      </c>
    </row>
    <row r="113" customFormat="false" ht="15" hidden="false" customHeight="true" outlineLevel="0" collapsed="false">
      <c r="A113" s="22" t="n">
        <v>109</v>
      </c>
      <c r="B113" s="22" t="s">
        <v>60</v>
      </c>
      <c r="C113" s="22" t="s">
        <v>14662</v>
      </c>
      <c r="D113" s="23" t="s">
        <v>14663</v>
      </c>
    </row>
    <row r="114" customFormat="false" ht="24.75" hidden="false" customHeight="true" outlineLevel="0" collapsed="false">
      <c r="A114" s="22" t="n">
        <v>110</v>
      </c>
      <c r="B114" s="22" t="s">
        <v>60</v>
      </c>
      <c r="C114" s="22" t="s">
        <v>14665</v>
      </c>
      <c r="D114" s="23" t="s">
        <v>14666</v>
      </c>
    </row>
    <row r="115" customFormat="false" ht="24.75" hidden="false" customHeight="true" outlineLevel="0" collapsed="false">
      <c r="A115" s="22" t="n">
        <v>111</v>
      </c>
      <c r="B115" s="22" t="s">
        <v>60</v>
      </c>
      <c r="C115" s="22" t="s">
        <v>14668</v>
      </c>
      <c r="D115" s="23" t="s">
        <v>14179</v>
      </c>
    </row>
    <row r="116" customFormat="false" ht="24.75" hidden="false" customHeight="true" outlineLevel="0" collapsed="false">
      <c r="A116" s="22" t="n">
        <v>112</v>
      </c>
      <c r="B116" s="22" t="s">
        <v>60</v>
      </c>
      <c r="C116" s="22" t="s">
        <v>14670</v>
      </c>
      <c r="D116" s="23" t="s">
        <v>14671</v>
      </c>
    </row>
    <row r="117" customFormat="false" ht="15" hidden="false" customHeight="true" outlineLevel="0" collapsed="false">
      <c r="A117" s="22" t="n">
        <v>113</v>
      </c>
      <c r="B117" s="22" t="s">
        <v>60</v>
      </c>
      <c r="C117" s="22" t="s">
        <v>14673</v>
      </c>
      <c r="D117" s="23" t="s">
        <v>14674</v>
      </c>
    </row>
    <row r="118" customFormat="false" ht="24.75" hidden="false" customHeight="true" outlineLevel="0" collapsed="false">
      <c r="A118" s="22" t="n">
        <v>114</v>
      </c>
      <c r="B118" s="22" t="s">
        <v>60</v>
      </c>
      <c r="C118" s="22" t="s">
        <v>14676</v>
      </c>
      <c r="D118" s="23" t="s">
        <v>14677</v>
      </c>
    </row>
    <row r="119" customFormat="false" ht="24.75" hidden="false" customHeight="true" outlineLevel="0" collapsed="false">
      <c r="A119" s="22" t="n">
        <v>115</v>
      </c>
      <c r="B119" s="22" t="s">
        <v>60</v>
      </c>
      <c r="C119" s="22" t="s">
        <v>14679</v>
      </c>
      <c r="D119" s="23" t="s">
        <v>14115</v>
      </c>
    </row>
    <row r="120" customFormat="false" ht="24.75" hidden="false" customHeight="true" outlineLevel="0" collapsed="false">
      <c r="A120" s="22" t="n">
        <v>116</v>
      </c>
      <c r="B120" s="22" t="s">
        <v>60</v>
      </c>
      <c r="C120" s="22" t="s">
        <v>14681</v>
      </c>
      <c r="D120" s="23" t="s">
        <v>14682</v>
      </c>
    </row>
    <row r="121" customFormat="false" ht="24.75" hidden="false" customHeight="true" outlineLevel="0" collapsed="false">
      <c r="A121" s="22" t="n">
        <v>117</v>
      </c>
      <c r="B121" s="22" t="s">
        <v>60</v>
      </c>
      <c r="C121" s="22" t="s">
        <v>14684</v>
      </c>
      <c r="D121" s="23" t="s">
        <v>14685</v>
      </c>
    </row>
    <row r="122" customFormat="false" ht="24.75" hidden="false" customHeight="true" outlineLevel="0" collapsed="false">
      <c r="A122" s="22" t="n">
        <v>118</v>
      </c>
      <c r="B122" s="22" t="s">
        <v>60</v>
      </c>
      <c r="C122" s="22" t="s">
        <v>14687</v>
      </c>
      <c r="D122" s="23" t="s">
        <v>14688</v>
      </c>
    </row>
    <row r="123" customFormat="false" ht="15" hidden="false" customHeight="true" outlineLevel="0" collapsed="false">
      <c r="A123" s="22" t="n">
        <v>119</v>
      </c>
      <c r="B123" s="22" t="s">
        <v>60</v>
      </c>
      <c r="C123" s="22" t="s">
        <v>14690</v>
      </c>
      <c r="D123" s="23" t="s">
        <v>14183</v>
      </c>
    </row>
    <row r="124" customFormat="false" ht="15" hidden="false" customHeight="true" outlineLevel="0" collapsed="false">
      <c r="A124" s="22" t="n">
        <v>120</v>
      </c>
      <c r="B124" s="22" t="s">
        <v>60</v>
      </c>
      <c r="C124" s="22" t="s">
        <v>14692</v>
      </c>
      <c r="D124" s="23" t="s">
        <v>14693</v>
      </c>
    </row>
    <row r="125" customFormat="false" ht="15" hidden="false" customHeight="true" outlineLevel="0" collapsed="false">
      <c r="A125" s="22" t="n">
        <v>121</v>
      </c>
      <c r="B125" s="22" t="s">
        <v>60</v>
      </c>
      <c r="C125" s="22" t="s">
        <v>14695</v>
      </c>
      <c r="D125" s="23" t="s">
        <v>14120</v>
      </c>
    </row>
    <row r="126" customFormat="false" ht="24.75" hidden="false" customHeight="true" outlineLevel="0" collapsed="false">
      <c r="A126" s="22" t="n">
        <v>122</v>
      </c>
      <c r="B126" s="22" t="s">
        <v>60</v>
      </c>
      <c r="C126" s="22" t="s">
        <v>14697</v>
      </c>
      <c r="D126" s="23" t="s">
        <v>14698</v>
      </c>
    </row>
    <row r="127" customFormat="false" ht="15" hidden="false" customHeight="true" outlineLevel="0" collapsed="false">
      <c r="A127" s="22" t="n">
        <v>123</v>
      </c>
      <c r="B127" s="22" t="s">
        <v>60</v>
      </c>
      <c r="C127" s="22" t="s">
        <v>14700</v>
      </c>
      <c r="D127" s="23" t="s">
        <v>14701</v>
      </c>
    </row>
    <row r="128" customFormat="false" ht="24.75" hidden="false" customHeight="true" outlineLevel="0" collapsed="false">
      <c r="A128" s="22" t="n">
        <v>124</v>
      </c>
      <c r="B128" s="22" t="s">
        <v>60</v>
      </c>
      <c r="C128" s="22" t="s">
        <v>14703</v>
      </c>
      <c r="D128" s="23" t="s">
        <v>14704</v>
      </c>
    </row>
    <row r="129" customFormat="false" ht="24.75" hidden="false" customHeight="true" outlineLevel="0" collapsed="false">
      <c r="A129" s="22" t="n">
        <v>125</v>
      </c>
      <c r="B129" s="22" t="s">
        <v>60</v>
      </c>
      <c r="C129" s="22" t="s">
        <v>14713</v>
      </c>
      <c r="D129" s="23" t="s">
        <v>14124</v>
      </c>
    </row>
    <row r="130" customFormat="false" ht="15" hidden="false" customHeight="true" outlineLevel="0" collapsed="false">
      <c r="A130" s="22" t="n">
        <v>126</v>
      </c>
      <c r="B130" s="22" t="s">
        <v>60</v>
      </c>
      <c r="C130" s="22" t="s">
        <v>14715</v>
      </c>
      <c r="D130" s="23" t="s">
        <v>14716</v>
      </c>
    </row>
    <row r="131" customFormat="false" ht="24.75" hidden="false" customHeight="true" outlineLevel="0" collapsed="false">
      <c r="A131" s="22" t="n">
        <v>127</v>
      </c>
      <c r="B131" s="22" t="s">
        <v>60</v>
      </c>
      <c r="C131" s="22" t="s">
        <v>14718</v>
      </c>
      <c r="D131" s="23" t="s">
        <v>14129</v>
      </c>
    </row>
    <row r="132" customFormat="false" ht="24.75" hidden="false" customHeight="true" outlineLevel="0" collapsed="false">
      <c r="A132" s="22" t="n">
        <v>128</v>
      </c>
      <c r="B132" s="22" t="s">
        <v>60</v>
      </c>
      <c r="C132" s="22" t="s">
        <v>14720</v>
      </c>
      <c r="D132" s="23" t="s">
        <v>14721</v>
      </c>
    </row>
    <row r="133" customFormat="false" ht="24.75" hidden="false" customHeight="true" outlineLevel="0" collapsed="false">
      <c r="A133" s="22" t="n">
        <v>129</v>
      </c>
      <c r="B133" s="22" t="s">
        <v>60</v>
      </c>
      <c r="C133" s="22" t="s">
        <v>14723</v>
      </c>
      <c r="D133" s="23" t="s">
        <v>14724</v>
      </c>
    </row>
    <row r="134" customFormat="false" ht="24.75" hidden="false" customHeight="true" outlineLevel="0" collapsed="false">
      <c r="A134" s="22" t="n">
        <v>130</v>
      </c>
      <c r="B134" s="22" t="s">
        <v>60</v>
      </c>
      <c r="C134" s="22" t="s">
        <v>14725</v>
      </c>
      <c r="D134" s="23" t="s">
        <v>14134</v>
      </c>
    </row>
    <row r="135" customFormat="false" ht="24.75" hidden="false" customHeight="true" outlineLevel="0" collapsed="false">
      <c r="A135" s="22" t="n">
        <v>131</v>
      </c>
      <c r="B135" s="22" t="s">
        <v>60</v>
      </c>
      <c r="C135" s="22" t="s">
        <v>14727</v>
      </c>
      <c r="D135" s="23" t="s">
        <v>14162</v>
      </c>
    </row>
    <row r="136" customFormat="false" ht="15" hidden="false" customHeight="true" outlineLevel="0" collapsed="false">
      <c r="A136" s="22" t="n">
        <v>132</v>
      </c>
      <c r="B136" s="22" t="s">
        <v>60</v>
      </c>
      <c r="C136" s="22" t="s">
        <v>14729</v>
      </c>
      <c r="D136" s="23" t="s">
        <v>14730</v>
      </c>
    </row>
    <row r="137" customFormat="false" ht="24.75" hidden="false" customHeight="true" outlineLevel="0" collapsed="false">
      <c r="A137" s="22" t="n">
        <v>133</v>
      </c>
      <c r="B137" s="22" t="s">
        <v>60</v>
      </c>
      <c r="C137" s="22" t="s">
        <v>14734</v>
      </c>
      <c r="D137" s="23" t="s">
        <v>14157</v>
      </c>
    </row>
    <row r="138" customFormat="false" ht="37.5" hidden="false" customHeight="true" outlineLevel="0" collapsed="false">
      <c r="A138" s="22" t="n">
        <v>134</v>
      </c>
      <c r="B138" s="22" t="s">
        <v>60</v>
      </c>
      <c r="C138" s="22" t="s">
        <v>14735</v>
      </c>
      <c r="D138" s="23" t="s">
        <v>14736</v>
      </c>
    </row>
    <row r="139" customFormat="false" ht="24.75" hidden="false" customHeight="true" outlineLevel="0" collapsed="false">
      <c r="A139" s="22" t="n">
        <v>135</v>
      </c>
      <c r="B139" s="22" t="s">
        <v>60</v>
      </c>
      <c r="C139" s="22" t="s">
        <v>14738</v>
      </c>
      <c r="D139" s="23" t="s">
        <v>14739</v>
      </c>
    </row>
    <row r="140" customFormat="false" ht="15" hidden="false" customHeight="true" outlineLevel="0" collapsed="false">
      <c r="A140" s="22" t="n">
        <v>136</v>
      </c>
      <c r="B140" s="22" t="s">
        <v>60</v>
      </c>
      <c r="C140" s="22" t="s">
        <v>14741</v>
      </c>
      <c r="D140" s="23" t="s">
        <v>14742</v>
      </c>
    </row>
    <row r="141" customFormat="false" ht="15" hidden="false" customHeight="true" outlineLevel="0" collapsed="false">
      <c r="A141" s="22" t="n">
        <v>137</v>
      </c>
      <c r="B141" s="22" t="s">
        <v>60</v>
      </c>
      <c r="C141" s="22" t="s">
        <v>14744</v>
      </c>
      <c r="D141" s="23" t="s">
        <v>14745</v>
      </c>
    </row>
    <row r="142" customFormat="false" ht="15" hidden="false" customHeight="true" outlineLevel="0" collapsed="false">
      <c r="A142" s="22" t="n">
        <v>138</v>
      </c>
      <c r="B142" s="22" t="s">
        <v>60</v>
      </c>
      <c r="C142" s="22" t="s">
        <v>14747</v>
      </c>
      <c r="D142" s="23" t="s">
        <v>14171</v>
      </c>
    </row>
    <row r="143" customFormat="false" ht="24.75" hidden="false" customHeight="true" outlineLevel="0" collapsed="false">
      <c r="A143" s="22" t="n">
        <v>139</v>
      </c>
      <c r="B143" s="22" t="s">
        <v>60</v>
      </c>
      <c r="C143" s="22" t="s">
        <v>14751</v>
      </c>
      <c r="D143" s="23" t="s">
        <v>14752</v>
      </c>
    </row>
    <row r="144" customFormat="false" ht="24.75" hidden="false" customHeight="true" outlineLevel="0" collapsed="false">
      <c r="A144" s="22" t="n">
        <v>140</v>
      </c>
      <c r="B144" s="22" t="s">
        <v>60</v>
      </c>
      <c r="C144" s="22" t="s">
        <v>14754</v>
      </c>
      <c r="D144" s="23" t="s">
        <v>14755</v>
      </c>
    </row>
    <row r="145" customFormat="false" ht="15" hidden="false" customHeight="true" outlineLevel="0" collapsed="false">
      <c r="A145" s="22" t="n">
        <v>141</v>
      </c>
      <c r="B145" s="22" t="s">
        <v>60</v>
      </c>
      <c r="C145" s="22" t="s">
        <v>14757</v>
      </c>
      <c r="D145" s="23" t="s">
        <v>14758</v>
      </c>
    </row>
    <row r="146" customFormat="false" ht="24.75" hidden="false" customHeight="true" outlineLevel="0" collapsed="false">
      <c r="A146" s="22" t="n">
        <v>142</v>
      </c>
      <c r="B146" s="22" t="s">
        <v>60</v>
      </c>
      <c r="C146" s="22" t="s">
        <v>14760</v>
      </c>
      <c r="D146" s="23" t="s">
        <v>14761</v>
      </c>
    </row>
    <row r="147" customFormat="false" ht="15" hidden="false" customHeight="true" outlineLevel="0" collapsed="false">
      <c r="A147" s="22" t="n">
        <v>143</v>
      </c>
      <c r="B147" s="22" t="s">
        <v>60</v>
      </c>
      <c r="C147" s="22" t="s">
        <v>14762</v>
      </c>
      <c r="D147" s="23" t="s">
        <v>14763</v>
      </c>
    </row>
    <row r="148" customFormat="false" ht="15" hidden="false" customHeight="true" outlineLevel="0" collapsed="false">
      <c r="A148" s="22" t="n">
        <v>144</v>
      </c>
      <c r="B148" s="22" t="s">
        <v>60</v>
      </c>
      <c r="C148" s="22" t="s">
        <v>14767</v>
      </c>
      <c r="D148" s="23" t="s">
        <v>14768</v>
      </c>
    </row>
    <row r="149" customFormat="false" ht="15" hidden="false" customHeight="true" outlineLevel="0" collapsed="false">
      <c r="A149" s="22" t="n">
        <v>145</v>
      </c>
      <c r="B149" s="22" t="s">
        <v>60</v>
      </c>
      <c r="C149" s="22" t="s">
        <v>14777</v>
      </c>
      <c r="D149" s="23" t="s">
        <v>14778</v>
      </c>
    </row>
    <row r="150" customFormat="false" ht="15" hidden="false" customHeight="true" outlineLevel="0" collapsed="false">
      <c r="A150" s="22" t="n">
        <v>146</v>
      </c>
      <c r="B150" s="22" t="s">
        <v>60</v>
      </c>
      <c r="C150" s="22" t="s">
        <v>14780</v>
      </c>
      <c r="D150" s="23" t="s">
        <v>14781</v>
      </c>
    </row>
    <row r="151" customFormat="false" ht="15" hidden="false" customHeight="true" outlineLevel="0" collapsed="false">
      <c r="A151" s="22" t="n">
        <v>147</v>
      </c>
      <c r="B151" s="22" t="s">
        <v>60</v>
      </c>
      <c r="C151" s="22" t="s">
        <v>14787</v>
      </c>
      <c r="D151" s="23" t="s">
        <v>14788</v>
      </c>
    </row>
    <row r="152" customFormat="false" ht="15" hidden="false" customHeight="true" outlineLevel="0" collapsed="false">
      <c r="A152" s="22" t="n">
        <v>148</v>
      </c>
      <c r="B152" s="22" t="s">
        <v>60</v>
      </c>
      <c r="C152" s="22" t="s">
        <v>14790</v>
      </c>
      <c r="D152" s="23" t="s">
        <v>14791</v>
      </c>
    </row>
    <row r="153" customFormat="false" ht="24.75" hidden="false" customHeight="true" outlineLevel="0" collapsed="false">
      <c r="A153" s="22" t="n">
        <v>149</v>
      </c>
      <c r="B153" s="22" t="s">
        <v>60</v>
      </c>
      <c r="C153" s="22" t="s">
        <v>14793</v>
      </c>
      <c r="D153" s="23" t="s">
        <v>14794</v>
      </c>
    </row>
    <row r="154" customFormat="false" ht="24.75" hidden="false" customHeight="true" outlineLevel="0" collapsed="false">
      <c r="A154" s="22" t="n">
        <v>150</v>
      </c>
      <c r="B154" s="22" t="s">
        <v>60</v>
      </c>
      <c r="C154" s="22" t="s">
        <v>14795</v>
      </c>
      <c r="D154" s="23" t="s">
        <v>14796</v>
      </c>
    </row>
    <row r="155" customFormat="false" ht="15" hidden="false" customHeight="true" outlineLevel="0" collapsed="false">
      <c r="A155" s="22" t="n">
        <v>151</v>
      </c>
      <c r="B155" s="22" t="s">
        <v>60</v>
      </c>
      <c r="C155" s="22" t="s">
        <v>14798</v>
      </c>
      <c r="D155" s="23" t="s">
        <v>14799</v>
      </c>
    </row>
    <row r="156" customFormat="false" ht="24.75" hidden="false" customHeight="true" outlineLevel="0" collapsed="false">
      <c r="A156" s="22" t="n">
        <v>152</v>
      </c>
      <c r="B156" s="22" t="s">
        <v>60</v>
      </c>
      <c r="C156" s="22" t="s">
        <v>14801</v>
      </c>
      <c r="D156" s="23" t="s">
        <v>14802</v>
      </c>
    </row>
    <row r="157" customFormat="false" ht="15" hidden="false" customHeight="true" outlineLevel="0" collapsed="false">
      <c r="A157" s="22" t="n">
        <v>153</v>
      </c>
      <c r="B157" s="22" t="s">
        <v>60</v>
      </c>
      <c r="C157" s="22" t="s">
        <v>14804</v>
      </c>
      <c r="D157" s="23" t="s">
        <v>14188</v>
      </c>
    </row>
    <row r="158" customFormat="false" ht="24.75" hidden="false" customHeight="true" outlineLevel="0" collapsed="false">
      <c r="A158" s="22" t="n">
        <v>154</v>
      </c>
      <c r="B158" s="22" t="s">
        <v>60</v>
      </c>
      <c r="C158" s="22" t="s">
        <v>14806</v>
      </c>
      <c r="D158" s="23" t="s">
        <v>14807</v>
      </c>
    </row>
    <row r="159" customFormat="false" ht="15" hidden="false" customHeight="true" outlineLevel="0" collapsed="false">
      <c r="A159" s="22" t="n">
        <v>155</v>
      </c>
      <c r="B159" s="22" t="s">
        <v>60</v>
      </c>
      <c r="C159" s="22" t="s">
        <v>14822</v>
      </c>
      <c r="D159" s="23" t="s">
        <v>14823</v>
      </c>
    </row>
    <row r="160" customFormat="false" ht="15" hidden="false" customHeight="true" outlineLevel="0" collapsed="false">
      <c r="A160" s="22" t="n">
        <v>156</v>
      </c>
      <c r="B160" s="22" t="s">
        <v>60</v>
      </c>
      <c r="C160" s="22" t="s">
        <v>14825</v>
      </c>
      <c r="D160" s="23" t="s">
        <v>14826</v>
      </c>
    </row>
    <row r="161" customFormat="false" ht="24.75" hidden="false" customHeight="true" outlineLevel="0" collapsed="false">
      <c r="A161" s="22" t="n">
        <v>157</v>
      </c>
      <c r="B161" s="22" t="s">
        <v>60</v>
      </c>
      <c r="C161" s="22" t="s">
        <v>14834</v>
      </c>
      <c r="D161" s="23" t="s">
        <v>14835</v>
      </c>
    </row>
    <row r="162" customFormat="false" ht="24.75" hidden="false" customHeight="true" outlineLevel="0" collapsed="false">
      <c r="A162" s="22" t="n">
        <v>158</v>
      </c>
      <c r="B162" s="22" t="s">
        <v>60</v>
      </c>
      <c r="C162" s="22" t="s">
        <v>14837</v>
      </c>
      <c r="D162" s="23" t="s">
        <v>14139</v>
      </c>
    </row>
    <row r="163" customFormat="false" ht="15" hidden="false" customHeight="true" outlineLevel="0" collapsed="false">
      <c r="A163" s="22" t="n">
        <v>159</v>
      </c>
      <c r="B163" s="22" t="s">
        <v>60</v>
      </c>
      <c r="C163" s="22" t="s">
        <v>14839</v>
      </c>
      <c r="D163" s="23" t="s">
        <v>14840</v>
      </c>
    </row>
    <row r="164" customFormat="false" ht="15" hidden="false" customHeight="true" outlineLevel="0" collapsed="false">
      <c r="A164" s="22" t="n">
        <v>160</v>
      </c>
      <c r="B164" s="22" t="s">
        <v>60</v>
      </c>
      <c r="C164" s="22" t="s">
        <v>14846</v>
      </c>
      <c r="D164" s="23" t="s">
        <v>14847</v>
      </c>
    </row>
    <row r="165" customFormat="false" ht="15" hidden="false" customHeight="true" outlineLevel="0" collapsed="false">
      <c r="A165" s="22" t="n">
        <v>161</v>
      </c>
      <c r="B165" s="22" t="s">
        <v>60</v>
      </c>
      <c r="C165" s="22" t="s">
        <v>14849</v>
      </c>
      <c r="D165" s="23" t="s">
        <v>14144</v>
      </c>
    </row>
    <row r="166" customFormat="false" ht="15" hidden="false" customHeight="true" outlineLevel="0" collapsed="false">
      <c r="A166" s="22" t="n">
        <v>162</v>
      </c>
      <c r="B166" s="22" t="s">
        <v>60</v>
      </c>
      <c r="C166" s="22" t="s">
        <v>14851</v>
      </c>
      <c r="D166" s="23" t="s">
        <v>14852</v>
      </c>
    </row>
    <row r="167" customFormat="false" ht="15" hidden="false" customHeight="true" outlineLevel="0" collapsed="false">
      <c r="A167" s="22" t="n">
        <v>163</v>
      </c>
      <c r="B167" s="22" t="s">
        <v>60</v>
      </c>
      <c r="C167" s="22" t="s">
        <v>14856</v>
      </c>
      <c r="D167" s="23" t="s">
        <v>14149</v>
      </c>
    </row>
    <row r="168" customFormat="false" ht="24.75" hidden="false" customHeight="true" outlineLevel="0" collapsed="false">
      <c r="A168" s="22" t="n">
        <v>164</v>
      </c>
      <c r="B168" s="22" t="s">
        <v>60</v>
      </c>
      <c r="C168" s="22" t="s">
        <v>14860</v>
      </c>
      <c r="D168" s="23" t="s">
        <v>14861</v>
      </c>
    </row>
    <row r="169" customFormat="false" ht="24.75" hidden="false" customHeight="true" outlineLevel="0" collapsed="false">
      <c r="A169" s="22" t="n">
        <v>165</v>
      </c>
      <c r="B169" s="22" t="s">
        <v>60</v>
      </c>
      <c r="C169" s="22" t="s">
        <v>14870</v>
      </c>
      <c r="D169" s="23" t="s">
        <v>14153</v>
      </c>
    </row>
    <row r="170" customFormat="false" ht="15" hidden="false" customHeight="true" outlineLevel="0" collapsed="false">
      <c r="A170" s="22" t="n">
        <v>166</v>
      </c>
      <c r="B170" s="22" t="s">
        <v>60</v>
      </c>
      <c r="C170" s="22" t="s">
        <v>14872</v>
      </c>
      <c r="D170" s="23" t="s">
        <v>14873</v>
      </c>
    </row>
    <row r="171" customFormat="false" ht="24.75" hidden="false" customHeight="true" outlineLevel="0" collapsed="false">
      <c r="A171" s="22" t="n">
        <v>167</v>
      </c>
      <c r="B171" s="22" t="s">
        <v>60</v>
      </c>
      <c r="C171" s="22" t="s">
        <v>14875</v>
      </c>
      <c r="D171" s="23" t="s">
        <v>14876</v>
      </c>
    </row>
    <row r="172" customFormat="false" ht="24.75" hidden="false" customHeight="true" outlineLevel="0" collapsed="false">
      <c r="A172" s="22" t="n">
        <v>168</v>
      </c>
      <c r="B172" s="22" t="s">
        <v>13961</v>
      </c>
      <c r="C172" s="22" t="s">
        <v>14878</v>
      </c>
      <c r="D172" s="23" t="s">
        <v>14206</v>
      </c>
    </row>
    <row r="173" customFormat="false" ht="15" hidden="false" customHeight="true" outlineLevel="0" collapsed="false">
      <c r="A173" s="22" t="n">
        <v>169</v>
      </c>
      <c r="B173" s="22" t="s">
        <v>13961</v>
      </c>
      <c r="C173" s="22" t="s">
        <v>14880</v>
      </c>
      <c r="D173" s="23" t="s">
        <v>14881</v>
      </c>
    </row>
    <row r="174" customFormat="false" ht="24.75" hidden="false" customHeight="true" outlineLevel="0" collapsed="false">
      <c r="A174" s="22" t="n">
        <v>170</v>
      </c>
      <c r="B174" s="22" t="s">
        <v>13961</v>
      </c>
      <c r="C174" s="22" t="s">
        <v>14883</v>
      </c>
      <c r="D174" s="23" t="s">
        <v>14884</v>
      </c>
    </row>
    <row r="175" customFormat="false" ht="24.75" hidden="false" customHeight="true" outlineLevel="0" collapsed="false">
      <c r="A175" s="22" t="n">
        <v>171</v>
      </c>
      <c r="B175" s="22" t="s">
        <v>13961</v>
      </c>
      <c r="C175" s="22" t="s">
        <v>14886</v>
      </c>
      <c r="D175" s="23" t="s">
        <v>14887</v>
      </c>
    </row>
    <row r="176" customFormat="false" ht="24.75" hidden="false" customHeight="true" outlineLevel="0" collapsed="false">
      <c r="A176" s="22" t="n">
        <v>172</v>
      </c>
      <c r="B176" s="22" t="s">
        <v>13961</v>
      </c>
      <c r="C176" s="22" t="s">
        <v>14889</v>
      </c>
      <c r="D176" s="23" t="s">
        <v>14890</v>
      </c>
    </row>
    <row r="177" customFormat="false" ht="24.75" hidden="false" customHeight="true" outlineLevel="0" collapsed="false">
      <c r="A177" s="22" t="n">
        <v>173</v>
      </c>
      <c r="B177" s="22" t="s">
        <v>13961</v>
      </c>
      <c r="C177" s="22" t="s">
        <v>14892</v>
      </c>
      <c r="D177" s="23" t="s">
        <v>14893</v>
      </c>
    </row>
    <row r="178" customFormat="false" ht="15" hidden="false" customHeight="true" outlineLevel="0" collapsed="false">
      <c r="A178" s="22" t="n">
        <v>174</v>
      </c>
      <c r="B178" s="22" t="s">
        <v>13961</v>
      </c>
      <c r="C178" s="22" t="s">
        <v>14895</v>
      </c>
      <c r="D178" s="23" t="s">
        <v>14896</v>
      </c>
    </row>
    <row r="179" customFormat="false" ht="15" hidden="false" customHeight="true" outlineLevel="0" collapsed="false">
      <c r="A179" s="22" t="n">
        <v>175</v>
      </c>
      <c r="B179" s="22" t="s">
        <v>13961</v>
      </c>
      <c r="C179" s="22" t="s">
        <v>14898</v>
      </c>
      <c r="D179" s="23" t="s">
        <v>14899</v>
      </c>
    </row>
    <row r="180" customFormat="false" ht="24.75" hidden="false" customHeight="true" outlineLevel="0" collapsed="false">
      <c r="A180" s="22" t="n">
        <v>176</v>
      </c>
      <c r="B180" s="22" t="s">
        <v>13961</v>
      </c>
      <c r="C180" s="22" t="s">
        <v>14901</v>
      </c>
      <c r="D180" s="23" t="s">
        <v>14197</v>
      </c>
    </row>
    <row r="181" customFormat="false" ht="24.75" hidden="false" customHeight="true" outlineLevel="0" collapsed="false">
      <c r="A181" s="22" t="n">
        <v>177</v>
      </c>
      <c r="B181" s="22" t="s">
        <v>13961</v>
      </c>
      <c r="C181" s="22" t="s">
        <v>14903</v>
      </c>
      <c r="D181" s="23" t="s">
        <v>14904</v>
      </c>
    </row>
    <row r="182" customFormat="false" ht="15" hidden="false" customHeight="true" outlineLevel="0" collapsed="false">
      <c r="A182" s="22" t="n">
        <v>178</v>
      </c>
      <c r="B182" s="22" t="s">
        <v>13961</v>
      </c>
      <c r="C182" s="22" t="s">
        <v>14918</v>
      </c>
      <c r="D182" s="23" t="s">
        <v>14919</v>
      </c>
    </row>
    <row r="183" customFormat="false" ht="15" hidden="false" customHeight="true" outlineLevel="0" collapsed="false">
      <c r="A183" s="22" t="n">
        <v>179</v>
      </c>
      <c r="B183" s="22" t="s">
        <v>13961</v>
      </c>
      <c r="C183" s="22" t="s">
        <v>14921</v>
      </c>
      <c r="D183" s="23" t="s">
        <v>14192</v>
      </c>
    </row>
    <row r="184" customFormat="false" ht="24.75" hidden="false" customHeight="true" outlineLevel="0" collapsed="false">
      <c r="A184" s="22" t="n">
        <v>180</v>
      </c>
      <c r="B184" s="22" t="s">
        <v>13961</v>
      </c>
      <c r="C184" s="22" t="s">
        <v>14923</v>
      </c>
      <c r="D184" s="23" t="s">
        <v>14924</v>
      </c>
    </row>
    <row r="185" customFormat="false" ht="24.75" hidden="false" customHeight="true" outlineLevel="0" collapsed="false">
      <c r="A185" s="22" t="n">
        <v>181</v>
      </c>
      <c r="B185" s="22" t="s">
        <v>13961</v>
      </c>
      <c r="C185" s="22" t="s">
        <v>14929</v>
      </c>
      <c r="D185" s="23" t="s">
        <v>14930</v>
      </c>
    </row>
    <row r="186" customFormat="false" ht="24.75" hidden="false" customHeight="true" outlineLevel="0" collapsed="false">
      <c r="A186" s="22" t="n">
        <v>182</v>
      </c>
      <c r="B186" s="22" t="s">
        <v>13961</v>
      </c>
      <c r="C186" s="22" t="s">
        <v>14932</v>
      </c>
      <c r="D186" s="23" t="s">
        <v>14933</v>
      </c>
    </row>
    <row r="187" customFormat="false" ht="24.75" hidden="false" customHeight="true" outlineLevel="0" collapsed="false">
      <c r="A187" s="22" t="n">
        <v>183</v>
      </c>
      <c r="B187" s="22" t="s">
        <v>13961</v>
      </c>
      <c r="C187" s="22" t="s">
        <v>14935</v>
      </c>
      <c r="D187" s="23" t="s">
        <v>14936</v>
      </c>
    </row>
    <row r="188" customFormat="false" ht="24.75" hidden="false" customHeight="true" outlineLevel="0" collapsed="false">
      <c r="A188" s="22" t="n">
        <v>184</v>
      </c>
      <c r="B188" s="22" t="s">
        <v>13961</v>
      </c>
      <c r="C188" s="22" t="s">
        <v>14938</v>
      </c>
      <c r="D188" s="23" t="s">
        <v>14939</v>
      </c>
    </row>
    <row r="189" customFormat="false" ht="24.75" hidden="false" customHeight="true" outlineLevel="0" collapsed="false">
      <c r="A189" s="22" t="n">
        <v>185</v>
      </c>
      <c r="B189" s="22" t="s">
        <v>13961</v>
      </c>
      <c r="C189" s="22" t="s">
        <v>14941</v>
      </c>
      <c r="D189" s="23" t="s">
        <v>14942</v>
      </c>
    </row>
    <row r="190" customFormat="false" ht="24.75" hidden="false" customHeight="true" outlineLevel="0" collapsed="false">
      <c r="A190" s="22" t="n">
        <v>186</v>
      </c>
      <c r="B190" s="22" t="s">
        <v>13961</v>
      </c>
      <c r="C190" s="22" t="s">
        <v>14944</v>
      </c>
      <c r="D190" s="23" t="s">
        <v>14945</v>
      </c>
    </row>
    <row r="191" customFormat="false" ht="24.75" hidden="false" customHeight="true" outlineLevel="0" collapsed="false">
      <c r="A191" s="22" t="n">
        <v>187</v>
      </c>
      <c r="B191" s="22" t="s">
        <v>13961</v>
      </c>
      <c r="C191" s="22" t="s">
        <v>14947</v>
      </c>
      <c r="D191" s="23" t="s">
        <v>14948</v>
      </c>
    </row>
    <row r="192" customFormat="false" ht="15" hidden="false" customHeight="true" outlineLevel="0" collapsed="false">
      <c r="A192" s="22" t="n">
        <v>188</v>
      </c>
      <c r="B192" s="22" t="s">
        <v>13961</v>
      </c>
      <c r="C192" s="22" t="s">
        <v>14954</v>
      </c>
      <c r="D192" s="23" t="s">
        <v>14955</v>
      </c>
    </row>
    <row r="193" customFormat="false" ht="15" hidden="false" customHeight="true" outlineLevel="0" collapsed="false">
      <c r="A193" s="22" t="n">
        <v>189</v>
      </c>
      <c r="B193" s="22" t="s">
        <v>13961</v>
      </c>
      <c r="C193" s="22" t="s">
        <v>14957</v>
      </c>
      <c r="D193" s="23" t="s">
        <v>14958</v>
      </c>
    </row>
    <row r="194" customFormat="false" ht="24.75" hidden="false" customHeight="true" outlineLevel="0" collapsed="false">
      <c r="A194" s="22" t="n">
        <v>190</v>
      </c>
      <c r="B194" s="22" t="s">
        <v>13961</v>
      </c>
      <c r="C194" s="22" t="s">
        <v>14960</v>
      </c>
      <c r="D194" s="23" t="s">
        <v>14961</v>
      </c>
    </row>
    <row r="195" customFormat="false" ht="15" hidden="false" customHeight="true" outlineLevel="0" collapsed="false">
      <c r="A195" s="22" t="n">
        <v>191</v>
      </c>
      <c r="B195" s="22" t="s">
        <v>13961</v>
      </c>
      <c r="C195" s="22" t="s">
        <v>14963</v>
      </c>
      <c r="D195" s="23" t="s">
        <v>14964</v>
      </c>
    </row>
    <row r="196" customFormat="false" ht="15" hidden="false" customHeight="true" outlineLevel="0" collapsed="false">
      <c r="A196" s="22" t="n">
        <v>192</v>
      </c>
      <c r="B196" s="22" t="s">
        <v>13961</v>
      </c>
      <c r="C196" s="22" t="s">
        <v>14966</v>
      </c>
      <c r="D196" s="23" t="s">
        <v>14967</v>
      </c>
    </row>
    <row r="197" customFormat="false" ht="24.75" hidden="false" customHeight="true" outlineLevel="0" collapsed="false">
      <c r="A197" s="22" t="n">
        <v>193</v>
      </c>
      <c r="B197" s="22" t="s">
        <v>13961</v>
      </c>
      <c r="C197" s="22" t="s">
        <v>14974</v>
      </c>
      <c r="D197" s="23" t="s">
        <v>14975</v>
      </c>
    </row>
    <row r="198" customFormat="false" ht="15" hidden="false" customHeight="true" outlineLevel="0" collapsed="false">
      <c r="A198" s="22" t="n">
        <v>194</v>
      </c>
      <c r="B198" s="22" t="s">
        <v>13961</v>
      </c>
      <c r="C198" s="22" t="s">
        <v>14985</v>
      </c>
      <c r="D198" s="23" t="s">
        <v>14202</v>
      </c>
    </row>
    <row r="199" customFormat="false" ht="24.75" hidden="false" customHeight="true" outlineLevel="0" collapsed="false">
      <c r="A199" s="22" t="n">
        <v>195</v>
      </c>
      <c r="B199" s="22" t="s">
        <v>13961</v>
      </c>
      <c r="C199" s="22" t="s">
        <v>14987</v>
      </c>
      <c r="D199" s="23" t="s">
        <v>14988</v>
      </c>
    </row>
    <row r="200" customFormat="false" ht="15" hidden="false" customHeight="true" outlineLevel="0" collapsed="false">
      <c r="A200" s="22" t="n">
        <v>196</v>
      </c>
      <c r="B200" s="22" t="s">
        <v>13961</v>
      </c>
      <c r="C200" s="22" t="s">
        <v>14990</v>
      </c>
      <c r="D200" s="23" t="s">
        <v>14991</v>
      </c>
    </row>
    <row r="201" customFormat="false" ht="24.75" hidden="false" customHeight="true" outlineLevel="0" collapsed="false">
      <c r="A201" s="22" t="n">
        <v>197</v>
      </c>
      <c r="B201" s="22" t="s">
        <v>13961</v>
      </c>
      <c r="C201" s="22" t="s">
        <v>14997</v>
      </c>
      <c r="D201" s="23" t="s">
        <v>14998</v>
      </c>
    </row>
    <row r="202" customFormat="false" ht="24.75" hidden="false" customHeight="true" outlineLevel="0" collapsed="false">
      <c r="A202" s="22" t="n">
        <v>198</v>
      </c>
      <c r="B202" s="22" t="s">
        <v>13961</v>
      </c>
      <c r="C202" s="22" t="s">
        <v>15000</v>
      </c>
      <c r="D202" s="23" t="s">
        <v>15001</v>
      </c>
    </row>
    <row r="203" customFormat="false" ht="15" hidden="false" customHeight="true" outlineLevel="0" collapsed="false">
      <c r="A203" s="22" t="n">
        <v>199</v>
      </c>
      <c r="B203" s="22" t="s">
        <v>13961</v>
      </c>
      <c r="C203" s="22" t="s">
        <v>15003</v>
      </c>
      <c r="D203" s="23" t="s">
        <v>15004</v>
      </c>
    </row>
    <row r="204" customFormat="false" ht="15" hidden="false" customHeight="true" outlineLevel="0" collapsed="false">
      <c r="A204" s="22" t="n">
        <v>200</v>
      </c>
      <c r="B204" s="22" t="s">
        <v>13961</v>
      </c>
      <c r="C204" s="22" t="s">
        <v>15006</v>
      </c>
      <c r="D204" s="23" t="s">
        <v>15007</v>
      </c>
    </row>
    <row r="205" customFormat="false" ht="24.75" hidden="false" customHeight="true" outlineLevel="0" collapsed="false">
      <c r="A205" s="22" t="n">
        <v>201</v>
      </c>
      <c r="B205" s="22" t="s">
        <v>13961</v>
      </c>
      <c r="C205" s="22" t="s">
        <v>15009</v>
      </c>
      <c r="D205" s="23" t="s">
        <v>15010</v>
      </c>
    </row>
    <row r="206" customFormat="false" ht="24.75" hidden="false" customHeight="true" outlineLevel="0" collapsed="false">
      <c r="A206" s="22" t="n">
        <v>202</v>
      </c>
      <c r="B206" s="22" t="s">
        <v>13961</v>
      </c>
      <c r="C206" s="22" t="s">
        <v>15012</v>
      </c>
      <c r="D206" s="23" t="s">
        <v>15013</v>
      </c>
    </row>
    <row r="207" customFormat="false" ht="15" hidden="false" customHeight="true" outlineLevel="0" collapsed="false">
      <c r="A207" s="22" t="n">
        <v>203</v>
      </c>
      <c r="B207" s="22" t="s">
        <v>13961</v>
      </c>
      <c r="C207" s="22" t="s">
        <v>15015</v>
      </c>
      <c r="D207" s="23" t="s">
        <v>15016</v>
      </c>
    </row>
    <row r="208" customFormat="false" ht="24.75" hidden="false" customHeight="true" outlineLevel="0" collapsed="false">
      <c r="A208" s="22" t="n">
        <v>204</v>
      </c>
      <c r="B208" s="22" t="s">
        <v>13961</v>
      </c>
      <c r="C208" s="22" t="s">
        <v>15021</v>
      </c>
      <c r="D208" s="23" t="s">
        <v>15022</v>
      </c>
    </row>
    <row r="209" customFormat="false" ht="24.75" hidden="false" customHeight="true" outlineLevel="0" collapsed="false">
      <c r="A209" s="22" t="n">
        <v>205</v>
      </c>
      <c r="B209" s="22" t="s">
        <v>13961</v>
      </c>
      <c r="C209" s="22" t="s">
        <v>15024</v>
      </c>
      <c r="D209" s="23" t="s">
        <v>15025</v>
      </c>
    </row>
    <row r="210" customFormat="false" ht="24.75" hidden="false" customHeight="true" outlineLevel="0" collapsed="false">
      <c r="A210" s="22" t="n">
        <v>206</v>
      </c>
      <c r="B210" s="22" t="s">
        <v>13961</v>
      </c>
      <c r="C210" s="22" t="s">
        <v>15027</v>
      </c>
      <c r="D210" s="23" t="s">
        <v>15028</v>
      </c>
    </row>
    <row r="211" customFormat="false" ht="15" hidden="false" customHeight="true" outlineLevel="0" collapsed="false">
      <c r="A211" s="22" t="n">
        <v>207</v>
      </c>
      <c r="B211" s="22" t="s">
        <v>13961</v>
      </c>
      <c r="C211" s="22" t="s">
        <v>15030</v>
      </c>
      <c r="D211" s="23" t="s">
        <v>15031</v>
      </c>
    </row>
    <row r="212" customFormat="false" ht="15" hidden="false" customHeight="true" outlineLevel="0" collapsed="false">
      <c r="A212" s="22" t="n">
        <v>208</v>
      </c>
      <c r="B212" s="22" t="s">
        <v>13961</v>
      </c>
      <c r="C212" s="22" t="s">
        <v>15033</v>
      </c>
      <c r="D212" s="23" t="s">
        <v>15034</v>
      </c>
    </row>
    <row r="213" customFormat="false" ht="24.75" hidden="false" customHeight="true" outlineLevel="0" collapsed="false">
      <c r="A213" s="22" t="n">
        <v>209</v>
      </c>
      <c r="B213" s="22" t="s">
        <v>13961</v>
      </c>
      <c r="C213" s="22" t="s">
        <v>15036</v>
      </c>
      <c r="D213" s="23" t="s">
        <v>14215</v>
      </c>
    </row>
    <row r="214" customFormat="false" ht="24.75" hidden="false" customHeight="true" outlineLevel="0" collapsed="false">
      <c r="A214" s="22" t="n">
        <v>210</v>
      </c>
      <c r="B214" s="22" t="s">
        <v>13961</v>
      </c>
      <c r="C214" s="22" t="s">
        <v>15038</v>
      </c>
      <c r="D214" s="23" t="s">
        <v>14211</v>
      </c>
    </row>
    <row r="215" customFormat="false" ht="15" hidden="false" customHeight="true" outlineLevel="0" collapsed="false">
      <c r="A215" s="22" t="n">
        <v>211</v>
      </c>
      <c r="B215" s="22" t="s">
        <v>13961</v>
      </c>
      <c r="C215" s="22" t="s">
        <v>15040</v>
      </c>
      <c r="D215" s="23" t="s">
        <v>14220</v>
      </c>
    </row>
    <row r="216" customFormat="false" ht="15" hidden="false" customHeight="true" outlineLevel="0" collapsed="false">
      <c r="A216" s="22" t="n">
        <v>212</v>
      </c>
      <c r="B216" s="22" t="s">
        <v>13961</v>
      </c>
      <c r="C216" s="22" t="s">
        <v>15042</v>
      </c>
      <c r="D216" s="23" t="s">
        <v>15043</v>
      </c>
    </row>
    <row r="217" customFormat="false" ht="15" hidden="false" customHeight="true" outlineLevel="0" collapsed="false">
      <c r="A217" s="22" t="n">
        <v>213</v>
      </c>
      <c r="B217" s="22" t="s">
        <v>13961</v>
      </c>
      <c r="C217" s="22" t="s">
        <v>15045</v>
      </c>
      <c r="D217" s="23" t="s">
        <v>15046</v>
      </c>
    </row>
    <row r="218" customFormat="false" ht="15" hidden="false" customHeight="true" outlineLevel="0" collapsed="false">
      <c r="A218" s="22" t="n">
        <v>214</v>
      </c>
      <c r="B218" s="22" t="s">
        <v>13961</v>
      </c>
      <c r="C218" s="22" t="s">
        <v>15048</v>
      </c>
      <c r="D218" s="23" t="s">
        <v>15049</v>
      </c>
    </row>
    <row r="219" customFormat="false" ht="15" hidden="false" customHeight="true" outlineLevel="0" collapsed="false">
      <c r="A219" s="22" t="n">
        <v>215</v>
      </c>
      <c r="B219" s="22" t="s">
        <v>13961</v>
      </c>
      <c r="C219" s="22" t="s">
        <v>15051</v>
      </c>
      <c r="D219" s="23" t="s">
        <v>15052</v>
      </c>
    </row>
    <row r="220" customFormat="false" ht="15" hidden="false" customHeight="true" outlineLevel="0" collapsed="false">
      <c r="A220" s="22" t="n">
        <v>216</v>
      </c>
      <c r="B220" s="22" t="s">
        <v>13961</v>
      </c>
      <c r="C220" s="22" t="s">
        <v>15054</v>
      </c>
      <c r="D220" s="23" t="s">
        <v>15055</v>
      </c>
    </row>
    <row r="221" customFormat="false" ht="15" hidden="false" customHeight="true" outlineLevel="0" collapsed="false">
      <c r="A221" s="22" t="n">
        <v>217</v>
      </c>
      <c r="B221" s="22" t="s">
        <v>13961</v>
      </c>
      <c r="C221" s="22" t="s">
        <v>15057</v>
      </c>
      <c r="D221" s="23" t="s">
        <v>15058</v>
      </c>
    </row>
    <row r="222" customFormat="false" ht="24.75" hidden="false" customHeight="true" outlineLevel="0" collapsed="false">
      <c r="A222" s="22" t="n">
        <v>218</v>
      </c>
      <c r="B222" s="22" t="s">
        <v>13961</v>
      </c>
      <c r="C222" s="22" t="s">
        <v>15066</v>
      </c>
      <c r="D222" s="23" t="s">
        <v>13718</v>
      </c>
    </row>
    <row r="223" customFormat="false" ht="15" hidden="false" customHeight="true" outlineLevel="0" collapsed="false">
      <c r="A223" s="22" t="n">
        <v>219</v>
      </c>
      <c r="B223" s="22" t="s">
        <v>13961</v>
      </c>
      <c r="C223" s="22" t="s">
        <v>15068</v>
      </c>
      <c r="D223" s="23" t="s">
        <v>15069</v>
      </c>
    </row>
    <row r="224" customFormat="false" ht="24.75" hidden="false" customHeight="true" outlineLevel="0" collapsed="false">
      <c r="A224" s="22" t="n">
        <v>220</v>
      </c>
      <c r="B224" s="22" t="s">
        <v>13961</v>
      </c>
      <c r="C224" s="22" t="s">
        <v>15071</v>
      </c>
      <c r="D224" s="23" t="s">
        <v>14225</v>
      </c>
    </row>
    <row r="225" customFormat="false" ht="24.75" hidden="false" customHeight="true" outlineLevel="0" collapsed="false">
      <c r="A225" s="22" t="n">
        <v>221</v>
      </c>
      <c r="B225" s="22" t="s">
        <v>13961</v>
      </c>
      <c r="C225" s="22" t="s">
        <v>15073</v>
      </c>
      <c r="D225" s="23" t="s">
        <v>15074</v>
      </c>
    </row>
    <row r="226" customFormat="false" ht="24.75" hidden="false" customHeight="true" outlineLevel="0" collapsed="false">
      <c r="A226" s="22" t="n">
        <v>222</v>
      </c>
      <c r="B226" s="22" t="s">
        <v>13961</v>
      </c>
      <c r="C226" s="22" t="s">
        <v>15076</v>
      </c>
      <c r="D226" s="23" t="s">
        <v>15077</v>
      </c>
    </row>
    <row r="227" customFormat="false" ht="24.75" hidden="false" customHeight="true" outlineLevel="0" collapsed="false">
      <c r="A227" s="22" t="n">
        <v>223</v>
      </c>
      <c r="B227" s="22" t="s">
        <v>13961</v>
      </c>
      <c r="C227" s="22" t="s">
        <v>15080</v>
      </c>
      <c r="D227" s="23" t="s">
        <v>15081</v>
      </c>
    </row>
    <row r="228" customFormat="false" ht="15" hidden="false" customHeight="true" outlineLevel="0" collapsed="false">
      <c r="A228" s="22" t="n">
        <v>224</v>
      </c>
      <c r="B228" s="22" t="s">
        <v>13961</v>
      </c>
      <c r="C228" s="22" t="s">
        <v>15083</v>
      </c>
      <c r="D228" s="23" t="s">
        <v>15084</v>
      </c>
    </row>
    <row r="229" customFormat="false" ht="15" hidden="false" customHeight="true" outlineLevel="0" collapsed="false">
      <c r="A229" s="22" t="n">
        <v>225</v>
      </c>
      <c r="B229" s="22" t="s">
        <v>13961</v>
      </c>
      <c r="C229" s="22" t="s">
        <v>15086</v>
      </c>
      <c r="D229" s="23" t="s">
        <v>14230</v>
      </c>
    </row>
    <row r="230" customFormat="false" ht="24.75" hidden="false" customHeight="true" outlineLevel="0" collapsed="false">
      <c r="A230" s="22" t="n">
        <v>226</v>
      </c>
      <c r="B230" s="22" t="s">
        <v>13961</v>
      </c>
      <c r="C230" s="22" t="s">
        <v>15088</v>
      </c>
      <c r="D230" s="23" t="s">
        <v>15089</v>
      </c>
    </row>
    <row r="231" customFormat="false" ht="24.75" hidden="false" customHeight="true" outlineLevel="0" collapsed="false">
      <c r="A231" s="22" t="n">
        <v>227</v>
      </c>
      <c r="B231" s="22" t="s">
        <v>13961</v>
      </c>
      <c r="C231" s="22" t="s">
        <v>15091</v>
      </c>
      <c r="D231" s="23" t="s">
        <v>15092</v>
      </c>
    </row>
    <row r="232" customFormat="false" ht="24.75" hidden="false" customHeight="true" outlineLevel="0" collapsed="false">
      <c r="A232" s="22" t="n">
        <v>228</v>
      </c>
      <c r="B232" s="22" t="s">
        <v>13961</v>
      </c>
      <c r="C232" s="22" t="s">
        <v>15094</v>
      </c>
      <c r="D232" s="23" t="s">
        <v>15095</v>
      </c>
    </row>
    <row r="233" customFormat="false" ht="15" hidden="false" customHeight="true" outlineLevel="0" collapsed="false">
      <c r="A233" s="22" t="n">
        <v>229</v>
      </c>
      <c r="B233" s="22" t="s">
        <v>13961</v>
      </c>
      <c r="C233" s="22" t="s">
        <v>15097</v>
      </c>
      <c r="D233" s="23" t="s">
        <v>15098</v>
      </c>
    </row>
    <row r="234" customFormat="false" ht="24.75" hidden="false" customHeight="true" outlineLevel="0" collapsed="false">
      <c r="A234" s="22" t="n">
        <v>230</v>
      </c>
      <c r="B234" s="22" t="s">
        <v>13961</v>
      </c>
      <c r="C234" s="22" t="s">
        <v>15496</v>
      </c>
      <c r="D234" s="23" t="s">
        <v>15497</v>
      </c>
    </row>
    <row r="235" customFormat="false" ht="15" hidden="false" customHeight="true" outlineLevel="0" collapsed="false">
      <c r="A235" s="22" t="n">
        <v>231</v>
      </c>
      <c r="B235" s="22" t="s">
        <v>13961</v>
      </c>
      <c r="C235" s="22" t="s">
        <v>15498</v>
      </c>
      <c r="D235" s="23" t="s">
        <v>15499</v>
      </c>
    </row>
    <row r="236" customFormat="false" ht="24.75" hidden="false" customHeight="true" outlineLevel="0" collapsed="false">
      <c r="A236" s="22" t="n">
        <v>232</v>
      </c>
      <c r="B236" s="22" t="s">
        <v>13960</v>
      </c>
      <c r="C236" s="22" t="s">
        <v>15102</v>
      </c>
      <c r="D236" s="23" t="s">
        <v>14238</v>
      </c>
    </row>
    <row r="237" customFormat="false" ht="15" hidden="false" customHeight="true" outlineLevel="0" collapsed="false">
      <c r="A237" s="22" t="n">
        <v>233</v>
      </c>
      <c r="B237" s="22" t="s">
        <v>13960</v>
      </c>
      <c r="C237" s="22" t="s">
        <v>15160</v>
      </c>
      <c r="D237" s="23" t="s">
        <v>15161</v>
      </c>
    </row>
    <row r="238" customFormat="false" ht="24.75" hidden="false" customHeight="true" outlineLevel="0" collapsed="false">
      <c r="A238" s="22" t="n">
        <v>234</v>
      </c>
      <c r="B238" s="22" t="s">
        <v>13960</v>
      </c>
      <c r="C238" s="22" t="s">
        <v>15104</v>
      </c>
      <c r="D238" s="23" t="s">
        <v>15105</v>
      </c>
    </row>
    <row r="239" customFormat="false" ht="24.75" hidden="false" customHeight="true" outlineLevel="0" collapsed="false">
      <c r="A239" s="22" t="n">
        <v>235</v>
      </c>
      <c r="B239" s="22" t="s">
        <v>13960</v>
      </c>
      <c r="C239" s="22" t="s">
        <v>15143</v>
      </c>
      <c r="D239" s="23" t="s">
        <v>14253</v>
      </c>
    </row>
    <row r="240" customFormat="false" ht="15" hidden="false" customHeight="true" outlineLevel="0" collapsed="false">
      <c r="A240" s="22" t="n">
        <v>236</v>
      </c>
      <c r="B240" s="22" t="s">
        <v>13960</v>
      </c>
      <c r="C240" s="22" t="s">
        <v>15150</v>
      </c>
      <c r="D240" s="23" t="s">
        <v>15151</v>
      </c>
    </row>
    <row r="241" customFormat="false" ht="15" hidden="false" customHeight="true" outlineLevel="0" collapsed="false">
      <c r="A241" s="22" t="n">
        <v>237</v>
      </c>
      <c r="B241" s="22" t="s">
        <v>13960</v>
      </c>
      <c r="C241" s="22" t="s">
        <v>15148</v>
      </c>
      <c r="D241" s="23" t="s">
        <v>14243</v>
      </c>
    </row>
    <row r="242" customFormat="false" ht="15" hidden="false" customHeight="true" outlineLevel="0" collapsed="false">
      <c r="A242" s="22" t="n">
        <v>238</v>
      </c>
      <c r="B242" s="22" t="s">
        <v>13960</v>
      </c>
      <c r="C242" s="22" t="s">
        <v>15157</v>
      </c>
      <c r="D242" s="23" t="s">
        <v>15158</v>
      </c>
    </row>
    <row r="243" customFormat="false" ht="24.75" hidden="false" customHeight="true" outlineLevel="0" collapsed="false">
      <c r="A243" s="22" t="n">
        <v>239</v>
      </c>
      <c r="B243" s="22" t="s">
        <v>13960</v>
      </c>
      <c r="C243" s="22" t="s">
        <v>15140</v>
      </c>
      <c r="D243" s="23" t="s">
        <v>15141</v>
      </c>
    </row>
    <row r="244" customFormat="false" ht="24.75" hidden="false" customHeight="true" outlineLevel="0" collapsed="false">
      <c r="A244" s="22" t="n">
        <v>240</v>
      </c>
      <c r="B244" s="22" t="s">
        <v>13960</v>
      </c>
      <c r="C244" s="22" t="s">
        <v>15163</v>
      </c>
      <c r="D244" s="23" t="s">
        <v>14262</v>
      </c>
    </row>
    <row r="245" customFormat="false" ht="15" hidden="false" customHeight="true" outlineLevel="0" collapsed="false">
      <c r="A245" s="22" t="n">
        <v>241</v>
      </c>
      <c r="B245" s="22" t="s">
        <v>13960</v>
      </c>
      <c r="C245" s="22" t="s">
        <v>15165</v>
      </c>
      <c r="D245" s="23" t="s">
        <v>15166</v>
      </c>
    </row>
    <row r="246" customFormat="false" ht="15" hidden="false" customHeight="true" outlineLevel="0" collapsed="false">
      <c r="A246" s="22" t="n">
        <v>242</v>
      </c>
      <c r="B246" s="22" t="s">
        <v>13960</v>
      </c>
      <c r="C246" s="22" t="s">
        <v>15178</v>
      </c>
      <c r="D246" s="23" t="s">
        <v>14248</v>
      </c>
    </row>
    <row r="247" customFormat="false" ht="24.75" hidden="false" customHeight="true" outlineLevel="0" collapsed="false">
      <c r="A247" s="22" t="n">
        <v>243</v>
      </c>
      <c r="B247" s="22" t="s">
        <v>13960</v>
      </c>
      <c r="C247" s="22" t="s">
        <v>15180</v>
      </c>
      <c r="D247" s="23" t="s">
        <v>15181</v>
      </c>
    </row>
    <row r="248" customFormat="false" ht="24.75" hidden="false" customHeight="true" outlineLevel="0" collapsed="false">
      <c r="A248" s="22" t="n">
        <v>244</v>
      </c>
      <c r="B248" s="22" t="s">
        <v>13960</v>
      </c>
      <c r="C248" s="22" t="s">
        <v>15190</v>
      </c>
      <c r="D248" s="23" t="s">
        <v>15191</v>
      </c>
    </row>
    <row r="249" customFormat="false" ht="24.75" hidden="false" customHeight="true" outlineLevel="0" collapsed="false">
      <c r="A249" s="22" t="n">
        <v>245</v>
      </c>
      <c r="B249" s="22" t="s">
        <v>13960</v>
      </c>
      <c r="C249" s="22" t="s">
        <v>15183</v>
      </c>
      <c r="D249" s="23" t="s">
        <v>15184</v>
      </c>
    </row>
    <row r="250" customFormat="false" ht="24.75" hidden="false" customHeight="true" outlineLevel="0" collapsed="false">
      <c r="A250" s="22" t="n">
        <v>246</v>
      </c>
      <c r="B250" s="22" t="s">
        <v>13960</v>
      </c>
      <c r="C250" s="22" t="s">
        <v>15173</v>
      </c>
      <c r="D250" s="23" t="s">
        <v>14271</v>
      </c>
    </row>
    <row r="251" customFormat="false" ht="15" hidden="false" customHeight="true" outlineLevel="0" collapsed="false">
      <c r="A251" s="22" t="n">
        <v>247</v>
      </c>
      <c r="B251" s="22" t="s">
        <v>13960</v>
      </c>
      <c r="C251" s="22" t="s">
        <v>15129</v>
      </c>
      <c r="D251" s="23" t="s">
        <v>15130</v>
      </c>
    </row>
    <row r="252" customFormat="false" ht="24.75" hidden="false" customHeight="true" outlineLevel="0" collapsed="false">
      <c r="A252" s="22" t="n">
        <v>248</v>
      </c>
      <c r="B252" s="22" t="s">
        <v>13960</v>
      </c>
      <c r="C252" s="22" t="s">
        <v>15132</v>
      </c>
      <c r="D252" s="23" t="s">
        <v>15133</v>
      </c>
    </row>
    <row r="253" customFormat="false" ht="15" hidden="false" customHeight="true" outlineLevel="0" collapsed="false">
      <c r="A253" s="22" t="n">
        <v>249</v>
      </c>
      <c r="B253" s="22" t="s">
        <v>13960</v>
      </c>
      <c r="C253" s="22" t="s">
        <v>15135</v>
      </c>
      <c r="D253" s="23" t="s">
        <v>15136</v>
      </c>
    </row>
    <row r="254" customFormat="false" ht="24.75" hidden="false" customHeight="true" outlineLevel="0" collapsed="false">
      <c r="A254" s="22" t="n">
        <v>250</v>
      </c>
      <c r="B254" s="22" t="s">
        <v>13960</v>
      </c>
      <c r="C254" s="22" t="s">
        <v>15198</v>
      </c>
      <c r="D254" s="23" t="s">
        <v>15199</v>
      </c>
    </row>
    <row r="255" customFormat="false" ht="37.5" hidden="false" customHeight="true" outlineLevel="0" collapsed="false">
      <c r="A255" s="22" t="n">
        <v>251</v>
      </c>
      <c r="B255" s="22" t="s">
        <v>13960</v>
      </c>
      <c r="C255" s="22" t="s">
        <v>15195</v>
      </c>
      <c r="D255" s="23" t="s">
        <v>15196</v>
      </c>
    </row>
    <row r="256" customFormat="false" ht="24.75" hidden="false" customHeight="true" outlineLevel="0" collapsed="false">
      <c r="A256" s="22" t="n">
        <v>252</v>
      </c>
      <c r="B256" s="22" t="s">
        <v>13960</v>
      </c>
      <c r="C256" s="22" t="s">
        <v>15145</v>
      </c>
      <c r="D256" s="23" t="s">
        <v>15146</v>
      </c>
    </row>
    <row r="257" customFormat="false" ht="15" hidden="false" customHeight="true" outlineLevel="0" collapsed="false">
      <c r="A257" s="22" t="n">
        <v>253</v>
      </c>
      <c r="B257" s="22" t="s">
        <v>13960</v>
      </c>
      <c r="C257" s="22" t="s">
        <v>15201</v>
      </c>
      <c r="D257" s="23" t="s">
        <v>15202</v>
      </c>
    </row>
    <row r="258" customFormat="false" ht="15" hidden="false" customHeight="true" outlineLevel="0" collapsed="false">
      <c r="A258" s="22" t="n">
        <v>254</v>
      </c>
      <c r="B258" s="22" t="s">
        <v>13960</v>
      </c>
      <c r="C258" s="22" t="s">
        <v>15110</v>
      </c>
      <c r="D258" s="23" t="s">
        <v>15111</v>
      </c>
    </row>
    <row r="259" customFormat="false" ht="24.75" hidden="false" customHeight="true" outlineLevel="0" collapsed="false">
      <c r="A259" s="22" t="n">
        <v>255</v>
      </c>
      <c r="B259" s="22" t="s">
        <v>13960</v>
      </c>
      <c r="C259" s="22" t="s">
        <v>15171</v>
      </c>
      <c r="D259" s="23" t="s">
        <v>14276</v>
      </c>
    </row>
    <row r="260" customFormat="false" ht="24.75" hidden="false" customHeight="true" outlineLevel="0" collapsed="false">
      <c r="A260" s="22" t="n">
        <v>256</v>
      </c>
      <c r="B260" s="22" t="s">
        <v>13960</v>
      </c>
      <c r="C260" s="22" t="s">
        <v>15212</v>
      </c>
      <c r="D260" s="23" t="s">
        <v>15213</v>
      </c>
    </row>
    <row r="261" customFormat="false" ht="24.75" hidden="false" customHeight="true" outlineLevel="0" collapsed="false">
      <c r="A261" s="22" t="n">
        <v>257</v>
      </c>
      <c r="B261" s="22" t="s">
        <v>13960</v>
      </c>
      <c r="C261" s="22" t="s">
        <v>15113</v>
      </c>
      <c r="D261" s="23" t="s">
        <v>15114</v>
      </c>
    </row>
    <row r="262" customFormat="false" ht="15" hidden="false" customHeight="true" outlineLevel="0" collapsed="false">
      <c r="A262" s="22" t="n">
        <v>258</v>
      </c>
      <c r="B262" s="22" t="s">
        <v>13960</v>
      </c>
      <c r="C262" s="22" t="s">
        <v>15123</v>
      </c>
      <c r="D262" s="23" t="s">
        <v>15124</v>
      </c>
    </row>
    <row r="263" customFormat="false" ht="15" hidden="false" customHeight="true" outlineLevel="0" collapsed="false">
      <c r="A263" s="22" t="n">
        <v>259</v>
      </c>
      <c r="B263" s="22" t="s">
        <v>13960</v>
      </c>
      <c r="C263" s="22" t="s">
        <v>15138</v>
      </c>
      <c r="D263" s="23" t="s">
        <v>14266</v>
      </c>
    </row>
    <row r="264" customFormat="false" ht="15" hidden="false" customHeight="true" outlineLevel="0" collapsed="false">
      <c r="A264" s="22" t="n">
        <v>260</v>
      </c>
      <c r="B264" s="22" t="s">
        <v>13960</v>
      </c>
      <c r="C264" s="22" t="s">
        <v>15119</v>
      </c>
      <c r="D264" s="23" t="s">
        <v>14428</v>
      </c>
    </row>
    <row r="265" customFormat="false" ht="15" hidden="false" customHeight="true" outlineLevel="0" collapsed="false">
      <c r="A265" s="22" t="n">
        <v>261</v>
      </c>
      <c r="B265" s="22" t="s">
        <v>13960</v>
      </c>
      <c r="C265" s="22" t="s">
        <v>15116</v>
      </c>
      <c r="D265" s="23" t="s">
        <v>15117</v>
      </c>
    </row>
    <row r="266" customFormat="false" ht="15" hidden="false" customHeight="true" outlineLevel="0" collapsed="false">
      <c r="A266" s="22" t="n">
        <v>262</v>
      </c>
      <c r="B266" s="22" t="s">
        <v>13960</v>
      </c>
      <c r="C266" s="22" t="s">
        <v>15126</v>
      </c>
      <c r="D266" s="23" t="s">
        <v>15127</v>
      </c>
    </row>
    <row r="267" customFormat="false" ht="15" hidden="false" customHeight="true" outlineLevel="0" collapsed="false">
      <c r="A267" s="22" t="n">
        <v>263</v>
      </c>
      <c r="B267" s="22" t="s">
        <v>13960</v>
      </c>
      <c r="C267" s="22" t="s">
        <v>15121</v>
      </c>
      <c r="D267" s="23" t="s">
        <v>14480</v>
      </c>
    </row>
    <row r="268" customFormat="false" ht="15" hidden="false" customHeight="true" outlineLevel="0" collapsed="false">
      <c r="A268" s="22" t="n">
        <v>264</v>
      </c>
      <c r="B268" s="22" t="s">
        <v>13960</v>
      </c>
      <c r="C268" s="22" t="s">
        <v>15168</v>
      </c>
      <c r="D268" s="23" t="s">
        <v>15169</v>
      </c>
    </row>
    <row r="269" customFormat="false" ht="15" hidden="false" customHeight="true" outlineLevel="0" collapsed="false">
      <c r="A269" s="22" t="n">
        <v>265</v>
      </c>
      <c r="B269" s="22" t="s">
        <v>13960</v>
      </c>
      <c r="C269" s="22" t="s">
        <v>15204</v>
      </c>
      <c r="D269" s="23" t="s">
        <v>14422</v>
      </c>
    </row>
    <row r="270" customFormat="false" ht="15" hidden="false" customHeight="true" outlineLevel="0" collapsed="false">
      <c r="A270" s="22" t="n">
        <v>266</v>
      </c>
      <c r="B270" s="22" t="s">
        <v>13960</v>
      </c>
      <c r="C270" s="22" t="s">
        <v>15107</v>
      </c>
      <c r="D270" s="23" t="s">
        <v>15108</v>
      </c>
    </row>
    <row r="271" customFormat="false" ht="15" hidden="false" customHeight="true" outlineLevel="0" collapsed="false">
      <c r="A271" s="22" t="n">
        <v>267</v>
      </c>
      <c r="B271" s="22" t="s">
        <v>13960</v>
      </c>
      <c r="C271" s="22" t="s">
        <v>15206</v>
      </c>
      <c r="D271" s="23" t="s">
        <v>15207</v>
      </c>
    </row>
    <row r="272" customFormat="false" ht="15" hidden="false" customHeight="true" outlineLevel="0" collapsed="false">
      <c r="A272" s="22" t="n">
        <v>268</v>
      </c>
      <c r="B272" s="22" t="s">
        <v>13960</v>
      </c>
      <c r="C272" s="22" t="s">
        <v>15209</v>
      </c>
      <c r="D272" s="23" t="s">
        <v>15210</v>
      </c>
    </row>
    <row r="273" customFormat="false" ht="15" hidden="false" customHeight="true" outlineLevel="0" collapsed="false">
      <c r="A273" s="22" t="n">
        <v>269</v>
      </c>
      <c r="B273" s="22" t="s">
        <v>13960</v>
      </c>
      <c r="C273" s="22" t="s">
        <v>15215</v>
      </c>
      <c r="D273" s="23" t="s">
        <v>15216</v>
      </c>
    </row>
    <row r="274" customFormat="false" ht="24.75" hidden="false" customHeight="true" outlineLevel="0" collapsed="false">
      <c r="A274" s="22" t="n">
        <v>270</v>
      </c>
      <c r="B274" s="22" t="s">
        <v>13960</v>
      </c>
      <c r="C274" s="22" t="s">
        <v>15218</v>
      </c>
      <c r="D274" s="23" t="s">
        <v>15219</v>
      </c>
    </row>
    <row r="275" customFormat="false" ht="24.75" hidden="false" customHeight="true" outlineLevel="0" collapsed="false">
      <c r="A275" s="22" t="n">
        <v>271</v>
      </c>
      <c r="B275" s="22" t="s">
        <v>13960</v>
      </c>
      <c r="C275" s="22" t="s">
        <v>15193</v>
      </c>
      <c r="D275" s="23" t="s">
        <v>14257</v>
      </c>
    </row>
    <row r="276" customFormat="false" ht="24.75" hidden="false" customHeight="true" outlineLevel="0" collapsed="false">
      <c r="A276" s="22" t="n">
        <v>272</v>
      </c>
      <c r="B276" s="22" t="s">
        <v>13960</v>
      </c>
      <c r="C276" s="22" t="s">
        <v>15175</v>
      </c>
      <c r="D276" s="23" t="s">
        <v>15176</v>
      </c>
    </row>
    <row r="277" customFormat="false" ht="15" hidden="false" customHeight="true" outlineLevel="0" collapsed="false">
      <c r="A277" s="22" t="n">
        <v>273</v>
      </c>
      <c r="B277" s="22" t="s">
        <v>13963</v>
      </c>
      <c r="C277" s="22" t="s">
        <v>15221</v>
      </c>
      <c r="D277" s="23" t="s">
        <v>15222</v>
      </c>
    </row>
    <row r="278" customFormat="false" ht="15" hidden="false" customHeight="true" outlineLevel="0" collapsed="false">
      <c r="A278" s="22" t="n">
        <v>274</v>
      </c>
      <c r="B278" s="22" t="s">
        <v>13963</v>
      </c>
      <c r="C278" s="22" t="s">
        <v>15224</v>
      </c>
      <c r="D278" s="23" t="s">
        <v>14129</v>
      </c>
    </row>
    <row r="279" customFormat="false" ht="24.75" hidden="false" customHeight="true" outlineLevel="0" collapsed="false">
      <c r="A279" s="22" t="n">
        <v>275</v>
      </c>
      <c r="B279" s="22" t="s">
        <v>13963</v>
      </c>
      <c r="C279" s="22" t="s">
        <v>15226</v>
      </c>
      <c r="D279" s="23" t="s">
        <v>14721</v>
      </c>
    </row>
    <row r="280" customFormat="false" ht="24.75" hidden="false" customHeight="true" outlineLevel="0" collapsed="false">
      <c r="A280" s="22" t="n">
        <v>276</v>
      </c>
      <c r="B280" s="22" t="s">
        <v>13963</v>
      </c>
      <c r="C280" s="22" t="s">
        <v>15227</v>
      </c>
      <c r="D280" s="23" t="s">
        <v>15228</v>
      </c>
    </row>
    <row r="281" customFormat="false" ht="15" hidden="false" customHeight="true" outlineLevel="0" collapsed="false">
      <c r="A281" s="22" t="n">
        <v>277</v>
      </c>
      <c r="B281" s="22" t="s">
        <v>13963</v>
      </c>
      <c r="C281" s="22" t="s">
        <v>15230</v>
      </c>
      <c r="D281" s="23" t="s">
        <v>15231</v>
      </c>
    </row>
    <row r="282" customFormat="false" ht="24.75" hidden="false" customHeight="true" outlineLevel="0" collapsed="false">
      <c r="A282" s="22" t="n">
        <v>278</v>
      </c>
      <c r="B282" s="22" t="s">
        <v>13963</v>
      </c>
      <c r="C282" s="22" t="s">
        <v>15233</v>
      </c>
      <c r="D282" s="23" t="s">
        <v>14162</v>
      </c>
    </row>
    <row r="283" customFormat="false" ht="24.75" hidden="false" customHeight="true" outlineLevel="0" collapsed="false">
      <c r="A283" s="22" t="n">
        <v>279</v>
      </c>
      <c r="B283" s="22" t="s">
        <v>13963</v>
      </c>
      <c r="C283" s="22" t="s">
        <v>15235</v>
      </c>
      <c r="D283" s="23" t="s">
        <v>15236</v>
      </c>
    </row>
    <row r="284" customFormat="false" ht="15" hidden="false" customHeight="true" outlineLevel="0" collapsed="false">
      <c r="A284" s="22" t="n">
        <v>280</v>
      </c>
      <c r="B284" s="22" t="s">
        <v>13963</v>
      </c>
      <c r="C284" s="22" t="s">
        <v>15238</v>
      </c>
      <c r="D284" s="23" t="s">
        <v>15239</v>
      </c>
    </row>
    <row r="285" customFormat="false" ht="24.75" hidden="false" customHeight="true" outlineLevel="0" collapsed="false">
      <c r="A285" s="22" t="n">
        <v>281</v>
      </c>
      <c r="B285" s="22" t="s">
        <v>13963</v>
      </c>
      <c r="C285" s="22" t="s">
        <v>15241</v>
      </c>
      <c r="D285" s="23" t="s">
        <v>15242</v>
      </c>
    </row>
    <row r="286" customFormat="false" ht="15" hidden="false" customHeight="true" outlineLevel="0" collapsed="false">
      <c r="A286" s="22" t="n">
        <v>282</v>
      </c>
      <c r="B286" s="22" t="s">
        <v>13963</v>
      </c>
      <c r="C286" s="22" t="s">
        <v>15244</v>
      </c>
      <c r="D286" s="23" t="s">
        <v>15245</v>
      </c>
    </row>
    <row r="287" customFormat="false" ht="24.75" hidden="false" customHeight="true" outlineLevel="0" collapsed="false">
      <c r="A287" s="22" t="n">
        <v>283</v>
      </c>
      <c r="B287" s="22" t="s">
        <v>13963</v>
      </c>
      <c r="C287" s="22" t="s">
        <v>15247</v>
      </c>
      <c r="D287" s="23" t="s">
        <v>14752</v>
      </c>
    </row>
    <row r="288" customFormat="false" ht="24.75" hidden="false" customHeight="true" outlineLevel="0" collapsed="false">
      <c r="A288" s="22" t="n">
        <v>284</v>
      </c>
      <c r="B288" s="22" t="s">
        <v>13963</v>
      </c>
      <c r="C288" s="22" t="s">
        <v>15249</v>
      </c>
      <c r="D288" s="23" t="s">
        <v>14134</v>
      </c>
    </row>
    <row r="289" customFormat="false" ht="24.75" hidden="false" customHeight="true" outlineLevel="0" collapsed="false">
      <c r="A289" s="22" t="n">
        <v>285</v>
      </c>
      <c r="B289" s="22" t="s">
        <v>13963</v>
      </c>
      <c r="C289" s="22" t="s">
        <v>15251</v>
      </c>
      <c r="D289" s="23" t="s">
        <v>14739</v>
      </c>
    </row>
    <row r="290" customFormat="false" ht="24.75" hidden="false" customHeight="true" outlineLevel="0" collapsed="false">
      <c r="A290" s="22" t="n">
        <v>286</v>
      </c>
      <c r="B290" s="22" t="s">
        <v>13963</v>
      </c>
      <c r="C290" s="22" t="s">
        <v>15253</v>
      </c>
      <c r="D290" s="23" t="s">
        <v>14157</v>
      </c>
    </row>
    <row r="291" customFormat="false" ht="15" hidden="false" customHeight="true" outlineLevel="0" collapsed="false">
      <c r="A291" s="22" t="n">
        <v>287</v>
      </c>
      <c r="B291" s="22" t="s">
        <v>13963</v>
      </c>
      <c r="C291" s="22" t="s">
        <v>15255</v>
      </c>
      <c r="D291" s="23" t="s">
        <v>14742</v>
      </c>
    </row>
    <row r="292" customFormat="false" ht="15" hidden="false" customHeight="true" outlineLevel="0" collapsed="false">
      <c r="A292" s="22" t="n">
        <v>288</v>
      </c>
      <c r="B292" s="22" t="s">
        <v>13963</v>
      </c>
      <c r="C292" s="22" t="s">
        <v>15257</v>
      </c>
      <c r="D292" s="23" t="s">
        <v>15258</v>
      </c>
    </row>
    <row r="293" customFormat="false" ht="15" hidden="false" customHeight="true" outlineLevel="0" collapsed="false">
      <c r="A293" s="22" t="n">
        <v>289</v>
      </c>
      <c r="B293" s="22" t="s">
        <v>13963</v>
      </c>
      <c r="C293" s="22" t="s">
        <v>15260</v>
      </c>
      <c r="D293" s="23" t="s">
        <v>14674</v>
      </c>
    </row>
    <row r="294" customFormat="false" ht="24.75" hidden="false" customHeight="true" outlineLevel="0" collapsed="false">
      <c r="A294" s="22" t="n">
        <v>290</v>
      </c>
      <c r="B294" s="22" t="s">
        <v>13963</v>
      </c>
      <c r="C294" s="22" t="s">
        <v>15262</v>
      </c>
      <c r="D294" s="23" t="s">
        <v>14671</v>
      </c>
    </row>
    <row r="295" customFormat="false" ht="15" hidden="false" customHeight="true" outlineLevel="0" collapsed="false">
      <c r="A295" s="22" t="n">
        <v>291</v>
      </c>
      <c r="B295" s="22" t="s">
        <v>13963</v>
      </c>
      <c r="C295" s="22" t="s">
        <v>15263</v>
      </c>
      <c r="D295" s="23" t="s">
        <v>15264</v>
      </c>
    </row>
    <row r="296" customFormat="false" ht="15" hidden="false" customHeight="true" outlineLevel="0" collapsed="false">
      <c r="A296" s="22" t="n">
        <v>292</v>
      </c>
      <c r="B296" s="22" t="s">
        <v>13963</v>
      </c>
      <c r="C296" s="22" t="s">
        <v>15266</v>
      </c>
      <c r="D296" s="23" t="s">
        <v>14745</v>
      </c>
    </row>
    <row r="297" customFormat="false" ht="15" hidden="false" customHeight="true" outlineLevel="0" collapsed="false">
      <c r="A297" s="22" t="n">
        <v>293</v>
      </c>
      <c r="B297" s="22" t="s">
        <v>13963</v>
      </c>
      <c r="C297" s="22" t="s">
        <v>15268</v>
      </c>
      <c r="D297" s="23" t="s">
        <v>14171</v>
      </c>
    </row>
    <row r="298" customFormat="false" ht="15" hidden="false" customHeight="true" outlineLevel="0" collapsed="false">
      <c r="A298" s="22" t="n">
        <v>294</v>
      </c>
      <c r="B298" s="22" t="s">
        <v>13963</v>
      </c>
      <c r="C298" s="22" t="s">
        <v>15270</v>
      </c>
      <c r="D298" s="23" t="s">
        <v>15271</v>
      </c>
    </row>
    <row r="299" customFormat="false" ht="24.75" hidden="false" customHeight="true" outlineLevel="0" collapsed="false">
      <c r="A299" s="22" t="n">
        <v>295</v>
      </c>
      <c r="B299" s="22" t="s">
        <v>13963</v>
      </c>
      <c r="C299" s="22" t="s">
        <v>15273</v>
      </c>
      <c r="D299" s="23" t="s">
        <v>15274</v>
      </c>
    </row>
    <row r="300" customFormat="false" ht="15" hidden="false" customHeight="true" outlineLevel="0" collapsed="false">
      <c r="A300" s="22" t="n">
        <v>296</v>
      </c>
      <c r="B300" s="22" t="s">
        <v>13963</v>
      </c>
      <c r="C300" s="22" t="s">
        <v>15276</v>
      </c>
      <c r="D300" s="23" t="s">
        <v>14663</v>
      </c>
    </row>
    <row r="301" customFormat="false" ht="24.75" hidden="false" customHeight="true" outlineLevel="0" collapsed="false">
      <c r="A301" s="22" t="n">
        <v>297</v>
      </c>
      <c r="B301" s="22" t="s">
        <v>13963</v>
      </c>
      <c r="C301" s="22" t="s">
        <v>15278</v>
      </c>
      <c r="D301" s="23" t="s">
        <v>15279</v>
      </c>
    </row>
    <row r="302" customFormat="false" ht="15" hidden="false" customHeight="true" outlineLevel="0" collapsed="false">
      <c r="A302" s="22" t="n">
        <v>298</v>
      </c>
      <c r="B302" s="22" t="s">
        <v>13963</v>
      </c>
      <c r="C302" s="22" t="s">
        <v>15281</v>
      </c>
      <c r="D302" s="23" t="s">
        <v>14758</v>
      </c>
    </row>
    <row r="303" customFormat="false" ht="15" hidden="false" customHeight="true" outlineLevel="0" collapsed="false">
      <c r="A303" s="22" t="n">
        <v>299</v>
      </c>
      <c r="B303" s="22" t="s">
        <v>13963</v>
      </c>
      <c r="C303" s="22" t="s">
        <v>15283</v>
      </c>
      <c r="D303" s="23" t="s">
        <v>14763</v>
      </c>
    </row>
    <row r="304" customFormat="false" ht="15" hidden="false" customHeight="true" outlineLevel="0" collapsed="false">
      <c r="A304" s="22" t="n">
        <v>300</v>
      </c>
      <c r="B304" s="22" t="s">
        <v>13963</v>
      </c>
      <c r="C304" s="22" t="s">
        <v>15285</v>
      </c>
      <c r="D304" s="23" t="s">
        <v>14778</v>
      </c>
    </row>
    <row r="305" customFormat="false" ht="15" hidden="false" customHeight="true" outlineLevel="0" collapsed="false">
      <c r="A305" s="22" t="n">
        <v>301</v>
      </c>
      <c r="B305" s="22" t="s">
        <v>13963</v>
      </c>
      <c r="C305" s="22" t="s">
        <v>15286</v>
      </c>
      <c r="D305" s="23" t="s">
        <v>15287</v>
      </c>
    </row>
    <row r="306" customFormat="false" ht="15" hidden="false" customHeight="true" outlineLevel="0" collapsed="false">
      <c r="A306" s="22" t="n">
        <v>302</v>
      </c>
      <c r="B306" s="22" t="s">
        <v>13963</v>
      </c>
      <c r="C306" s="22" t="s">
        <v>15289</v>
      </c>
      <c r="D306" s="23" t="s">
        <v>14788</v>
      </c>
    </row>
    <row r="307" customFormat="false" ht="15" hidden="false" customHeight="true" outlineLevel="0" collapsed="false">
      <c r="A307" s="22" t="n">
        <v>303</v>
      </c>
      <c r="B307" s="22" t="s">
        <v>13963</v>
      </c>
      <c r="C307" s="22" t="s">
        <v>15291</v>
      </c>
      <c r="D307" s="23" t="s">
        <v>14791</v>
      </c>
    </row>
    <row r="308" customFormat="false" ht="15" hidden="false" customHeight="true" outlineLevel="0" collapsed="false">
      <c r="A308" s="22" t="n">
        <v>304</v>
      </c>
      <c r="B308" s="22" t="s">
        <v>13963</v>
      </c>
      <c r="C308" s="22" t="s">
        <v>15292</v>
      </c>
      <c r="D308" s="23" t="s">
        <v>14183</v>
      </c>
    </row>
    <row r="309" customFormat="false" ht="24.75" hidden="false" customHeight="true" outlineLevel="0" collapsed="false">
      <c r="A309" s="22" t="n">
        <v>305</v>
      </c>
      <c r="B309" s="22" t="s">
        <v>13963</v>
      </c>
      <c r="C309" s="22" t="s">
        <v>15294</v>
      </c>
      <c r="D309" s="23" t="s">
        <v>15295</v>
      </c>
    </row>
    <row r="310" customFormat="false" ht="24.75" hidden="false" customHeight="true" outlineLevel="0" collapsed="false">
      <c r="A310" s="22" t="n">
        <v>306</v>
      </c>
      <c r="B310" s="22" t="s">
        <v>13963</v>
      </c>
      <c r="C310" s="22" t="s">
        <v>15296</v>
      </c>
      <c r="D310" s="23" t="s">
        <v>14861</v>
      </c>
    </row>
    <row r="311" customFormat="false" ht="15" hidden="false" customHeight="true" outlineLevel="0" collapsed="false">
      <c r="A311" s="22" t="n">
        <v>307</v>
      </c>
      <c r="B311" s="22" t="s">
        <v>13963</v>
      </c>
      <c r="C311" s="22" t="s">
        <v>15298</v>
      </c>
      <c r="D311" s="23" t="s">
        <v>14799</v>
      </c>
    </row>
    <row r="312" customFormat="false" ht="15" hidden="false" customHeight="true" outlineLevel="0" collapsed="false">
      <c r="A312" s="22" t="n">
        <v>308</v>
      </c>
      <c r="B312" s="22" t="s">
        <v>13963</v>
      </c>
      <c r="C312" s="22" t="s">
        <v>15300</v>
      </c>
      <c r="D312" s="23" t="s">
        <v>14188</v>
      </c>
    </row>
    <row r="313" customFormat="false" ht="15" hidden="false" customHeight="true" outlineLevel="0" collapsed="false">
      <c r="A313" s="22" t="n">
        <v>309</v>
      </c>
      <c r="B313" s="22" t="s">
        <v>13963</v>
      </c>
      <c r="C313" s="22" t="s">
        <v>15302</v>
      </c>
      <c r="D313" s="23" t="s">
        <v>14873</v>
      </c>
    </row>
    <row r="314" customFormat="false" ht="15" hidden="false" customHeight="true" outlineLevel="0" collapsed="false">
      <c r="A314" s="22" t="n">
        <v>310</v>
      </c>
      <c r="B314" s="22" t="s">
        <v>13963</v>
      </c>
      <c r="C314" s="22" t="s">
        <v>15304</v>
      </c>
      <c r="D314" s="23" t="s">
        <v>14847</v>
      </c>
    </row>
    <row r="315" customFormat="false" ht="15" hidden="false" customHeight="true" outlineLevel="0" collapsed="false">
      <c r="A315" s="22" t="n">
        <v>311</v>
      </c>
      <c r="B315" s="22" t="s">
        <v>13963</v>
      </c>
      <c r="C315" s="22" t="s">
        <v>15306</v>
      </c>
      <c r="D315" s="23" t="s">
        <v>14823</v>
      </c>
    </row>
    <row r="316" customFormat="false" ht="24.75" hidden="false" customHeight="true" outlineLevel="0" collapsed="false">
      <c r="A316" s="22" t="n">
        <v>312</v>
      </c>
      <c r="B316" s="22" t="s">
        <v>13963</v>
      </c>
      <c r="C316" s="22" t="s">
        <v>15308</v>
      </c>
      <c r="D316" s="23" t="s">
        <v>14835</v>
      </c>
    </row>
    <row r="317" customFormat="false" ht="15" hidden="false" customHeight="true" outlineLevel="0" collapsed="false">
      <c r="A317" s="22" t="n">
        <v>313</v>
      </c>
      <c r="B317" s="22" t="s">
        <v>13963</v>
      </c>
      <c r="C317" s="22" t="s">
        <v>15309</v>
      </c>
      <c r="D317" s="23" t="s">
        <v>14826</v>
      </c>
    </row>
    <row r="318" customFormat="false" ht="15" hidden="false" customHeight="true" outlineLevel="0" collapsed="false">
      <c r="A318" s="22" t="n">
        <v>314</v>
      </c>
      <c r="B318" s="22" t="s">
        <v>13963</v>
      </c>
      <c r="C318" s="22" t="s">
        <v>15310</v>
      </c>
      <c r="D318" s="23" t="s">
        <v>14139</v>
      </c>
    </row>
    <row r="319" customFormat="false" ht="24.75" hidden="false" customHeight="true" outlineLevel="0" collapsed="false">
      <c r="A319" s="22" t="n">
        <v>315</v>
      </c>
      <c r="B319" s="22" t="s">
        <v>13963</v>
      </c>
      <c r="C319" s="22" t="s">
        <v>15312</v>
      </c>
      <c r="D319" s="23" t="s">
        <v>15313</v>
      </c>
    </row>
    <row r="320" customFormat="false" ht="15" hidden="false" customHeight="true" outlineLevel="0" collapsed="false">
      <c r="A320" s="22" t="n">
        <v>316</v>
      </c>
      <c r="B320" s="22" t="s">
        <v>13963</v>
      </c>
      <c r="C320" s="22" t="s">
        <v>15315</v>
      </c>
      <c r="D320" s="23" t="s">
        <v>14852</v>
      </c>
    </row>
    <row r="321" customFormat="false" ht="15" hidden="false" customHeight="true" outlineLevel="0" collapsed="false">
      <c r="A321" s="22" t="n">
        <v>317</v>
      </c>
      <c r="B321" s="22" t="s">
        <v>13963</v>
      </c>
      <c r="C321" s="22" t="s">
        <v>15317</v>
      </c>
      <c r="D321" s="23" t="s">
        <v>15318</v>
      </c>
    </row>
    <row r="322" customFormat="false" ht="15" hidden="false" customHeight="true" outlineLevel="0" collapsed="false">
      <c r="A322" s="22" t="n">
        <v>318</v>
      </c>
      <c r="B322" s="22" t="s">
        <v>13963</v>
      </c>
      <c r="C322" s="22" t="s">
        <v>15320</v>
      </c>
      <c r="D322" s="23" t="s">
        <v>14840</v>
      </c>
    </row>
    <row r="323" customFormat="false" ht="15" hidden="false" customHeight="true" outlineLevel="0" collapsed="false">
      <c r="A323" s="22" t="n">
        <v>319</v>
      </c>
      <c r="B323" s="22" t="s">
        <v>13963</v>
      </c>
      <c r="C323" s="22" t="s">
        <v>15321</v>
      </c>
      <c r="D323" s="23" t="s">
        <v>14781</v>
      </c>
    </row>
    <row r="324" customFormat="false" ht="24.75" hidden="false" customHeight="true" outlineLevel="0" collapsed="false">
      <c r="A324" s="22" t="n">
        <v>320</v>
      </c>
      <c r="B324" s="22" t="s">
        <v>13963</v>
      </c>
      <c r="C324" s="22" t="s">
        <v>15322</v>
      </c>
      <c r="D324" s="23" t="s">
        <v>14666</v>
      </c>
    </row>
    <row r="325" customFormat="false" ht="24.75" hidden="false" customHeight="true" outlineLevel="0" collapsed="false">
      <c r="A325" s="22" t="n">
        <v>321</v>
      </c>
      <c r="B325" s="22" t="s">
        <v>13963</v>
      </c>
      <c r="C325" s="22" t="s">
        <v>15324</v>
      </c>
      <c r="D325" s="23" t="s">
        <v>14755</v>
      </c>
    </row>
    <row r="326" customFormat="false" ht="15" hidden="false" customHeight="true" outlineLevel="0" collapsed="false">
      <c r="A326" s="22" t="n">
        <v>322</v>
      </c>
      <c r="B326" s="22" t="s">
        <v>13963</v>
      </c>
      <c r="C326" s="22" t="s">
        <v>15326</v>
      </c>
      <c r="D326" s="23" t="s">
        <v>14115</v>
      </c>
    </row>
    <row r="327" customFormat="false" ht="24.75" hidden="false" customHeight="true" outlineLevel="0" collapsed="false">
      <c r="A327" s="22" t="n">
        <v>323</v>
      </c>
      <c r="B327" s="22" t="s">
        <v>13963</v>
      </c>
      <c r="C327" s="22" t="s">
        <v>15328</v>
      </c>
      <c r="D327" s="23" t="s">
        <v>14688</v>
      </c>
    </row>
    <row r="328" customFormat="false" ht="15" hidden="false" customHeight="true" outlineLevel="0" collapsed="false">
      <c r="A328" s="22" t="n">
        <v>324</v>
      </c>
      <c r="B328" s="22" t="s">
        <v>13963</v>
      </c>
      <c r="C328" s="22" t="s">
        <v>15330</v>
      </c>
      <c r="D328" s="23" t="s">
        <v>14120</v>
      </c>
    </row>
    <row r="329" customFormat="false" ht="15" hidden="false" customHeight="true" outlineLevel="0" collapsed="false">
      <c r="A329" s="22" t="n">
        <v>325</v>
      </c>
      <c r="B329" s="22" t="s">
        <v>13963</v>
      </c>
      <c r="C329" s="22" t="s">
        <v>15332</v>
      </c>
      <c r="D329" s="23" t="s">
        <v>15333</v>
      </c>
    </row>
    <row r="330" customFormat="false" ht="15" hidden="false" customHeight="true" outlineLevel="0" collapsed="false">
      <c r="A330" s="22" t="n">
        <v>326</v>
      </c>
      <c r="B330" s="22" t="s">
        <v>13963</v>
      </c>
      <c r="C330" s="22" t="s">
        <v>15335</v>
      </c>
      <c r="D330" s="23" t="s">
        <v>14149</v>
      </c>
    </row>
    <row r="331" customFormat="false" ht="24.75" hidden="false" customHeight="true" outlineLevel="0" collapsed="false">
      <c r="A331" s="22" t="n">
        <v>327</v>
      </c>
      <c r="B331" s="22" t="s">
        <v>13963</v>
      </c>
      <c r="C331" s="22" t="s">
        <v>15337</v>
      </c>
      <c r="D331" s="23" t="s">
        <v>14153</v>
      </c>
    </row>
    <row r="332" customFormat="false" ht="15" hidden="false" customHeight="true" outlineLevel="0" collapsed="false">
      <c r="A332" s="22" t="n">
        <v>328</v>
      </c>
      <c r="B332" s="22" t="s">
        <v>13963</v>
      </c>
      <c r="C332" s="22" t="s">
        <v>15339</v>
      </c>
      <c r="D332" s="23" t="s">
        <v>15340</v>
      </c>
    </row>
    <row r="333" customFormat="false" ht="15" hidden="false" customHeight="true" outlineLevel="0" collapsed="false">
      <c r="A333" s="22" t="n">
        <v>329</v>
      </c>
      <c r="B333" s="22" t="s">
        <v>13963</v>
      </c>
      <c r="C333" s="22" t="s">
        <v>15342</v>
      </c>
      <c r="D333" s="23" t="s">
        <v>14144</v>
      </c>
    </row>
    <row r="334" customFormat="false" ht="24.75" hidden="false" customHeight="true" outlineLevel="0" collapsed="false">
      <c r="A334" s="22" t="n">
        <v>330</v>
      </c>
      <c r="B334" s="22" t="s">
        <v>13963</v>
      </c>
      <c r="C334" s="22" t="s">
        <v>15500</v>
      </c>
      <c r="D334" s="23" t="s">
        <v>15501</v>
      </c>
    </row>
    <row r="335" customFormat="false" ht="15" hidden="false" customHeight="true" outlineLevel="0" collapsed="false">
      <c r="A335" s="22" t="n">
        <v>331</v>
      </c>
      <c r="B335" s="22" t="s">
        <v>13962</v>
      </c>
      <c r="C335" s="22" t="s">
        <v>15343</v>
      </c>
      <c r="D335" s="23" t="s">
        <v>13783</v>
      </c>
    </row>
    <row r="336" customFormat="false" ht="15" hidden="false" customHeight="true" outlineLevel="0" collapsed="false">
      <c r="A336" s="22" t="n">
        <v>332</v>
      </c>
      <c r="B336" s="22" t="s">
        <v>13962</v>
      </c>
      <c r="C336" s="22" t="s">
        <v>15345</v>
      </c>
      <c r="D336" s="23" t="s">
        <v>14103</v>
      </c>
    </row>
    <row r="337" customFormat="false" ht="15" hidden="false" customHeight="true" outlineLevel="0" collapsed="false">
      <c r="A337" s="22" t="n">
        <v>333</v>
      </c>
      <c r="B337" s="22" t="s">
        <v>13962</v>
      </c>
      <c r="C337" s="22" t="s">
        <v>15347</v>
      </c>
      <c r="D337" s="23" t="s">
        <v>14087</v>
      </c>
    </row>
    <row r="338" customFormat="false" ht="15" hidden="false" customHeight="true" outlineLevel="0" collapsed="false">
      <c r="A338" s="22" t="n">
        <v>334</v>
      </c>
      <c r="B338" s="22" t="s">
        <v>13962</v>
      </c>
      <c r="C338" s="22" t="s">
        <v>15348</v>
      </c>
      <c r="D338" s="23" t="s">
        <v>15349</v>
      </c>
    </row>
    <row r="339" customFormat="false" ht="15" hidden="false" customHeight="true" outlineLevel="0" collapsed="false">
      <c r="A339" s="22" t="n">
        <v>335</v>
      </c>
      <c r="B339" s="22" t="s">
        <v>13962</v>
      </c>
      <c r="C339" s="22" t="s">
        <v>15351</v>
      </c>
      <c r="D339" s="23" t="s">
        <v>15352</v>
      </c>
    </row>
    <row r="340" customFormat="false" ht="24.75" hidden="false" customHeight="true" outlineLevel="0" collapsed="false">
      <c r="A340" s="22" t="n">
        <v>336</v>
      </c>
      <c r="B340" s="22" t="s">
        <v>13962</v>
      </c>
      <c r="C340" s="22" t="s">
        <v>15354</v>
      </c>
      <c r="D340" s="23" t="s">
        <v>14621</v>
      </c>
    </row>
    <row r="341" customFormat="false" ht="15" hidden="false" customHeight="true" outlineLevel="0" collapsed="false">
      <c r="A341" s="22" t="n">
        <v>337</v>
      </c>
      <c r="B341" s="22" t="s">
        <v>13962</v>
      </c>
      <c r="C341" s="22" t="s">
        <v>15355</v>
      </c>
      <c r="D341" s="23" t="s">
        <v>14603</v>
      </c>
    </row>
    <row r="342" customFormat="false" ht="15" hidden="false" customHeight="true" outlineLevel="0" collapsed="false">
      <c r="A342" s="22" t="n">
        <v>338</v>
      </c>
      <c r="B342" s="22" t="s">
        <v>13962</v>
      </c>
      <c r="C342" s="22" t="s">
        <v>15357</v>
      </c>
      <c r="D342" s="23" t="s">
        <v>14489</v>
      </c>
    </row>
    <row r="343" customFormat="false" ht="24.75" hidden="false" customHeight="true" outlineLevel="0" collapsed="false">
      <c r="A343" s="22" t="n">
        <v>339</v>
      </c>
      <c r="B343" s="22" t="s">
        <v>13962</v>
      </c>
      <c r="C343" s="22" t="s">
        <v>15359</v>
      </c>
      <c r="D343" s="23" t="s">
        <v>15360</v>
      </c>
    </row>
    <row r="344" customFormat="false" ht="15" hidden="false" customHeight="true" outlineLevel="0" collapsed="false">
      <c r="A344" s="22" t="n">
        <v>340</v>
      </c>
      <c r="B344" s="22" t="s">
        <v>13962</v>
      </c>
      <c r="C344" s="22" t="s">
        <v>15362</v>
      </c>
      <c r="D344" s="23" t="s">
        <v>15363</v>
      </c>
    </row>
    <row r="345" customFormat="false" ht="15" hidden="false" customHeight="true" outlineLevel="0" collapsed="false">
      <c r="A345" s="22" t="n">
        <v>341</v>
      </c>
      <c r="B345" s="22" t="s">
        <v>13962</v>
      </c>
      <c r="C345" s="22" t="s">
        <v>15365</v>
      </c>
      <c r="D345" s="23" t="s">
        <v>14580</v>
      </c>
    </row>
    <row r="346" customFormat="false" ht="15" hidden="false" customHeight="true" outlineLevel="0" collapsed="false">
      <c r="A346" s="22" t="n">
        <v>342</v>
      </c>
      <c r="B346" s="22" t="s">
        <v>13962</v>
      </c>
      <c r="C346" s="22" t="s">
        <v>15366</v>
      </c>
      <c r="D346" s="23" t="s">
        <v>15367</v>
      </c>
    </row>
    <row r="347" customFormat="false" ht="15" hidden="false" customHeight="true" outlineLevel="0" collapsed="false">
      <c r="A347" s="22" t="n">
        <v>343</v>
      </c>
      <c r="B347" s="22" t="s">
        <v>13962</v>
      </c>
      <c r="C347" s="22" t="s">
        <v>15369</v>
      </c>
      <c r="D347" s="23" t="s">
        <v>14630</v>
      </c>
    </row>
    <row r="348" customFormat="false" ht="15" hidden="false" customHeight="true" outlineLevel="0" collapsed="false">
      <c r="A348" s="22" t="n">
        <v>344</v>
      </c>
      <c r="B348" s="22" t="s">
        <v>13962</v>
      </c>
      <c r="C348" s="22" t="s">
        <v>15371</v>
      </c>
      <c r="D348" s="23" t="s">
        <v>14099</v>
      </c>
    </row>
    <row r="349" customFormat="false" ht="15" hidden="false" customHeight="true" outlineLevel="0" collapsed="false">
      <c r="A349" s="22" t="n">
        <v>345</v>
      </c>
      <c r="B349" s="22" t="s">
        <v>13962</v>
      </c>
      <c r="C349" s="22" t="s">
        <v>15373</v>
      </c>
      <c r="D349" s="23" t="s">
        <v>14632</v>
      </c>
    </row>
    <row r="350" customFormat="false" ht="24.75" hidden="false" customHeight="true" outlineLevel="0" collapsed="false">
      <c r="A350" s="22" t="n">
        <v>346</v>
      </c>
      <c r="B350" s="22" t="s">
        <v>13962</v>
      </c>
      <c r="C350" s="22" t="s">
        <v>15375</v>
      </c>
      <c r="D350" s="23" t="s">
        <v>15376</v>
      </c>
    </row>
    <row r="351" customFormat="false" ht="15" hidden="false" customHeight="true" outlineLevel="0" collapsed="false">
      <c r="A351" s="22" t="n">
        <v>347</v>
      </c>
      <c r="B351" s="22" t="s">
        <v>13962</v>
      </c>
      <c r="C351" s="22" t="s">
        <v>15378</v>
      </c>
      <c r="D351" s="23" t="s">
        <v>14573</v>
      </c>
    </row>
    <row r="352" customFormat="false" ht="15" hidden="false" customHeight="true" outlineLevel="0" collapsed="false">
      <c r="A352" s="22" t="n">
        <v>348</v>
      </c>
      <c r="B352" s="22" t="s">
        <v>13962</v>
      </c>
      <c r="C352" s="22" t="s">
        <v>15380</v>
      </c>
      <c r="D352" s="23" t="s">
        <v>14585</v>
      </c>
    </row>
    <row r="353" customFormat="false" ht="15" hidden="false" customHeight="true" outlineLevel="0" collapsed="false">
      <c r="A353" s="22" t="n">
        <v>349</v>
      </c>
      <c r="B353" s="22" t="s">
        <v>13962</v>
      </c>
      <c r="C353" s="22" t="s">
        <v>15382</v>
      </c>
      <c r="D353" s="23" t="s">
        <v>14577</v>
      </c>
    </row>
    <row r="354" customFormat="false" ht="15" hidden="false" customHeight="true" outlineLevel="0" collapsed="false">
      <c r="A354" s="22" t="n">
        <v>350</v>
      </c>
      <c r="B354" s="22" t="s">
        <v>13962</v>
      </c>
      <c r="C354" s="22" t="s">
        <v>15384</v>
      </c>
      <c r="D354" s="23" t="s">
        <v>14583</v>
      </c>
    </row>
    <row r="355" customFormat="false" ht="15" hidden="false" customHeight="true" outlineLevel="0" collapsed="false">
      <c r="A355" s="22" t="n">
        <v>351</v>
      </c>
      <c r="B355" s="22" t="s">
        <v>13962</v>
      </c>
      <c r="C355" s="22" t="s">
        <v>15386</v>
      </c>
      <c r="D355" s="23" t="s">
        <v>14570</v>
      </c>
    </row>
    <row r="356" customFormat="false" ht="15" hidden="false" customHeight="true" outlineLevel="0" collapsed="false">
      <c r="A356" s="22" t="n">
        <v>352</v>
      </c>
      <c r="B356" s="22" t="s">
        <v>13962</v>
      </c>
      <c r="C356" s="22" t="s">
        <v>15388</v>
      </c>
      <c r="D356" s="23" t="s">
        <v>15389</v>
      </c>
    </row>
    <row r="357" customFormat="false" ht="15" hidden="false" customHeight="true" outlineLevel="0" collapsed="false">
      <c r="A357" s="22" t="n">
        <v>353</v>
      </c>
      <c r="B357" s="22" t="s">
        <v>13962</v>
      </c>
      <c r="C357" s="22" t="s">
        <v>15391</v>
      </c>
      <c r="D357" s="23" t="s">
        <v>14559</v>
      </c>
    </row>
    <row r="358" customFormat="false" ht="15" hidden="false" customHeight="true" outlineLevel="0" collapsed="false">
      <c r="A358" s="22" t="n">
        <v>354</v>
      </c>
      <c r="B358" s="22" t="s">
        <v>13962</v>
      </c>
      <c r="C358" s="22" t="s">
        <v>15393</v>
      </c>
      <c r="D358" s="23" t="s">
        <v>15394</v>
      </c>
    </row>
    <row r="359" customFormat="false" ht="15" hidden="false" customHeight="true" outlineLevel="0" collapsed="false">
      <c r="A359" s="22" t="n">
        <v>355</v>
      </c>
      <c r="B359" s="22" t="s">
        <v>13962</v>
      </c>
      <c r="C359" s="22" t="s">
        <v>15396</v>
      </c>
      <c r="D359" s="23" t="s">
        <v>15397</v>
      </c>
    </row>
    <row r="360" customFormat="false" ht="24.75" hidden="false" customHeight="true" outlineLevel="0" collapsed="false">
      <c r="A360" s="22" t="n">
        <v>356</v>
      </c>
      <c r="B360" s="22" t="s">
        <v>13962</v>
      </c>
      <c r="C360" s="22" t="s">
        <v>15399</v>
      </c>
      <c r="D360" s="23" t="s">
        <v>15400</v>
      </c>
    </row>
    <row r="361" customFormat="false" ht="24.75" hidden="false" customHeight="true" outlineLevel="0" collapsed="false">
      <c r="A361" s="22" t="n">
        <v>357</v>
      </c>
      <c r="B361" s="22" t="s">
        <v>13962</v>
      </c>
      <c r="C361" s="22" t="s">
        <v>15402</v>
      </c>
      <c r="D361" s="23" t="s">
        <v>15403</v>
      </c>
    </row>
    <row r="362" customFormat="false" ht="15" hidden="false" customHeight="true" outlineLevel="0" collapsed="false">
      <c r="A362" s="22" t="n">
        <v>358</v>
      </c>
      <c r="B362" s="22" t="s">
        <v>13962</v>
      </c>
      <c r="C362" s="22" t="s">
        <v>15405</v>
      </c>
      <c r="D362" s="23" t="s">
        <v>14022</v>
      </c>
    </row>
    <row r="363" customFormat="false" ht="15" hidden="false" customHeight="true" outlineLevel="0" collapsed="false">
      <c r="A363" s="22" t="n">
        <v>359</v>
      </c>
      <c r="B363" s="22" t="s">
        <v>13962</v>
      </c>
      <c r="C363" s="22" t="s">
        <v>15407</v>
      </c>
      <c r="D363" s="23" t="s">
        <v>15408</v>
      </c>
    </row>
    <row r="364" customFormat="false" ht="15" hidden="false" customHeight="true" outlineLevel="0" collapsed="false">
      <c r="A364" s="22" t="n">
        <v>360</v>
      </c>
      <c r="B364" s="22" t="s">
        <v>13962</v>
      </c>
      <c r="C364" s="22" t="s">
        <v>15410</v>
      </c>
      <c r="D364" s="23" t="s">
        <v>15411</v>
      </c>
    </row>
    <row r="365" customFormat="false" ht="15" hidden="false" customHeight="true" outlineLevel="0" collapsed="false">
      <c r="A365" s="22" t="n">
        <v>361</v>
      </c>
      <c r="B365" s="22" t="s">
        <v>13962</v>
      </c>
      <c r="C365" s="22" t="s">
        <v>15413</v>
      </c>
      <c r="D365" s="23" t="s">
        <v>14516</v>
      </c>
    </row>
    <row r="366" customFormat="false" ht="15" hidden="false" customHeight="true" outlineLevel="0" collapsed="false">
      <c r="A366" s="22" t="n">
        <v>362</v>
      </c>
      <c r="B366" s="22" t="s">
        <v>13962</v>
      </c>
      <c r="C366" s="22" t="s">
        <v>15415</v>
      </c>
      <c r="D366" s="23" t="s">
        <v>14428</v>
      </c>
    </row>
    <row r="367" customFormat="false" ht="15" hidden="false" customHeight="true" outlineLevel="0" collapsed="false">
      <c r="A367" s="22" t="n">
        <v>363</v>
      </c>
      <c r="B367" s="22" t="s">
        <v>13962</v>
      </c>
      <c r="C367" s="22" t="s">
        <v>15417</v>
      </c>
      <c r="D367" s="23" t="s">
        <v>13728</v>
      </c>
    </row>
    <row r="368" customFormat="false" ht="15" hidden="false" customHeight="true" outlineLevel="0" collapsed="false">
      <c r="A368" s="22" t="n">
        <v>364</v>
      </c>
      <c r="B368" s="22" t="s">
        <v>13962</v>
      </c>
      <c r="C368" s="22" t="s">
        <v>15418</v>
      </c>
      <c r="D368" s="23" t="s">
        <v>15202</v>
      </c>
    </row>
    <row r="369" customFormat="false" ht="15" hidden="false" customHeight="true" outlineLevel="0" collapsed="false">
      <c r="A369" s="22" t="n">
        <v>365</v>
      </c>
      <c r="B369" s="22" t="s">
        <v>13962</v>
      </c>
      <c r="C369" s="22" t="s">
        <v>15419</v>
      </c>
      <c r="D369" s="23" t="s">
        <v>13725</v>
      </c>
    </row>
    <row r="370" customFormat="false" ht="24.75" hidden="false" customHeight="true" outlineLevel="0" collapsed="false">
      <c r="A370" s="22" t="n">
        <v>366</v>
      </c>
      <c r="B370" s="22" t="s">
        <v>13962</v>
      </c>
      <c r="C370" s="22" t="s">
        <v>15421</v>
      </c>
      <c r="D370" s="23" t="s">
        <v>15422</v>
      </c>
    </row>
    <row r="371" customFormat="false" ht="24.75" hidden="false" customHeight="true" outlineLevel="0" collapsed="false">
      <c r="A371" s="22" t="n">
        <v>367</v>
      </c>
      <c r="B371" s="22" t="s">
        <v>13962</v>
      </c>
      <c r="C371" s="22" t="s">
        <v>15424</v>
      </c>
      <c r="D371" s="23" t="s">
        <v>15213</v>
      </c>
    </row>
    <row r="372" customFormat="false" ht="24.75" hidden="false" customHeight="true" outlineLevel="0" collapsed="false">
      <c r="A372" s="22" t="n">
        <v>368</v>
      </c>
      <c r="B372" s="22" t="s">
        <v>13962</v>
      </c>
      <c r="C372" s="22" t="s">
        <v>15426</v>
      </c>
      <c r="D372" s="23" t="s">
        <v>15427</v>
      </c>
    </row>
    <row r="373" customFormat="false" ht="24.75" hidden="false" customHeight="true" outlineLevel="0" collapsed="false">
      <c r="A373" s="22" t="n">
        <v>369</v>
      </c>
      <c r="B373" s="22" t="s">
        <v>13962</v>
      </c>
      <c r="C373" s="22" t="s">
        <v>15429</v>
      </c>
      <c r="D373" s="23" t="s">
        <v>14276</v>
      </c>
    </row>
    <row r="374" customFormat="false" ht="24.75" hidden="false" customHeight="true" outlineLevel="0" collapsed="false">
      <c r="A374" s="22" t="n">
        <v>370</v>
      </c>
      <c r="B374" s="22" t="s">
        <v>13962</v>
      </c>
      <c r="C374" s="22" t="s">
        <v>15431</v>
      </c>
      <c r="D374" s="23" t="s">
        <v>14471</v>
      </c>
    </row>
    <row r="375" customFormat="false" ht="15" hidden="false" customHeight="true" outlineLevel="0" collapsed="false">
      <c r="A375" s="22" t="n">
        <v>371</v>
      </c>
      <c r="B375" s="22" t="s">
        <v>13962</v>
      </c>
      <c r="C375" s="22" t="s">
        <v>15432</v>
      </c>
      <c r="D375" s="23" t="s">
        <v>15433</v>
      </c>
    </row>
    <row r="376" customFormat="false" ht="15" hidden="false" customHeight="true" outlineLevel="0" collapsed="false">
      <c r="A376" s="22" t="n">
        <v>372</v>
      </c>
      <c r="B376" s="22" t="s">
        <v>13962</v>
      </c>
      <c r="C376" s="22" t="s">
        <v>15435</v>
      </c>
      <c r="D376" s="23" t="s">
        <v>15436</v>
      </c>
    </row>
    <row r="377" customFormat="false" ht="15" hidden="false" customHeight="true" outlineLevel="0" collapsed="false">
      <c r="A377" s="22" t="n">
        <v>373</v>
      </c>
      <c r="B377" s="22" t="s">
        <v>13962</v>
      </c>
      <c r="C377" s="22" t="s">
        <v>15438</v>
      </c>
      <c r="D377" s="23" t="s">
        <v>14192</v>
      </c>
    </row>
    <row r="378" customFormat="false" ht="24.75" hidden="false" customHeight="true" outlineLevel="0" collapsed="false">
      <c r="A378" s="22" t="n">
        <v>374</v>
      </c>
      <c r="B378" s="22" t="s">
        <v>13962</v>
      </c>
      <c r="C378" s="22" t="s">
        <v>15440</v>
      </c>
      <c r="D378" s="23" t="s">
        <v>14197</v>
      </c>
    </row>
    <row r="379" customFormat="false" ht="15" hidden="false" customHeight="true" outlineLevel="0" collapsed="false">
      <c r="A379" s="22" t="n">
        <v>375</v>
      </c>
      <c r="B379" s="22" t="s">
        <v>13962</v>
      </c>
      <c r="C379" s="22" t="s">
        <v>15442</v>
      </c>
      <c r="D379" s="23" t="s">
        <v>14202</v>
      </c>
    </row>
    <row r="380" customFormat="false" ht="15" hidden="false" customHeight="true" outlineLevel="0" collapsed="false">
      <c r="A380" s="22" t="n">
        <v>376</v>
      </c>
      <c r="B380" s="22" t="s">
        <v>13962</v>
      </c>
      <c r="C380" s="22" t="s">
        <v>15444</v>
      </c>
      <c r="D380" s="23" t="s">
        <v>15016</v>
      </c>
    </row>
    <row r="381" customFormat="false" ht="24.75" hidden="false" customHeight="true" outlineLevel="0" collapsed="false">
      <c r="A381" s="22" t="n">
        <v>377</v>
      </c>
      <c r="B381" s="22" t="s">
        <v>13962</v>
      </c>
      <c r="C381" s="22" t="s">
        <v>15446</v>
      </c>
      <c r="D381" s="23" t="s">
        <v>15022</v>
      </c>
    </row>
    <row r="382" customFormat="false" ht="15" hidden="false" customHeight="true" outlineLevel="0" collapsed="false">
      <c r="A382" s="22" t="n">
        <v>378</v>
      </c>
      <c r="B382" s="22" t="s">
        <v>13962</v>
      </c>
      <c r="C382" s="22" t="s">
        <v>15448</v>
      </c>
      <c r="D382" s="23" t="s">
        <v>15034</v>
      </c>
    </row>
    <row r="383" customFormat="false" ht="24.75" hidden="false" customHeight="true" outlineLevel="0" collapsed="false">
      <c r="A383" s="22" t="n">
        <v>379</v>
      </c>
      <c r="B383" s="22" t="s">
        <v>13962</v>
      </c>
      <c r="C383" s="22" t="s">
        <v>15450</v>
      </c>
      <c r="D383" s="23" t="s">
        <v>15146</v>
      </c>
    </row>
    <row r="384" customFormat="false" ht="24.75" hidden="false" customHeight="true" outlineLevel="0" collapsed="false">
      <c r="A384" s="22" t="n">
        <v>380</v>
      </c>
      <c r="B384" s="22" t="s">
        <v>13962</v>
      </c>
      <c r="C384" s="22" t="s">
        <v>15452</v>
      </c>
      <c r="D384" s="23" t="s">
        <v>15092</v>
      </c>
    </row>
    <row r="385" customFormat="false" ht="24.75" hidden="false" customHeight="true" outlineLevel="0" collapsed="false">
      <c r="A385" s="22" t="n">
        <v>381</v>
      </c>
      <c r="B385" s="22" t="s">
        <v>13962</v>
      </c>
      <c r="C385" s="22" t="s">
        <v>15453</v>
      </c>
      <c r="D385" s="23" t="s">
        <v>15095</v>
      </c>
    </row>
    <row r="386" customFormat="false" ht="15" hidden="false" customHeight="true" outlineLevel="0" collapsed="false">
      <c r="A386" s="22" t="n">
        <v>382</v>
      </c>
      <c r="B386" s="22" t="s">
        <v>13962</v>
      </c>
      <c r="C386" s="22" t="s">
        <v>15454</v>
      </c>
      <c r="D386" s="23" t="s">
        <v>15098</v>
      </c>
    </row>
    <row r="387" customFormat="false" ht="15" hidden="false" customHeight="true" outlineLevel="0" collapsed="false">
      <c r="A387" s="22" t="n">
        <v>383</v>
      </c>
      <c r="B387" s="22" t="s">
        <v>13962</v>
      </c>
      <c r="C387" s="22" t="s">
        <v>15456</v>
      </c>
      <c r="D387" s="23" t="s">
        <v>14919</v>
      </c>
    </row>
    <row r="388" customFormat="false" ht="15" hidden="false" customHeight="true" outlineLevel="0" collapsed="false">
      <c r="A388" s="22" t="n">
        <v>384</v>
      </c>
      <c r="B388" s="22" t="s">
        <v>13962</v>
      </c>
      <c r="C388" s="22" t="s">
        <v>15458</v>
      </c>
      <c r="D388" s="23" t="s">
        <v>15058</v>
      </c>
    </row>
    <row r="389" customFormat="false" ht="24.75" hidden="false" customHeight="true" outlineLevel="0" collapsed="false">
      <c r="A389" s="22" t="n">
        <v>385</v>
      </c>
      <c r="B389" s="22" t="s">
        <v>13962</v>
      </c>
      <c r="C389" s="22" t="s">
        <v>15460</v>
      </c>
      <c r="D389" s="23" t="s">
        <v>15074</v>
      </c>
    </row>
    <row r="390" customFormat="false" ht="15" hidden="false" customHeight="true" outlineLevel="0" collapsed="false">
      <c r="A390" s="22" t="n">
        <v>386</v>
      </c>
      <c r="B390" s="22" t="s">
        <v>13962</v>
      </c>
      <c r="C390" s="22" t="s">
        <v>15462</v>
      </c>
      <c r="D390" s="23" t="s">
        <v>14238</v>
      </c>
    </row>
    <row r="391" customFormat="false" ht="15" hidden="false" customHeight="true" outlineLevel="0" collapsed="false">
      <c r="A391" s="22" t="n">
        <v>387</v>
      </c>
      <c r="B391" s="22" t="s">
        <v>13962</v>
      </c>
      <c r="C391" s="22" t="s">
        <v>15464</v>
      </c>
      <c r="D391" s="23" t="s">
        <v>15465</v>
      </c>
    </row>
    <row r="392" customFormat="false" ht="24.75" hidden="false" customHeight="true" outlineLevel="0" collapsed="false">
      <c r="A392" s="22" t="n">
        <v>388</v>
      </c>
      <c r="B392" s="22" t="s">
        <v>13962</v>
      </c>
      <c r="C392" s="22" t="s">
        <v>15467</v>
      </c>
      <c r="D392" s="23" t="s">
        <v>15468</v>
      </c>
    </row>
    <row r="393" customFormat="false" ht="15" hidden="false" customHeight="true" outlineLevel="0" collapsed="false">
      <c r="A393" s="22" t="n">
        <v>389</v>
      </c>
      <c r="B393" s="22" t="s">
        <v>13962</v>
      </c>
      <c r="C393" s="22" t="s">
        <v>14616</v>
      </c>
      <c r="D393" s="23" t="s">
        <v>14617</v>
      </c>
    </row>
    <row r="394" customFormat="false" ht="24.75" hidden="false" customHeight="true" outlineLevel="0" collapsed="false">
      <c r="A394" s="22" t="n">
        <v>390</v>
      </c>
      <c r="B394" s="22" t="s">
        <v>13962</v>
      </c>
      <c r="C394" s="22" t="s">
        <v>15471</v>
      </c>
      <c r="D394" s="23" t="s">
        <v>15105</v>
      </c>
    </row>
    <row r="395" customFormat="false" ht="15" hidden="false" customHeight="true" outlineLevel="0" collapsed="false">
      <c r="A395" s="22" t="n">
        <v>391</v>
      </c>
      <c r="B395" s="22" t="s">
        <v>13962</v>
      </c>
      <c r="C395" s="22" t="s">
        <v>15206</v>
      </c>
      <c r="D395" s="23" t="s">
        <v>15207</v>
      </c>
    </row>
    <row r="396" customFormat="false" ht="24.75" hidden="false" customHeight="true" outlineLevel="0" collapsed="false">
      <c r="A396" s="22" t="n">
        <v>392</v>
      </c>
      <c r="B396" s="22" t="s">
        <v>13962</v>
      </c>
      <c r="C396" s="22" t="s">
        <v>15474</v>
      </c>
      <c r="D396" s="23" t="s">
        <v>15475</v>
      </c>
    </row>
    <row r="397" customFormat="false" ht="24.75" hidden="false" customHeight="true" outlineLevel="0" collapsed="false">
      <c r="A397" s="22" t="n">
        <v>393</v>
      </c>
      <c r="B397" s="22" t="s">
        <v>13962</v>
      </c>
      <c r="C397" s="22" t="s">
        <v>15477</v>
      </c>
      <c r="D397" s="23" t="s">
        <v>15141</v>
      </c>
    </row>
    <row r="398" customFormat="false" ht="24.75" hidden="false" customHeight="true" outlineLevel="0" collapsed="false">
      <c r="A398" s="22" t="n">
        <v>394</v>
      </c>
      <c r="B398" s="22" t="s">
        <v>13962</v>
      </c>
      <c r="C398" s="22" t="s">
        <v>15479</v>
      </c>
      <c r="D398" s="23" t="s">
        <v>14262</v>
      </c>
    </row>
    <row r="399" customFormat="false" ht="15" hidden="false" customHeight="true" outlineLevel="0" collapsed="false">
      <c r="A399" s="22" t="n">
        <v>395</v>
      </c>
      <c r="B399" s="22" t="s">
        <v>13962</v>
      </c>
      <c r="C399" s="22" t="s">
        <v>15481</v>
      </c>
      <c r="D399" s="23" t="s">
        <v>15161</v>
      </c>
    </row>
    <row r="400" customFormat="false" ht="24.75" hidden="false" customHeight="true" outlineLevel="0" collapsed="false">
      <c r="A400" s="22" t="n">
        <v>396</v>
      </c>
      <c r="B400" s="22" t="s">
        <v>15502</v>
      </c>
      <c r="C400" s="22" t="s">
        <v>15503</v>
      </c>
      <c r="D400" s="23" t="s">
        <v>15504</v>
      </c>
    </row>
    <row r="401" customFormat="false" ht="24.75" hidden="false" customHeight="true" outlineLevel="0" collapsed="false">
      <c r="A401" s="22" t="n">
        <v>397</v>
      </c>
      <c r="B401" s="22" t="s">
        <v>15502</v>
      </c>
      <c r="C401" s="22" t="s">
        <v>15505</v>
      </c>
      <c r="D401" s="23" t="s">
        <v>15506</v>
      </c>
    </row>
    <row r="402" customFormat="false" ht="15" hidden="false" customHeight="true" outlineLevel="0" collapsed="false">
      <c r="A402" s="22" t="n">
        <v>398</v>
      </c>
      <c r="B402" s="22" t="s">
        <v>15502</v>
      </c>
      <c r="C402" s="22" t="s">
        <v>15507</v>
      </c>
      <c r="D402" s="23" t="s">
        <v>15508</v>
      </c>
    </row>
    <row r="403" customFormat="false" ht="24.75" hidden="false" customHeight="true" outlineLevel="0" collapsed="false">
      <c r="A403" s="22" t="n">
        <v>399</v>
      </c>
      <c r="B403" s="22" t="s">
        <v>15502</v>
      </c>
      <c r="C403" s="22" t="s">
        <v>15509</v>
      </c>
      <c r="D403" s="23" t="s">
        <v>15510</v>
      </c>
    </row>
    <row r="404" customFormat="false" ht="24.75" hidden="false" customHeight="true" outlineLevel="0" collapsed="false">
      <c r="A404" s="22" t="n">
        <v>400</v>
      </c>
      <c r="B404" s="22" t="s">
        <v>15502</v>
      </c>
      <c r="C404" s="22" t="s">
        <v>15511</v>
      </c>
      <c r="D404" s="23" t="s">
        <v>15512</v>
      </c>
    </row>
    <row r="405" customFormat="false" ht="15" hidden="false" customHeight="true" outlineLevel="0" collapsed="false">
      <c r="A405" s="22" t="n">
        <v>401</v>
      </c>
      <c r="B405" s="22" t="s">
        <v>15502</v>
      </c>
      <c r="C405" s="22" t="s">
        <v>15513</v>
      </c>
      <c r="D405" s="23" t="s">
        <v>15514</v>
      </c>
    </row>
    <row r="406" customFormat="false" ht="15" hidden="false" customHeight="true" outlineLevel="0" collapsed="false">
      <c r="A406" s="22" t="n">
        <v>402</v>
      </c>
      <c r="B406" s="22" t="s">
        <v>15502</v>
      </c>
      <c r="C406" s="22" t="s">
        <v>15515</v>
      </c>
      <c r="D406" s="23" t="s">
        <v>15516</v>
      </c>
    </row>
    <row r="407" customFormat="false" ht="15" hidden="false" customHeight="true" outlineLevel="0" collapsed="false">
      <c r="A407" s="22" t="n">
        <v>403</v>
      </c>
      <c r="B407" s="22" t="s">
        <v>15502</v>
      </c>
      <c r="C407" s="22" t="s">
        <v>15517</v>
      </c>
      <c r="D407" s="23" t="s">
        <v>15518</v>
      </c>
    </row>
    <row r="408" customFormat="false" ht="15" hidden="false" customHeight="true" outlineLevel="0" collapsed="false">
      <c r="A408" s="22" t="n">
        <v>404</v>
      </c>
      <c r="B408" s="22" t="s">
        <v>15502</v>
      </c>
      <c r="C408" s="22" t="s">
        <v>15519</v>
      </c>
      <c r="D408" s="23" t="s">
        <v>15520</v>
      </c>
    </row>
    <row r="409" customFormat="false" ht="15" hidden="false" customHeight="true" outlineLevel="0" collapsed="false">
      <c r="A409" s="22" t="n">
        <v>405</v>
      </c>
      <c r="B409" s="22" t="s">
        <v>15502</v>
      </c>
      <c r="C409" s="22" t="s">
        <v>15521</v>
      </c>
      <c r="D409" s="23" t="s">
        <v>15522</v>
      </c>
    </row>
    <row r="410" customFormat="false" ht="15" hidden="false" customHeight="true" outlineLevel="0" collapsed="false">
      <c r="A410" s="22" t="n">
        <v>406</v>
      </c>
      <c r="B410" s="22" t="s">
        <v>15502</v>
      </c>
      <c r="C410" s="22" t="s">
        <v>15523</v>
      </c>
      <c r="D410" s="23" t="s">
        <v>15524</v>
      </c>
    </row>
    <row r="411" customFormat="false" ht="15" hidden="false" customHeight="true" outlineLevel="0" collapsed="false">
      <c r="A411" s="22" t="n">
        <v>407</v>
      </c>
      <c r="B411" s="22" t="s">
        <v>15502</v>
      </c>
      <c r="C411" s="22" t="s">
        <v>14662</v>
      </c>
      <c r="D411" s="23" t="s">
        <v>14663</v>
      </c>
    </row>
    <row r="412" customFormat="false" ht="15" hidden="false" customHeight="true" outlineLevel="0" collapsed="false">
      <c r="A412" s="22" t="n">
        <v>408</v>
      </c>
      <c r="B412" s="22" t="s">
        <v>15502</v>
      </c>
      <c r="C412" s="22" t="s">
        <v>15525</v>
      </c>
      <c r="D412" s="23" t="s">
        <v>15526</v>
      </c>
    </row>
    <row r="413" customFormat="false" ht="24.75" hidden="false" customHeight="true" outlineLevel="0" collapsed="false">
      <c r="A413" s="22" t="n">
        <v>409</v>
      </c>
      <c r="B413" s="22" t="s">
        <v>15502</v>
      </c>
      <c r="C413" s="22" t="s">
        <v>15527</v>
      </c>
      <c r="D413" s="23" t="s">
        <v>15528</v>
      </c>
    </row>
    <row r="414" customFormat="false" ht="15" hidden="false" customHeight="true" outlineLevel="0" collapsed="false">
      <c r="A414" s="22" t="n">
        <v>410</v>
      </c>
      <c r="B414" s="22" t="s">
        <v>15502</v>
      </c>
      <c r="C414" s="22" t="s">
        <v>15529</v>
      </c>
      <c r="D414" s="23" t="s">
        <v>15530</v>
      </c>
    </row>
    <row r="415" customFormat="false" ht="15" hidden="false" customHeight="true" outlineLevel="0" collapsed="false">
      <c r="A415" s="22" t="n">
        <v>411</v>
      </c>
      <c r="B415" s="22" t="s">
        <v>15502</v>
      </c>
      <c r="C415" s="22" t="s">
        <v>14747</v>
      </c>
      <c r="D415" s="23" t="s">
        <v>14171</v>
      </c>
    </row>
    <row r="416" customFormat="false" ht="15" hidden="false" customHeight="true" outlineLevel="0" collapsed="false">
      <c r="A416" s="22" t="n">
        <v>412</v>
      </c>
      <c r="B416" s="22" t="s">
        <v>15502</v>
      </c>
      <c r="C416" s="22" t="s">
        <v>15531</v>
      </c>
      <c r="D416" s="23" t="s">
        <v>15532</v>
      </c>
    </row>
    <row r="417" customFormat="false" ht="15" hidden="false" customHeight="true" outlineLevel="0" collapsed="false">
      <c r="A417" s="22" t="n">
        <v>413</v>
      </c>
      <c r="B417" s="22" t="s">
        <v>15502</v>
      </c>
      <c r="C417" s="22" t="s">
        <v>14851</v>
      </c>
      <c r="D417" s="23" t="s">
        <v>14852</v>
      </c>
    </row>
    <row r="418" customFormat="false" ht="15" hidden="false" customHeight="true" outlineLevel="0" collapsed="false">
      <c r="A418" s="22" t="n">
        <v>414</v>
      </c>
      <c r="B418" s="22" t="s">
        <v>15502</v>
      </c>
      <c r="C418" s="22" t="s">
        <v>15533</v>
      </c>
      <c r="D418" s="23" t="s">
        <v>15534</v>
      </c>
    </row>
    <row r="419" customFormat="false" ht="15" hidden="false" customHeight="true" outlineLevel="0" collapsed="false">
      <c r="A419" s="22" t="n">
        <v>415</v>
      </c>
      <c r="B419" s="22" t="s">
        <v>15502</v>
      </c>
      <c r="C419" s="22" t="s">
        <v>15535</v>
      </c>
      <c r="D419" s="23" t="s">
        <v>14139</v>
      </c>
    </row>
    <row r="420" customFormat="false" ht="15" hidden="false" customHeight="true" outlineLevel="0" collapsed="false">
      <c r="A420" s="22" t="n">
        <v>416</v>
      </c>
      <c r="B420" s="22" t="s">
        <v>15502</v>
      </c>
      <c r="C420" s="22" t="s">
        <v>15536</v>
      </c>
      <c r="D420" s="23" t="s">
        <v>15537</v>
      </c>
    </row>
    <row r="421" customFormat="false" ht="15" hidden="false" customHeight="true" outlineLevel="0" collapsed="false">
      <c r="A421" s="22" t="n">
        <v>417</v>
      </c>
      <c r="B421" s="22" t="s">
        <v>15502</v>
      </c>
      <c r="C421" s="22" t="s">
        <v>14839</v>
      </c>
      <c r="D421" s="23" t="s">
        <v>14840</v>
      </c>
    </row>
    <row r="422" customFormat="false" ht="15" hidden="false" customHeight="true" outlineLevel="0" collapsed="false">
      <c r="A422" s="22" t="n">
        <v>418</v>
      </c>
      <c r="B422" s="22" t="s">
        <v>15502</v>
      </c>
      <c r="C422" s="22" t="s">
        <v>15538</v>
      </c>
      <c r="D422" s="23" t="s">
        <v>15539</v>
      </c>
    </row>
    <row r="423" customFormat="false" ht="15" hidden="false" customHeight="true" outlineLevel="0" collapsed="false">
      <c r="A423" s="22" t="n">
        <v>419</v>
      </c>
      <c r="B423" s="22" t="s">
        <v>15502</v>
      </c>
      <c r="C423" s="22" t="s">
        <v>14849</v>
      </c>
      <c r="D423" s="23" t="s">
        <v>14144</v>
      </c>
    </row>
    <row r="424" customFormat="false" ht="15" hidden="false" customHeight="true" outlineLevel="0" collapsed="false">
      <c r="A424" s="22" t="n">
        <v>420</v>
      </c>
      <c r="B424" s="22" t="s">
        <v>15502</v>
      </c>
      <c r="C424" s="22" t="s">
        <v>15540</v>
      </c>
      <c r="D424" s="23" t="s">
        <v>15541</v>
      </c>
    </row>
    <row r="425" customFormat="false" ht="15" hidden="false" customHeight="true" outlineLevel="0" collapsed="false">
      <c r="A425" s="22" t="n">
        <v>421</v>
      </c>
      <c r="B425" s="22" t="s">
        <v>15502</v>
      </c>
      <c r="C425" s="22" t="s">
        <v>15542</v>
      </c>
      <c r="D425" s="23" t="s">
        <v>15543</v>
      </c>
    </row>
    <row r="426" customFormat="false" ht="24.75" hidden="false" customHeight="true" outlineLevel="0" collapsed="false">
      <c r="A426" s="22" t="n">
        <v>422</v>
      </c>
      <c r="B426" s="22" t="s">
        <v>15502</v>
      </c>
      <c r="C426" s="22" t="s">
        <v>15544</v>
      </c>
      <c r="D426" s="23" t="s">
        <v>15545</v>
      </c>
    </row>
    <row r="427" customFormat="false" ht="15" hidden="false" customHeight="true" outlineLevel="0" collapsed="false">
      <c r="A427" s="22" t="n">
        <v>423</v>
      </c>
      <c r="B427" s="22" t="s">
        <v>15502</v>
      </c>
      <c r="C427" s="22" t="s">
        <v>15546</v>
      </c>
      <c r="D427" s="23" t="s">
        <v>15547</v>
      </c>
    </row>
    <row r="428" customFormat="false" ht="15" hidden="false" customHeight="true" outlineLevel="0" collapsed="false">
      <c r="A428" s="22" t="n">
        <v>424</v>
      </c>
      <c r="B428" s="22" t="s">
        <v>15502</v>
      </c>
      <c r="C428" s="22" t="s">
        <v>15548</v>
      </c>
      <c r="D428" s="23" t="s">
        <v>15549</v>
      </c>
    </row>
    <row r="429" customFormat="false" ht="15" hidden="false" customHeight="true" outlineLevel="0" collapsed="false">
      <c r="A429" s="22" t="n">
        <v>425</v>
      </c>
      <c r="B429" s="22" t="s">
        <v>15502</v>
      </c>
      <c r="C429" s="22" t="s">
        <v>14856</v>
      </c>
      <c r="D429" s="23" t="s">
        <v>14149</v>
      </c>
    </row>
    <row r="430" customFormat="false" ht="15" hidden="false" customHeight="true" outlineLevel="0" collapsed="false">
      <c r="A430" s="22" t="n">
        <v>426</v>
      </c>
      <c r="B430" s="22" t="s">
        <v>15502</v>
      </c>
      <c r="C430" s="22" t="s">
        <v>15550</v>
      </c>
      <c r="D430" s="23" t="s">
        <v>15551</v>
      </c>
    </row>
    <row r="431" customFormat="false" ht="15" hidden="false" customHeight="true" outlineLevel="0" collapsed="false">
      <c r="A431" s="22" t="n">
        <v>427</v>
      </c>
      <c r="B431" s="22" t="s">
        <v>15502</v>
      </c>
      <c r="C431" s="22" t="s">
        <v>15552</v>
      </c>
      <c r="D431" s="23" t="s">
        <v>15553</v>
      </c>
    </row>
    <row r="432" customFormat="false" ht="15" hidden="false" customHeight="true" outlineLevel="0" collapsed="false">
      <c r="A432" s="22" t="n">
        <v>428</v>
      </c>
      <c r="B432" s="22" t="s">
        <v>15502</v>
      </c>
      <c r="C432" s="22" t="s">
        <v>15554</v>
      </c>
      <c r="D432" s="23" t="s">
        <v>15555</v>
      </c>
    </row>
    <row r="433" customFormat="false" ht="24.75" hidden="false" customHeight="true" outlineLevel="0" collapsed="false">
      <c r="A433" s="22" t="n">
        <v>429</v>
      </c>
      <c r="B433" s="22" t="s">
        <v>15502</v>
      </c>
      <c r="C433" s="22" t="s">
        <v>15556</v>
      </c>
      <c r="D433" s="23" t="s">
        <v>14739</v>
      </c>
    </row>
    <row r="434" customFormat="false" ht="24.75" hidden="false" customHeight="true" outlineLevel="0" collapsed="false">
      <c r="A434" s="22" t="n">
        <v>430</v>
      </c>
      <c r="B434" s="22" t="s">
        <v>15502</v>
      </c>
      <c r="C434" s="22" t="s">
        <v>14734</v>
      </c>
      <c r="D434" s="23" t="s">
        <v>14157</v>
      </c>
    </row>
    <row r="435" customFormat="false" ht="15" hidden="false" customHeight="true" outlineLevel="0" collapsed="false">
      <c r="A435" s="22" t="n">
        <v>431</v>
      </c>
      <c r="B435" s="22" t="s">
        <v>15502</v>
      </c>
      <c r="C435" s="22" t="s">
        <v>15557</v>
      </c>
      <c r="D435" s="23" t="s">
        <v>15558</v>
      </c>
    </row>
    <row r="436" customFormat="false" ht="15" hidden="false" customHeight="true" outlineLevel="0" collapsed="false">
      <c r="A436" s="22" t="n">
        <v>432</v>
      </c>
      <c r="B436" s="22" t="s">
        <v>15502</v>
      </c>
      <c r="C436" s="22" t="s">
        <v>15559</v>
      </c>
      <c r="D436" s="23" t="s">
        <v>15560</v>
      </c>
    </row>
    <row r="437" customFormat="false" ht="15" hidden="false" customHeight="true" outlineLevel="0" collapsed="false">
      <c r="A437" s="22" t="n">
        <v>433</v>
      </c>
      <c r="B437" s="22" t="s">
        <v>15502</v>
      </c>
      <c r="C437" s="22" t="s">
        <v>15561</v>
      </c>
      <c r="D437" s="23" t="s">
        <v>15562</v>
      </c>
    </row>
    <row r="438" customFormat="false" ht="15" hidden="false" customHeight="true" outlineLevel="0" collapsed="false">
      <c r="A438" s="22" t="n">
        <v>434</v>
      </c>
      <c r="B438" s="22" t="s">
        <v>15502</v>
      </c>
      <c r="C438" s="22" t="s">
        <v>14741</v>
      </c>
      <c r="D438" s="23" t="s">
        <v>14742</v>
      </c>
    </row>
    <row r="439" customFormat="false" ht="15" hidden="false" customHeight="true" outlineLevel="0" collapsed="false">
      <c r="A439" s="22" t="n">
        <v>435</v>
      </c>
      <c r="B439" s="22" t="s">
        <v>15502</v>
      </c>
      <c r="C439" s="22" t="s">
        <v>15563</v>
      </c>
      <c r="D439" s="23" t="s">
        <v>15564</v>
      </c>
    </row>
    <row r="440" customFormat="false" ht="15" hidden="false" customHeight="true" outlineLevel="0" collapsed="false">
      <c r="A440" s="22" t="n">
        <v>436</v>
      </c>
      <c r="B440" s="22" t="s">
        <v>15502</v>
      </c>
      <c r="C440" s="22" t="s">
        <v>15565</v>
      </c>
      <c r="D440" s="23" t="s">
        <v>15566</v>
      </c>
    </row>
    <row r="441" customFormat="false" ht="15" hidden="false" customHeight="true" outlineLevel="0" collapsed="false">
      <c r="A441" s="22" t="n">
        <v>437</v>
      </c>
      <c r="B441" s="22" t="s">
        <v>15502</v>
      </c>
      <c r="C441" s="22" t="s">
        <v>15567</v>
      </c>
      <c r="D441" s="23" t="s">
        <v>15568</v>
      </c>
    </row>
    <row r="442" customFormat="false" ht="24.75" hidden="false" customHeight="true" outlineLevel="0" collapsed="false">
      <c r="A442" s="22" t="n">
        <v>438</v>
      </c>
      <c r="B442" s="22" t="s">
        <v>15502</v>
      </c>
      <c r="C442" s="22" t="s">
        <v>14793</v>
      </c>
      <c r="D442" s="23" t="s">
        <v>14794</v>
      </c>
    </row>
    <row r="443" customFormat="false" ht="15" hidden="false" customHeight="true" outlineLevel="0" collapsed="false">
      <c r="A443" s="22" t="n">
        <v>439</v>
      </c>
      <c r="B443" s="22" t="s">
        <v>15502</v>
      </c>
      <c r="C443" s="22" t="s">
        <v>14777</v>
      </c>
      <c r="D443" s="23" t="s">
        <v>14778</v>
      </c>
    </row>
    <row r="444" customFormat="false" ht="24.75" hidden="false" customHeight="true" outlineLevel="0" collapsed="false">
      <c r="A444" s="22" t="n">
        <v>440</v>
      </c>
      <c r="B444" s="22" t="s">
        <v>15502</v>
      </c>
      <c r="C444" s="22" t="s">
        <v>15569</v>
      </c>
      <c r="D444" s="23" t="s">
        <v>15570</v>
      </c>
    </row>
    <row r="445" customFormat="false" ht="15" hidden="false" customHeight="true" outlineLevel="0" collapsed="false">
      <c r="A445" s="22" t="n">
        <v>441</v>
      </c>
      <c r="B445" s="22" t="s">
        <v>15502</v>
      </c>
      <c r="C445" s="22" t="s">
        <v>15571</v>
      </c>
      <c r="D445" s="23" t="s">
        <v>15572</v>
      </c>
    </row>
    <row r="446" customFormat="false" ht="15" hidden="false" customHeight="true" outlineLevel="0" collapsed="false">
      <c r="A446" s="22" t="n">
        <v>442</v>
      </c>
      <c r="B446" s="22" t="s">
        <v>15502</v>
      </c>
      <c r="C446" s="22" t="s">
        <v>15573</v>
      </c>
      <c r="D446" s="23" t="s">
        <v>15574</v>
      </c>
    </row>
    <row r="447" customFormat="false" ht="15" hidden="false" customHeight="true" outlineLevel="0" collapsed="false">
      <c r="A447" s="22" t="n">
        <v>443</v>
      </c>
      <c r="B447" s="22" t="s">
        <v>15502</v>
      </c>
      <c r="C447" s="22" t="s">
        <v>15575</v>
      </c>
      <c r="D447" s="23" t="s">
        <v>15576</v>
      </c>
    </row>
    <row r="448" customFormat="false" ht="15" hidden="false" customHeight="true" outlineLevel="0" collapsed="false">
      <c r="A448" s="22" t="n">
        <v>444</v>
      </c>
      <c r="B448" s="22" t="s">
        <v>15502</v>
      </c>
      <c r="C448" s="22" t="s">
        <v>15577</v>
      </c>
      <c r="D448" s="23" t="s">
        <v>15578</v>
      </c>
    </row>
    <row r="449" customFormat="false" ht="15" hidden="false" customHeight="true" outlineLevel="0" collapsed="false">
      <c r="A449" s="22" t="n">
        <v>445</v>
      </c>
      <c r="B449" s="22" t="s">
        <v>15502</v>
      </c>
      <c r="C449" s="22" t="s">
        <v>15579</v>
      </c>
      <c r="D449" s="23" t="s">
        <v>15580</v>
      </c>
    </row>
    <row r="450" customFormat="false" ht="15" hidden="false" customHeight="true" outlineLevel="0" collapsed="false">
      <c r="A450" s="22" t="n">
        <v>446</v>
      </c>
      <c r="B450" s="22" t="s">
        <v>15502</v>
      </c>
      <c r="C450" s="22" t="s">
        <v>15581</v>
      </c>
      <c r="D450" s="23" t="s">
        <v>15582</v>
      </c>
    </row>
    <row r="451" customFormat="false" ht="15" hidden="false" customHeight="true" outlineLevel="0" collapsed="false">
      <c r="A451" s="22" t="n">
        <v>447</v>
      </c>
      <c r="B451" s="22" t="s">
        <v>15502</v>
      </c>
      <c r="C451" s="22" t="s">
        <v>15583</v>
      </c>
      <c r="D451" s="23" t="s">
        <v>15584</v>
      </c>
    </row>
    <row r="452" customFormat="false" ht="24.75" hidden="false" customHeight="true" outlineLevel="0" collapsed="false">
      <c r="A452" s="22" t="n">
        <v>448</v>
      </c>
      <c r="B452" s="22" t="s">
        <v>15502</v>
      </c>
      <c r="C452" s="22" t="s">
        <v>15585</v>
      </c>
      <c r="D452" s="23" t="s">
        <v>15586</v>
      </c>
    </row>
    <row r="453" customFormat="false" ht="24.75" hidden="false" customHeight="true" outlineLevel="0" collapsed="false">
      <c r="A453" s="22" t="n">
        <v>449</v>
      </c>
      <c r="B453" s="22" t="s">
        <v>15502</v>
      </c>
      <c r="C453" s="22" t="s">
        <v>15587</v>
      </c>
      <c r="D453" s="23" t="s">
        <v>15588</v>
      </c>
    </row>
    <row r="454" customFormat="false" ht="15" hidden="false" customHeight="true" outlineLevel="0" collapsed="false">
      <c r="A454" s="22" t="n">
        <v>450</v>
      </c>
      <c r="B454" s="22" t="s">
        <v>15502</v>
      </c>
      <c r="C454" s="22" t="s">
        <v>15589</v>
      </c>
      <c r="D454" s="23" t="s">
        <v>15590</v>
      </c>
    </row>
    <row r="455" customFormat="false" ht="15" hidden="false" customHeight="true" outlineLevel="0" collapsed="false">
      <c r="A455" s="22" t="n">
        <v>451</v>
      </c>
      <c r="B455" s="22" t="s">
        <v>15502</v>
      </c>
      <c r="C455" s="22" t="s">
        <v>15591</v>
      </c>
      <c r="D455" s="23" t="s">
        <v>15408</v>
      </c>
    </row>
    <row r="456" customFormat="false" ht="24.75" hidden="false" customHeight="true" outlineLevel="0" collapsed="false">
      <c r="A456" s="22" t="n">
        <v>452</v>
      </c>
      <c r="B456" s="22" t="s">
        <v>15502</v>
      </c>
      <c r="C456" s="22" t="s">
        <v>15592</v>
      </c>
      <c r="D456" s="23" t="s">
        <v>15593</v>
      </c>
    </row>
    <row r="457" customFormat="false" ht="24.75" hidden="false" customHeight="true" outlineLevel="0" collapsed="false">
      <c r="A457" s="22" t="n">
        <v>453</v>
      </c>
      <c r="B457" s="22" t="s">
        <v>15502</v>
      </c>
      <c r="C457" s="22" t="s">
        <v>15594</v>
      </c>
      <c r="D457" s="23" t="s">
        <v>15595</v>
      </c>
    </row>
    <row r="458" customFormat="false" ht="24.75" hidden="false" customHeight="true" outlineLevel="0" collapsed="false">
      <c r="A458" s="22" t="n">
        <v>454</v>
      </c>
      <c r="B458" s="22" t="s">
        <v>15502</v>
      </c>
      <c r="C458" s="22" t="s">
        <v>15596</v>
      </c>
      <c r="D458" s="23" t="s">
        <v>15597</v>
      </c>
    </row>
    <row r="459" customFormat="false" ht="15" hidden="false" customHeight="true" outlineLevel="0" collapsed="false">
      <c r="A459" s="22" t="n">
        <v>455</v>
      </c>
      <c r="B459" s="22" t="s">
        <v>15502</v>
      </c>
      <c r="C459" s="22" t="s">
        <v>15598</v>
      </c>
      <c r="D459" s="23" t="s">
        <v>14428</v>
      </c>
    </row>
    <row r="460" customFormat="false" ht="15" hidden="false" customHeight="true" outlineLevel="0" collapsed="false">
      <c r="A460" s="22" t="n">
        <v>456</v>
      </c>
      <c r="B460" s="22" t="s">
        <v>15502</v>
      </c>
      <c r="C460" s="22" t="s">
        <v>15599</v>
      </c>
      <c r="D460" s="23" t="s">
        <v>14559</v>
      </c>
    </row>
    <row r="461" customFormat="false" ht="15" hidden="false" customHeight="true" outlineLevel="0" collapsed="false">
      <c r="A461" s="22" t="n">
        <v>457</v>
      </c>
      <c r="B461" s="22" t="s">
        <v>15502</v>
      </c>
      <c r="C461" s="22" t="s">
        <v>15600</v>
      </c>
      <c r="D461" s="23" t="s">
        <v>14583</v>
      </c>
    </row>
    <row r="462" customFormat="false" ht="15" hidden="false" customHeight="true" outlineLevel="0" collapsed="false">
      <c r="A462" s="22" t="n">
        <v>458</v>
      </c>
      <c r="B462" s="22" t="s">
        <v>15502</v>
      </c>
      <c r="C462" s="22" t="s">
        <v>15601</v>
      </c>
      <c r="D462" s="23" t="s">
        <v>15602</v>
      </c>
    </row>
    <row r="463" customFormat="false" ht="24.75" hidden="false" customHeight="true" outlineLevel="0" collapsed="false">
      <c r="A463" s="22" t="n">
        <v>459</v>
      </c>
      <c r="B463" s="22" t="s">
        <v>15502</v>
      </c>
      <c r="C463" s="22" t="s">
        <v>15603</v>
      </c>
      <c r="D463" s="23" t="s">
        <v>14644</v>
      </c>
    </row>
    <row r="464" customFormat="false" ht="15" hidden="false" customHeight="true" outlineLevel="0" collapsed="false">
      <c r="A464" s="22" t="n">
        <v>460</v>
      </c>
      <c r="B464" s="22" t="s">
        <v>15502</v>
      </c>
      <c r="C464" s="22" t="s">
        <v>15604</v>
      </c>
      <c r="D464" s="23" t="s">
        <v>15605</v>
      </c>
    </row>
    <row r="465" customFormat="false" ht="24.75" hidden="false" customHeight="true" outlineLevel="0" collapsed="false">
      <c r="A465" s="22" t="n">
        <v>461</v>
      </c>
      <c r="B465" s="22" t="s">
        <v>15502</v>
      </c>
      <c r="C465" s="22" t="s">
        <v>15606</v>
      </c>
      <c r="D465" s="23" t="s">
        <v>15607</v>
      </c>
    </row>
    <row r="466" customFormat="false" ht="15" hidden="false" customHeight="true" outlineLevel="0" collapsed="false">
      <c r="A466" s="22" t="n">
        <v>462</v>
      </c>
      <c r="B466" s="22" t="s">
        <v>15502</v>
      </c>
      <c r="C466" s="22" t="s">
        <v>15608</v>
      </c>
      <c r="D466" s="23" t="s">
        <v>15609</v>
      </c>
    </row>
    <row r="467" customFormat="false" ht="15" hidden="false" customHeight="true" outlineLevel="0" collapsed="false">
      <c r="A467" s="22" t="n">
        <v>463</v>
      </c>
      <c r="B467" s="22" t="s">
        <v>15502</v>
      </c>
      <c r="C467" s="22" t="s">
        <v>15610</v>
      </c>
      <c r="D467" s="23" t="s">
        <v>15611</v>
      </c>
    </row>
    <row r="468" customFormat="false" ht="15" hidden="false" customHeight="true" outlineLevel="0" collapsed="false">
      <c r="A468" s="22" t="n">
        <v>464</v>
      </c>
      <c r="B468" s="22" t="s">
        <v>15502</v>
      </c>
      <c r="C468" s="22" t="s">
        <v>15612</v>
      </c>
      <c r="D468" s="23" t="s">
        <v>14087</v>
      </c>
    </row>
    <row r="469" customFormat="false" ht="15" hidden="false" customHeight="true" outlineLevel="0" collapsed="false">
      <c r="A469" s="22" t="n">
        <v>465</v>
      </c>
      <c r="B469" s="22" t="s">
        <v>15502</v>
      </c>
      <c r="C469" s="22" t="s">
        <v>15613</v>
      </c>
      <c r="D469" s="23" t="s">
        <v>15614</v>
      </c>
    </row>
    <row r="470" customFormat="false" ht="15" hidden="false" customHeight="true" outlineLevel="0" collapsed="false">
      <c r="A470" s="22" t="n">
        <v>466</v>
      </c>
      <c r="B470" s="22" t="s">
        <v>15502</v>
      </c>
      <c r="C470" s="22" t="s">
        <v>15615</v>
      </c>
      <c r="D470" s="23" t="s">
        <v>15349</v>
      </c>
    </row>
    <row r="471" customFormat="false" ht="15" hidden="false" customHeight="true" outlineLevel="0" collapsed="false">
      <c r="A471" s="22" t="n">
        <v>467</v>
      </c>
      <c r="B471" s="22" t="s">
        <v>15502</v>
      </c>
      <c r="C471" s="22" t="s">
        <v>15616</v>
      </c>
      <c r="D471" s="23" t="s">
        <v>15617</v>
      </c>
    </row>
    <row r="472" customFormat="false" ht="15" hidden="false" customHeight="true" outlineLevel="0" collapsed="false">
      <c r="A472" s="22" t="n">
        <v>468</v>
      </c>
      <c r="B472" s="22" t="s">
        <v>15502</v>
      </c>
      <c r="C472" s="22" t="s">
        <v>15618</v>
      </c>
      <c r="D472" s="23" t="s">
        <v>15619</v>
      </c>
    </row>
    <row r="473" customFormat="false" ht="15" hidden="false" customHeight="true" outlineLevel="0" collapsed="false">
      <c r="A473" s="22" t="n">
        <v>469</v>
      </c>
      <c r="B473" s="22" t="s">
        <v>15502</v>
      </c>
      <c r="C473" s="22" t="s">
        <v>15620</v>
      </c>
      <c r="D473" s="23" t="s">
        <v>14091</v>
      </c>
    </row>
    <row r="474" customFormat="false" ht="15" hidden="false" customHeight="true" outlineLevel="0" collapsed="false">
      <c r="A474" s="22" t="n">
        <v>470</v>
      </c>
      <c r="B474" s="22" t="s">
        <v>15502</v>
      </c>
      <c r="C474" s="22" t="s">
        <v>15621</v>
      </c>
      <c r="D474" s="23" t="s">
        <v>15622</v>
      </c>
    </row>
    <row r="475" customFormat="false" ht="15" hidden="false" customHeight="true" outlineLevel="0" collapsed="false">
      <c r="A475" s="22" t="n">
        <v>471</v>
      </c>
      <c r="B475" s="22" t="s">
        <v>15502</v>
      </c>
      <c r="C475" s="22" t="s">
        <v>15623</v>
      </c>
      <c r="D475" s="23" t="s">
        <v>14580</v>
      </c>
    </row>
    <row r="476" customFormat="false" ht="15" hidden="false" customHeight="true" outlineLevel="0" collapsed="false">
      <c r="A476" s="22" t="n">
        <v>472</v>
      </c>
      <c r="B476" s="22" t="s">
        <v>15502</v>
      </c>
      <c r="C476" s="22" t="s">
        <v>15624</v>
      </c>
      <c r="D476" s="23" t="s">
        <v>15625</v>
      </c>
    </row>
    <row r="477" customFormat="false" ht="15" hidden="false" customHeight="true" outlineLevel="0" collapsed="false">
      <c r="A477" s="22" t="n">
        <v>473</v>
      </c>
      <c r="B477" s="22" t="s">
        <v>15502</v>
      </c>
      <c r="C477" s="22" t="s">
        <v>15626</v>
      </c>
      <c r="D477" s="23" t="s">
        <v>15627</v>
      </c>
    </row>
    <row r="478" customFormat="false" ht="15" hidden="false" customHeight="true" outlineLevel="0" collapsed="false">
      <c r="A478" s="22" t="n">
        <v>474</v>
      </c>
      <c r="B478" s="22" t="s">
        <v>15502</v>
      </c>
      <c r="C478" s="22" t="s">
        <v>15628</v>
      </c>
      <c r="D478" s="23" t="s">
        <v>15629</v>
      </c>
    </row>
    <row r="479" customFormat="false" ht="24.75" hidden="false" customHeight="true" outlineLevel="0" collapsed="false">
      <c r="A479" s="22" t="n">
        <v>475</v>
      </c>
      <c r="B479" s="22" t="s">
        <v>15502</v>
      </c>
      <c r="C479" s="22" t="s">
        <v>15375</v>
      </c>
      <c r="D479" s="23" t="s">
        <v>15376</v>
      </c>
    </row>
    <row r="480" customFormat="false" ht="15" hidden="false" customHeight="true" outlineLevel="0" collapsed="false">
      <c r="A480" s="22" t="n">
        <v>476</v>
      </c>
      <c r="B480" s="22" t="s">
        <v>15502</v>
      </c>
      <c r="C480" s="22" t="s">
        <v>15630</v>
      </c>
      <c r="D480" s="23" t="s">
        <v>14103</v>
      </c>
    </row>
    <row r="481" customFormat="false" ht="15" hidden="false" customHeight="true" outlineLevel="0" collapsed="false">
      <c r="A481" s="22" t="n">
        <v>477</v>
      </c>
      <c r="B481" s="22" t="s">
        <v>15502</v>
      </c>
      <c r="C481" s="22" t="s">
        <v>15631</v>
      </c>
      <c r="D481" s="23" t="s">
        <v>15632</v>
      </c>
    </row>
    <row r="482" customFormat="false" ht="24.75" hidden="false" customHeight="true" outlineLevel="0" collapsed="false">
      <c r="A482" s="22" t="n">
        <v>478</v>
      </c>
      <c r="B482" s="22" t="s">
        <v>15502</v>
      </c>
      <c r="C482" s="22" t="s">
        <v>15633</v>
      </c>
      <c r="D482" s="23" t="s">
        <v>15634</v>
      </c>
    </row>
    <row r="483" customFormat="false" ht="24.75" hidden="false" customHeight="true" outlineLevel="0" collapsed="false">
      <c r="A483" s="22" t="n">
        <v>479</v>
      </c>
      <c r="B483" s="22" t="s">
        <v>15502</v>
      </c>
      <c r="C483" s="22" t="s">
        <v>15635</v>
      </c>
      <c r="D483" s="23" t="s">
        <v>15636</v>
      </c>
    </row>
    <row r="484" customFormat="false" ht="15" hidden="false" customHeight="true" outlineLevel="0" collapsed="false">
      <c r="A484" s="22" t="n">
        <v>480</v>
      </c>
      <c r="B484" s="22" t="s">
        <v>15502</v>
      </c>
      <c r="C484" s="22" t="s">
        <v>15110</v>
      </c>
      <c r="D484" s="23" t="s">
        <v>15111</v>
      </c>
    </row>
    <row r="485" customFormat="false" ht="15" hidden="false" customHeight="true" outlineLevel="0" collapsed="false">
      <c r="A485" s="22" t="n">
        <v>481</v>
      </c>
      <c r="B485" s="22" t="s">
        <v>15502</v>
      </c>
      <c r="C485" s="22" t="s">
        <v>15637</v>
      </c>
      <c r="D485" s="23" t="s">
        <v>15202</v>
      </c>
    </row>
    <row r="486" customFormat="false" ht="15" hidden="false" customHeight="true" outlineLevel="0" collapsed="false">
      <c r="A486" s="22" t="n">
        <v>482</v>
      </c>
      <c r="B486" s="22" t="s">
        <v>15502</v>
      </c>
      <c r="C486" s="22" t="s">
        <v>15638</v>
      </c>
      <c r="D486" s="23" t="s">
        <v>14266</v>
      </c>
    </row>
    <row r="487" customFormat="false" ht="15" hidden="false" customHeight="true" outlineLevel="0" collapsed="false">
      <c r="A487" s="22" t="n">
        <v>483</v>
      </c>
      <c r="B487" s="22" t="s">
        <v>15502</v>
      </c>
      <c r="C487" s="22" t="s">
        <v>15639</v>
      </c>
      <c r="D487" s="23" t="s">
        <v>14519</v>
      </c>
    </row>
    <row r="488" customFormat="false" ht="15" hidden="false" customHeight="true" outlineLevel="0" collapsed="false">
      <c r="A488" s="22" t="n">
        <v>484</v>
      </c>
      <c r="B488" s="22" t="s">
        <v>15502</v>
      </c>
      <c r="C488" s="22" t="s">
        <v>15640</v>
      </c>
      <c r="D488" s="23" t="s">
        <v>14522</v>
      </c>
    </row>
    <row r="489" customFormat="false" ht="15" hidden="false" customHeight="true" outlineLevel="0" collapsed="false">
      <c r="A489" s="22" t="n">
        <v>485</v>
      </c>
      <c r="B489" s="22" t="s">
        <v>15502</v>
      </c>
      <c r="C489" s="22" t="s">
        <v>15641</v>
      </c>
      <c r="D489" s="23" t="s">
        <v>14961</v>
      </c>
    </row>
    <row r="490" customFormat="false" ht="15" hidden="false" customHeight="true" outlineLevel="0" collapsed="false">
      <c r="A490" s="22" t="n">
        <v>486</v>
      </c>
      <c r="B490" s="22" t="s">
        <v>15502</v>
      </c>
      <c r="C490" s="22" t="s">
        <v>15642</v>
      </c>
      <c r="D490" s="23" t="s">
        <v>15016</v>
      </c>
    </row>
    <row r="491" customFormat="false" ht="15" hidden="false" customHeight="true" outlineLevel="0" collapsed="false">
      <c r="A491" s="22" t="n">
        <v>487</v>
      </c>
      <c r="B491" s="22" t="s">
        <v>15502</v>
      </c>
      <c r="C491" s="22" t="s">
        <v>15432</v>
      </c>
      <c r="D491" s="23" t="s">
        <v>15433</v>
      </c>
    </row>
    <row r="492" customFormat="false" ht="15" hidden="false" customHeight="true" outlineLevel="0" collapsed="false">
      <c r="A492" s="22" t="n">
        <v>488</v>
      </c>
      <c r="B492" s="22" t="s">
        <v>15502</v>
      </c>
      <c r="C492" s="22" t="s">
        <v>15643</v>
      </c>
      <c r="D492" s="23" t="s">
        <v>15436</v>
      </c>
    </row>
    <row r="493" customFormat="false" ht="15" hidden="false" customHeight="true" outlineLevel="0" collapsed="false">
      <c r="A493" s="22" t="n">
        <v>489</v>
      </c>
      <c r="B493" s="22" t="s">
        <v>15502</v>
      </c>
      <c r="C493" s="22" t="s">
        <v>15644</v>
      </c>
      <c r="D493" s="23" t="s">
        <v>15645</v>
      </c>
    </row>
    <row r="494" customFormat="false" ht="15" hidden="false" customHeight="true" outlineLevel="0" collapsed="false">
      <c r="A494" s="22" t="n">
        <v>490</v>
      </c>
      <c r="B494" s="22" t="s">
        <v>15502</v>
      </c>
      <c r="C494" s="22" t="s">
        <v>15646</v>
      </c>
      <c r="D494" s="23" t="s">
        <v>15647</v>
      </c>
    </row>
    <row r="495" customFormat="false" ht="15" hidden="false" customHeight="true" outlineLevel="0" collapsed="false">
      <c r="A495" s="22" t="n">
        <v>491</v>
      </c>
      <c r="B495" s="22" t="s">
        <v>15502</v>
      </c>
      <c r="C495" s="22" t="s">
        <v>15648</v>
      </c>
      <c r="D495" s="23" t="s">
        <v>15649</v>
      </c>
    </row>
    <row r="496" customFormat="false" ht="15" hidden="false" customHeight="true" outlineLevel="0" collapsed="false">
      <c r="A496" s="22" t="n">
        <v>492</v>
      </c>
      <c r="B496" s="22" t="s">
        <v>15502</v>
      </c>
      <c r="C496" s="22" t="s">
        <v>15650</v>
      </c>
      <c r="D496" s="23" t="s">
        <v>15651</v>
      </c>
    </row>
    <row r="497" customFormat="false" ht="24.75" hidden="false" customHeight="true" outlineLevel="0" collapsed="false">
      <c r="A497" s="22" t="n">
        <v>493</v>
      </c>
      <c r="B497" s="22" t="s">
        <v>15502</v>
      </c>
      <c r="C497" s="22" t="s">
        <v>15652</v>
      </c>
      <c r="D497" s="23" t="s">
        <v>15653</v>
      </c>
    </row>
    <row r="498" customFormat="false" ht="15" hidden="false" customHeight="true" outlineLevel="0" collapsed="false">
      <c r="A498" s="22" t="n">
        <v>494</v>
      </c>
      <c r="B498" s="22" t="s">
        <v>15502</v>
      </c>
      <c r="C498" s="22" t="s">
        <v>15448</v>
      </c>
      <c r="D498" s="23" t="s">
        <v>15034</v>
      </c>
    </row>
    <row r="499" customFormat="false" ht="15" hidden="false" customHeight="true" outlineLevel="0" collapsed="false">
      <c r="A499" s="22" t="n">
        <v>495</v>
      </c>
      <c r="B499" s="22" t="s">
        <v>15502</v>
      </c>
      <c r="C499" s="22" t="s">
        <v>15654</v>
      </c>
      <c r="D499" s="23" t="s">
        <v>14211</v>
      </c>
    </row>
    <row r="500" customFormat="false" ht="24.75" hidden="false" customHeight="true" outlineLevel="0" collapsed="false">
      <c r="A500" s="22" t="n">
        <v>496</v>
      </c>
      <c r="B500" s="22" t="s">
        <v>15502</v>
      </c>
      <c r="C500" s="22" t="s">
        <v>15655</v>
      </c>
      <c r="D500" s="23" t="s">
        <v>15656</v>
      </c>
    </row>
    <row r="501" customFormat="false" ht="15" hidden="false" customHeight="true" outlineLevel="0" collapsed="false">
      <c r="A501" s="22" t="n">
        <v>497</v>
      </c>
      <c r="B501" s="22" t="s">
        <v>15502</v>
      </c>
      <c r="C501" s="22" t="s">
        <v>15657</v>
      </c>
      <c r="D501" s="23" t="s">
        <v>14238</v>
      </c>
    </row>
    <row r="502" customFormat="false" ht="24.75" hidden="false" customHeight="true" outlineLevel="0" collapsed="false">
      <c r="A502" s="22" t="n">
        <v>498</v>
      </c>
      <c r="B502" s="22" t="s">
        <v>15502</v>
      </c>
      <c r="C502" s="22" t="s">
        <v>15658</v>
      </c>
      <c r="D502" s="23" t="s">
        <v>15146</v>
      </c>
    </row>
    <row r="503" customFormat="false" ht="24.75" hidden="false" customHeight="true" outlineLevel="0" collapsed="false">
      <c r="A503" s="22" t="n">
        <v>499</v>
      </c>
      <c r="B503" s="22" t="s">
        <v>15502</v>
      </c>
      <c r="C503" s="22" t="s">
        <v>15659</v>
      </c>
      <c r="D503" s="23" t="s">
        <v>15105</v>
      </c>
    </row>
    <row r="504" customFormat="false" ht="24.75" hidden="false" customHeight="true" outlineLevel="0" collapsed="false">
      <c r="A504" s="22" t="n">
        <v>500</v>
      </c>
      <c r="B504" s="22" t="s">
        <v>15502</v>
      </c>
      <c r="C504" s="22" t="s">
        <v>15660</v>
      </c>
      <c r="D504" s="23" t="s">
        <v>14262</v>
      </c>
    </row>
    <row r="505" customFormat="false" ht="15" hidden="false" customHeight="true" outlineLevel="0" collapsed="false">
      <c r="A505" s="22" t="n">
        <v>501</v>
      </c>
      <c r="B505" s="22" t="s">
        <v>15502</v>
      </c>
      <c r="C505" s="22" t="s">
        <v>15661</v>
      </c>
      <c r="D505" s="23" t="s">
        <v>15151</v>
      </c>
    </row>
  </sheetData>
  <mergeCells count="2">
    <mergeCell ref="A1:C1"/>
    <mergeCell ref="A2:D2"/>
  </mergeCells>
  <hyperlinks>
    <hyperlink ref="D1" r:id="rId1" location="'Contents'!A1" display="← Contents"/>
    <hyperlink ref="D5" r:id="rId2" display="https://www.incometaxindia.gov.in/documents/d/guest/press-release-income-tax-act-2025-comes-into-force-from-01-april-2026-pdf"/>
    <hyperlink ref="D6" r:id="rId3" display="https://en.wikipedia.org/wiki/Income-tax_Act,_2025"/>
    <hyperlink ref="D7" r:id="rId4" display="https://eztax.in/income-tax-act-2025/compare-old-new-section-codes"/>
    <hyperlink ref="D8" r:id="rId5" display="https://www.incometaxindia.gov.in/w/section-202-76"/>
    <hyperlink ref="D9" r:id="rId6" display="https://www.incometaxindia.gov.in/w/section-156-84"/>
    <hyperlink ref="D10" r:id="rId7" display="https://www.incometaxindia.gov.in/w/section-19-206"/>
    <hyperlink ref="D11" r:id="rId8" display="https://www.incometaxindia.gov.in/w/section-516-3"/>
    <hyperlink ref="D12" r:id="rId9" display="https://www.incometaxindia.gov.in/w/section-63-134"/>
    <hyperlink ref="D13" r:id="rId10" display="https://www.incometaxindia.gov.in/w/section-58-144"/>
    <hyperlink ref="D14" r:id="rId11" display="https://www.incometaxindia.gov.in/w/section-37-169"/>
    <hyperlink ref="D15" r:id="rId12" display="https://www.incometaxindia.gov.in/w/section-36-171"/>
    <hyperlink ref="D16" r:id="rId13" display="https://eztax.in/income-tax-act-2025/section-35"/>
    <hyperlink ref="D17" r:id="rId14" display="https://eztax.in/income-tax-act-2025/section-186"/>
    <hyperlink ref="D18" r:id="rId15" display="https://eztax.in/income-tax-act-2025/section-188"/>
    <hyperlink ref="D19" r:id="rId16" display="https://www.taxtmi.com/tmi_notes?id=1989"/>
    <hyperlink ref="D20" r:id="rId17" display="https://www.taxheal.com/new-cash-transaction-limits-under-the-income-tax-act-2025.html"/>
    <hyperlink ref="D21" r:id="rId18" display="https://www.incometaxindia.gov.in/w/prohibited-transaction-in-cash/limit-on-cash-transactions%E2%80%8B"/>
    <hyperlink ref="D22" r:id="rId19" display="https://www.incometaxindia.gov.in/w/section-403-5"/>
    <hyperlink ref="D23" r:id="rId20" display="https://www.incometaxindia.gov.in/w/section-404-5"/>
    <hyperlink ref="D24" r:id="rId21" display="https://www.incometaxindia.gov.in/w/section-408-5"/>
    <hyperlink ref="D25" r:id="rId22" display="https://www.incometaxindia.gov.in/w/section-423-5"/>
    <hyperlink ref="D26" r:id="rId23" display="https://www.incometaxindia.gov.in/w/section-424-5"/>
    <hyperlink ref="D27" r:id="rId24" display="https://www.taxheal.com/section-424-income-tax-act-2025.html"/>
    <hyperlink ref="D28" r:id="rId25" display="https://www.incometaxindia.gov.in/w/section-425-5"/>
    <hyperlink ref="D29" r:id="rId26" display="https://www.incometaxindia.gov.in/w/section-428-5"/>
    <hyperlink ref="D30" r:id="rId27" display="https://www.incometaxindia.gov.in/w/section-437-6"/>
    <hyperlink ref="D31" r:id="rId28" display="https://www.incometaxindia.gov.in/w/section-263-72"/>
    <hyperlink ref="D32" r:id="rId29" display="https://www.incometaxindia.gov.in/w/rule-269-1"/>
    <hyperlink ref="D33" r:id="rId30" display="https://www.incometaxindia.gov.in/w/rule-119a"/>
    <hyperlink ref="D34" r:id="rId31" display="https://www.incometaxindia.gov.in/w/rule-37ba"/>
    <hyperlink ref="D35" r:id="rId32" display="https://www.taxtmi.com/tmi_notes?id=1895"/>
    <hyperlink ref="D36" r:id="rId33" display="https://www.incometaxindia.gov.in/w/section-234b-37"/>
    <hyperlink ref="D37" r:id="rId34" display="https://www.incometaxindia.gov.in/w/section-234c-37"/>
    <hyperlink ref="D38" r:id="rId35" display="https://www.incometax.gov.in/iec/foportal/help/individual/return-applicable-1"/>
    <hyperlink ref="D39" r:id="rId36" display="https://incometaxindia.gov.in/Budgets%20and%20Bills/2026/Notes-on-clauses-2026.pdf"/>
    <hyperlink ref="D40" r:id="rId37" display="https://incometaxindia.gov.in/Budgets%20and%20Bills/2026/Finance_Bill-2026.pdf"/>
    <hyperlink ref="D41" r:id="rId38" display="https://www.taxmann.com/post/blog/finance-act-receives-assent-of-the-president/"/>
    <hyperlink ref="D42" r:id="rId39" display="https://www.taxmann.com/post/blog/lok-sabha-passes-the-finance-bill-incorporating-over-30-amendments/"/>
    <hyperlink ref="D43" r:id="rId40" display="https://www.livelawbiz.com/amp/top-stories/union-budget-central-govt-notifies-finance-act-528353"/>
    <hyperlink ref="D44" r:id="rId41" display="https://incometaxindia.gov.in/documents/d/guest/circular-7-2026-pdf"/>
    <hyperlink ref="D45" r:id="rId42" display="https://ksandk.com/newsletter/income-tax-return-filing-deadline-for-ay-2026-27-extended-to-21-november-2026-tax-audit-deadline-revised/"/>
    <hyperlink ref="D46" r:id="rId43" display="https://calcguru.in/?p=5373"/>
    <hyperlink ref="D47" r:id="rId44" display="https://studycafe.in/revised-itr-rules-from-fy-2026-27-fees-deadlines-and-key-changes-explained-409375.html"/>
    <hyperlink ref="D48" r:id="rId45" display="https://www.incorpx.io/blog/itr-due-date-extended-august-31-2026"/>
    <hyperlink ref="D49" r:id="rId46" display="https://cleartax.in/s/income-tax-changes-from-april-2026"/>
    <hyperlink ref="D50" r:id="rId47" display="https://taxguru.in/income-tax/section-87a-section-156-rebate-tax-payable-rs-12-lakh.html"/>
    <hyperlink ref="D51" r:id="rId48" display="https://taxguru.in/income-tax/finance-ministry-clarifies-section-43bh-45-day-msme-payment-rule.html"/>
    <hyperlink ref="D52" r:id="rId49" display="https://www.incometaxindia.gov.in/w/tax-on-short-term-capital-gains%E2%80%8B"/>
    <hyperlink ref="D53" r:id="rId50" display="https://www.incometaxindia.gov.in/w/section-197-78"/>
    <hyperlink ref="D54" r:id="rId51" display="https://eztax.in/income-tax-act-2025/section-198"/>
    <hyperlink ref="D55" r:id="rId52" display="https://ebizfiling.com/blog/section-196-and-198-short-term-and-long-term-capital-gains/"/>
    <hyperlink ref="D56" r:id="rId53" display="https://www.taxtmi.com/tmi_notes?id=2099"/>
    <hyperlink ref="D57" r:id="rId54" display="https://www.taxtmi.com/tmi_notes?id=2069"/>
    <hyperlink ref="D58" r:id="rId55" display="https://www.taxtmi.com/tmi_notes?id=1949"/>
    <hyperlink ref="D59" r:id="rId56" display="https://www.incorpx.io/blog/income-tax-act-2025-vs-1961-section-mapping"/>
    <hyperlink ref="D60" r:id="rId57" display="https://www.deccanherald.com/business/centre-notifies-income-tax-act-2025-law-to-come-into-effect-from-april-1-2026-3693171"/>
    <hyperlink ref="D61" r:id="rId58" display="https://www.newsonair.gov.in/income-tax-act-2025-gets-presidents-assent-will-be-effective-from-1st-april-2026"/>
    <hyperlink ref="D62" r:id="rId59" display="https://www.taxheal.com/section-wise-mapping-of-new-income-tax-act-2025.html"/>
    <hyperlink ref="D63" r:id="rId60" display="https://www.incometaxindia.gov.in/documents/d/guest/press-release-income-tax-act-2025-comes-into-force-from-01-april-2026-pdf"/>
    <hyperlink ref="D64" r:id="rId61" display="https://www.incometaxindia.gov.in/w/section-393-6"/>
    <hyperlink ref="D65" r:id="rId62" display="https://cleartax.in/s/tds-and-tcs-changes-from-april-2026"/>
    <hyperlink ref="D66" r:id="rId63" display="https://www.incometaxindia.gov.in/w/section-392-6"/>
    <hyperlink ref="D67" r:id="rId64" display="https://www.incometaxindia.gov.in/w/section-394-6"/>
    <hyperlink ref="D68" r:id="rId65" display="https://www.incometaxindia.gov.in/w/section-395-6"/>
    <hyperlink ref="D69" r:id="rId66" display="https://www.incometaxindia.gov.in/w/section-397-6"/>
    <hyperlink ref="D70" r:id="rId67" display="https://www.incometaxindia.gov.in/w/section-398-5"/>
    <hyperlink ref="D71" r:id="rId68" display="https://www.incometaxindia.gov.in/w/section-427-6"/>
    <hyperlink ref="D72" r:id="rId69" display="https://www.incometaxindia.gov.in/w/section-461-6"/>
    <hyperlink ref="D73" r:id="rId70" display="https://www.incometaxindia.gov.in/w/rule-218-1"/>
    <hyperlink ref="D74" r:id="rId71" display="https://www.incometaxindia.gov.in/w/rule-219-1"/>
    <hyperlink ref="D75" r:id="rId72" display="https://www.incometaxindia.gov.in/documents/d/guest/form-130-faqs"/>
    <hyperlink ref="D76" r:id="rId73" display="https://www.incometaxindia.gov.in/documents/d/guest/form-128-faqs"/>
    <hyperlink ref="D77" r:id="rId74" display="https://www.incometaxindia.gov.in/documents/d/guest/form-121-faqs"/>
    <hyperlink ref="D78" r:id="rId75" display="https://taxguru.in/income-tax/q1-tax-year-2026-27-tds-tcs-return-filing-forms-due-dates.html"/>
    <hyperlink ref="D79" r:id="rId76" display="https://www.casahuja.com/2026/04/tds-rewritten-income-tax-act-1961-vs.html"/>
    <hyperlink ref="D80" r:id="rId77" display="https://calcguru.in/?p=5458"/>
    <hyperlink ref="D81" r:id="rId78" display="https://india-briefing.com/news/section-393-income-tax-act-2025-tds-rules-rates-compliance-guide-44450.html/"/>
    <hyperlink ref="D82" r:id="rId79" display="https://www.india-briefing.com/news/a-guide-to-indias-tds-rates-for-fy-2025-26-36999.html/"/>
    <hyperlink ref="D83" r:id="rId80" display="https://www.rsm.global/india/sites/default/files/media/publications/2025/RSM%20India%20Newsflash%20-%20Overview%20of%20Changes%20in%20TDS%20and%20TCS%20provisions%20w.e.f.%201st%20April%202025.pdf"/>
    <hyperlink ref="D84" r:id="rId81" display="https://blog.tdsman.com/2025/03/tds-tcs-changes-w-e-f-1st-april-2025/"/>
    <hyperlink ref="D85" r:id="rId82" display="https://blog.tdsman.com/2026/02/key-tds-tcs-proposed-changes-in-budget-2026-27/"/>
    <hyperlink ref="D86" r:id="rId83" display="https://taxguru.in/income-tax/tds-deductible-gst-component-cbdt.html"/>
    <hyperlink ref="D87" r:id="rId84" display="https://incometaxindia.gov.in/w/tds-rates-1"/>
    <hyperlink ref="D88" r:id="rId85" display="https://blog.tdsman.com/2026/04/tds-on-insurance-commission-or-brokerage-section-3931-section-194d/"/>
    <hyperlink ref="D89" r:id="rId86" display="https://cleartax.in/s/section-194d-194da-income-tax"/>
    <hyperlink ref="D90" r:id="rId87" display="https://blog.tdsman.com/2024/09/reduction-optimization-of-tds-rates-w-e-f-1st-october-24"/>
    <hyperlink ref="D91" r:id="rId88" display="https://www.incometaxindia.gov.in/w/section-194ia-10"/>
    <hyperlink ref="D92" r:id="rId89" display="https://incometaxindia.gov.in/Tutorials/52.Section-194N.pdf"/>
    <hyperlink ref="D93" r:id="rId90" display="https://www.taxheal.com/?p=128626"/>
    <hyperlink ref="D94" r:id="rId91" display="https://www.incometaxindia.gov.in/documents/d/guest/faqs-on-higher-rate-of-tds-under-section-397"/>
    <hyperlink ref="D95" r:id="rId92" display="https://www.incometaxindia.gov.in/w/higher-deduction-of-tax-at-source-in-certain-cases-section-206aa-and-section-206ab-"/>
    <hyperlink ref="D96" r:id="rId93" display="https://blog.tdsman.com/2026/05/higher-rate-of-tds-for-non-furnishing-of-pan-section-3972-206aa-206cc/"/>
    <hyperlink ref="D97" r:id="rId94" display="https://www.taxheal.com/?p=98720"/>
    <hyperlink ref="D98" r:id="rId95" display="https://www.taxheal.com/?p=129187"/>
    <hyperlink ref="D99" r:id="rId96" display="https://www.incometaxindia.gov.in/w/section-201-60"/>
    <hyperlink ref="D100" r:id="rId97" display="https://blog.tdsman.com/2015/04/interest-calculation-delayed-payment-tds/"/>
    <hyperlink ref="D101" r:id="rId98" display="https://blog.tdsman.com/2026/07/section-398-of-the-income-tax-act-2025-consequences-of-tds-defaults/"/>
    <hyperlink ref="D102" r:id="rId99" display="https://www.taxheal.com/?p=120775"/>
    <hyperlink ref="D103" r:id="rId100" display="https://www.taxheal.com/?p=122445"/>
    <hyperlink ref="D104" r:id="rId101" display="https://www.incometaxindia.gov.in/w/section-271h-1"/>
    <hyperlink ref="D105" r:id="rId102" display="https://blog.tdsman.com/2026/02/section-271h-penalty-on-taxpayers-for-not-filing-tds-or-tcs-returns/"/>
    <hyperlink ref="D106" r:id="rId103" display="https://taxguru.in/income-tax/income-tax-form-131-tds-certificate-u-s-395-4-non-salary-pension-senior-citizen-interest.html"/>
    <hyperlink ref="D107" r:id="rId104" display="https://www.incometaxindia.gov.in/w/section-288b-59"/>
    <hyperlink ref="D108" r:id="rId105" display="https://www.incometaxindia.gov.in/w/section-206c-37"/>
    <hyperlink ref="D109" r:id="rId106" display="https://www.bdo.in/en-gb/insights/alerts-updates/direct-tax-alert-cbdt-notifies-luxury-goods-for-levy-of-tcs-under-section-206c(1f)-of-the-it-act"/>
    <hyperlink ref="D110" r:id="rId107" display="https://arthurdejong.org/git/python-stdnum/plain/stdnum/in_/gstin.py"/>
    <hyperlink ref="D111" r:id="rId108" display="https://www.aiaccountant.com/blog/gstin-format"/>
    <hyperlink ref="D112" r:id="rId109" display="https://www.vjmglobal.com/feeds/blog/special-category-states-gst-registration"/>
    <hyperlink ref="D113" r:id="rId110" display="https://www.gstcouncil.gov.in/sites/default/files/2024-06/cir-170-02-2022-cgst.pdf"/>
    <hyperlink ref="D114" r:id="rId111" display="https://cajournal.icai.org/article-details/gst-amendments-proposed-through-the-finance-bill-2026"/>
    <hyperlink ref="D115" r:id="rId112" display="https://taxo.online/latest-news/31-03-2026-finance-act-2026-enacted-on-30-03-2026-key-amendments-in-valuation-refunds-and-place-of-supply/"/>
    <hyperlink ref="D116" r:id="rId113" display="https://taxo.online/latest-news/09-01-2025-advisory-issued-relating-implementation-of-phase-iii-for-mentioning-of-hsn-codes-in-gstr-1-gstr-1a/"/>
    <hyperlink ref="D117" r:id="rId114" display="https://www.taxheal.com/?p=97083"/>
    <hyperlink ref="D118" r:id="rId115" display="https://irisgst.com/for-taxpayer-with-turnover-upto-rs-5-cr-mention-4-digit-hsn-code-and-for-turnover-above-rs-5-cr-mention-6-digit-hsn-code/"/>
    <hyperlink ref="D119" r:id="rId116" display="https://www.taxheal.com/?p=104994"/>
    <hyperlink ref="D120" r:id="rId117" display="https://www.taxheal.com/?p=104997"/>
    <hyperlink ref="D121" r:id="rId118" display="https://taxo.online/latest-news/17-09-2025-cbic-issued-various-notifications-to-give-effect-to-the-recommendations-of-the-56th-council-meeting-in-respect-to-rate-on-goods/"/>
    <hyperlink ref="D122" r:id="rId119" display="https://gstcouncil.gov.in/sites/default/files/2025-09/press_release_press_information_bureau.pdf"/>
    <hyperlink ref="D123" r:id="rId120" display="https://gstcouncil.gov.in/sites/default/files/2025-09/faq.pdf"/>
    <hyperlink ref="D124" r:id="rId121" display="https://static.pib.gov.in/WriteReadData/specificdocs/documents/2025/sep/doc2025921642801.pdf"/>
    <hyperlink ref="D125" r:id="rId122" display="https://comtax.wb.gov.in/GST/GST_PPU/GST_Updates_Dec_2025.pdf"/>
    <hyperlink ref="D126" r:id="rId123" display="https://www.taxheal.com/?p=105314"/>
    <hyperlink ref="D127" r:id="rId124" display="https://www.india-briefing.com/news/gst-itc-rules-2025-rate-rationalization-guide-39988.html"/>
    <hyperlink ref="D128" r:id="rId125" display="https://gstzen.in/a/gst-2-0-notifications-in-action-key-updates-on-rates-refunds-compliance.html"/>
    <hyperlink ref="D129" r:id="rId126" display="https://www.caclubindia.com/notice_circulars/substitution-of-compensation-cess-rates-with-nil-on-specified-goods-effective-22nd-september-2025--11496.asp"/>
    <hyperlink ref="D130" r:id="rId127" display="https://www.taxheal.com/zero-compensation-cess-major-shift-for-pan-masala-tobacco.html"/>
    <hyperlink ref="D131" r:id="rId128" display="https://cleartax.in/s/gst-return-filing-rule-changes-from-july-2025"/>
    <hyperlink ref="D132" r:id="rId129" display="https://www.taxmann.com/post/blog/gstn-warns-pending-gst-returns-cannot-be-filed-after-3-years"/>
    <hyperlink ref="D133" r:id="rId130" display="https://www.lkslaw.com/insights/articles/hard-locking-gstr-3b-a-new-compliance-milestone-and-its-pitfalls"/>
    <hyperlink ref="D134" r:id="rId131" display="https://taxguru.in/goods-and-service-tax/gstn-issues-4-advisories-december-2025-clarify-key-compliance-procedures.html"/>
    <hyperlink ref="D135" r:id="rId132" display="https://taxguru.in/goods-and-service-tax/gst-amendments-finance-act-2025-effective-oct-1-2025-notified.html"/>
    <hyperlink ref="D136" r:id="rId133" display="https://www.startup-movers.com/57th-gst-council-meeting-2026-key-decisions"/>
    <hyperlink ref="D137" r:id="rId134" display="https://www.taxmann.com/post/blog/time-limit-of-30-days-for-reporting-e-invoice-on-irp-portal-for-taxpayers-with-aato-of-10-crores-and-above-gstn-update/"/>
    <hyperlink ref="D138" r:id="rId135" display="https://www.mahagst.gov.in/public/uploads/gstnadvisory/1760531580_293 Advisory Time Limit for Reporting e Invoice on the IRP Portal  Lowering of Threshold to AATO 10 Crores and Above.pdf"/>
    <hyperlink ref="D139" r:id="rId136" display="https://www.ey.com/en_in/alerts-hub/2023/05/cbic-lowers-turnover-threshold-for-e-invoicing-to-inr5-crores-with-effect-from-1-august-2023"/>
    <hyperlink ref="D140" r:id="rId137" display="https://cleartax.in/s/time-limit-for-e-way-bill-generation"/>
    <hyperlink ref="D141" r:id="rId138" display="https://taxguru.in/goods-and-service-tax/claim-itc-gstr-2b-mandatory-w-e-f-01-01-2022.html"/>
    <hyperlink ref="D142" r:id="rId139" display="https://cleartax.in/s/faqs-on-invoice-management-system-ims-gst"/>
    <hyperlink ref="D143" r:id="rId140" display="https://www.computaxonline.com/blog/post/2026/07/09/gst-itc-auto-restriction-gstr-2b-gstr-3b-hard-locking"/>
    <hyperlink ref="D144" r:id="rId141" display="https://ey.com/content/dam/ey-unified-site/ey-com/en-in/alerts-hub/government-notifies-effective-date-for-amendments-made-in-gst-law-vide-finance-act-2024.pdf"/>
    <hyperlink ref="D145" r:id="rId142" display="https://www.cggst.com/uploads/document/1755064447-rule-37.pdf"/>
    <hyperlink ref="D146" r:id="rId143" display="https://taxinformation.cbic.gov.in/content/html/tax_repository/gst/rules/cgst_rules/active/chapter5/rule37_v1.00.html"/>
    <hyperlink ref="D147" r:id="rId144" display="https://www.cggst.com/uploads/document/1754119329-rule-88b.pdf"/>
    <hyperlink ref="D148" r:id="rId145" display="https://www.cggst.com/uploads/document/1753958879-rule-37a-1.pdf"/>
    <hyperlink ref="D149" r:id="rId146" display="https://gsthero.com/blog/electronic-credit-reversal-and-reclaimed-statement/"/>
    <hyperlink ref="D150" r:id="rId147" display="https://www.cggst.com/uploads/document/1755064648-rule-42.pdf"/>
    <hyperlink ref="D151" r:id="rId148" display="https://taxroutine.com/repository/gst-notifications/rcm-services/"/>
    <hyperlink ref="D152" r:id="rId149" display="https://cleartax.in/s/rcm-on-rent-of-commercial-property-under-gst"/>
    <hyperlink ref="D153" r:id="rId150" display="https://taxinformation.cbic.gov.in/content/html/tax_repository/gst/rules/cgst_rules/active/chapter9/rule88b_v1.00.html"/>
    <hyperlink ref="D154" r:id="rId151" display="https://taxguru.in/goods-and-service-tax/analysis-gst-notifications-issued-cbic-05th-july-2022.html"/>
    <hyperlink ref="D155" r:id="rId152" display="https://www.mastersindia.co/blog/interest-on-wrongly-availed-itc-under-section-503-gst/"/>
    <hyperlink ref="D156" r:id="rId153" display="https://www.taxmann.com/post/blog/cbic-notifies-retrospective-amendment-to-section-503-of-the-cgst-act/"/>
    <hyperlink ref="D157" r:id="rId154" display="https://www.taxtmi.com/forum/issue?id=118761"/>
    <hyperlink ref="D158" r:id="rId155" display="https://www.teachoo.com/6596/2144/CGST-Interest-Rates-Notified-(Notifications-13-2017)/category/Latest-GST-Notification/"/>
    <hyperlink ref="D159" r:id="rId156" display="https://www.taxheal.com/?p=89438"/>
    <hyperlink ref="D160" r:id="rId157" display="https://calcguru.in/gst-late-fee-calculator/"/>
    <hyperlink ref="D161" r:id="rId158" display="https://lexplosion.in/late-fees-for-filing-annual-return-in-form-gstr-9-reduced-from-fy-2022-23-onwards/"/>
    <hyperlink ref="D162" r:id="rId159" display="https://www.taxheal.com/?p=105269"/>
    <hyperlink ref="D163" r:id="rId160" display="https://cleartax.in/s/gst-reconciliation-statement-gstr-9c"/>
    <hyperlink ref="D164" r:id="rId161" display="https://www.taxheal.com/?p=89244"/>
    <hyperlink ref="D165" r:id="rId162" display="https://www.indiafilings.com/learn/gstr-4-filing/"/>
    <hyperlink ref="D166" r:id="rId163" display="https://gstzen.in/a/faqs-on-gstr-9-9c-changes-fy-2024-25.html"/>
    <hyperlink ref="D167" r:id="rId164" display="https://www.taxheal.com/?p=96048"/>
    <hyperlink ref="D168" r:id="rId165" display="https://www.taxmann.com/post/blog/guide-to-maximizing-the-utilization-of-gst-input-tax-credit/"/>
    <hyperlink ref="D169" r:id="rId166" display="https://taxguru.in/goods-and-service-tax/input-service-distributor-mandatory-1st-april-2025.html"/>
    <hyperlink ref="D170" r:id="rId167" display="https://www.cggst.com/uploads/document/1752824769-section-170.pdf"/>
    <hyperlink ref="D171" r:id="rId168" display="https://www.bdo.in/en-gb/insights/alerts-updates/indirect-tax-alert-recommendations-of-57th-gst-council-meeting"/>
    <hyperlink ref="D172" r:id="rId169" display="https://www.ey.com/content/dam/ey-unified-site/ey-com/en-in/alerts-hub/2025/11/new-labour-codes-implemented-across-the-country-effective-21-november-2025.pdf"/>
    <hyperlink ref="D173" r:id="rId170" display="https://taxguru.in/corporate-law/major-labour-code-sections-force-notifications.html"/>
    <hyperlink ref="D174" r:id="rId171" display="https://www.scconline.com/blog/post/2025/12/24/corrigendum-to-code-on-social-security-2020-enforcement-dates/"/>
    <hyperlink ref="D175" r:id="rId172" display="https://www.in.kpmg.com/taxflashnews/KPMG-Flash-News-Notification-of-final-Rules-on-Four-Labour-Codes.pdf"/>
    <hyperlink ref="D176" r:id="rId173" display="https://www.bdo.in/en-gb/insights/alerts-updates/alert-final-central-rules-notified-under-all-four-labour-codes"/>
    <hyperlink ref="D177" r:id="rId174" display="https://blog.ipleaders.in/labour-codes-2026-implementation-complete-guide-to-what-is-in-force-what-changed-and-what-to-do-now/"/>
    <hyperlink ref="D178" r:id="rId175" display="https://www.taxmann.com/post/blog/govt-notifies-code-on-wages-central-rules/"/>
    <hyperlink ref="D179" r:id="rId176" display="https://www.staffnews.in/2026/05/the-social-security-central-rules-2026.html"/>
    <hyperlink ref="D180" r:id="rId177" display="https://assets.kpmg.com/content/dam/kpmgsites/in/pdf/2026/07/KPMG-Flash-News-New-Social-Security-Schemes-2026.pdf"/>
    <hyperlink ref="D181" r:id="rId178" display="https://www.cyrilshroff.com/wp-content/uploads/2026/07/Client-Alert-Labour-Codes-Schemes-under-the-Code-on-Social-Security-2020-1.pdf"/>
    <hyperlink ref="D182" r:id="rId179" display="https://ksandk.com/labour-employment/50-wage-rule-labour-codes-salary-pf-gratuity/"/>
    <hyperlink ref="D183" r:id="rId180" display="https://www.sgcms.com/regulatory-updates/faqs-by-epfo-wage-ceiling-raised-to-25000/"/>
    <hyperlink ref="D184" r:id="rId181" display="https://ascent-hr.com/notification/esic-clarification-regarding-the-implementation-of-code-on-social-security-2020/"/>
    <hyperlink ref="D185" r:id="rId182" display="https://www.taxmann.com/post/blog/analysis-epf-under-code-on-social-security"/>
    <hyperlink ref="D186" r:id="rId183" display="https://assets.kpmg.com/content/dam/kpmgsites/in/pdf/2026/09/KPMG-Flash-News-FAQs-on-EPFO-Wage-Ceiling-Limit.pdf"/>
    <hyperlink ref="D187" r:id="rId184" display="https://www.argus-p.com/papers-publications/thought-paper/revision-to-epf-wage-ceiling-coverage-contributions-and-the-september-transition/"/>
    <hyperlink ref="D188" r:id="rId185" display="https://elplaw.in/wp-content/uploads/2026/09/EPFO-wage-ceiling-increased-from-INR-15000-to-INR-25000-per-month.pdf"/>
    <hyperlink ref="D189" r:id="rId186" display="https://www.staffnews.in/2026/09/cabinet-approves-enhancement-of-epfo-wage-ceiling.html"/>
    <hyperlink ref="D190" r:id="rId187" display="https://www.indianpaycalculator.in/govt-news/epf-wage-ceiling-stays-15000-ss-code-2026"/>
    <hyperlink ref="D191" r:id="rId188" display="https://lexplosion.in/epf-scheme-2026-notified-under-social-security-code-replaces-epf-scheme-1952-and-introduces-employees-enrolment-campaign-vishwas-and-amnesty-schemes/"/>
    <hyperlink ref="D192" r:id="rId189" display="https://caclub.in/pf-admin-charges-reduced-and-edli-admin-charges-waived-by-epfo"/>
    <hyperlink ref="D193" r:id="rId190" display="https://www.zoho.com/in/payroll/kb/employer/settings/admin-charges.md"/>
    <hyperlink ref="D194" r:id="rId191" display="https://www.epfindia.gov.in:443/site_docs/PDFs/MiscPDFs/ContributionRate.pdf"/>
    <hyperlink ref="D195" r:id="rId192" display="https://docs.frappe.io/hr/india-payroll/employee-provident-fund.md"/>
    <hyperlink ref="D196" r:id="rId193" display="https://www.lawrbit.com/article/employees-pension-scheme/"/>
    <hyperlink ref="D197" r:id="rId194" display="https://www.psuconnect.in/news/epfo-explains-september-2026-ecr-calculation-after-new-25-000-wage-ceiling"/>
    <hyperlink ref="D198" r:id="rId195" display="https://khaitanco.com/thought-leadership/Big-Move-in-the-EPF-Regime"/>
    <hyperlink ref="D199" r:id="rId196" display="https://www.scconline.com/blog/post/2026/07/15/epfo-launches-vishwas-2026-damages-settlement-scheme/"/>
    <hyperlink ref="D200" r:id="rId197" display="https://taxguru.in/?p=1076899"/>
    <hyperlink ref="D201" r:id="rId198" display="https://www.outlookmoney.com/retirement/pension/epf-rates-unchanged-at-825-per-cent-for-2025-26-announces-epfo"/>
    <hyperlink ref="D202" r:id="rId199" display="https://www.outlookmoney.com/retirement/govt-ratifies-825-per-cent-epf-interest-rate-for-2025-26-interest-likely-to-be-credited-from-this-month"/>
    <hyperlink ref="D203" r:id="rId200" display="https://www.in.kpmg.com/taxflashnews/KPMG-Flash-News-GOI-notifies-SOP-on-PMVBRY.pdf"/>
    <hyperlink ref="D204" r:id="rId201" display="https://www.taxheal.com/?p=129388"/>
    <hyperlink ref="D205" r:id="rId202" display="https://www.lkslaw.com/insights/articles/status-of-esi-compliance-under-the-code-on-social-security-2020-an-analytical-review"/>
    <hyperlink ref="D206" r:id="rId203" display="https://bhattandjoshiassociates.com/esic-wage-ceiling-change-what-it-would-mean-for-employers/"/>
    <hyperlink ref="D207" r:id="rId204" display="https://web.esic.gov.in/web/esic/contribution"/>
    <hyperlink ref="D208" r:id="rId205" display="https://taxclue.in/blog/rule-19-20-social-security-central-rules-2026-rate-of-contributions-and-administrative-expenses/"/>
    <hyperlink ref="D209" r:id="rId206" display="https://tallysolutions.com/business-guides/esi-calculation-formula-contribution-rate-example/"/>
    <hyperlink ref="D210" r:id="rId207" display="https://studycafe.in/government-clarifies-esi-coverage-continuity-despite-salary-hike-above-wage-ceiling-420646.html"/>
    <hyperlink ref="D211" r:id="rId208" display="https://tallysolutions.com/accounting/esi-return-filing-due-date-2026/"/>
    <hyperlink ref="D212" r:id="rId209" display="https://bankbazaar.com/tax/maharashtra-professional-tax-slab-rate.html"/>
    <hyperlink ref="D213" r:id="rId210" display="https://lexplosion.in/karnataka-govt-notifies-revised-professional-tax-rate-under-karnataka-tax-on-profession-trades-callings-and-employments-amendment-act-2025/"/>
    <hyperlink ref="D214" r:id="rId211" display="https://wbxpress.com/schedule-rates-tax-professions-trades-callings-employments-2026/"/>
    <hyperlink ref="D215" r:id="rId212" display="https://ascent-hr.com/notification/professional-tax-slab-revision-chennai/"/>
    <hyperlink ref="D216" r:id="rId213" display="https://wbxpress.com/professional-tax-slab/"/>
    <hyperlink ref="D217" r:id="rId214" display="https://www.simpliance.in/professional-tax-detail/west-bengal"/>
    <hyperlink ref="D218" r:id="rId215" display="https://nt.simpliance.in/professional-tax-detail/telangana"/>
    <hyperlink ref="D219" r:id="rId216" display="https://www.greythr.com/wiki/acts/professional-tax-gujarat/"/>
    <hyperlink ref="D220" r:id="rId217" display="https://ezhrm.in/labour-welfare-fund-india-2026-state-wise-guide/"/>
    <hyperlink ref="D221" r:id="rId218" display="https://employmentlaw.lkslaw.com/gratuity-guide-2025"/>
    <hyperlink ref="D222" r:id="rId219" display="https://www.incometaxindia.gov.in/w/section-19-206"/>
    <hyperlink ref="D223" r:id="rId220" display="https://eztax.in/income-tax-act-2025/section-19"/>
    <hyperlink ref="D224" r:id="rId221" display="https://www.gconnect.in/personal-income-tax/increased-limit-tax-exemption-leave-encashment-non-govt-salaried-employees.html"/>
    <hyperlink ref="D225" r:id="rId222" display="https://www.scconline.com/blog/post/2026/08/26/bonus-rules-under-code-on-wages-eligibility-calculation/"/>
    <hyperlink ref="D226" r:id="rId223" display="https://lexplosion.in/?p=152253"/>
    <hyperlink ref="D227" r:id="rId224" display="https://www.sgcms.com/regulatory-updates/central-sphere-vda-revision-w-e-f-1-october-2026-revised-minimum-wages/"/>
    <hyperlink ref="D228" r:id="rId225" display="https://eztax.in/income-tax-act-2025/section-17"/>
    <hyperlink ref="D229" r:id="rId226" display="https://www.incometaxindia.gov.in/w/rule-277-1"/>
    <hyperlink ref="D230" r:id="rId227" display="https://www.patronaccounting.com/blog/provident-fund-taxable-interest-rules-2026-high-value-pf-contributions"/>
    <hyperlink ref="D231" r:id="rId228" display="https://www.casemine.com/commentary/in/supreme-court-affirmation-on-disallowance-of-late-employee-contributions-under-section-36(1)(va)/view"/>
    <hyperlink ref="D232" r:id="rId229" display="https://taxguru.in/income-tax/pf-esi-deduction-denied-employees-contribution-deposited-statutory-due-date.html"/>
    <hyperlink ref="D233" r:id="rId230" display="https://eztax.in/income-tax-act-2025/section-29"/>
    <hyperlink ref="D234" r:id="rId231" display="https://www.jsalaw.com/jsa_news/epf-act-remains-operational-despite-being-repealed-in-new-labour-laws-heres-why"/>
    <hyperlink ref="D235" r:id="rId232" display="https://taxclue.in/blog/leave-encashment-ita-2025-exempt-limit"/>
    <hyperlink ref="D236" r:id="rId233" display="https://www.rbi.org.in/commonman/English/scripts/Notification.aspx?Id=961"/>
    <hyperlink ref="D237" r:id="rId234" display="https://rbi.org.in/"/>
    <hyperlink ref="D238" r:id="rId235" display="https://www.dpncindia.com/amendment-in-schedule-iii-of-the-companies-act-2013-applicable-w-e-f-01-04-2021"/>
    <hyperlink ref="D239" r:id="rId236" display="https://www.caclubindia.com/articles/amendment-schedule-iii-division-i-igaap-companies-act-2013-44527.asp"/>
    <hyperlink ref="D240" r:id="rId237" display="https://foxmandal.in/news/monetary-limits-for-msme-classification-revised/"/>
    <hyperlink ref="D241" r:id="rId238" display="https://www.casahuja.com/2025/04/regulatory-update-government-revises.html"/>
    <hyperlink ref="D242" r:id="rId239" display="https://lawx.in/acts/section/145/1245/10691"/>
    <hyperlink ref="D243" r:id="rId240" display="https://taxmann.com/post/blog/a-study-of-provisions-of-the-msmed-act-related-disclosure-under-schedule-iii-of-companies-act"/>
    <hyperlink ref="D244" r:id="rId241" display="https://www.taxmann.com/post/blog/mca-revises-msme-form-1-with-enhanced-disclosures-for-reporting-payments-pending-over-45-days-to-micro-small-enterprises/"/>
    <hyperlink ref="D245" r:id="rId242" display="https://www.patronaccounting.com/blog/msme-form-1-half-yearly-return-filing-guide"/>
    <hyperlink ref="D246" r:id="rId243" display="https://www.icai.org/post/clcgc-director-kyc-compliance-02012026"/>
    <hyperlink ref="D247" r:id="rId244" display="https://www.china-briefing.com/china-outbound-news/director-kyc-new-rules-india-companies-act-2013"/>
    <hyperlink ref="D248" r:id="rId245" display="https://www.taxmann.com/post/blog/mca-amends-companies-registration-offices-and-fees-rules-2014-tightens-norms-relating-to-additional-fee-and-higher-additional-fee/"/>
    <hyperlink ref="D249" r:id="rId246" display="https://www.mca.gov.in:443/content/dam/mca-aem-forms/instructionkits/Instruction%20Kit_DPT-3.pdf"/>
    <hyperlink ref="D250" r:id="rId247" display="https://studycafe.in/mca-notifies-additional-fee-of-rs-100-per-day-for-delay-in-filing-roc-forms-24895.html"/>
    <hyperlink ref="D251" r:id="rId248" display="https://taxguru.in/company-law/demystifying-audit-trail-edit-log.html"/>
    <hyperlink ref="D252" r:id="rId249" display="https://www.taxheal.com/companies-accounts-amendment-rules-2021-mandatory-accounting-software-with-audit-trail-for-companies.html"/>
    <hyperlink ref="D253" r:id="rId250" display="https://cajournal.icai.org/article-details/audit-trail-requirements-responsibilities"/>
    <hyperlink ref="D254" r:id="rId251" display="https://www.eirc-icai.org/uploads/background_materials/Revised 2024_Implementation Guide on Reporting of Audit Trail (1)_1712114860.pdf"/>
    <hyperlink ref="D255" r:id="rId252" display="https://lexplosion.in/companies-must-take-daily-back-up-of-books-of-accounts-etc-maintained-in-electronic-mode-including-at-a-place-outside-india-in-servers-physically-located-in-india/"/>
    <hyperlink ref="D256" r:id="rId253" display="https://taxguru.in/company-law/summary-clauses-caro-2020-consequential-amendments-schedule-iii-companies-act-2013.html"/>
    <hyperlink ref="D257" r:id="rId254" display="https://taxguru.in/income-tax/tax-audit-fy-2025-26-guide-form-3cd.html"/>
    <hyperlink ref="D258" r:id="rId255" display="https://calcguru.in/?p=8211"/>
    <hyperlink ref="D259" r:id="rId256" display="https://www.taxmann.com/post/blog/cbdt-issues-corrigendum-to-include-sec-43bh-disallowance-under-clause-22-of-form-3cd/"/>
    <hyperlink ref="D260" r:id="rId257" display="https://taxmann.com/post/blog/analysis-clause-44-of-tax-audit-report-along-with-illustrations"/>
    <hyperlink ref="D261" r:id="rId258" display="https://www.taxmann.com/post/blog/instances-of-non-compliance-with-reporting-requirements-under-clause-21-31-of-form-3cd/"/>
    <hyperlink ref="D262" r:id="rId259" display="https://www.casahuja.com/2026/09/clause-31-of-form-3cd-for-ay-2026-27.html"/>
    <hyperlink ref="D263" r:id="rId260" display="https://cleartax.in/s/form-26-tax-audit"/>
    <hyperlink ref="D264" r:id="rId261" display="https://incometaxindia.gov.in/documents/d/guest/circular-7-2026-pdf"/>
    <hyperlink ref="D265" r:id="rId262" display="https://www.taxheal.com/?p=99334"/>
    <hyperlink ref="D266" r:id="rId263" display="https://eztax.in/income-tax-act-2025/section-185"/>
    <hyperlink ref="D267" r:id="rId264" display="https://eztax.in/income-tax-act-2025/section-186"/>
    <hyperlink ref="D268" r:id="rId265" display="https://eztax.in/income-tax-act-2025/section-37"/>
    <hyperlink ref="D269" r:id="rId266" display="https://eztax.in/income-tax-act-2025/compare-old-new-section-codes"/>
    <hyperlink ref="D270" r:id="rId267" display="https://www.incometaxindia.gov.in/w/rule-6dd"/>
    <hyperlink ref="D271" r:id="rId268" display="https://ca2013.com/schedule-ii/"/>
    <hyperlink ref="D272" r:id="rId269" display="https://www.patronaccounting.com/blog/depreciation-rules-2026-rates-block-assets"/>
    <hyperlink ref="D273" r:id="rId270" display="https://treelife.in/legal/ind-as-applicability-for-private-companies/"/>
    <hyperlink ref="D274" r:id="rId271" display="https://mondaq.com/india/accounting-standards/1310822/accounting-standards-for-smcs-under-the-companies-act-2013"/>
    <hyperlink ref="D275" r:id="rId272" display="https://www.taxmann.com/post/blog/mca-raises-small-company-thresholds-to-rs-10-cr-capital-and-rs-100-cr-turnover"/>
    <hyperlink ref="D276" r:id="rId273" display="https://taxmann.com/post/blog/mca-extends-due-date-for-filing-of-financials-and-annual-return"/>
    <hyperlink ref="D277" r:id="rId274" display="https://taxguru.in/goods-and-service-tax/advisory-form-gstr-1a.html"/>
    <hyperlink ref="D278" r:id="rId275" display="https://cleartax.in/s/gst-return-filing-rule-changes-from-july-2025"/>
    <hyperlink ref="D279" r:id="rId276" display="https://www.taxmann.com/post/blog/gstn-warns-pending-gst-returns-cannot-be-filed-after-3-years"/>
    <hyperlink ref="D280" r:id="rId277" display="https://www.taxheal.com/?p=96273"/>
    <hyperlink ref="D281" r:id="rId278" display="https://icmai.in/upload/Taxation/Advisory_auto-population_GSTR-1.pdf"/>
    <hyperlink ref="D282" r:id="rId279" display="https://taxguru.in/goods-and-service-tax/gst-amendments-finance-act-2025-effective-oct-1-2025-notified.html"/>
    <hyperlink ref="D283" r:id="rId280" display="https://www.ey.com/en_in/technical/alerts-hub/2025/09/gstn-issues-advisory-on-the-changes-introduced-in-the-invoice-management-system"/>
    <hyperlink ref="D284" r:id="rId281" display="https://cggst.com/wp-content/uploads/2023/07/Rule-88C-3.pdf"/>
    <hyperlink ref="D285" r:id="rId282" display="https://www.bdo.in/en-gb/insights/alerts-updates/gstn-advisory-online-functionality-in-respect-of-the-difference-in-tax"/>
    <hyperlink ref="D286" r:id="rId283" display="https://razorpay.com/learn/drc-01b-gst-liability-mismatch-guide/"/>
    <hyperlink ref="D287" r:id="rId284" display="https://www.computaxonline.com/blog/post/2026/07/09/gst-itc-auto-restriction-gstr-2b-gstr-3b-hard-locking"/>
    <hyperlink ref="D288" r:id="rId285" display="https://taxguru.in/goods-and-service-tax/gstn-issues-4-advisories-december-2025-clarify-key-compliance-procedures.html"/>
    <hyperlink ref="D289" r:id="rId286" display="https://www.ey.com/en_in/alerts-hub/2023/05/cbic-lowers-turnover-threshold-for-e-invoicing-to-inr5-crores-with-effect-from-1-august-2023"/>
    <hyperlink ref="D290" r:id="rId287" display="https://www.taxmann.com/post/blog/time-limit-of-30-days-for-reporting-e-invoice-on-irp-portal-for-taxpayers-with-aato-of-10-crores-and-above-gstn-update/"/>
    <hyperlink ref="D291" r:id="rId288" display="https://cleartax.in/s/time-limit-for-e-way-bill-generation"/>
    <hyperlink ref="D292" r:id="rId289" display="https://cleartax.in/s/blocking-e-way-bill-generation-without-e-invoice"/>
    <hyperlink ref="D293" r:id="rId290" display="https://www.taxheal.com/?p=97083"/>
    <hyperlink ref="D294" r:id="rId291" display="https://taxo.online/latest-news/09-01-2025-advisory-issued-relating-implementation-of-phase-iii-for-mentioning-of-hsn-codes-in-gstr-1-gstr-1a/"/>
    <hyperlink ref="D295" r:id="rId292" display="https://www.taxmann.com/post/blog/hsn-dropdown-table-13-mandatory-in-gstr-1"/>
    <hyperlink ref="D296" r:id="rId293" display="https://taxguru.in/goods-and-service-tax/claim-itc-gstr-2b-mandatory-w-e-f-01-01-2022.html"/>
    <hyperlink ref="D297" r:id="rId294" display="https://cleartax.in/s/faqs-on-invoice-management-system-ims-gst"/>
    <hyperlink ref="D298" r:id="rId295" display="https://cleartax.in/s/rule-88d-cgst-itc-mismatch-gstr-2b-vs-gstr-3b"/>
    <hyperlink ref="D299" r:id="rId296" display="https://taxo.online/latest-news/06-10-2023-gstn-issued-advisory-in-respect-of-introduction-of-compliance-pertaining-to-drc-01c/"/>
    <hyperlink ref="D300" r:id="rId297" display="https://www.gstcouncil.gov.in/sites/default/files/2024-06/cir-170-02-2022-cgst.pdf"/>
    <hyperlink ref="D301" r:id="rId298" display="https://taxguru.in/goods-and-service-tax/gstn-itc-reclaim-ledger-rcm-ledger-hard-validations-block-gstr-3b-filing.html"/>
    <hyperlink ref="D302" r:id="rId299" display="https://www.cggst.com/uploads/document/1755064447-rule-37.pdf"/>
    <hyperlink ref="D303" r:id="rId300" display="https://www.cggst.com/uploads/document/1754119329-rule-88b.pdf"/>
    <hyperlink ref="D304" r:id="rId301" display="https://gsthero.com/blog/electronic-credit-reversal-and-reclaimed-statement/"/>
    <hyperlink ref="D305" r:id="rId302" display="https://busy.in/business-updates/how-to-fix-gstr-3b-hard-block/"/>
    <hyperlink ref="D306" r:id="rId303" display="https://taxroutine.com/repository/gst-notifications/rcm-services/"/>
    <hyperlink ref="D307" r:id="rId304" display="https://cleartax.in/s/rcm-on-rent-of-commercial-property-under-gst"/>
    <hyperlink ref="D308" r:id="rId305" display="https://gstcouncil.gov.in/sites/default/files/2025-09/faq.pdf"/>
    <hyperlink ref="D309" r:id="rId306" display="https://taxo.online/latest-news/29-12-2025-gstn-has-issued-an-advisory-on-electronic-credit-reversal-and-re-claimed-statement-rcm-liability-itc-statement/"/>
    <hyperlink ref="D310" r:id="rId307" display="https://www.taxmann.com/post/blog/guide-to-maximizing-the-utilization-of-gst-input-tax-credit/"/>
    <hyperlink ref="D311" r:id="rId308" display="https://www.mastersindia.co/blog/interest-on-wrongly-availed-itc-under-section-503-gst/"/>
    <hyperlink ref="D312" r:id="rId309" display="https://www.taxtmi.com/forum/issue?id=118761"/>
    <hyperlink ref="D313" r:id="rId310" display="https://www.cggst.com/uploads/document/1752824769-section-170.pdf"/>
    <hyperlink ref="D314" r:id="rId311" display="https://www.taxheal.com/?p=89244"/>
    <hyperlink ref="D315" r:id="rId312" display="https://www.taxheal.com/?p=89438"/>
    <hyperlink ref="D316" r:id="rId313" display="https://lexplosion.in/late-fees-for-filing-annual-return-in-form-gstr-9-reduced-from-fy-2022-23-onwards/"/>
    <hyperlink ref="D317" r:id="rId314" display="https://calcguru.in/gst-late-fee-calculator/"/>
    <hyperlink ref="D318" r:id="rId315" display="https://www.taxheal.com/?p=105269"/>
    <hyperlink ref="D319" r:id="rId316" display="https://www.vjmglobal.com/blog/gstn-issued-faqs-on-newly-released-form-gstr-9-9c-for-fy-2024-25"/>
    <hyperlink ref="D320" r:id="rId317" display="https://gstzen.in/a/faqs-on-gstr-9-9c-changes-fy-2024-25.html"/>
    <hyperlink ref="D321" r:id="rId318" display="https://cleartax.in/s/revised-gstr-9c-fy-2020-21"/>
    <hyperlink ref="D322" r:id="rId319" display="https://cleartax.in/s/gst-reconciliation-statement-gstr-9c"/>
    <hyperlink ref="D323" r:id="rId320" display="https://www.cggst.com/uploads/document/1755064648-rule-42.pdf"/>
    <hyperlink ref="D324" r:id="rId321" display="https://cajournal.icai.org/article-details/gst-amendments-proposed-through-the-finance-bill-2026"/>
    <hyperlink ref="D325" r:id="rId322" display="https://ey.com/content/dam/ey-unified-site/ey-com/en-in/alerts-hub/government-notifies-effective-date-for-amendments-made-in-gst-law-vide-finance-act-2024.pdf"/>
    <hyperlink ref="D326" r:id="rId323" display="https://www.taxheal.com/?p=104994"/>
    <hyperlink ref="D327" r:id="rId324" display="https://gstcouncil.gov.in/sites/default/files/2025-09/press_release_press_information_bureau.pdf"/>
    <hyperlink ref="D328" r:id="rId325" display="https://comtax.wb.gov.in/GST/GST_PPU/GST_Updates_Dec_2025.pdf"/>
    <hyperlink ref="D329" r:id="rId326" display="https://tutorial.gst.gov.in/userguide/inputtaxcredit/manual_tds_and_tcs_credit_received.htm"/>
    <hyperlink ref="D330" r:id="rId327" display="https://www.taxheal.com/?p=96048"/>
    <hyperlink ref="D331" r:id="rId328" display="https://taxguru.in/goods-and-service-tax/input-service-distributor-mandatory-1st-april-2025.html"/>
    <hyperlink ref="D332" r:id="rId329" display="https://www.taxheal.com/?p=90244"/>
    <hyperlink ref="D333" r:id="rId330" display="https://www.indiafilings.com/learn/gstr-4-filing/"/>
    <hyperlink ref="D334" r:id="rId331" display="https://taxo.online/latest-news/30-06-2023-advisory-issued-on-online-compliance-pertaining-to-liability-difference-appearing-in-r1-r3b-drc-01b/"/>
    <hyperlink ref="D335" r:id="rId332" display="https://www.incometaxindia.gov.in/w/section-393-6"/>
    <hyperlink ref="D336" r:id="rId333" display="https://www.incometaxindia.gov.in/w/section-397-6"/>
    <hyperlink ref="D337" r:id="rId334" display="https://www.incometaxindia.gov.in/w/rule-219-1"/>
    <hyperlink ref="D338" r:id="rId335" display="https://tinpan.proteantech.in/downloads/e-tds/download/DosandDontsdeductorscollectors.pdf"/>
    <hyperlink ref="D339" r:id="rId336" display="https://www.tdsman.com/downloads/forms/Form-26Q.pdf"/>
    <hyperlink ref="D340" r:id="rId337" display="https://www.incometaxindia.gov.in/documents/d/guest/faqs-on-higher-rate-of-tds-under-section-397"/>
    <hyperlink ref="D341" r:id="rId338" display="https://taxguru.in/income-tax/tds-deductible-gst-component-cbdt.html"/>
    <hyperlink ref="D342" r:id="rId339" display="https://eztax.in/income-tax-act-2025/section-35"/>
    <hyperlink ref="D343" r:id="rId340" display="https://thetaxtalk.com/2025/07/a-simple-checklist-for-clause-34-of-tax-audit-report-to-be-considered-by-auditors/"/>
    <hyperlink ref="D344" r:id="rId341" display="https://www.incometaxindia.gov.in/tax-services/statement-and-challan-status"/>
    <hyperlink ref="D345" r:id="rId342" display="https://www.incometaxindia.gov.in/w/rule-218-1"/>
    <hyperlink ref="D346" r:id="rId343" display="https://blog.tdsman.com/2018/09/faq-on-form-26as-2/"/>
    <hyperlink ref="D347" r:id="rId344" display="https://www.incometaxindia.gov.in/w/section-201-60"/>
    <hyperlink ref="D348" r:id="rId345" display="https://www.incometaxindia.gov.in/w/section-398-5"/>
    <hyperlink ref="D349" r:id="rId346" display="https://blog.tdsman.com/2015/04/interest-calculation-delayed-payment-tds/"/>
    <hyperlink ref="D350" r:id="rId347" display="https://blog.tdsman.com/2013/07/evaluate-your-tds-defaults-using-justification-report-downloaded-from-traces/"/>
    <hyperlink ref="D351" r:id="rId348" display="https://www.incometaxindia.gov.in/w/section-395-6"/>
    <hyperlink ref="D352" r:id="rId349" display="https://www.incometaxindia.gov.in/documents/d/guest/form-128-faqs"/>
    <hyperlink ref="D353" r:id="rId350" display="https://www.incometaxindia.gov.in/w/section-427-6"/>
    <hyperlink ref="D354" r:id="rId351" display="https://www.incometaxindia.gov.in/documents/d/guest/form-130-faqs"/>
    <hyperlink ref="D355" r:id="rId352" display="https://www.incometaxindia.gov.in/w/section-392-6"/>
    <hyperlink ref="D356" r:id="rId353" display="https://blog.tdsman.com/2024/04/simple-guide-for-employee-income-details-form-24q-q4/"/>
    <hyperlink ref="D357" r:id="rId354" display="https://www.incometaxindia.gov.in/w/rule-37ba"/>
    <hyperlink ref="D358" r:id="rId355" display="https://www.incometaxindia.gov.in/w/section-390-6"/>
    <hyperlink ref="D359" r:id="rId356" display="https://www.incometaxindia.gov.in/annual-information-statement"/>
    <hyperlink ref="D360" r:id="rId357" display="https://investor.nsdl.com/portal/en/kb/articles/faqs-on-annual-information-statement-ais-26-10-2023"/>
    <hyperlink ref="D361" r:id="rId358" display="https://taxguru.in/income-tax/commonly-observed-ais-mismatches-trigger-income-tax-notice.html"/>
    <hyperlink ref="D362" r:id="rId359" display="https://cleartax.in/s/income-tax-changes-from-april-2026"/>
    <hyperlink ref="D363" r:id="rId360" display="https://www.taxaj.com/learn/?p=304"/>
    <hyperlink ref="D364" r:id="rId361" display="https://www.incometaxindia.gov.in/w/understanding-statement-of-financial-transaction-sft-"/>
    <hyperlink ref="D365" r:id="rId362" display="https://www.incometaxindia.gov.in/w/section-408-5"/>
    <hyperlink ref="D366" r:id="rId363" display="https://incometaxindia.gov.in/documents/d/guest/circular-7-2026-pdf"/>
    <hyperlink ref="D367" r:id="rId364" display="https://www.incometaxindia.gov.in/w/section-63-134"/>
    <hyperlink ref="D368" r:id="rId365" display="https://taxguru.in/income-tax/tax-audit-fy-2025-26-guide-form-3cd.html"/>
    <hyperlink ref="D369" r:id="rId366" display="https://www.incometaxindia.gov.in/w/section-37-169"/>
    <hyperlink ref="D370" r:id="rId367" display="https://www.india-briefing.com/news/msme-tax-audit-form-3cd-clauses-22-26-fy-2025-26-47290.html/"/>
    <hyperlink ref="D371" r:id="rId368" display="https://taxmann.com/post/blog/analysis-clause-44-of-tax-audit-report-along-with-illustrations"/>
    <hyperlink ref="D372" r:id="rId369" display="https://PRSINDIA.org/files/bills_acts/acts_parliament/2006/the-micro-small-and-medium-enterprises-development-act-2006.pdf"/>
    <hyperlink ref="D373" r:id="rId370" display="https://www.taxmann.com/post/blog/cbdt-issues-corrigendum-to-include-sec-43bh-disallowance-under-clause-22-of-form-3cd/"/>
    <hyperlink ref="D374" r:id="rId371" display="https://taxguru.in/income-tax/finance-ministry-clarifies-section-43bh-45-day-msme-payment-rule.html"/>
    <hyperlink ref="D375" r:id="rId372" display="https://www.epfindia.gov.in:443/site_docs/PDFs/EPFOUnifiedPortal/Introduction_ECR2.0.pdf"/>
    <hyperlink ref="D376" r:id="rId373" display="https://epfindia.gov.in/site_docs/PDFs/OnlineECR_PDFs/ECR_ForEmployers_FileStructure.pdf"/>
    <hyperlink ref="D377" r:id="rId374" display="https://www.sgcms.com/regulatory-updates/faqs-by-epfo-wage-ceiling-raised-to-25000/"/>
    <hyperlink ref="D378" r:id="rId375" display="https://assets.kpmg.com/content/dam/kpmgsites/in/pdf/2026/07/KPMG-Flash-News-New-Social-Security-Schemes-2026.pdf"/>
    <hyperlink ref="D379" r:id="rId376" display="https://khaitanco.com/thought-leadership/Big-Move-in-the-EPF-Regime"/>
    <hyperlink ref="D380" r:id="rId377" display="https://web.esic.gov.in/web/esic/contribution"/>
    <hyperlink ref="D381" r:id="rId378" display="https://taxclue.in/blog/rule-19-20-social-security-central-rules-2026-rate-of-contributions-and-administrative-expenses/"/>
    <hyperlink ref="D382" r:id="rId379" display="https://bankbazaar.com/tax/maharashtra-professional-tax-slab-rate.html"/>
    <hyperlink ref="D383" r:id="rId380" display="https://taxguru.in/company-law/summary-clauses-caro-2020-consequential-amendments-schedule-iii-companies-act-2013.html"/>
    <hyperlink ref="D384" r:id="rId381" display="https://www.casemine.com/commentary/in/supreme-court-affirmation-on-disallowance-of-late-employee-contributions-under-section-36(1)(va)/view"/>
    <hyperlink ref="D385" r:id="rId382" display="https://taxguru.in/income-tax/pf-esi-deduction-denied-employees-contribution-deposited-statutory-due-date.html"/>
    <hyperlink ref="D386" r:id="rId383" display="https://eztax.in/income-tax-act-2025/section-29"/>
    <hyperlink ref="D387" r:id="rId384" display="https://ksandk.com/labour-employment/50-wage-rule-labour-codes-salary-pf-gratuity/"/>
    <hyperlink ref="D388" r:id="rId385" display="https://employmentlaw.lkslaw.com/gratuity-guide-2025"/>
    <hyperlink ref="D389" r:id="rId386" display="https://www.scconline.com/blog/post/2026/08/26/bonus-rules-under-code-on-wages-eligibility-calculation/"/>
    <hyperlink ref="D390" r:id="rId387" display="https://www.rbi.org.in/commonman/English/scripts/Notification.aspx?Id=961"/>
    <hyperlink ref="D391" r:id="rId388" display="https://www.bajajfinserv.in/gst-on-bank-account"/>
    <hyperlink ref="D392" r:id="rId389" display="https://www.idfcfirst.bank.in/content/dam/IDFCFirstBank/PDF/TDS/FAQs_on_cash_withdrawal_TDS.pdf"/>
    <hyperlink ref="D393" r:id="rId390" display="https://incometaxindia.gov.in/Tutorials/52.Section-194N.pdf"/>
    <hyperlink ref="D394" r:id="rId391" display="https://www.dpncindia.com/amendment-in-schedule-iii-of-the-companies-act-2013-applicable-w-e-f-01-04-2021"/>
    <hyperlink ref="D395" r:id="rId392" display="https://ca2013.com/schedule-ii/"/>
    <hyperlink ref="D396" r:id="rId393" display="https://thetaxtalk.com/2022/05/caro-2020-auditor-now-required-to-check-the-quarterly-return-filed-by-the-company-with-the-banker/"/>
    <hyperlink ref="D397" r:id="rId394" display="https://taxmann.com/post/blog/a-study-of-provisions-of-the-msmed-act-related-disclosure-under-schedule-iii-of-companies-act"/>
    <hyperlink ref="D398" r:id="rId395" display="https://www.taxmann.com/post/blog/mca-revises-msme-form-1-with-enhanced-disclosures-for-reporting-payments-pending-over-45-days-to-micro-small-enterprises/"/>
    <hyperlink ref="D399" r:id="rId396" display="https://rbi.org.in/"/>
    <hyperlink ref="D400" r:id="rId397" display="https://docs.enriched-api.vayana.com/routes/basic/gstn/apis/returns/Gstr-Download-Lite-Api/gstr-1/"/>
    <hyperlink ref="D401" r:id="rId398" display="https://github.com/resilient-tech/india-compliance"/>
    <hyperlink ref="D402" r:id="rId399" display="https://developer.gst.gov.in/apiportal/taxpayer/returns/apilist"/>
    <hyperlink ref="D403" r:id="rId400" display="https://taxo.online/latest-news/02-05-2025-gstn-issued-advisory-relating-to-reporting-of-hsn-codes-in-table-12-and-list-of-documents-in-table-13-of-gstr-1-1a/"/>
    <hyperlink ref="D404" r:id="rId401" display="https://taxo.online/latest-news/16-01-2024-gstn-issued-advisory-on-introduction-of-new-tables-14-15-in-gstr-1/"/>
    <hyperlink ref="D405" r:id="rId402" display="https://tutorial.gst.gov.in/contextualhelp/Einv/SUPECO_14.htm"/>
    <hyperlink ref="D406" r:id="rId403" display="https://taxo.online/latest-news/27-07-2024-advisory-issued-relating-to-form-gstr-1a/"/>
    <hyperlink ref="D407" r:id="rId404" display="https://docs.mastersindia.co/goods-and-services-tax-gst-api/save_3b_data"/>
    <hyperlink ref="D408" r:id="rId405" display="https://www.gstgyaan.com/pdf/form-gstr-3b.pdf"/>
    <hyperlink ref="D409" r:id="rId406" display="https://www.vjmglobal.com/blog/changes-in-gstr-3b-with-effect-from-01-09-2022"/>
    <hyperlink ref="D410" r:id="rId407" display="https://cleartax.in/s/table-3-1-1-of-gstr-3b-for-e-commerce-transactions-under-95"/>
    <hyperlink ref="D411" r:id="rId408" display="https://www.gstcouncil.gov.in/sites/default/files/2024-06/cir-170-02-2022-cgst.pdf"/>
    <hyperlink ref="D412" r:id="rId409" display="https://tutorial.gst.gov.in/userguide/returns/Manual_gstr9.htm"/>
    <hyperlink ref="D413" r:id="rId410" display="https://docs.enriched-api.vayana.com/routes/basic/gstn/apis/returns/Gstr-Download-Lite-Api/gstr-2b/"/>
    <hyperlink ref="D414" r:id="rId411" display="https://www.gstgyaan.com/pdf/faqs-on-invoice-management-system.pdf"/>
    <hyperlink ref="D415" r:id="rId412" display="https://cleartax.in/s/faqs-on-invoice-management-system-ims-gst"/>
    <hyperlink ref="D416" r:id="rId413" display="https://www.gstgyaan.com/pdf/form-gstr-9.pdf"/>
    <hyperlink ref="D417" r:id="rId414" display="https://gstzen.in/a/faqs-on-gstr-9-9c-changes-fy-2024-25.html"/>
    <hyperlink ref="D418" r:id="rId415" display="https://taxguru.in/?p=1004189"/>
    <hyperlink ref="D419" r:id="rId416" display="https://www.taxheal.com/?p=105269"/>
    <hyperlink ref="D420" r:id="rId417" display="https://www.gstgyaan.com/pdf/form-gstr-9c.pdf"/>
    <hyperlink ref="D421" r:id="rId418" display="https://cleartax.in/s/gst-reconciliation-statement-gstr-9c"/>
    <hyperlink ref="D422" r:id="rId419" display="https://www.gstgyaan.com/pdf/form-gstr-4.pdf"/>
    <hyperlink ref="D423" r:id="rId420" display="https://www.indiafilings.com/learn/gstr-4-filing/"/>
    <hyperlink ref="D424" r:id="rId421" display="https://www.cggst.com/uploads/document/1748517231-form-gst-cmp-08.pdf"/>
    <hyperlink ref="D425" r:id="rId422" display="https://www.cggst.com/uploads/document/1745416157-r-07.pdf"/>
    <hyperlink ref="D426" r:id="rId423" display="https://taxo.online/latest-news/07-05-2025-gstn-issued-advisory-on-deferment-invoice-wise-reporting-functionality-in-form-gstr-7/"/>
    <hyperlink ref="D427" r:id="rId424" display="https://tutorial.gst.gov.in/userguide/returns/GSTR7_FAQ.htm"/>
    <hyperlink ref="D428" r:id="rId425" display="https://www.gstgyaan.com/pdf/form-gstr-8.pdf"/>
    <hyperlink ref="D429" r:id="rId426" display="https://www.taxheal.com/?p=96048"/>
    <hyperlink ref="D430" r:id="rId427" display="https://einv-apisandbox.nic.in/version1.03/generate-irn.html"/>
    <hyperlink ref="D431" r:id="rId428" display="https://docs.logitax.in/Docs/Standard_Create_E_invoice"/>
    <hyperlink ref="D432" r:id="rId429" display="https://mspa.in/detail/38865.aspx"/>
    <hyperlink ref="D433" r:id="rId430" display="https://www.ey.com/en_in/alerts-hub/2023/05/cbic-lowers-turnover-threshold-for-e-invoicing-to-inr5-crores-with-effect-from-1-august-2023"/>
    <hyperlink ref="D434" r:id="rId431" display="https://www.taxmann.com/post/blog/time-limit-of-30-days-for-reporting-e-invoice-on-irp-portal-for-taxpayers-with-aato-of-10-crores-and-above-gstn-update/"/>
    <hyperlink ref="D435" r:id="rId432" display="https://docs.ewaybillgst.gov.in/apidocs/version1.03/generate-eway-bill.html"/>
    <hyperlink ref="D436" r:id="rId433" display="https://docs.logitax.in/Docs/Standard_Get_E_Way_Bill_By_EWB_No"/>
    <hyperlink ref="D437" r:id="rId434" display="https://www.taxmann.com/post/blog/process-of-generating-e-way-bill/"/>
    <hyperlink ref="D438" r:id="rId435" display="https://cleartax.in/s/time-limit-for-e-way-bill-generation"/>
    <hyperlink ref="D439" r:id="rId436" display="https://statetax.goa.gov.in/PDF/gst_forms/Payment.pdf"/>
    <hyperlink ref="D440" r:id="rId437" display="https://developers.qodex.ai/sandbox-api/gst-compliance/taxpayer-ledgers/get-cash-ledger"/>
    <hyperlink ref="D441" r:id="rId438" display="https://developer.gst.gov.in/apiportal/taxpayer/ledger"/>
    <hyperlink ref="D442" r:id="rId439" display="https://taxinformation.cbic.gov.in/content/html/tax_repository/gst/rules/cgst_rules/active/chapter9/rule88b_v1.00.html"/>
    <hyperlink ref="D443" r:id="rId440" display="https://gsthero.com/blog/electronic-credit-reversal-and-reclaimed-statement/"/>
    <hyperlink ref="D444" r:id="rId441" display="https://www.cygnet.one/blog/understanding-electronic-credit-reversal-and-re-claimed-statement-ecrs"/>
    <hyperlink ref="D445" r:id="rId442" display="https://tutorial.gst.gov.in/userguide/demandsandrecovery/Manual_GST_FORM_DRC-03.htm"/>
    <hyperlink ref="D446" r:id="rId443" display="https://www.gstgyaan.com/advisory-for-form-gst-drc-03a-dated-05-06-2024"/>
    <hyperlink ref="D447" r:id="rId444" display="https://www.neist.res.in/assets/pdf/CAZPT3636C-2026.pdf"/>
    <hyperlink ref="D448" r:id="rId445" display="https://cleartax.in/s/view-form-26as-tax-credit-statement"/>
    <hyperlink ref="D449" r:id="rId446" display="https://blog.tdsman.com/2014/06/faq-on-form-26as"/>
    <hyperlink ref="D450" r:id="rId447" display="https://blog.tdsman.com/2026/02/different-matching-statuses-form-16-form-16a/"/>
    <hyperlink ref="D451" r:id="rId448" display="https://www.incometaxindia.gov.in/documents/d/guest/form-168-faqs"/>
    <hyperlink ref="D452" r:id="rId449" display="https://www.incometax.gov.in/iec/foportal/help/all-topics/e-filing-services/ais-annual-information-statement"/>
    <hyperlink ref="D453" r:id="rId450" display="https://www.incometax.gov.in/iec/foportal/help/all-topics/e-filing-services/ais%20-%20annual%20information%20statement-faqs"/>
    <hyperlink ref="D454" r:id="rId451" display="https://taxguru.in/income-tax/view-ais-annual-information-statement.html"/>
    <hyperlink ref="D455" r:id="rId452" display="https://www.taxaj.com/learn/?p=304"/>
    <hyperlink ref="D456" r:id="rId453" display="https://www.incometax.gov.in/iec/foportal/sites/default/files/2026-07/ITR%203_Schema%20change%20document_AY2026-27_V1.1_0.pdf"/>
    <hyperlink ref="D457" r:id="rId454" display="https://www.taxheal.com/part-b-tti-computation-of-tax-liability-on-total-income-ay-2026-27.html"/>
    <hyperlink ref="D458" r:id="rId455" display="https://www.taxheal.com/part-b-ti-statement-of-income-for-the-period-ended-on-31st-march-ay-2026-27.html"/>
    <hyperlink ref="D459" r:id="rId456" display="https://incometaxindia.gov.in/documents/d/guest/circular-7-2026-pdf"/>
    <hyperlink ref="D460" r:id="rId457" display="https://www.incometaxindia.gov.in/w/rule-37ba"/>
    <hyperlink ref="D461" r:id="rId458" display="https://www.incometaxindia.gov.in/documents/d/guest/form-130-faqs"/>
    <hyperlink ref="D462" r:id="rId459" display="https://www.incometaxindia.gov.in/documents/d/guest/fn-138"/>
    <hyperlink ref="D463" r:id="rId460" display="https://taxguru.in/income-tax/income-tax-form-131-tds-certificate-u-s-395-4-non-salary-pension-senior-citizen-interest.html"/>
    <hyperlink ref="D464" r:id="rId461" display="https://blog.tdsman.com/downloads/key_features_fvu_1_2.pdf"/>
    <hyperlink ref="D465" r:id="rId462" display="https://blog.tdsman.com/2026/08/new-file-validation-utility-fvu-version-1-2-released-on-19th-august-2026/"/>
    <hyperlink ref="D466" r:id="rId463" display="https://docs.oracle.com/cd/E16582_01/doc.91/e23355/txt_file_field_26q.htm"/>
    <hyperlink ref="D467" r:id="rId464" display="https://tinpan.proteantech.in/downloads/e-tds/download/26Q_04012018.pdf"/>
    <hyperlink ref="D468" r:id="rId465" display="https://www.incometaxindia.gov.in/w/rule-219-1"/>
    <hyperlink ref="D469" r:id="rId466" display="https://www.incometaxindia.gov.in/documents/d/guest/fn-140"/>
    <hyperlink ref="D470" r:id="rId467" display="https://tinpan.proteantech.in/downloads/e-tds/download/DosandDontsdeductorscollectors.pdf"/>
    <hyperlink ref="D471" r:id="rId468" display="https://www.incometaxindia.gov.in/documents/d/guest/fn-144"/>
    <hyperlink ref="D472" r:id="rId469" display="https://www.incometaxindia.gov.in/documents/d/guest/fn-143"/>
    <hyperlink ref="D473" r:id="rId470" display="https://taxguru.in/income-tax/q1-tax-year-2026-27-tds-tcs-return-filing-forms-due-dates.html"/>
    <hyperlink ref="D474" r:id="rId471" display="https://cleartax.in/s/tds-challan-itns-281"/>
    <hyperlink ref="D475" r:id="rId472" display="https://www.incometaxindia.gov.in/w/rule-218-1"/>
    <hyperlink ref="D476" r:id="rId473" display="https://www.incometaxindia.gov.in/documents/d/guest/fn-137"/>
    <hyperlink ref="D477" r:id="rId474" display="https://cleartax.in/s/download-justification-report-to-reply-to-tds-demand-notice"/>
    <hyperlink ref="D478" r:id="rId475" display="https://learn.quicko.com/traces-download-justification-report-24q-26q-27q"/>
    <hyperlink ref="D479" r:id="rId476" display="https://blog.tdsman.com/2013/07/evaluate-your-tds-defaults-using-justification-report-downloaded-from-traces/"/>
    <hyperlink ref="D480" r:id="rId477" display="https://www.incometaxindia.gov.in/w/section-397-6"/>
    <hyperlink ref="D481" r:id="rId478" display="https://help.tallysolutions.com/tally-prime/export-data-in-tally"/>
    <hyperlink ref="D482" r:id="rId479" display="https://help.tallysolutions.com/tally-prime/import-data/download-sample-excel-files-with-data-for-import"/>
    <hyperlink ref="D483" r:id="rId480" display="https://www.pkcindia.com/blog/form-3cd-reporting-for-ay-2026-27-clause-wise-changes-every-business-should-check-before-the-tax-audit/"/>
    <hyperlink ref="D484" r:id="rId481" display="https://calcguru.in/?p=8211"/>
    <hyperlink ref="D485" r:id="rId482" display="https://taxguru.in/income-tax/tax-audit-fy-2025-26-guide-form-3cd.html"/>
    <hyperlink ref="D486" r:id="rId483" display="https://cleartax.in/s/form-26-tax-audit"/>
    <hyperlink ref="D487" r:id="rId484" display="https://www.incometaxindia.gov.in/w/section-234c-37"/>
    <hyperlink ref="D488" r:id="rId485" display="https://www.incometaxindia.gov.in/w/section-425-5"/>
    <hyperlink ref="D489" r:id="rId486" display="https://www.epfindia.gov.in:443/site_docs/PDFs/MiscPDFs/ContributionRate.pdf"/>
    <hyperlink ref="D490" r:id="rId487" display="https://web.esic.gov.in/web/esic/contribution"/>
    <hyperlink ref="D491" r:id="rId488" display="https://www.epfindia.gov.in:443/site_docs/PDFs/EPFOUnifiedPortal/Introduction_ECR2.0.pdf"/>
    <hyperlink ref="D492" r:id="rId489" display="https://epfindia.gov.in/site_docs/PDFs/OnlineECR_PDFs/ECR_ForEmployers_FileStructure.pdf"/>
    <hyperlink ref="D493" r:id="rId490" display="https://www.epfindia.gov.in/site_en/revamped_ecr.php"/>
    <hyperlink ref="D494" r:id="rId491" display="https://vcportal.endurancegroup.com/data/contractor/2303_13__section1_.pdf"/>
    <hyperlink ref="D495" r:id="rId492" display="https://docs.pockethrms.com/report-generation/esi-return-file"/>
    <hyperlink ref="D496" r:id="rId493" display="https://shmch.delhi.gov.in/sites/default/files/inline-files/esic_2.pdf"/>
    <hyperlink ref="D497" r:id="rId494" display="https://support.paybooks.in/support/solutions/articles/4000092794-why-values-need-be-selected-in-esi-remarks-field-"/>
    <hyperlink ref="D498" r:id="rId495" display="https://bankbazaar.com/tax/maharashtra-professional-tax-slab-rate.html"/>
    <hyperlink ref="D499" r:id="rId496" display="https://wbxpress.com/schedule-rates-tax-professions-trades-callings-employments-2026/"/>
    <hyperlink ref="D500" r:id="rId497" display="https://help.tallysolutions.com/docs/te9rel66/Reports/Display_Registers_Ledgers/Sales_Register_Sales_Day_Book.htm"/>
    <hyperlink ref="D501" r:id="rId498" display="https://www.rbi.org.in/commonman/English/scripts/Notification.aspx?Id=961"/>
    <hyperlink ref="D502" r:id="rId499" display="https://taxguru.in/company-law/summary-clauses-caro-2020-consequential-amendments-schedule-iii-companies-act-2013.html"/>
    <hyperlink ref="D503" r:id="rId500" display="https://www.dpncindia.com/amendment-in-schedule-iii-of-the-companies-act-2013-applicable-w-e-f-01-04-2021"/>
    <hyperlink ref="D504" r:id="rId501" display="https://www.taxmann.com/post/blog/mca-revises-msme-form-1-with-enhanced-disclosures-for-reporting-payments-pending-over-45-days-to-micro-small-enterprises/"/>
    <hyperlink ref="D505" r:id="rId502" display="https://foxmandal.in/news/monetary-limits-for-msme-classification-revise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C5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0"/>
    <col collapsed="false" customWidth="true" hidden="false" outlineLevel="0" max="3" min="3" style="0" width="100"/>
  </cols>
  <sheetData>
    <row r="1" customFormat="false" ht="30" hidden="false" customHeight="true" outlineLevel="0" collapsed="false">
      <c r="A1" s="18" t="s">
        <v>15662</v>
      </c>
      <c r="B1" s="18"/>
      <c r="C1" s="19" t="s">
        <v>29</v>
      </c>
    </row>
    <row r="2" customFormat="false" ht="31.5" hidden="false" customHeight="true" outlineLevel="0" collapsed="false">
      <c r="A2" s="20" t="s">
        <v>15663</v>
      </c>
      <c r="B2" s="20"/>
      <c r="C2" s="20"/>
    </row>
    <row r="4" customFormat="false" ht="33.75" hidden="false" customHeight="true" outlineLevel="0" collapsed="false">
      <c r="A4" s="21" t="s">
        <v>15664</v>
      </c>
      <c r="B4" s="21" t="s">
        <v>15665</v>
      </c>
      <c r="C4" s="21" t="s">
        <v>5929</v>
      </c>
    </row>
    <row r="5" customFormat="false" ht="15" hidden="false" customHeight="true" outlineLevel="0" collapsed="false">
      <c r="A5" s="22" t="s">
        <v>15666</v>
      </c>
      <c r="B5" s="22" t="s">
        <v>15667</v>
      </c>
      <c r="C5" s="22" t="s">
        <v>15668</v>
      </c>
    </row>
    <row r="6" customFormat="false" ht="24.75" hidden="false" customHeight="true" outlineLevel="0" collapsed="false">
      <c r="A6" s="22" t="s">
        <v>111</v>
      </c>
      <c r="B6" s="22" t="s">
        <v>15669</v>
      </c>
      <c r="C6" s="22" t="s">
        <v>15670</v>
      </c>
    </row>
    <row r="7" customFormat="false" ht="37.5" hidden="false" customHeight="true" outlineLevel="0" collapsed="false">
      <c r="A7" s="22" t="s">
        <v>15671</v>
      </c>
      <c r="B7" s="22" t="s">
        <v>15672</v>
      </c>
      <c r="C7" s="22" t="s">
        <v>15673</v>
      </c>
    </row>
    <row r="8" customFormat="false" ht="24.75" hidden="false" customHeight="true" outlineLevel="0" collapsed="false">
      <c r="A8" s="22" t="s">
        <v>15674</v>
      </c>
      <c r="B8" s="22" t="s">
        <v>169</v>
      </c>
      <c r="C8" s="22" t="s">
        <v>15675</v>
      </c>
    </row>
    <row r="9" customFormat="false" ht="15" hidden="false" customHeight="true" outlineLevel="0" collapsed="false">
      <c r="A9" s="22" t="s">
        <v>15676</v>
      </c>
      <c r="B9" s="22" t="s">
        <v>178</v>
      </c>
      <c r="C9" s="22" t="s">
        <v>15677</v>
      </c>
    </row>
    <row r="10" customFormat="false" ht="24.75" hidden="false" customHeight="true" outlineLevel="0" collapsed="false">
      <c r="A10" s="22" t="s">
        <v>15678</v>
      </c>
      <c r="B10" s="22" t="s">
        <v>15679</v>
      </c>
      <c r="C10" s="22" t="s">
        <v>15680</v>
      </c>
    </row>
    <row r="11" customFormat="false" ht="24.75" hidden="false" customHeight="true" outlineLevel="0" collapsed="false">
      <c r="A11" s="22" t="s">
        <v>15681</v>
      </c>
      <c r="B11" s="22" t="s">
        <v>15682</v>
      </c>
      <c r="C11" s="22" t="s">
        <v>15683</v>
      </c>
    </row>
    <row r="12" customFormat="false" ht="24.75" hidden="false" customHeight="true" outlineLevel="0" collapsed="false">
      <c r="A12" s="22" t="s">
        <v>15684</v>
      </c>
      <c r="B12" s="22" t="s">
        <v>15685</v>
      </c>
      <c r="C12" s="22" t="s">
        <v>15686</v>
      </c>
    </row>
    <row r="13" customFormat="false" ht="15" hidden="false" customHeight="true" outlineLevel="0" collapsed="false">
      <c r="A13" s="22" t="s">
        <v>5104</v>
      </c>
      <c r="B13" s="22" t="s">
        <v>149</v>
      </c>
      <c r="C13" s="22" t="s">
        <v>15687</v>
      </c>
    </row>
    <row r="14" customFormat="false" ht="37.5" hidden="false" customHeight="true" outlineLevel="0" collapsed="false">
      <c r="A14" s="22" t="s">
        <v>15688</v>
      </c>
      <c r="B14" s="22" t="s">
        <v>15689</v>
      </c>
      <c r="C14" s="22" t="s">
        <v>15690</v>
      </c>
    </row>
    <row r="15" customFormat="false" ht="24.75" hidden="false" customHeight="true" outlineLevel="0" collapsed="false">
      <c r="A15" s="22" t="s">
        <v>15691</v>
      </c>
      <c r="B15" s="22" t="s">
        <v>15689</v>
      </c>
      <c r="C15" s="22" t="s">
        <v>15692</v>
      </c>
    </row>
    <row r="17" customFormat="false" ht="15" hidden="false" customHeight="false" outlineLevel="0" collapsed="false">
      <c r="A17" s="8" t="s">
        <v>15693</v>
      </c>
    </row>
    <row r="18" customFormat="false" ht="15" hidden="false" customHeight="false" outlineLevel="0" collapsed="false">
      <c r="A18" s="54" t="s">
        <v>15694</v>
      </c>
      <c r="B18" s="54"/>
      <c r="C18" s="54"/>
    </row>
    <row r="19" customFormat="false" ht="15" hidden="false" customHeight="false" outlineLevel="0" collapsed="false">
      <c r="A19" s="54" t="s">
        <v>15695</v>
      </c>
      <c r="B19" s="54"/>
      <c r="C19" s="54"/>
    </row>
    <row r="20" customFormat="false" ht="15" hidden="false" customHeight="false" outlineLevel="0" collapsed="false">
      <c r="A20" s="54" t="s">
        <v>15696</v>
      </c>
      <c r="B20" s="54"/>
      <c r="C20" s="54"/>
    </row>
    <row r="21" customFormat="false" ht="15" hidden="false" customHeight="false" outlineLevel="0" collapsed="false">
      <c r="A21" s="54" t="s">
        <v>15697</v>
      </c>
      <c r="B21" s="54"/>
      <c r="C21" s="54"/>
    </row>
    <row r="22" customFormat="false" ht="15" hidden="false" customHeight="false" outlineLevel="0" collapsed="false">
      <c r="A22" s="54" t="s">
        <v>15698</v>
      </c>
      <c r="B22" s="54"/>
      <c r="C22" s="54"/>
    </row>
    <row r="23" customFormat="false" ht="15" hidden="false" customHeight="false" outlineLevel="0" collapsed="false">
      <c r="A23" s="54" t="s">
        <v>15699</v>
      </c>
      <c r="B23" s="54"/>
      <c r="C23" s="54"/>
    </row>
    <row r="24" customFormat="false" ht="15" hidden="false" customHeight="false" outlineLevel="0" collapsed="false">
      <c r="A24" s="54" t="s">
        <v>15700</v>
      </c>
      <c r="B24" s="54"/>
      <c r="C24" s="54"/>
    </row>
    <row r="25" customFormat="false" ht="15" hidden="false" customHeight="false" outlineLevel="0" collapsed="false">
      <c r="A25" s="54" t="s">
        <v>15701</v>
      </c>
      <c r="B25" s="54"/>
      <c r="C25" s="54"/>
    </row>
    <row r="26" customFormat="false" ht="15" hidden="false" customHeight="false" outlineLevel="0" collapsed="false">
      <c r="A26" s="54" t="s">
        <v>15702</v>
      </c>
      <c r="B26" s="54"/>
      <c r="C26" s="54"/>
    </row>
    <row r="27" customFormat="false" ht="15" hidden="false" customHeight="false" outlineLevel="0" collapsed="false">
      <c r="A27" s="54" t="s">
        <v>15703</v>
      </c>
      <c r="B27" s="54"/>
      <c r="C27" s="54"/>
    </row>
    <row r="28" customFormat="false" ht="15" hidden="false" customHeight="false" outlineLevel="0" collapsed="false">
      <c r="A28" s="54" t="s">
        <v>15704</v>
      </c>
      <c r="B28" s="54"/>
      <c r="C28" s="54"/>
    </row>
    <row r="29" customFormat="false" ht="15" hidden="false" customHeight="false" outlineLevel="0" collapsed="false">
      <c r="A29" s="54" t="s">
        <v>15705</v>
      </c>
      <c r="B29" s="54"/>
      <c r="C29" s="54"/>
    </row>
    <row r="30" customFormat="false" ht="15" hidden="false" customHeight="false" outlineLevel="0" collapsed="false">
      <c r="A30" s="54" t="s">
        <v>15706</v>
      </c>
      <c r="B30" s="54"/>
      <c r="C30" s="54"/>
    </row>
    <row r="31" customFormat="false" ht="15" hidden="false" customHeight="false" outlineLevel="0" collapsed="false">
      <c r="A31" s="54" t="s">
        <v>15707</v>
      </c>
      <c r="B31" s="54"/>
      <c r="C31" s="54"/>
    </row>
    <row r="32" customFormat="false" ht="15" hidden="false" customHeight="false" outlineLevel="0" collapsed="false">
      <c r="A32" s="54" t="s">
        <v>15708</v>
      </c>
      <c r="B32" s="54"/>
      <c r="C32" s="54"/>
    </row>
    <row r="33" customFormat="false" ht="15" hidden="false" customHeight="false" outlineLevel="0" collapsed="false">
      <c r="A33" s="54" t="s">
        <v>15709</v>
      </c>
      <c r="B33" s="54"/>
      <c r="C33" s="54"/>
    </row>
    <row r="34" customFormat="false" ht="15" hidden="false" customHeight="false" outlineLevel="0" collapsed="false">
      <c r="A34" s="54" t="s">
        <v>15710</v>
      </c>
      <c r="B34" s="54"/>
      <c r="C34" s="54"/>
    </row>
    <row r="35" customFormat="false" ht="15" hidden="false" customHeight="false" outlineLevel="0" collapsed="false">
      <c r="A35" s="54" t="s">
        <v>15711</v>
      </c>
      <c r="B35" s="54"/>
      <c r="C35" s="54"/>
    </row>
    <row r="36" customFormat="false" ht="15" hidden="false" customHeight="false" outlineLevel="0" collapsed="false">
      <c r="A36" s="54" t="s">
        <v>15712</v>
      </c>
      <c r="B36" s="54"/>
      <c r="C36" s="54"/>
    </row>
    <row r="37" customFormat="false" ht="15" hidden="false" customHeight="false" outlineLevel="0" collapsed="false">
      <c r="A37" s="54" t="s">
        <v>15713</v>
      </c>
      <c r="B37" s="54"/>
      <c r="C37" s="54"/>
    </row>
    <row r="38" customFormat="false" ht="15" hidden="false" customHeight="false" outlineLevel="0" collapsed="false">
      <c r="A38" s="54" t="s">
        <v>15714</v>
      </c>
      <c r="B38" s="54"/>
      <c r="C38" s="54"/>
    </row>
    <row r="39" customFormat="false" ht="15" hidden="false" customHeight="false" outlineLevel="0" collapsed="false">
      <c r="A39" s="54" t="s">
        <v>15715</v>
      </c>
      <c r="B39" s="54"/>
      <c r="C39" s="54"/>
    </row>
    <row r="40" customFormat="false" ht="15" hidden="false" customHeight="false" outlineLevel="0" collapsed="false">
      <c r="A40" s="54" t="s">
        <v>15716</v>
      </c>
      <c r="B40" s="54"/>
      <c r="C40" s="54"/>
    </row>
    <row r="41" customFormat="false" ht="15" hidden="false" customHeight="false" outlineLevel="0" collapsed="false">
      <c r="A41" s="54" t="s">
        <v>15717</v>
      </c>
      <c r="B41" s="54"/>
      <c r="C41" s="54"/>
    </row>
    <row r="42" customFormat="false" ht="15" hidden="false" customHeight="false" outlineLevel="0" collapsed="false">
      <c r="A42" s="54" t="s">
        <v>15718</v>
      </c>
      <c r="B42" s="54"/>
      <c r="C42" s="54"/>
    </row>
    <row r="43" customFormat="false" ht="15" hidden="false" customHeight="false" outlineLevel="0" collapsed="false">
      <c r="A43" s="54" t="s">
        <v>15719</v>
      </c>
      <c r="B43" s="54"/>
      <c r="C43" s="54"/>
    </row>
    <row r="44" customFormat="false" ht="15" hidden="false" customHeight="false" outlineLevel="0" collapsed="false">
      <c r="A44" s="54" t="s">
        <v>15720</v>
      </c>
      <c r="B44" s="54"/>
      <c r="C44" s="54"/>
    </row>
    <row r="45" customFormat="false" ht="15" hidden="false" customHeight="false" outlineLevel="0" collapsed="false">
      <c r="A45" s="54" t="s">
        <v>15721</v>
      </c>
      <c r="B45" s="54"/>
      <c r="C45" s="54"/>
    </row>
    <row r="46" customFormat="false" ht="15" hidden="false" customHeight="false" outlineLevel="0" collapsed="false">
      <c r="A46" s="54" t="s">
        <v>15722</v>
      </c>
      <c r="B46" s="54"/>
      <c r="C46" s="54"/>
    </row>
    <row r="47" customFormat="false" ht="15" hidden="false" customHeight="false" outlineLevel="0" collapsed="false">
      <c r="A47" s="54" t="s">
        <v>15723</v>
      </c>
      <c r="B47" s="54"/>
      <c r="C47" s="54"/>
    </row>
    <row r="48" customFormat="false" ht="15" hidden="false" customHeight="false" outlineLevel="0" collapsed="false">
      <c r="A48" s="54" t="s">
        <v>15724</v>
      </c>
      <c r="B48" s="54"/>
      <c r="C48" s="54"/>
    </row>
    <row r="49" customFormat="false" ht="15" hidden="false" customHeight="false" outlineLevel="0" collapsed="false">
      <c r="A49" s="54" t="s">
        <v>15725</v>
      </c>
      <c r="B49" s="54"/>
      <c r="C49" s="54"/>
    </row>
    <row r="50" customFormat="false" ht="15" hidden="false" customHeight="false" outlineLevel="0" collapsed="false">
      <c r="A50" s="54" t="s">
        <v>15726</v>
      </c>
      <c r="B50" s="54"/>
      <c r="C50" s="54"/>
    </row>
    <row r="51" customFormat="false" ht="15" hidden="false" customHeight="false" outlineLevel="0" collapsed="false">
      <c r="A51" s="54" t="s">
        <v>15727</v>
      </c>
      <c r="B51" s="54"/>
      <c r="C51" s="54"/>
    </row>
    <row r="52" customFormat="false" ht="15" hidden="false" customHeight="false" outlineLevel="0" collapsed="false">
      <c r="A52" s="54" t="s">
        <v>15728</v>
      </c>
      <c r="B52" s="54"/>
      <c r="C52" s="54"/>
    </row>
    <row r="53" customFormat="false" ht="15" hidden="false" customHeight="false" outlineLevel="0" collapsed="false">
      <c r="A53" s="54" t="s">
        <v>15714</v>
      </c>
      <c r="B53" s="54"/>
      <c r="C53" s="54"/>
    </row>
    <row r="54" customFormat="false" ht="15" hidden="false" customHeight="false" outlineLevel="0" collapsed="false">
      <c r="A54" s="54" t="s">
        <v>15729</v>
      </c>
      <c r="B54" s="54"/>
      <c r="C54" s="54"/>
    </row>
  </sheetData>
  <mergeCells count="39">
    <mergeCell ref="A1:B1"/>
    <mergeCell ref="A2:C2"/>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s>
  <hyperlinks>
    <hyperlink ref="C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0242C"/>
    <pageSetUpPr fitToPage="false"/>
  </sheetPr>
  <dimension ref="A1:B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30" hidden="false" customHeight="true" outlineLevel="0" collapsed="false">
      <c r="A1" s="55" t="s">
        <v>15730</v>
      </c>
      <c r="B1" s="19" t="s">
        <v>29</v>
      </c>
    </row>
    <row r="2" customFormat="false" ht="31.5" hidden="false" customHeight="true" outlineLevel="0" collapsed="false">
      <c r="A2" s="20" t="s">
        <v>15731</v>
      </c>
      <c r="B2" s="20"/>
    </row>
    <row r="4" customFormat="false" ht="39" hidden="false" customHeight="true" outlineLevel="0" collapsed="false">
      <c r="A4" s="56" t="s">
        <v>115</v>
      </c>
      <c r="B4" s="22" t="s">
        <v>15732</v>
      </c>
    </row>
    <row r="5" customFormat="false" ht="39" hidden="false" customHeight="true" outlineLevel="0" collapsed="false">
      <c r="A5" s="56" t="s">
        <v>15733</v>
      </c>
      <c r="B5" s="22" t="s">
        <v>15734</v>
      </c>
    </row>
    <row r="6" customFormat="false" ht="25.5" hidden="false" customHeight="true" outlineLevel="0" collapsed="false">
      <c r="A6" s="56" t="s">
        <v>15735</v>
      </c>
      <c r="B6" s="22" t="s">
        <v>15736</v>
      </c>
    </row>
    <row r="7" customFormat="false" ht="51.75" hidden="false" customHeight="true" outlineLevel="0" collapsed="false">
      <c r="A7" s="56" t="s">
        <v>15737</v>
      </c>
      <c r="B7" s="22" t="s">
        <v>15738</v>
      </c>
    </row>
    <row r="8" customFormat="false" ht="39" hidden="false" customHeight="true" outlineLevel="0" collapsed="false">
      <c r="A8" s="56" t="s">
        <v>15739</v>
      </c>
      <c r="B8" s="22" t="s">
        <v>15740</v>
      </c>
    </row>
    <row r="9" customFormat="false" ht="25.5" hidden="false" customHeight="true" outlineLevel="0" collapsed="false">
      <c r="A9" s="56" t="s">
        <v>15741</v>
      </c>
      <c r="B9" s="22" t="s">
        <v>15742</v>
      </c>
    </row>
    <row r="10" customFormat="false" ht="25.5" hidden="false" customHeight="true" outlineLevel="0" collapsed="false">
      <c r="A10" s="56" t="s">
        <v>15743</v>
      </c>
      <c r="B10" s="22" t="s">
        <v>15744</v>
      </c>
    </row>
    <row r="11" customFormat="false" ht="25.5" hidden="false" customHeight="true" outlineLevel="0" collapsed="false">
      <c r="A11" s="56" t="s">
        <v>114</v>
      </c>
      <c r="B11" s="22" t="s">
        <v>15745</v>
      </c>
    </row>
    <row r="12" customFormat="false" ht="25.5" hidden="false" customHeight="true" outlineLevel="0" collapsed="false">
      <c r="A12" s="56" t="s">
        <v>15746</v>
      </c>
      <c r="B12" s="22" t="s">
        <v>15747</v>
      </c>
    </row>
    <row r="13" customFormat="false" ht="15" hidden="false" customHeight="true" outlineLevel="0" collapsed="false">
      <c r="A13" s="56" t="s">
        <v>92</v>
      </c>
      <c r="B13" s="22" t="s">
        <v>15748</v>
      </c>
    </row>
    <row r="14" customFormat="false" ht="39" hidden="false" customHeight="true" outlineLevel="0" collapsed="false">
      <c r="A14" s="56" t="s">
        <v>15749</v>
      </c>
      <c r="B14" s="22" t="s">
        <v>15750</v>
      </c>
    </row>
    <row r="15" customFormat="false" ht="25.5" hidden="false" customHeight="true" outlineLevel="0" collapsed="false">
      <c r="A15" s="56" t="s">
        <v>15751</v>
      </c>
      <c r="B15" s="22" t="s">
        <v>15752</v>
      </c>
    </row>
  </sheetData>
  <mergeCells count="1">
    <mergeCell ref="A2:B2"/>
  </mergeCells>
  <hyperlinks>
    <hyperlink ref="B1" r:id="rId1" location="'Contents'!A1" display="← Cont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2026-10-13T15:49:52Z</dcterms:created>
  <dc:creator>openpyxl</dc:creator>
  <dc:description/>
  <dc:language>en-US</dc:language>
  <cp:lastModifiedBy/>
  <dcterms:modified xsi:type="dcterms:W3CDTF">2026-10-13T15:49:54Z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